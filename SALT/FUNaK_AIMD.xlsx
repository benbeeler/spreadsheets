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spreadsheets/SALT/"/>
    </mc:Choice>
  </mc:AlternateContent>
  <xr:revisionPtr revIDLastSave="0" documentId="13_ncr:1_{966E4E9D-C8F7-B64B-8983-3AADCA6C6A9F}" xr6:coauthVersionLast="47" xr6:coauthVersionMax="47" xr10:uidLastSave="{00000000-0000-0000-0000-000000000000}"/>
  <bookViews>
    <workbookView xWindow="22800" yWindow="8540" windowWidth="27640" windowHeight="16940" xr2:uid="{508FF463-2D01-1741-9B5B-BF51988EC3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99" i="1" l="1"/>
  <c r="K98" i="1" a="1"/>
  <c r="K98" i="1" s="1"/>
  <c r="K99" i="1" s="1"/>
  <c r="H98" i="1"/>
  <c r="H97" i="1"/>
  <c r="D97" i="1"/>
  <c r="H96" i="1"/>
  <c r="D96" i="1"/>
  <c r="H95" i="1"/>
  <c r="D95" i="1"/>
  <c r="H94" i="1"/>
  <c r="D94" i="1"/>
  <c r="K91" i="1"/>
  <c r="K89" i="1"/>
  <c r="K87" i="1"/>
  <c r="K67" i="1"/>
  <c r="K69" i="1"/>
  <c r="K71" i="1"/>
  <c r="F79" i="1"/>
  <c r="K78" i="1" a="1"/>
  <c r="K78" i="1" s="1"/>
  <c r="K79" i="1" s="1"/>
  <c r="H78" i="1"/>
  <c r="H77" i="1"/>
  <c r="D77" i="1"/>
  <c r="H76" i="1"/>
  <c r="D76" i="1"/>
  <c r="H75" i="1"/>
  <c r="D75" i="1"/>
  <c r="H74" i="1"/>
  <c r="D74" i="1"/>
  <c r="B51" i="1"/>
  <c r="B52" i="1"/>
  <c r="B53" i="1"/>
  <c r="B54" i="1"/>
  <c r="B34" i="1"/>
  <c r="B33" i="1"/>
  <c r="B32" i="1"/>
  <c r="L12" i="1"/>
  <c r="L10" i="1"/>
  <c r="L8" i="1"/>
  <c r="B16" i="1"/>
  <c r="B15" i="1"/>
  <c r="I29" i="1"/>
  <c r="I12" i="1"/>
  <c r="I10" i="1"/>
  <c r="I8" i="1"/>
  <c r="D37" i="1"/>
  <c r="I36" i="1" a="1"/>
  <c r="I36" i="1" s="1"/>
  <c r="I37" i="1" s="1"/>
  <c r="F36" i="1"/>
  <c r="F35" i="1"/>
  <c r="F34" i="1"/>
  <c r="F33" i="1"/>
  <c r="F32" i="1"/>
  <c r="I27" i="1"/>
  <c r="I25" i="1"/>
  <c r="D20" i="1"/>
  <c r="F19" i="1"/>
  <c r="F18" i="1"/>
  <c r="F17" i="1"/>
  <c r="F16" i="1"/>
  <c r="F15" i="1"/>
  <c r="I19" i="1" a="1"/>
  <c r="I19" i="1" s="1"/>
  <c r="I20" i="1" s="1"/>
  <c r="M20" i="1" s="1"/>
  <c r="F53" i="1"/>
  <c r="F52" i="1"/>
  <c r="F54" i="1"/>
  <c r="F55" i="1"/>
  <c r="F51" i="1"/>
  <c r="D56" i="1"/>
  <c r="I55" i="1" a="1"/>
  <c r="I55" i="1" s="1"/>
  <c r="I56" i="1" s="1"/>
  <c r="I48" i="1"/>
  <c r="I46" i="1"/>
  <c r="I44" i="1"/>
  <c r="H99" i="1" l="1"/>
  <c r="H100" i="1" s="1"/>
  <c r="F20" i="1"/>
  <c r="H79" i="1"/>
  <c r="J8" i="1"/>
  <c r="M8" i="1" s="1"/>
  <c r="F21" i="1"/>
  <c r="J12" i="1"/>
  <c r="M12" i="1" s="1"/>
  <c r="J10" i="1"/>
  <c r="M10" i="1" s="1"/>
  <c r="F37" i="1"/>
  <c r="F56" i="1"/>
  <c r="J48" i="1"/>
  <c r="F57" i="1" l="1"/>
  <c r="J44" i="1"/>
  <c r="H80" i="1"/>
  <c r="L87" i="1"/>
  <c r="L71" i="1"/>
  <c r="L69" i="1"/>
  <c r="L67" i="1"/>
  <c r="L89" i="1"/>
  <c r="L91" i="1"/>
  <c r="F38" i="1"/>
  <c r="J27" i="1"/>
  <c r="J25" i="1"/>
  <c r="J29" i="1"/>
  <c r="J4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<sst xmlns="http://schemas.openxmlformats.org/spreadsheetml/2006/main" count="96" uniqueCount="29">
  <si>
    <t>FUNaK</t>
  </si>
  <si>
    <t>NaF-KF</t>
  </si>
  <si>
    <t>NaF-KF-UF4</t>
  </si>
  <si>
    <t>NaF-KF-UF4-ZrF4</t>
  </si>
  <si>
    <t>E_pot(eV)</t>
  </si>
  <si>
    <t>E_kin(eV)</t>
  </si>
  <si>
    <t>Temperature(K)</t>
  </si>
  <si>
    <t>Pressure(MPa)</t>
  </si>
  <si>
    <t>Cell_volume(ang^3)</t>
  </si>
  <si>
    <t>TE</t>
  </si>
  <si>
    <t>J/mol-K</t>
  </si>
  <si>
    <t>Na</t>
  </si>
  <si>
    <t>K</t>
  </si>
  <si>
    <t>U</t>
  </si>
  <si>
    <t>Zr</t>
  </si>
  <si>
    <t>F</t>
  </si>
  <si>
    <t>mass</t>
  </si>
  <si>
    <t>density</t>
  </si>
  <si>
    <t>g</t>
  </si>
  <si>
    <t>g/cc</t>
  </si>
  <si>
    <t>expt</t>
  </si>
  <si>
    <t>err</t>
  </si>
  <si>
    <t>Expt</t>
  </si>
  <si>
    <t>expt only at ~50/25/25</t>
  </si>
  <si>
    <t>expts only at ~ 36/18/4/44</t>
  </si>
  <si>
    <t>36-16-4-44</t>
  </si>
  <si>
    <t>plus/minus</t>
  </si>
  <si>
    <t>50-25-25</t>
  </si>
  <si>
    <t>15000ps, averaging over last 2ps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</si>
</sst>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Sheet1!$B$44:$B$48</c:f>
              <c:numCache>
                <c:formatCode>General</c:formatCode>
                <c:ptCount val="5"/>
                <c:pt idx="0">
                  <c:v>1000</c:v>
                </c:pt>
                <c:pt idx="2">
                  <c:v>1200</c:v>
                </c:pt>
                <c:pt idx="4">
                  <c:v>1400</c:v>
                </c:pt>
              </c:numCache>
            </c:numRef>
          </c:xVal>
          <c:yVal>
            <c:numRef>
              <c:f>Sheet1!$J$44:$J$48</c:f>
              <c:numCache>
                <c:formatCode>General</c:formatCode>
                <c:ptCount val="5"/>
                <c:pt idx="0">
                  <c:v>2.5446908918880267</c:v>
                </c:pt>
                <c:pt idx="2">
                  <c:v>2.3776558019268443</c:v>
                </c:pt>
                <c:pt idx="4">
                  <c:v>2.2280150125819214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D8-0540-8673-651C7F7E44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6185296"/>
        <c:axId val="1576201296"/>
      </c:scatterChart>
      <c:valAx>
        <c:axId val="1576185296"/>
        <c:scaling>
          <c:orientation val="minMax"/>
          <c:min val="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201296"/>
        <c:crosses val="autoZero"/>
        <c:crossBetween val="midCat"/>
      </c:valAx>
      <c:valAx>
        <c:axId val="157620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18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0.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Sheet1!$D$67:$D$71</c:f>
              <c:numCache>
                <c:formatCode>General</c:formatCode>
                <c:ptCount val="5"/>
                <c:pt idx="0">
                  <c:v>1000</c:v>
                </c:pt>
                <c:pt idx="2">
                  <c:v>1200</c:v>
                </c:pt>
                <c:pt idx="4">
                  <c:v>1400</c:v>
                </c:pt>
              </c:numCache>
            </c:numRef>
          </c:xVal>
          <c:yVal>
            <c:numRef>
              <c:f>Sheet1!$L$67:$L$71</c:f>
              <c:numCache>
                <c:formatCode>General</c:formatCode>
                <c:ptCount val="5"/>
                <c:pt idx="0">
                  <c:v>2.7550906516787195</c:v>
                </c:pt>
                <c:pt idx="2">
                  <c:v>2.60718784384862</c:v>
                </c:pt>
                <c:pt idx="4">
                  <c:v>2.4358791282584895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E-6A4C-8B53-B36AE33062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6185296"/>
        <c:axId val="1576201296"/>
      </c:scatterChart>
      <c:valAx>
        <c:axId val="1576185296"/>
        <c:scaling>
          <c:orientation val="minMax"/>
          <c:min val="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201296"/>
        <c:crosses val="autoZero"/>
        <c:crossBetween val="midCat"/>
      </c:valAx>
      <c:valAx>
        <c:axId val="157620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18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679450</xdr:colOff>
      <xdr:row>48</xdr:row>
      <xdr:rowOff>76200</xdr:rowOff>
    </xdr:from>
    <xdr:to>
      <xdr:col>17</xdr:col>
      <xdr:colOff>298450</xdr:colOff>
      <xdr:row>61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5DD9FB-61FA-889C-AF60-1B6D26C457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65</xdr:row>
      <xdr:rowOff>0</xdr:rowOff>
    </xdr:from>
    <xdr:to>
      <xdr:col>18</xdr:col>
      <xdr:colOff>444500</xdr:colOff>
      <xdr:row>78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9A6F2D-6602-474B-B8BD-8C3FEBCA77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34E52-A353-6A40-833A-8122F7523B3A}">
  <dimension ref="B2:M103"/>
  <sheetViews>
    <sheetView tabSelected="1" topLeftCell="A40" workbookViewId="0">
      <selection activeCell="B59" sqref="B59"/>
    </sheetView>
  </sheetViews>
  <sheetFormatPr baseColWidth="10" defaultRowHeight="16" x14ac:dyDescent="0.2"/>
  <cols>
    <col min="6" max="6" width="12.1640625" bestFit="1" customWidth="1"/>
    <col min="10" max="10" width="12.83203125" bestFit="1" customWidth="1"/>
    <col min="11" max="11" width="12.1640625" bestFit="1" customWidth="1"/>
  </cols>
  <sheetData>
    <row r="2" spans="2:13" x14ac:dyDescent="0.2">
      <c r="C2" t="s">
        <v>28</v>
      </c>
    </row>
    <row r="3" spans="2:13" x14ac:dyDescent="0.2">
      <c r="B3" t="s">
        <v>0</v>
      </c>
    </row>
    <row r="6" spans="2:13" x14ac:dyDescent="0.2">
      <c r="B6" t="s">
        <v>1</v>
      </c>
    </row>
    <row r="7" spans="2:13" x14ac:dyDescent="0.2">
      <c r="C7" t="s">
        <v>4</v>
      </c>
      <c r="D7" t="s">
        <v>5</v>
      </c>
      <c r="E7" t="s">
        <v>6</v>
      </c>
      <c r="F7" t="s">
        <v>7</v>
      </c>
      <c r="G7" t="s">
        <v>8</v>
      </c>
      <c r="I7" t="s">
        <v>9</v>
      </c>
      <c r="J7" t="s">
        <v>17</v>
      </c>
      <c r="L7" t="s">
        <v>20</v>
      </c>
      <c r="M7" t="s">
        <v>21</v>
      </c>
    </row>
    <row r="8" spans="2:13" x14ac:dyDescent="0.2">
      <c r="B8">
        <v>1000</v>
      </c>
      <c r="C8">
        <v>-131691.56596400001</v>
      </c>
      <c r="D8">
        <v>20.636737</v>
      </c>
      <c r="E8">
        <v>1004.105276</v>
      </c>
      <c r="F8">
        <v>-13.187897</v>
      </c>
      <c r="G8">
        <v>3537.563142</v>
      </c>
      <c r="I8">
        <f>C8+D8</f>
        <v>-131670.92922700002</v>
      </c>
      <c r="J8">
        <f>($F$20*(1.66E-24)/(G8*1E-24))</f>
        <v>2.046153385663017</v>
      </c>
      <c r="L8">
        <f>2.57-0.0006*B8</f>
        <v>1.9699999999999998</v>
      </c>
      <c r="M8">
        <f>ABS(J8-L8)/L8</f>
        <v>3.8656540945694019E-2</v>
      </c>
    </row>
    <row r="9" spans="2:13" x14ac:dyDescent="0.2">
      <c r="C9">
        <v>1.470985</v>
      </c>
      <c r="D9">
        <v>1.3557170000000001</v>
      </c>
      <c r="E9">
        <v>65.964065000000005</v>
      </c>
      <c r="F9">
        <v>321.77056099999999</v>
      </c>
      <c r="G9">
        <v>61.595595000000003</v>
      </c>
    </row>
    <row r="10" spans="2:13" x14ac:dyDescent="0.2">
      <c r="B10">
        <v>1200</v>
      </c>
      <c r="C10">
        <v>-131684.18872899999</v>
      </c>
      <c r="D10">
        <v>24.766245999999999</v>
      </c>
      <c r="E10">
        <v>1205.0314699999999</v>
      </c>
      <c r="F10">
        <v>5.8192199999999996</v>
      </c>
      <c r="G10">
        <v>3757.039092</v>
      </c>
      <c r="I10">
        <f>C10+D10</f>
        <v>-131659.42248299997</v>
      </c>
      <c r="J10">
        <f>($F$20*(1.66E-24)/(G10*1E-24))</f>
        <v>1.9266227001504939</v>
      </c>
      <c r="L10">
        <f>2.57-0.0006*B10</f>
        <v>1.8499999999999999</v>
      </c>
      <c r="M10">
        <f>ABS(J10-L10)/L10</f>
        <v>4.1417675757023785E-2</v>
      </c>
    </row>
    <row r="11" spans="2:13" x14ac:dyDescent="0.2">
      <c r="C11">
        <v>2.0310779999999999</v>
      </c>
      <c r="D11">
        <v>1.6665209999999999</v>
      </c>
      <c r="E11">
        <v>81.086591999999996</v>
      </c>
      <c r="F11">
        <v>307.53830499999998</v>
      </c>
      <c r="G11">
        <v>99.413413000000006</v>
      </c>
    </row>
    <row r="12" spans="2:13" x14ac:dyDescent="0.2">
      <c r="B12">
        <v>1400</v>
      </c>
      <c r="C12">
        <v>-131676.286659</v>
      </c>
      <c r="D12">
        <v>28.888845</v>
      </c>
      <c r="E12">
        <v>1405.621492</v>
      </c>
      <c r="F12">
        <v>-12.212116999999999</v>
      </c>
      <c r="G12">
        <v>4029.4872070000001</v>
      </c>
      <c r="I12">
        <f>C12+D12</f>
        <v>-131647.397814</v>
      </c>
      <c r="J12">
        <f>($F$20*(1.66E-24)/(G12*1E-24))</f>
        <v>1.7963568136971628</v>
      </c>
      <c r="L12">
        <f>2.57-0.0006*B12</f>
        <v>1.73</v>
      </c>
      <c r="M12">
        <f>ABS(J12-L12)/L12</f>
        <v>3.8356539709342684E-2</v>
      </c>
    </row>
    <row r="13" spans="2:13" x14ac:dyDescent="0.2">
      <c r="C13">
        <v>2.1504479999999999</v>
      </c>
      <c r="D13">
        <v>1.878172</v>
      </c>
      <c r="E13">
        <v>91.384720000000002</v>
      </c>
      <c r="F13">
        <v>308.23584499999998</v>
      </c>
      <c r="G13">
        <v>121.462112</v>
      </c>
    </row>
    <row r="15" spans="2:13" x14ac:dyDescent="0.2">
      <c r="B15">
        <f>D15/SUM(D15:D18)</f>
        <v>0.4</v>
      </c>
      <c r="C15" t="s">
        <v>11</v>
      </c>
      <c r="D15">
        <v>32</v>
      </c>
      <c r="E15">
        <v>22.99</v>
      </c>
      <c r="F15">
        <f>D15*E15</f>
        <v>735.68</v>
      </c>
      <c r="H15">
        <v>1000</v>
      </c>
      <c r="I15">
        <v>-131670.92922700002</v>
      </c>
    </row>
    <row r="16" spans="2:13" x14ac:dyDescent="0.2">
      <c r="B16">
        <f>D16/SUM(D15:D18)</f>
        <v>0.6</v>
      </c>
      <c r="C16" t="s">
        <v>12</v>
      </c>
      <c r="D16">
        <v>48</v>
      </c>
      <c r="E16">
        <v>39.1</v>
      </c>
      <c r="F16">
        <f t="shared" ref="F16" si="0">D16*E16</f>
        <v>1876.8000000000002</v>
      </c>
      <c r="H16">
        <v>1200</v>
      </c>
      <c r="I16">
        <v>-131659.42248299997</v>
      </c>
    </row>
    <row r="17" spans="2:13" x14ac:dyDescent="0.2">
      <c r="C17" t="s">
        <v>13</v>
      </c>
      <c r="D17">
        <v>0</v>
      </c>
      <c r="E17">
        <v>238.03</v>
      </c>
      <c r="F17">
        <f>D17*E17</f>
        <v>0</v>
      </c>
      <c r="H17">
        <v>1400</v>
      </c>
      <c r="I17">
        <v>-131647.397814</v>
      </c>
    </row>
    <row r="18" spans="2:13" x14ac:dyDescent="0.2">
      <c r="C18" t="s">
        <v>14</v>
      </c>
      <c r="D18">
        <v>0</v>
      </c>
      <c r="E18">
        <v>91.22</v>
      </c>
      <c r="F18">
        <f t="shared" ref="F18:F19" si="1">D18*E18</f>
        <v>0</v>
      </c>
    </row>
    <row r="19" spans="2:13" x14ac:dyDescent="0.2">
      <c r="C19" t="s">
        <v>15</v>
      </c>
      <c r="D19">
        <v>92</v>
      </c>
      <c r="E19">
        <v>19</v>
      </c>
      <c r="F19">
        <f t="shared" si="1"/>
        <v>1748</v>
      </c>
      <c r="I19" cm="1">
        <f t="array" ref="I19:J19">LINEST(I15:I17,H15:H17)</f>
        <v>5.8828532500047014E-2</v>
      </c>
      <c r="J19">
        <v>-131729.84408033339</v>
      </c>
      <c r="L19" t="s">
        <v>22</v>
      </c>
      <c r="M19" t="s">
        <v>21</v>
      </c>
    </row>
    <row r="20" spans="2:13" x14ac:dyDescent="0.2">
      <c r="D20">
        <f>SUM(D15:D19)</f>
        <v>172</v>
      </c>
      <c r="F20">
        <f>SUM(F15:F19)</f>
        <v>4360.4799999999996</v>
      </c>
      <c r="G20" t="s">
        <v>16</v>
      </c>
      <c r="I20">
        <f>I19/SUM(D15:D18)*(1.6E-19)*(6.022E+23)</f>
        <v>70.853084543056625</v>
      </c>
      <c r="J20" t="s">
        <v>10</v>
      </c>
      <c r="L20">
        <v>71.3</v>
      </c>
      <c r="M20">
        <f>ABS(I20-L20)/L20</f>
        <v>6.2680989753628701E-3</v>
      </c>
    </row>
    <row r="21" spans="2:13" x14ac:dyDescent="0.2">
      <c r="F21">
        <f>F20*1.66E-24</f>
        <v>7.2383967999999996E-21</v>
      </c>
      <c r="G21" t="s">
        <v>18</v>
      </c>
    </row>
    <row r="23" spans="2:13" x14ac:dyDescent="0.2">
      <c r="B23" t="s">
        <v>2</v>
      </c>
    </row>
    <row r="24" spans="2:13" x14ac:dyDescent="0.2">
      <c r="C24" t="s">
        <v>4</v>
      </c>
      <c r="D24" t="s">
        <v>5</v>
      </c>
      <c r="E24" t="s">
        <v>6</v>
      </c>
      <c r="F24" t="s">
        <v>7</v>
      </c>
      <c r="G24" t="s">
        <v>8</v>
      </c>
      <c r="I24" t="s">
        <v>9</v>
      </c>
      <c r="J24" t="s">
        <v>17</v>
      </c>
    </row>
    <row r="25" spans="2:13" x14ac:dyDescent="0.2">
      <c r="B25">
        <v>1000</v>
      </c>
      <c r="C25">
        <v>-108973.01053100001</v>
      </c>
      <c r="D25">
        <v>16.717124999999999</v>
      </c>
      <c r="E25">
        <v>1002.552709</v>
      </c>
      <c r="F25">
        <v>15.859897</v>
      </c>
      <c r="G25">
        <v>2691.8794349999998</v>
      </c>
      <c r="I25">
        <f>C25+D25</f>
        <v>-108956.29340600001</v>
      </c>
      <c r="J25">
        <f>($F$37*(1.66E-24)/(G25*1E-24))</f>
        <v>2.2588481196224159</v>
      </c>
    </row>
    <row r="26" spans="2:13" x14ac:dyDescent="0.2">
      <c r="C26">
        <v>2.0190809999999999</v>
      </c>
      <c r="D26">
        <v>1.228299</v>
      </c>
      <c r="E26">
        <v>73.663027999999997</v>
      </c>
      <c r="F26">
        <v>409.13435500000003</v>
      </c>
      <c r="G26">
        <v>86.963378000000006</v>
      </c>
    </row>
    <row r="27" spans="2:13" x14ac:dyDescent="0.2">
      <c r="B27">
        <v>1200</v>
      </c>
      <c r="C27">
        <v>-108966.65951</v>
      </c>
      <c r="D27">
        <v>20.054908999999999</v>
      </c>
      <c r="E27">
        <v>1202.724917</v>
      </c>
      <c r="F27">
        <v>4.0438650000000003</v>
      </c>
      <c r="G27">
        <v>2867.4658789999999</v>
      </c>
      <c r="I27">
        <f>C27+D27</f>
        <v>-108946.604601</v>
      </c>
      <c r="J27">
        <f>($F$37*(1.66E-24)/(G27*1E-24))</f>
        <v>2.1205297836431556</v>
      </c>
    </row>
    <row r="28" spans="2:13" x14ac:dyDescent="0.2">
      <c r="C28">
        <v>1.4150510000000001</v>
      </c>
      <c r="D28">
        <v>1.4602139999999999</v>
      </c>
      <c r="E28">
        <v>87.571346000000005</v>
      </c>
      <c r="F28">
        <v>425.64252099999999</v>
      </c>
      <c r="G28">
        <v>64.651281999999995</v>
      </c>
    </row>
    <row r="29" spans="2:13" x14ac:dyDescent="0.2">
      <c r="B29">
        <v>1400</v>
      </c>
      <c r="C29">
        <v>-108958.73018499999</v>
      </c>
      <c r="D29">
        <v>23.382762</v>
      </c>
      <c r="E29">
        <v>1402.301598</v>
      </c>
      <c r="F29">
        <v>-10.092748</v>
      </c>
      <c r="G29">
        <v>3137.6116940000002</v>
      </c>
      <c r="I29">
        <f>C29+D29</f>
        <v>-108935.347423</v>
      </c>
      <c r="J29">
        <f>($F$37*(1.66E-24)/(G29*1E-24))</f>
        <v>1.9379538939212024</v>
      </c>
    </row>
    <row r="30" spans="2:13" x14ac:dyDescent="0.2">
      <c r="C30">
        <v>2.4593739999999999</v>
      </c>
      <c r="D30">
        <v>1.7556909999999999</v>
      </c>
      <c r="E30">
        <v>105.291616</v>
      </c>
      <c r="F30">
        <v>373.21550100000002</v>
      </c>
      <c r="G30">
        <v>106.690398</v>
      </c>
    </row>
    <row r="32" spans="2:13" x14ac:dyDescent="0.2">
      <c r="B32">
        <f>D32/SUM(D32:D35)</f>
        <v>0.45161290322580644</v>
      </c>
      <c r="C32" t="s">
        <v>11</v>
      </c>
      <c r="D32">
        <v>28</v>
      </c>
      <c r="E32">
        <v>22.99</v>
      </c>
      <c r="F32">
        <f>D32*E32</f>
        <v>643.71999999999991</v>
      </c>
      <c r="H32">
        <v>1000</v>
      </c>
      <c r="I32">
        <v>-108956.29340600001</v>
      </c>
      <c r="L32" t="s">
        <v>23</v>
      </c>
    </row>
    <row r="33" spans="2:12" x14ac:dyDescent="0.2">
      <c r="B33">
        <f>D33/SUM(D32:D35)</f>
        <v>0.5161290322580645</v>
      </c>
      <c r="C33" t="s">
        <v>12</v>
      </c>
      <c r="D33">
        <v>32</v>
      </c>
      <c r="E33">
        <v>39.1</v>
      </c>
      <c r="F33">
        <f t="shared" ref="F33" si="2">D33*E33</f>
        <v>1251.2</v>
      </c>
      <c r="H33">
        <v>1200</v>
      </c>
      <c r="I33">
        <v>-108946.604601</v>
      </c>
    </row>
    <row r="34" spans="2:12" x14ac:dyDescent="0.2">
      <c r="B34">
        <f>D34/SUM(D32:D35)</f>
        <v>3.2258064516129031E-2</v>
      </c>
      <c r="C34" t="s">
        <v>13</v>
      </c>
      <c r="D34">
        <v>2</v>
      </c>
      <c r="E34">
        <v>238.03</v>
      </c>
      <c r="F34">
        <f>D34*E34</f>
        <v>476.06</v>
      </c>
      <c r="H34">
        <v>1400</v>
      </c>
      <c r="I34">
        <v>-108935.347423</v>
      </c>
    </row>
    <row r="35" spans="2:12" x14ac:dyDescent="0.2">
      <c r="C35" t="s">
        <v>14</v>
      </c>
      <c r="D35">
        <v>0</v>
      </c>
      <c r="E35">
        <v>91.22</v>
      </c>
      <c r="F35">
        <f t="shared" ref="F35:F36" si="3">D35*E35</f>
        <v>0</v>
      </c>
    </row>
    <row r="36" spans="2:12" x14ac:dyDescent="0.2">
      <c r="C36" t="s">
        <v>15</v>
      </c>
      <c r="D36">
        <v>68</v>
      </c>
      <c r="E36">
        <v>19</v>
      </c>
      <c r="F36">
        <f t="shared" si="3"/>
        <v>1292</v>
      </c>
      <c r="I36" cm="1">
        <f t="array" ref="I36:J36">LINEST(I32:I34,H32:H34)</f>
        <v>5.2364957500030868E-2</v>
      </c>
      <c r="J36">
        <v>-109008.91975900004</v>
      </c>
    </row>
    <row r="37" spans="2:12" x14ac:dyDescent="0.2">
      <c r="D37">
        <f>SUM(D32:D36)</f>
        <v>130</v>
      </c>
      <c r="F37">
        <f>SUM(F32:F36)</f>
        <v>3662.98</v>
      </c>
      <c r="G37" t="s">
        <v>16</v>
      </c>
      <c r="I37">
        <f>I36/SUM(D32:D35)*(1.6E-19)*(6.022E+23)</f>
        <v>81.378522339402807</v>
      </c>
      <c r="J37" t="s">
        <v>10</v>
      </c>
    </row>
    <row r="38" spans="2:12" x14ac:dyDescent="0.2">
      <c r="F38">
        <f>F37*1.66E-24</f>
        <v>6.0805468000000002E-21</v>
      </c>
      <c r="G38" t="s">
        <v>18</v>
      </c>
    </row>
    <row r="41" spans="2:12" x14ac:dyDescent="0.2">
      <c r="B41" t="s">
        <v>3</v>
      </c>
    </row>
    <row r="43" spans="2:12" x14ac:dyDescent="0.2">
      <c r="C43" t="s">
        <v>4</v>
      </c>
      <c r="D43" t="s">
        <v>5</v>
      </c>
      <c r="E43" t="s">
        <v>6</v>
      </c>
      <c r="F43" t="s">
        <v>7</v>
      </c>
      <c r="G43" t="s">
        <v>8</v>
      </c>
      <c r="I43" t="s">
        <v>9</v>
      </c>
      <c r="J43" t="s">
        <v>17</v>
      </c>
    </row>
    <row r="44" spans="2:12" x14ac:dyDescent="0.2">
      <c r="B44">
        <v>1000</v>
      </c>
      <c r="C44">
        <v>-130584.304281</v>
      </c>
      <c r="D44">
        <v>20.624890000000001</v>
      </c>
      <c r="E44">
        <v>1003.528827</v>
      </c>
      <c r="F44">
        <v>6.7501360000000004</v>
      </c>
      <c r="G44">
        <v>3277.583783</v>
      </c>
      <c r="I44">
        <f>C44+D44</f>
        <v>-130563.679391</v>
      </c>
      <c r="J44">
        <f>($F$56*(1.66E-24)/(G44*1E-24))</f>
        <v>2.5446908918880267</v>
      </c>
      <c r="K44" t="s">
        <v>19</v>
      </c>
    </row>
    <row r="45" spans="2:12" x14ac:dyDescent="0.2">
      <c r="C45">
        <v>1.4253610000000001</v>
      </c>
      <c r="D45">
        <v>1.3872249999999999</v>
      </c>
      <c r="E45">
        <v>67.497083000000003</v>
      </c>
      <c r="F45">
        <v>422.60334</v>
      </c>
      <c r="G45">
        <v>69.661548999999994</v>
      </c>
    </row>
    <row r="46" spans="2:12" x14ac:dyDescent="0.2">
      <c r="B46">
        <v>1200</v>
      </c>
      <c r="C46">
        <v>-130576.795155</v>
      </c>
      <c r="D46">
        <v>24.652607</v>
      </c>
      <c r="E46">
        <v>1199.5022550000001</v>
      </c>
      <c r="F46">
        <v>3.190788</v>
      </c>
      <c r="G46">
        <v>3507.8406190000001</v>
      </c>
      <c r="I46">
        <f>C46+D46</f>
        <v>-130552.142548</v>
      </c>
      <c r="J46">
        <f>($F$56*(1.66E-24)/(G46*1E-24))</f>
        <v>2.3776558019268443</v>
      </c>
    </row>
    <row r="47" spans="2:12" x14ac:dyDescent="0.2">
      <c r="C47">
        <v>2.2433770000000002</v>
      </c>
      <c r="D47">
        <v>1.6408480000000001</v>
      </c>
      <c r="E47">
        <v>79.837434000000002</v>
      </c>
      <c r="F47">
        <v>392.462715</v>
      </c>
      <c r="G47">
        <v>113.36863099999999</v>
      </c>
      <c r="L47" t="s">
        <v>24</v>
      </c>
    </row>
    <row r="48" spans="2:12" x14ac:dyDescent="0.2">
      <c r="B48">
        <v>1400</v>
      </c>
      <c r="C48">
        <v>-130573.13898</v>
      </c>
      <c r="D48">
        <v>28.744634000000001</v>
      </c>
      <c r="E48">
        <v>1398.604722</v>
      </c>
      <c r="F48">
        <v>-5.3034109999999997</v>
      </c>
      <c r="G48">
        <v>3743.43869</v>
      </c>
      <c r="I48">
        <f>C48+D48</f>
        <v>-130544.394346</v>
      </c>
      <c r="J48">
        <f>($F$56*(1.66E-24)/(G48*1E-24))</f>
        <v>2.2280150125819214</v>
      </c>
    </row>
    <row r="49" spans="2:10" x14ac:dyDescent="0.2">
      <c r="C49">
        <v>2.827788</v>
      </c>
      <c r="D49">
        <v>1.9252590000000001</v>
      </c>
      <c r="E49">
        <v>93.675785000000005</v>
      </c>
      <c r="F49">
        <v>468.184304</v>
      </c>
      <c r="G49">
        <v>124.96886600000001</v>
      </c>
    </row>
    <row r="51" spans="2:10" x14ac:dyDescent="0.2">
      <c r="B51">
        <f>D51/SUM(D51:D54)</f>
        <v>0.35294117647058826</v>
      </c>
      <c r="C51" t="s">
        <v>11</v>
      </c>
      <c r="D51">
        <v>24</v>
      </c>
      <c r="E51">
        <v>22.99</v>
      </c>
      <c r="F51">
        <f>D51*E51</f>
        <v>551.76</v>
      </c>
      <c r="H51">
        <v>1000</v>
      </c>
      <c r="I51">
        <v>-130563.679391</v>
      </c>
    </row>
    <row r="52" spans="2:10" x14ac:dyDescent="0.2">
      <c r="B52">
        <f>D52/SUM(D51:D54)</f>
        <v>0.52941176470588236</v>
      </c>
      <c r="C52" t="s">
        <v>12</v>
      </c>
      <c r="D52">
        <v>36</v>
      </c>
      <c r="E52">
        <v>39.1</v>
      </c>
      <c r="F52">
        <f t="shared" ref="F52:F55" si="4">D52*E52</f>
        <v>1407.6000000000001</v>
      </c>
      <c r="H52">
        <v>1200</v>
      </c>
      <c r="I52">
        <v>-130552.142548</v>
      </c>
    </row>
    <row r="53" spans="2:10" x14ac:dyDescent="0.2">
      <c r="B53">
        <f>D53/SUM(D51:D54)</f>
        <v>5.8823529411764705E-2</v>
      </c>
      <c r="C53" t="s">
        <v>13</v>
      </c>
      <c r="D53">
        <v>4</v>
      </c>
      <c r="E53">
        <v>238.03</v>
      </c>
      <c r="F53">
        <f>D53*E53</f>
        <v>952.12</v>
      </c>
      <c r="H53">
        <v>1400</v>
      </c>
      <c r="I53">
        <v>-130544.394346</v>
      </c>
    </row>
    <row r="54" spans="2:10" x14ac:dyDescent="0.2">
      <c r="B54">
        <f>D54/SUM(D51:D54)</f>
        <v>5.8823529411764705E-2</v>
      </c>
      <c r="C54" t="s">
        <v>14</v>
      </c>
      <c r="D54">
        <v>4</v>
      </c>
      <c r="E54">
        <v>91.22</v>
      </c>
      <c r="F54">
        <f t="shared" si="4"/>
        <v>364.88</v>
      </c>
    </row>
    <row r="55" spans="2:10" x14ac:dyDescent="0.2">
      <c r="C55" t="s">
        <v>15</v>
      </c>
      <c r="D55">
        <v>92</v>
      </c>
      <c r="E55">
        <v>19</v>
      </c>
      <c r="F55">
        <f t="shared" si="4"/>
        <v>1748</v>
      </c>
      <c r="I55" cm="1">
        <f t="array" ref="I55:J55">LINEST(I51:I53,H51:H53)</f>
        <v>4.8212612499992258E-2</v>
      </c>
      <c r="J55">
        <v>-130611.26056333332</v>
      </c>
    </row>
    <row r="56" spans="2:10" x14ac:dyDescent="0.2">
      <c r="D56">
        <f>SUM(D51:D55)</f>
        <v>160</v>
      </c>
      <c r="F56">
        <f>SUM(F51:F55)</f>
        <v>5024.3600000000006</v>
      </c>
      <c r="G56" t="s">
        <v>16</v>
      </c>
      <c r="I56">
        <f>I55/SUM(D51:D54)*(1.6E-19)*(6.022E+23)</f>
        <v>68.314435876459626</v>
      </c>
      <c r="J56" t="s">
        <v>10</v>
      </c>
    </row>
    <row r="57" spans="2:10" x14ac:dyDescent="0.2">
      <c r="F57">
        <f>F56*1.66E-24</f>
        <v>8.3404376000000016E-21</v>
      </c>
      <c r="G57" t="s">
        <v>18</v>
      </c>
    </row>
    <row r="65" spans="2:13" x14ac:dyDescent="0.2">
      <c r="B65" t="s">
        <v>3</v>
      </c>
    </row>
    <row r="66" spans="2:13" x14ac:dyDescent="0.2">
      <c r="E66" t="s">
        <v>4</v>
      </c>
      <c r="F66" t="s">
        <v>5</v>
      </c>
      <c r="G66" t="s">
        <v>6</v>
      </c>
      <c r="H66" t="s">
        <v>7</v>
      </c>
      <c r="I66" t="s">
        <v>8</v>
      </c>
      <c r="K66" t="s">
        <v>9</v>
      </c>
      <c r="L66" t="s">
        <v>17</v>
      </c>
    </row>
    <row r="67" spans="2:13" x14ac:dyDescent="0.2">
      <c r="B67" t="s">
        <v>25</v>
      </c>
      <c r="D67">
        <v>1000</v>
      </c>
      <c r="E67">
        <v>-141157.172682</v>
      </c>
      <c r="F67">
        <v>22.069399000000001</v>
      </c>
      <c r="G67">
        <v>998.45782399999996</v>
      </c>
      <c r="H67">
        <v>-25.111764999999998</v>
      </c>
      <c r="I67">
        <v>3330.4469290000002</v>
      </c>
      <c r="K67">
        <f>E67+F67</f>
        <v>-141135.103283</v>
      </c>
      <c r="L67">
        <f>($H$79*(1.66E-24)/(I67*1E-24))</f>
        <v>2.7550906516787195</v>
      </c>
      <c r="M67" t="s">
        <v>19</v>
      </c>
    </row>
    <row r="68" spans="2:13" x14ac:dyDescent="0.2">
      <c r="E68">
        <v>1.371667</v>
      </c>
      <c r="F68">
        <v>1.376177</v>
      </c>
      <c r="G68">
        <v>62.260638999999998</v>
      </c>
      <c r="H68">
        <v>522.68107299999997</v>
      </c>
      <c r="I68">
        <v>76.299685999999994</v>
      </c>
    </row>
    <row r="69" spans="2:13" x14ac:dyDescent="0.2">
      <c r="D69">
        <v>1200</v>
      </c>
      <c r="E69">
        <v>-141151.34962299999</v>
      </c>
      <c r="F69">
        <v>26.354557</v>
      </c>
      <c r="G69">
        <v>1192.325789</v>
      </c>
      <c r="H69">
        <v>-31.510287999999999</v>
      </c>
      <c r="I69">
        <v>3519.3794039999998</v>
      </c>
      <c r="K69">
        <f>E69+F69</f>
        <v>-141124.99506599997</v>
      </c>
      <c r="L69">
        <f>($H$79*(1.66E-24)/(I69*1E-24))</f>
        <v>2.60718784384862</v>
      </c>
    </row>
    <row r="70" spans="2:13" x14ac:dyDescent="0.2">
      <c r="E70">
        <v>2.1367660000000002</v>
      </c>
      <c r="F70">
        <v>1.5799589999999999</v>
      </c>
      <c r="G70">
        <v>71.480069999999998</v>
      </c>
      <c r="H70">
        <v>581.02007600000002</v>
      </c>
      <c r="I70">
        <v>135.36157800000001</v>
      </c>
    </row>
    <row r="71" spans="2:13" x14ac:dyDescent="0.2">
      <c r="D71">
        <v>1400</v>
      </c>
      <c r="E71">
        <v>-141143.59498699999</v>
      </c>
      <c r="F71">
        <v>30.773126999999999</v>
      </c>
      <c r="G71">
        <v>1392.2295429999999</v>
      </c>
      <c r="H71">
        <v>-7.3851699999999996</v>
      </c>
      <c r="I71">
        <v>3766.8877299999999</v>
      </c>
      <c r="K71">
        <f>E71+F71</f>
        <v>-141112.82186</v>
      </c>
      <c r="L71">
        <f>($H$79*(1.66E-24)/(I71*1E-24))</f>
        <v>2.4358791282584895</v>
      </c>
    </row>
    <row r="72" spans="2:13" x14ac:dyDescent="0.2">
      <c r="E72">
        <v>2.183942</v>
      </c>
      <c r="F72">
        <v>1.9108940000000001</v>
      </c>
      <c r="G72">
        <v>86.452156000000002</v>
      </c>
      <c r="H72">
        <v>601.82682699999998</v>
      </c>
      <c r="I72">
        <v>128.87987000000001</v>
      </c>
    </row>
    <row r="74" spans="2:13" x14ac:dyDescent="0.2">
      <c r="D74">
        <f>F74/SUM(F74:F77)</f>
        <v>0.36</v>
      </c>
      <c r="E74" t="s">
        <v>11</v>
      </c>
      <c r="F74">
        <v>18</v>
      </c>
      <c r="G74">
        <v>22.99</v>
      </c>
      <c r="H74">
        <f>F74*G74</f>
        <v>413.82</v>
      </c>
      <c r="J74">
        <v>1000</v>
      </c>
      <c r="K74">
        <v>-141135.103283</v>
      </c>
    </row>
    <row r="75" spans="2:13" x14ac:dyDescent="0.2">
      <c r="D75">
        <f>F75/SUM(F74:F77)</f>
        <v>0.16</v>
      </c>
      <c r="E75" t="s">
        <v>12</v>
      </c>
      <c r="F75">
        <v>8</v>
      </c>
      <c r="G75">
        <v>39.1</v>
      </c>
      <c r="H75">
        <f t="shared" ref="H75:H78" si="5">F75*G75</f>
        <v>312.8</v>
      </c>
      <c r="J75">
        <v>1200</v>
      </c>
      <c r="K75">
        <v>-141124.99506599997</v>
      </c>
    </row>
    <row r="76" spans="2:13" x14ac:dyDescent="0.2">
      <c r="D76">
        <f>F76/SUM(F74:F77)</f>
        <v>0.04</v>
      </c>
      <c r="E76" t="s">
        <v>13</v>
      </c>
      <c r="F76">
        <v>2</v>
      </c>
      <c r="G76">
        <v>238.03</v>
      </c>
      <c r="H76">
        <f>F76*G76</f>
        <v>476.06</v>
      </c>
      <c r="J76">
        <v>1400</v>
      </c>
      <c r="K76">
        <v>-141112.82186</v>
      </c>
    </row>
    <row r="77" spans="2:13" x14ac:dyDescent="0.2">
      <c r="D77">
        <f>F77/SUM(F74:F77)</f>
        <v>0.44</v>
      </c>
      <c r="E77" t="s">
        <v>14</v>
      </c>
      <c r="F77">
        <v>22</v>
      </c>
      <c r="G77">
        <v>91.22</v>
      </c>
      <c r="H77">
        <f t="shared" ref="H77:H80" si="6">F77*G77</f>
        <v>2006.84</v>
      </c>
    </row>
    <row r="78" spans="2:13" x14ac:dyDescent="0.2">
      <c r="E78" t="s">
        <v>15</v>
      </c>
      <c r="F78">
        <v>122</v>
      </c>
      <c r="G78">
        <v>19</v>
      </c>
      <c r="H78">
        <f t="shared" si="6"/>
        <v>2318</v>
      </c>
      <c r="K78" cm="1">
        <f t="array" ref="K78:L78">LINEST(K74:K76,J74:J76)</f>
        <v>5.5703557500019089E-2</v>
      </c>
      <c r="L78">
        <v>-141191.15100533335</v>
      </c>
    </row>
    <row r="79" spans="2:13" x14ac:dyDescent="0.2">
      <c r="F79">
        <f>SUM(F74:F78)</f>
        <v>172</v>
      </c>
      <c r="H79">
        <f>SUM(H74:H78)</f>
        <v>5527.52</v>
      </c>
      <c r="I79" t="s">
        <v>16</v>
      </c>
      <c r="K79">
        <f>K78/SUM(F74:F77)*(1.6E-19)*(6.022E+23)</f>
        <v>107.34298344483678</v>
      </c>
      <c r="L79" t="s">
        <v>10</v>
      </c>
    </row>
    <row r="80" spans="2:13" x14ac:dyDescent="0.2">
      <c r="H80">
        <f>H79*1.66E-24</f>
        <v>9.1756832000000005E-21</v>
      </c>
      <c r="I80" t="s">
        <v>18</v>
      </c>
    </row>
    <row r="81" spans="2:12" x14ac:dyDescent="0.2">
      <c r="K81" t="s">
        <v>20</v>
      </c>
      <c r="L81" t="s">
        <v>26</v>
      </c>
    </row>
    <row r="82" spans="2:12" x14ac:dyDescent="0.2">
      <c r="K82">
        <v>115</v>
      </c>
      <c r="L82">
        <v>25</v>
      </c>
    </row>
    <row r="83" spans="2:12" x14ac:dyDescent="0.2">
      <c r="K83">
        <v>117</v>
      </c>
      <c r="L83">
        <v>25</v>
      </c>
    </row>
    <row r="85" spans="2:12" x14ac:dyDescent="0.2">
      <c r="B85" t="s">
        <v>3</v>
      </c>
    </row>
    <row r="86" spans="2:12" x14ac:dyDescent="0.2">
      <c r="E86" t="s">
        <v>4</v>
      </c>
      <c r="F86" t="s">
        <v>5</v>
      </c>
      <c r="G86" t="s">
        <v>6</v>
      </c>
      <c r="H86" t="s">
        <v>7</v>
      </c>
      <c r="I86" t="s">
        <v>8</v>
      </c>
      <c r="K86" t="s">
        <v>9</v>
      </c>
      <c r="L86" t="s">
        <v>17</v>
      </c>
    </row>
    <row r="87" spans="2:12" x14ac:dyDescent="0.2">
      <c r="B87" t="s">
        <v>27</v>
      </c>
      <c r="D87">
        <v>1000</v>
      </c>
      <c r="E87">
        <v>-141157.172682</v>
      </c>
      <c r="F87">
        <v>22.069399000000001</v>
      </c>
      <c r="G87">
        <v>998.45782399999996</v>
      </c>
      <c r="H87">
        <v>-25.111764999999998</v>
      </c>
      <c r="I87">
        <v>3330.4469290000002</v>
      </c>
      <c r="K87">
        <f>E87+F87</f>
        <v>-141135.103283</v>
      </c>
      <c r="L87">
        <f>($H$79*(1.66E-24)/(I87*1E-24))</f>
        <v>2.7550906516787195</v>
      </c>
    </row>
    <row r="88" spans="2:12" x14ac:dyDescent="0.2">
      <c r="E88">
        <v>1.371667</v>
      </c>
      <c r="F88">
        <v>1.376177</v>
      </c>
      <c r="G88">
        <v>62.260638999999998</v>
      </c>
      <c r="H88">
        <v>522.68107299999997</v>
      </c>
      <c r="I88">
        <v>76.299685999999994</v>
      </c>
    </row>
    <row r="89" spans="2:12" x14ac:dyDescent="0.2">
      <c r="D89">
        <v>1200</v>
      </c>
      <c r="E89">
        <v>-141151.34962299999</v>
      </c>
      <c r="F89">
        <v>26.354557</v>
      </c>
      <c r="G89">
        <v>1192.325789</v>
      </c>
      <c r="H89">
        <v>-31.510287999999999</v>
      </c>
      <c r="I89">
        <v>3519.3794039999998</v>
      </c>
      <c r="K89">
        <f>E89+F89</f>
        <v>-141124.99506599997</v>
      </c>
      <c r="L89">
        <f>($H$79*(1.66E-24)/(I89*1E-24))</f>
        <v>2.60718784384862</v>
      </c>
    </row>
    <row r="90" spans="2:12" x14ac:dyDescent="0.2">
      <c r="E90">
        <v>2.1367660000000002</v>
      </c>
      <c r="F90">
        <v>1.5799589999999999</v>
      </c>
      <c r="G90">
        <v>71.480069999999998</v>
      </c>
      <c r="H90">
        <v>581.02007600000002</v>
      </c>
      <c r="I90">
        <v>135.36157800000001</v>
      </c>
    </row>
    <row r="91" spans="2:12" x14ac:dyDescent="0.2">
      <c r="D91">
        <v>1400</v>
      </c>
      <c r="E91">
        <v>-141143.59498699999</v>
      </c>
      <c r="F91">
        <v>30.773126999999999</v>
      </c>
      <c r="G91">
        <v>1392.2295429999999</v>
      </c>
      <c r="H91">
        <v>-7.3851699999999996</v>
      </c>
      <c r="I91">
        <v>3766.8877299999999</v>
      </c>
      <c r="K91">
        <f>E91+F91</f>
        <v>-141112.82186</v>
      </c>
      <c r="L91">
        <f>($H$79*(1.66E-24)/(I91*1E-24))</f>
        <v>2.4358791282584895</v>
      </c>
    </row>
    <row r="92" spans="2:12" x14ac:dyDescent="0.2">
      <c r="E92">
        <v>2.183942</v>
      </c>
      <c r="F92">
        <v>1.9108940000000001</v>
      </c>
      <c r="G92">
        <v>86.452156000000002</v>
      </c>
      <c r="H92">
        <v>601.82682699999998</v>
      </c>
      <c r="I92">
        <v>128.87987000000001</v>
      </c>
    </row>
    <row r="94" spans="2:12" x14ac:dyDescent="0.2">
      <c r="D94">
        <f>F94/SUM(F94:F97)</f>
        <v>0.36</v>
      </c>
      <c r="E94" t="s">
        <v>11</v>
      </c>
      <c r="F94">
        <v>18</v>
      </c>
      <c r="G94">
        <v>22.99</v>
      </c>
      <c r="H94">
        <f>F94*G94</f>
        <v>413.82</v>
      </c>
      <c r="J94">
        <v>1000</v>
      </c>
      <c r="K94">
        <v>-141135.103283</v>
      </c>
    </row>
    <row r="95" spans="2:12" x14ac:dyDescent="0.2">
      <c r="D95">
        <f>F95/SUM(F94:F97)</f>
        <v>0.16</v>
      </c>
      <c r="E95" t="s">
        <v>12</v>
      </c>
      <c r="F95">
        <v>8</v>
      </c>
      <c r="G95">
        <v>39.1</v>
      </c>
      <c r="H95">
        <f t="shared" ref="H95:H98" si="7">F95*G95</f>
        <v>312.8</v>
      </c>
      <c r="J95">
        <v>1200</v>
      </c>
      <c r="K95">
        <v>-141124.99506599997</v>
      </c>
    </row>
    <row r="96" spans="2:12" x14ac:dyDescent="0.2">
      <c r="D96">
        <f>F96/SUM(F94:F97)</f>
        <v>0.04</v>
      </c>
      <c r="E96" t="s">
        <v>13</v>
      </c>
      <c r="F96">
        <v>2</v>
      </c>
      <c r="G96">
        <v>238.03</v>
      </c>
      <c r="H96">
        <f>F96*G96</f>
        <v>476.06</v>
      </c>
      <c r="J96">
        <v>1400</v>
      </c>
      <c r="K96">
        <v>-141112.82186</v>
      </c>
    </row>
    <row r="97" spans="4:12" x14ac:dyDescent="0.2">
      <c r="D97">
        <f>F97/SUM(F94:F97)</f>
        <v>0.44</v>
      </c>
      <c r="E97" t="s">
        <v>14</v>
      </c>
      <c r="F97">
        <v>22</v>
      </c>
      <c r="G97">
        <v>91.22</v>
      </c>
      <c r="H97">
        <f t="shared" ref="H97:H100" si="8">F97*G97</f>
        <v>2006.84</v>
      </c>
    </row>
    <row r="98" spans="4:12" x14ac:dyDescent="0.2">
      <c r="E98" t="s">
        <v>15</v>
      </c>
      <c r="F98">
        <v>122</v>
      </c>
      <c r="G98">
        <v>19</v>
      </c>
      <c r="H98">
        <f t="shared" si="8"/>
        <v>2318</v>
      </c>
      <c r="K98" cm="1">
        <f t="array" ref="K98:L98">LINEST(K94:K96,J94:J96)</f>
        <v>5.5703557500019089E-2</v>
      </c>
      <c r="L98">
        <v>-141191.15100533335</v>
      </c>
    </row>
    <row r="99" spans="4:12" x14ac:dyDescent="0.2">
      <c r="F99">
        <f>SUM(F94:F98)</f>
        <v>172</v>
      </c>
      <c r="H99">
        <f>SUM(H94:H98)</f>
        <v>5527.52</v>
      </c>
      <c r="I99" t="s">
        <v>16</v>
      </c>
      <c r="K99">
        <f>K98/SUM(F94:F97)*(1.6E-19)*(6.022E+23)</f>
        <v>107.34298344483678</v>
      </c>
      <c r="L99" t="s">
        <v>10</v>
      </c>
    </row>
    <row r="100" spans="4:12" x14ac:dyDescent="0.2">
      <c r="H100">
        <f>H99*1.66E-24</f>
        <v>9.1756832000000005E-21</v>
      </c>
      <c r="I100" t="s">
        <v>18</v>
      </c>
    </row>
    <row r="101" spans="4:12" x14ac:dyDescent="0.2">
      <c r="K101" t="s">
        <v>20</v>
      </c>
      <c r="L101" t="s">
        <v>26</v>
      </c>
    </row>
    <row r="102" spans="4:12" x14ac:dyDescent="0.2">
      <c r="K102">
        <v>115</v>
      </c>
      <c r="L102">
        <v>25</v>
      </c>
    </row>
    <row r="103" spans="4:12" x14ac:dyDescent="0.2">
      <c r="K103">
        <v>117</v>
      </c>
      <c r="L103">
        <v>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W. Beeler</dc:creator>
  <cp:lastModifiedBy>Benjamin Beeler</cp:lastModifiedBy>
  <dcterms:created xsi:type="dcterms:W3CDTF">2026-08-24T19:30:00Z</dcterms:created>
  <dcterms:modified xsi:type="dcterms:W3CDTF">2026-09-03T20:30:02Z</dcterms:modified>
</cp:coreProperties>
</file>