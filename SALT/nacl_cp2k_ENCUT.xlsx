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E48AE50C-B97F-3944-9961-2AECE5E5B912}" xr6:coauthVersionLast="47" xr6:coauthVersionMax="47" xr10:uidLastSave="{00000000-0000-0000-0000-000000000000}"/>
  <bookViews>
    <workbookView xWindow="1160" yWindow="740" windowWidth="23520" windowHeight="20520" activeTab="1" xr2:uid="{42441A49-88D0-CE41-A194-EC2310520236}"/>
  </bookViews>
  <sheets>
    <sheet name="nacl" sheetId="1" r:id="rId1"/>
    <sheet name="mgcl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2" l="1"/>
  <c r="E27" i="2" s="1"/>
  <c r="D26" i="2"/>
  <c r="E26" i="2" s="1"/>
  <c r="D23" i="2"/>
  <c r="E23" i="2"/>
  <c r="D22" i="2"/>
  <c r="E22" i="2" s="1"/>
  <c r="E12" i="2"/>
  <c r="E13" i="2"/>
  <c r="E14" i="2"/>
  <c r="E15" i="2"/>
  <c r="E16" i="2"/>
  <c r="E17" i="2"/>
  <c r="E18" i="2"/>
  <c r="E19" i="2"/>
  <c r="E11" i="2"/>
  <c r="D17" i="2"/>
  <c r="D11" i="2"/>
  <c r="D12" i="2"/>
  <c r="D13" i="2"/>
  <c r="D14" i="2"/>
  <c r="D15" i="2"/>
  <c r="D16" i="2"/>
  <c r="D18" i="2"/>
  <c r="D19" i="2"/>
  <c r="M12" i="2"/>
  <c r="M13" i="2"/>
  <c r="M14" i="2"/>
  <c r="M11" i="2"/>
  <c r="M6" i="1"/>
  <c r="W75" i="1"/>
  <c r="W74" i="1"/>
  <c r="W73" i="1"/>
  <c r="L7" i="1"/>
  <c r="M7" i="1" s="1"/>
  <c r="N7" i="1" s="1"/>
  <c r="L8" i="1"/>
  <c r="M8" i="1" s="1"/>
  <c r="N8" i="1" s="1"/>
  <c r="L9" i="1"/>
  <c r="M9" i="1" s="1"/>
  <c r="N9" i="1" s="1"/>
  <c r="M20" i="1"/>
  <c r="W66" i="1"/>
  <c r="W67" i="1"/>
  <c r="W68" i="1"/>
  <c r="W69" i="1"/>
  <c r="S66" i="1"/>
  <c r="S67" i="1"/>
  <c r="S68" i="1"/>
  <c r="S69" i="1"/>
  <c r="S70" i="1"/>
  <c r="S71" i="1"/>
  <c r="S73" i="1"/>
  <c r="S72" i="1"/>
  <c r="L52" i="1"/>
  <c r="L61" i="1"/>
  <c r="L62" i="1"/>
  <c r="L63" i="1"/>
  <c r="L60" i="1"/>
  <c r="L53" i="1"/>
  <c r="L55" i="1"/>
  <c r="L54" i="1" l="1"/>
  <c r="M54" i="1" s="1"/>
  <c r="N54" i="1" s="1"/>
  <c r="L45" i="1"/>
  <c r="L46" i="1"/>
  <c r="L47" i="1"/>
  <c r="L37" i="1"/>
  <c r="M37" i="1" s="1"/>
  <c r="N37" i="1" s="1"/>
  <c r="L38" i="1"/>
  <c r="L39" i="1"/>
  <c r="L44" i="1"/>
  <c r="L36" i="1"/>
  <c r="M36" i="1" s="1"/>
  <c r="N36" i="1" s="1"/>
  <c r="L32" i="1"/>
  <c r="L20" i="1"/>
  <c r="N20" i="1" s="1"/>
  <c r="L19" i="1"/>
  <c r="M19" i="1" s="1"/>
  <c r="N19" i="1" s="1"/>
  <c r="L18" i="1"/>
  <c r="M18" i="1" s="1"/>
  <c r="N18" i="1" s="1"/>
  <c r="L6" i="1"/>
  <c r="N6" i="1" s="1"/>
  <c r="L31" i="1"/>
  <c r="M31" i="1" s="1"/>
  <c r="N31" i="1" s="1"/>
  <c r="L30" i="1"/>
  <c r="M30" i="1" s="1"/>
  <c r="N30" i="1" s="1"/>
  <c r="L29" i="1"/>
  <c r="M29" i="1" s="1"/>
  <c r="N29" i="1" s="1"/>
  <c r="L28" i="1"/>
  <c r="M28" i="1" s="1"/>
  <c r="N28" i="1" s="1"/>
  <c r="L27" i="1"/>
  <c r="M27" i="1" s="1"/>
  <c r="N27" i="1" s="1"/>
  <c r="L26" i="1"/>
  <c r="M26" i="1" s="1"/>
  <c r="N26" i="1" s="1"/>
  <c r="L25" i="1"/>
  <c r="M25" i="1" s="1"/>
  <c r="N25" i="1" s="1"/>
  <c r="L24" i="1"/>
  <c r="M24" i="1" s="1"/>
  <c r="N24" i="1" s="1"/>
  <c r="L17" i="1"/>
  <c r="M17" i="1" s="1"/>
  <c r="N17" i="1" s="1"/>
  <c r="L11" i="1"/>
  <c r="M11" i="1" s="1"/>
  <c r="N11" i="1" s="1"/>
  <c r="L12" i="1"/>
  <c r="M12" i="1" s="1"/>
  <c r="N12" i="1" s="1"/>
  <c r="L13" i="1"/>
  <c r="M13" i="1" s="1"/>
  <c r="N13" i="1" s="1"/>
  <c r="L14" i="1"/>
  <c r="M14" i="1" s="1"/>
  <c r="N14" i="1" s="1"/>
  <c r="L15" i="1"/>
  <c r="M15" i="1" s="1"/>
  <c r="N15" i="1" s="1"/>
  <c r="L16" i="1"/>
  <c r="M16" i="1" s="1"/>
  <c r="N16" i="1" s="1"/>
  <c r="L10" i="1"/>
  <c r="M10" i="1" s="1"/>
  <c r="N10" i="1" s="1"/>
  <c r="D17" i="1"/>
  <c r="D15" i="1"/>
  <c r="D16" i="1"/>
  <c r="M55" i="1" l="1"/>
  <c r="M52" i="1"/>
  <c r="N52" i="1" s="1"/>
  <c r="M60" i="1"/>
  <c r="N60" i="1" s="1"/>
  <c r="M44" i="1"/>
  <c r="N44" i="1" s="1"/>
  <c r="M47" i="1"/>
  <c r="N47" i="1" s="1"/>
  <c r="M39" i="1"/>
  <c r="N39" i="1" s="1"/>
  <c r="M46" i="1"/>
  <c r="N46" i="1" s="1"/>
  <c r="M61" i="1"/>
  <c r="N61" i="1" s="1"/>
  <c r="N55" i="1"/>
  <c r="M32" i="1"/>
  <c r="N32" i="1" s="1"/>
  <c r="M53" i="1"/>
  <c r="N53" i="1" s="1"/>
  <c r="M62" i="1"/>
  <c r="N62" i="1" s="1"/>
  <c r="M63" i="1"/>
  <c r="N63" i="1" s="1"/>
  <c r="M38" i="1"/>
  <c r="N38" i="1" s="1"/>
  <c r="M45" i="1"/>
  <c r="N45" i="1" s="1"/>
  <c r="G16" i="1"/>
  <c r="G15" i="1"/>
  <c r="G17" i="1"/>
  <c r="D39" i="1"/>
  <c r="D36" i="1"/>
  <c r="E36" i="1" l="1"/>
  <c r="F36" i="1" s="1"/>
  <c r="D37" i="1"/>
  <c r="E39" i="1" s="1"/>
  <c r="D35" i="1"/>
  <c r="D34" i="1"/>
  <c r="D33" i="1"/>
  <c r="D30" i="1"/>
  <c r="E30" i="1" s="1"/>
  <c r="F30" i="1" s="1"/>
  <c r="D28" i="1"/>
  <c r="D29" i="1"/>
  <c r="D21" i="1"/>
  <c r="D22" i="1"/>
  <c r="D23" i="1"/>
  <c r="D24" i="1"/>
  <c r="D26" i="1"/>
  <c r="E26" i="1" s="1"/>
  <c r="D25" i="1"/>
  <c r="D14" i="1"/>
  <c r="G14" i="1" s="1"/>
  <c r="D13" i="1"/>
  <c r="G13" i="1" s="1"/>
  <c r="D12" i="1"/>
  <c r="G12" i="1" s="1"/>
  <c r="D11" i="1"/>
  <c r="G11" i="1" s="1"/>
  <c r="D10" i="1"/>
  <c r="G10" i="1" s="1"/>
  <c r="E28" i="1" l="1"/>
  <c r="F28" i="1" s="1"/>
  <c r="E25" i="1"/>
  <c r="F25" i="1" s="1"/>
  <c r="E22" i="1"/>
  <c r="F22" i="1" s="1"/>
  <c r="E23" i="1"/>
  <c r="E24" i="1"/>
  <c r="E21" i="1"/>
  <c r="F21" i="1" s="1"/>
  <c r="E29" i="1"/>
  <c r="F29" i="1" s="1"/>
  <c r="F39" i="1"/>
  <c r="E37" i="1"/>
  <c r="F37" i="1" s="1"/>
  <c r="E35" i="1"/>
  <c r="F35" i="1" s="1"/>
  <c r="E34" i="1"/>
  <c r="F34" i="1" s="1"/>
  <c r="E33" i="1"/>
  <c r="F33" i="1" s="1"/>
  <c r="D9" i="1" l="1"/>
  <c r="G9" i="1" s="1"/>
  <c r="D8" i="1"/>
  <c r="G8" i="1" s="1"/>
  <c r="D7" i="1"/>
  <c r="G7" i="1" s="1"/>
  <c r="D6" i="1"/>
  <c r="G6" i="1" s="1"/>
  <c r="E16" i="1" l="1"/>
  <c r="F16" i="1" s="1"/>
  <c r="E6" i="1"/>
  <c r="F6" i="1" s="1"/>
  <c r="E15" i="1"/>
  <c r="F15" i="1" s="1"/>
  <c r="E17" i="1"/>
  <c r="F17" i="1" s="1"/>
  <c r="F23" i="1"/>
  <c r="F24" i="1"/>
  <c r="E11" i="1"/>
  <c r="F11" i="1" s="1"/>
  <c r="E10" i="1"/>
  <c r="F10" i="1" s="1"/>
  <c r="E12" i="1"/>
  <c r="F12" i="1" s="1"/>
  <c r="E13" i="1"/>
  <c r="F13" i="1" s="1"/>
  <c r="E14" i="1"/>
  <c r="F14" i="1" s="1"/>
  <c r="F26" i="1"/>
  <c r="E8" i="1"/>
  <c r="F8" i="1" s="1"/>
  <c r="E7" i="1"/>
  <c r="F7" i="1" s="1"/>
  <c r="E9" i="1"/>
  <c r="F9" i="1" s="1"/>
</calcChain>
</file>

<file path=xl/sharedStrings.xml><?xml version="1.0" encoding="utf-8"?>
<sst xmlns="http://schemas.openxmlformats.org/spreadsheetml/2006/main" count="288" uniqueCount="92">
  <si>
    <t>Cutoff energy</t>
  </si>
  <si>
    <t>PE</t>
  </si>
  <si>
    <t>PE/at</t>
  </si>
  <si>
    <t>delta E</t>
  </si>
  <si>
    <t>Ry</t>
  </si>
  <si>
    <t>Har</t>
  </si>
  <si>
    <t>eV</t>
  </si>
  <si>
    <t>delta</t>
  </si>
  <si>
    <t>Na9</t>
  </si>
  <si>
    <t>Na1</t>
  </si>
  <si>
    <t>200_40</t>
  </si>
  <si>
    <t>200_60</t>
  </si>
  <si>
    <t>vdW cutoff</t>
  </si>
  <si>
    <t>200_80</t>
  </si>
  <si>
    <t>300_80_200</t>
  </si>
  <si>
    <t>final</t>
  </si>
  <si>
    <t>cutoff</t>
  </si>
  <si>
    <t>rel cut</t>
  </si>
  <si>
    <t>vdW cut</t>
  </si>
  <si>
    <t>delta (eV)</t>
  </si>
  <si>
    <t>rel_60</t>
  </si>
  <si>
    <t>rel_500</t>
  </si>
  <si>
    <t>cut=1800</t>
  </si>
  <si>
    <t>rel</t>
  </si>
  <si>
    <t>ngirds=5</t>
  </si>
  <si>
    <t>ngrids=5</t>
  </si>
  <si>
    <t>rel=100</t>
  </si>
  <si>
    <t>cut</t>
  </si>
  <si>
    <t>delta (eV/at)</t>
  </si>
  <si>
    <t>delta (meV/at)</t>
  </si>
  <si>
    <t>ngrids=6</t>
  </si>
  <si>
    <t>rel=50</t>
  </si>
  <si>
    <t>1800_50_4</t>
  </si>
  <si>
    <t>1800_50_5</t>
  </si>
  <si>
    <t>1800_100_4</t>
  </si>
  <si>
    <t>1500_50_4</t>
  </si>
  <si>
    <t>E</t>
  </si>
  <si>
    <t>time</t>
  </si>
  <si>
    <t>note</t>
  </si>
  <si>
    <t>not converged</t>
  </si>
  <si>
    <t>----</t>
  </si>
  <si>
    <t>MULTIGRID</t>
  </si>
  <si>
    <t>INFO</t>
  </si>
  <si>
    <t>-------------------------------------------------------------------------------</t>
  </si>
  <si>
    <t>count</t>
  </si>
  <si>
    <t>for</t>
  </si>
  <si>
    <t>grid</t>
  </si>
  <si>
    <t>[a.u.]</t>
  </si>
  <si>
    <t>total</t>
  </si>
  <si>
    <t>gridlevel</t>
  </si>
  <si>
    <t>:</t>
  </si>
  <si>
    <t>1700_50_4</t>
  </si>
  <si>
    <t>1600_50_4</t>
  </si>
  <si>
    <t>1600_80_4</t>
  </si>
  <si>
    <t>vdW</t>
  </si>
  <si>
    <t>4000_100_4_1200</t>
  </si>
  <si>
    <t>1000_50_4</t>
  </si>
  <si>
    <t>starting with NaCl settings</t>
  </si>
  <si>
    <t>rel_cut</t>
  </si>
  <si>
    <t>ngrids</t>
  </si>
  <si>
    <t>vdw cut</t>
  </si>
  <si>
    <t>MgCl2</t>
  </si>
  <si>
    <t>UCl3</t>
  </si>
  <si>
    <t>baseline</t>
  </si>
  <si>
    <t>this is overly high for U</t>
  </si>
  <si>
    <t>barely on top band</t>
  </si>
  <si>
    <t>50 steps</t>
  </si>
  <si>
    <t>type</t>
  </si>
  <si>
    <t>default</t>
  </si>
  <si>
    <t>step05</t>
  </si>
  <si>
    <t>step1</t>
  </si>
  <si>
    <t>gap05</t>
  </si>
  <si>
    <t>gap1</t>
  </si>
  <si>
    <t>nvec5</t>
  </si>
  <si>
    <t>nvec10</t>
  </si>
  <si>
    <t>fft</t>
  </si>
  <si>
    <t>fft2</t>
  </si>
  <si>
    <t>1000_100</t>
  </si>
  <si>
    <t>rel_cut 100</t>
  </si>
  <si>
    <t>looks better</t>
  </si>
  <si>
    <t>eV/at</t>
  </si>
  <si>
    <t>diff</t>
  </si>
  <si>
    <t>from UCl3</t>
  </si>
  <si>
    <t>from MgCl2</t>
  </si>
  <si>
    <t>meV/at</t>
  </si>
  <si>
    <t>1500 rel</t>
  </si>
  <si>
    <t>gap02</t>
  </si>
  <si>
    <t>xcgrid</t>
  </si>
  <si>
    <t>xcgrid2</t>
  </si>
  <si>
    <t>xcgrid3</t>
  </si>
  <si>
    <t>xcgrid4</t>
  </si>
  <si>
    <t>preconditioner/OT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</si>
</sst>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E+00"/>
    <numFmt numFmtId="165" formatCode="0.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  <xf numFmtId="164" fontId="1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CA2B-D7DD-7A45-9779-8CA71558FFF4}">
  <dimension ref="B2:W108"/>
  <sheetViews>
    <sheetView topLeftCell="G36" workbookViewId="0">
      <selection activeCell="V73" sqref="V73"/>
    </sheetView>
  </sheetViews>
  <sheetFormatPr baseColWidth="10" defaultRowHeight="16" x14ac:dyDescent="0.2"/>
  <cols>
    <col min="5" max="6" width="12.83203125" bestFit="1" customWidth="1"/>
    <col min="7" max="7" width="12.1640625" bestFit="1" customWidth="1"/>
    <col min="12" max="12" width="12.83203125" bestFit="1" customWidth="1"/>
    <col min="23" max="23" width="11.33203125" customWidth="1"/>
  </cols>
  <sheetData>
    <row r="2" spans="2:14" x14ac:dyDescent="0.2">
      <c r="B2" t="s">
        <v>8</v>
      </c>
      <c r="J2" t="s">
        <v>8</v>
      </c>
    </row>
    <row r="3" spans="2:14" x14ac:dyDescent="0.2">
      <c r="B3" t="s">
        <v>4</v>
      </c>
      <c r="C3" t="s">
        <v>5</v>
      </c>
      <c r="D3" t="s">
        <v>5</v>
      </c>
      <c r="E3" t="s">
        <v>5</v>
      </c>
      <c r="F3" t="s">
        <v>6</v>
      </c>
      <c r="G3" t="s">
        <v>7</v>
      </c>
      <c r="J3" t="s">
        <v>4</v>
      </c>
      <c r="K3" t="s">
        <v>5</v>
      </c>
      <c r="L3" t="s">
        <v>5</v>
      </c>
      <c r="M3" t="s">
        <v>28</v>
      </c>
      <c r="N3" t="s">
        <v>29</v>
      </c>
    </row>
    <row r="4" spans="2:14" x14ac:dyDescent="0.2">
      <c r="J4" t="s">
        <v>20</v>
      </c>
    </row>
    <row r="5" spans="2:14" x14ac:dyDescent="0.2">
      <c r="B5" t="s">
        <v>0</v>
      </c>
      <c r="C5" t="s">
        <v>1</v>
      </c>
      <c r="D5" t="s">
        <v>2</v>
      </c>
      <c r="E5" t="s">
        <v>3</v>
      </c>
      <c r="J5" t="s">
        <v>0</v>
      </c>
      <c r="K5" t="s">
        <v>1</v>
      </c>
      <c r="L5" t="s">
        <v>2</v>
      </c>
    </row>
    <row r="6" spans="2:14" x14ac:dyDescent="0.2">
      <c r="B6">
        <v>400</v>
      </c>
      <c r="C6">
        <v>-3150.42586113888</v>
      </c>
      <c r="D6">
        <f t="shared" ref="D6:D17" si="0">C6/100</f>
        <v>-31.504258611388799</v>
      </c>
      <c r="E6">
        <f>(D6-$D$6)</f>
        <v>0</v>
      </c>
      <c r="F6">
        <f>E6*27.2113838565563</f>
        <v>0</v>
      </c>
      <c r="G6">
        <f>(D6-D$17)*27.2113838565563</f>
        <v>-8.7841234252171121E-2</v>
      </c>
      <c r="J6">
        <v>400</v>
      </c>
      <c r="K6">
        <v>-3103.1324309694401</v>
      </c>
      <c r="L6">
        <f t="shared" ref="L6:L20" si="1">K6/100</f>
        <v>-31.031324309694401</v>
      </c>
      <c r="M6" s="3">
        <f>(L6-L$32)*27.2113838565563</f>
        <v>-0.10267875045489047</v>
      </c>
      <c r="N6" s="4">
        <f>M6*1000</f>
        <v>-102.67875045489048</v>
      </c>
    </row>
    <row r="7" spans="2:14" x14ac:dyDescent="0.2">
      <c r="B7">
        <v>450</v>
      </c>
      <c r="C7">
        <v>-3150.31119326609</v>
      </c>
      <c r="D7">
        <f t="shared" si="0"/>
        <v>-31.5031119326609</v>
      </c>
      <c r="E7">
        <f t="shared" ref="E7:E15" si="2">(D7-$D$6)</f>
        <v>1.1466787278990864E-3</v>
      </c>
      <c r="F7">
        <f t="shared" ref="F7:F15" si="3">E7*27.2113838565563</f>
        <v>3.1202715025009715E-2</v>
      </c>
      <c r="G7">
        <f t="shared" ref="G7:G16" si="4">(D7-D$17)*27.2113838565563</f>
        <v>-5.6638519227161413E-2</v>
      </c>
      <c r="J7">
        <v>900</v>
      </c>
      <c r="K7">
        <v>-3102.77509723308</v>
      </c>
      <c r="L7">
        <f t="shared" si="1"/>
        <v>-31.0277509723308</v>
      </c>
      <c r="M7" s="3">
        <f t="shared" ref="M7:M8" si="5">(L7-L$32)*27.2113838565563</f>
        <v>-5.4432958049599181E-3</v>
      </c>
      <c r="N7" s="4">
        <f t="shared" ref="N7:N20" si="6">M7*1000</f>
        <v>-5.4432958049599183</v>
      </c>
    </row>
    <row r="8" spans="2:14" x14ac:dyDescent="0.2">
      <c r="B8">
        <v>500</v>
      </c>
      <c r="C8">
        <v>-3150.3266126799599</v>
      </c>
      <c r="D8">
        <f t="shared" si="0"/>
        <v>-31.503266126799598</v>
      </c>
      <c r="E8">
        <f t="shared" si="2"/>
        <v>9.9248458920087046E-4</v>
      </c>
      <c r="F8">
        <f t="shared" si="3"/>
        <v>2.7006879128461479E-2</v>
      </c>
      <c r="G8">
        <f t="shared" si="4"/>
        <v>-6.0834355123709646E-2</v>
      </c>
      <c r="J8">
        <v>1000</v>
      </c>
      <c r="K8">
        <v>-3102.7578490300698</v>
      </c>
      <c r="L8">
        <f t="shared" si="1"/>
        <v>-31.027578490300698</v>
      </c>
      <c r="M8" s="3">
        <f t="shared" si="5"/>
        <v>-7.4982107549311872E-4</v>
      </c>
      <c r="N8" s="4">
        <f t="shared" si="6"/>
        <v>-0.74982107549311872</v>
      </c>
    </row>
    <row r="9" spans="2:14" x14ac:dyDescent="0.2">
      <c r="B9">
        <v>550</v>
      </c>
      <c r="C9">
        <v>-3150.2172066632102</v>
      </c>
      <c r="D9">
        <f t="shared" si="0"/>
        <v>-31.502172066632102</v>
      </c>
      <c r="E9">
        <f t="shared" si="2"/>
        <v>2.0865447566968953E-3</v>
      </c>
      <c r="F9">
        <f t="shared" si="3"/>
        <v>5.6777770308364089E-2</v>
      </c>
      <c r="G9">
        <f t="shared" si="4"/>
        <v>-3.1063463943807035E-2</v>
      </c>
      <c r="J9">
        <v>1100</v>
      </c>
      <c r="K9">
        <v>-3102.75784902851</v>
      </c>
      <c r="L9">
        <f t="shared" ref="L9" si="7">K9/100</f>
        <v>-31.027578490285102</v>
      </c>
      <c r="M9" s="3">
        <f t="shared" ref="M9:M20" si="8">(L9-L$32)*27.2113838565563</f>
        <v>-7.4982065109313633E-4</v>
      </c>
      <c r="N9" s="4">
        <f t="shared" si="6"/>
        <v>-0.74982065109313634</v>
      </c>
    </row>
    <row r="10" spans="2:14" x14ac:dyDescent="0.2">
      <c r="B10">
        <v>600</v>
      </c>
      <c r="C10">
        <v>-3150.23967480189</v>
      </c>
      <c r="D10">
        <f t="shared" si="0"/>
        <v>-31.502396748018899</v>
      </c>
      <c r="E10">
        <f t="shared" si="2"/>
        <v>1.8618633698999076E-3</v>
      </c>
      <c r="F10">
        <f t="shared" si="3"/>
        <v>5.0663878846807855E-2</v>
      </c>
      <c r="G10">
        <f t="shared" si="4"/>
        <v>-3.7177355405363266E-2</v>
      </c>
      <c r="J10">
        <v>1200</v>
      </c>
      <c r="K10">
        <v>-3102.7571352333698</v>
      </c>
      <c r="L10">
        <f t="shared" si="1"/>
        <v>-31.027571352333698</v>
      </c>
      <c r="M10" s="3">
        <f t="shared" si="8"/>
        <v>-5.5558711550904272E-4</v>
      </c>
      <c r="N10" s="4">
        <f t="shared" si="6"/>
        <v>-0.55558711550904272</v>
      </c>
    </row>
    <row r="11" spans="2:14" x14ac:dyDescent="0.2">
      <c r="B11">
        <v>650</v>
      </c>
      <c r="C11">
        <v>-3150.1745394428799</v>
      </c>
      <c r="D11">
        <f t="shared" si="0"/>
        <v>-31.501745394428799</v>
      </c>
      <c r="E11">
        <f t="shared" si="2"/>
        <v>2.5132169600006193E-3</v>
      </c>
      <c r="F11">
        <f t="shared" si="3"/>
        <v>6.8388111413384356E-2</v>
      </c>
      <c r="G11">
        <f t="shared" si="4"/>
        <v>-1.9453122838786772E-2</v>
      </c>
      <c r="J11">
        <v>1300</v>
      </c>
      <c r="K11">
        <v>-3102.7571354604702</v>
      </c>
      <c r="L11">
        <f t="shared" si="1"/>
        <v>-31.027571354604703</v>
      </c>
      <c r="M11" s="3">
        <f t="shared" si="8"/>
        <v>-5.5564891269015376E-4</v>
      </c>
      <c r="N11" s="4">
        <f t="shared" si="6"/>
        <v>-0.55564891269015382</v>
      </c>
    </row>
    <row r="12" spans="2:14" x14ac:dyDescent="0.2">
      <c r="B12">
        <v>700</v>
      </c>
      <c r="C12">
        <v>-3150.1507307812299</v>
      </c>
      <c r="D12">
        <f t="shared" si="0"/>
        <v>-31.5015073078123</v>
      </c>
      <c r="E12">
        <f t="shared" si="2"/>
        <v>2.7513035764989979E-3</v>
      </c>
      <c r="F12">
        <f t="shared" si="3"/>
        <v>7.486677772603044E-2</v>
      </c>
      <c r="G12">
        <f t="shared" si="4"/>
        <v>-1.2974456526140682E-2</v>
      </c>
      <c r="J12">
        <v>1400</v>
      </c>
      <c r="K12">
        <v>-3102.7554674281</v>
      </c>
      <c r="L12">
        <f t="shared" si="1"/>
        <v>-31.027554674280999</v>
      </c>
      <c r="M12" s="3">
        <f t="shared" si="8"/>
        <v>-1.0175422153959059E-4</v>
      </c>
      <c r="N12" s="4">
        <f t="shared" si="6"/>
        <v>-0.10175422153959059</v>
      </c>
    </row>
    <row r="13" spans="2:14" x14ac:dyDescent="0.2">
      <c r="B13">
        <v>800</v>
      </c>
      <c r="C13">
        <v>-3150.1274530615101</v>
      </c>
      <c r="D13">
        <f t="shared" si="0"/>
        <v>-31.501274530615103</v>
      </c>
      <c r="E13">
        <f t="shared" si="2"/>
        <v>2.9840807736967179E-3</v>
      </c>
      <c r="F13">
        <f t="shared" si="3"/>
        <v>8.1200967392030907E-2</v>
      </c>
      <c r="G13">
        <f t="shared" si="4"/>
        <v>-6.6402668601402235E-3</v>
      </c>
      <c r="J13">
        <v>1500</v>
      </c>
      <c r="K13">
        <v>-3102.7555252298398</v>
      </c>
      <c r="L13">
        <f t="shared" si="1"/>
        <v>-31.027555252298399</v>
      </c>
      <c r="M13" s="3">
        <f t="shared" si="8"/>
        <v>-1.1748287486710015E-4</v>
      </c>
      <c r="N13" s="4">
        <f t="shared" si="6"/>
        <v>-0.11748287486710014</v>
      </c>
    </row>
    <row r="14" spans="2:14" x14ac:dyDescent="0.2">
      <c r="B14">
        <v>1000</v>
      </c>
      <c r="C14">
        <v>-3150.1100970031298</v>
      </c>
      <c r="D14">
        <f t="shared" si="0"/>
        <v>-31.501100970031299</v>
      </c>
      <c r="E14">
        <f t="shared" si="2"/>
        <v>3.157641357500296E-3</v>
      </c>
      <c r="F14">
        <f t="shared" si="3"/>
        <v>8.5923791060278074E-2</v>
      </c>
      <c r="G14">
        <f t="shared" si="4"/>
        <v>-1.9174431918930522E-3</v>
      </c>
      <c r="J14">
        <v>1600</v>
      </c>
      <c r="K14">
        <v>-3102.75540534946</v>
      </c>
      <c r="L14">
        <f t="shared" si="1"/>
        <v>-31.027554053494601</v>
      </c>
      <c r="M14" s="3">
        <f t="shared" si="8"/>
        <v>-8.4861764562886105E-5</v>
      </c>
      <c r="N14" s="4">
        <f t="shared" si="6"/>
        <v>-8.4861764562886105E-2</v>
      </c>
    </row>
    <row r="15" spans="2:14" x14ac:dyDescent="0.2">
      <c r="B15" s="1">
        <v>1500</v>
      </c>
      <c r="C15" s="1">
        <v>-3150.1034248886199</v>
      </c>
      <c r="D15" s="1">
        <f t="shared" si="0"/>
        <v>-31.501034248886199</v>
      </c>
      <c r="E15" s="1">
        <f t="shared" si="2"/>
        <v>3.2243625025998313E-3</v>
      </c>
      <c r="F15" s="1">
        <f t="shared" si="3"/>
        <v>8.7739365750930512E-2</v>
      </c>
      <c r="G15" s="1">
        <f t="shared" si="4"/>
        <v>-1.0186850124060686E-4</v>
      </c>
      <c r="J15">
        <v>1700</v>
      </c>
      <c r="K15">
        <v>-3102.7554052145401</v>
      </c>
      <c r="L15">
        <f t="shared" si="1"/>
        <v>-31.027554052145401</v>
      </c>
      <c r="M15" s="3">
        <f t="shared" si="8"/>
        <v>-8.4825050967516342E-5</v>
      </c>
      <c r="N15" s="4">
        <f t="shared" si="6"/>
        <v>-8.4825050967516344E-2</v>
      </c>
    </row>
    <row r="16" spans="2:14" x14ac:dyDescent="0.2">
      <c r="B16">
        <v>2000</v>
      </c>
      <c r="C16">
        <v>-3150.1029261016502</v>
      </c>
      <c r="D16">
        <f t="shared" si="0"/>
        <v>-31.501029261016502</v>
      </c>
      <c r="E16">
        <f>(D16-$D$6)</f>
        <v>3.2293503722975458E-3</v>
      </c>
      <c r="F16">
        <f>E16*27.2113838565563</f>
        <v>8.7875092587901521E-2</v>
      </c>
      <c r="G16">
        <f t="shared" si="4"/>
        <v>3.3858335730390178E-5</v>
      </c>
      <c r="J16">
        <v>1800</v>
      </c>
      <c r="K16">
        <v>-3102.7551094565501</v>
      </c>
      <c r="L16">
        <f t="shared" si="1"/>
        <v>-31.027551094565503</v>
      </c>
      <c r="M16" s="3">
        <f t="shared" si="8"/>
        <v>-4.3452090678502799E-6</v>
      </c>
      <c r="N16" s="4">
        <f t="shared" si="6"/>
        <v>-4.3452090678502801E-3</v>
      </c>
    </row>
    <row r="17" spans="2:14" x14ac:dyDescent="0.2">
      <c r="B17">
        <v>2500</v>
      </c>
      <c r="C17">
        <v>-3150.1030505287499</v>
      </c>
      <c r="D17">
        <f t="shared" si="0"/>
        <v>-31.501030505287499</v>
      </c>
      <c r="E17">
        <f>(D17-$D$6)</f>
        <v>3.2281061013001988E-3</v>
      </c>
      <c r="F17">
        <f>E17*27.2113838565563</f>
        <v>8.7841234252171121E-2</v>
      </c>
      <c r="G17">
        <f>(D17-D$17)*27.2113838565563</f>
        <v>0</v>
      </c>
      <c r="J17">
        <v>2000</v>
      </c>
      <c r="K17">
        <v>-3102.7549913925</v>
      </c>
      <c r="L17">
        <f t="shared" si="1"/>
        <v>-31.027549913925</v>
      </c>
      <c r="M17" s="3">
        <f t="shared" si="8"/>
        <v>2.7781652847606833E-5</v>
      </c>
      <c r="N17" s="4">
        <f t="shared" si="6"/>
        <v>2.7781652847606832E-2</v>
      </c>
    </row>
    <row r="18" spans="2:14" x14ac:dyDescent="0.2">
      <c r="J18">
        <v>2500</v>
      </c>
      <c r="K18">
        <v>-3102.7551500475201</v>
      </c>
      <c r="L18">
        <f t="shared" si="1"/>
        <v>-31.027551500475202</v>
      </c>
      <c r="M18" s="3">
        <f t="shared" si="8"/>
        <v>-1.53905736914147E-5</v>
      </c>
      <c r="N18" s="4">
        <f>M18*1000</f>
        <v>-1.5390573691414699E-2</v>
      </c>
    </row>
    <row r="19" spans="2:14" x14ac:dyDescent="0.2">
      <c r="B19" t="s">
        <v>9</v>
      </c>
      <c r="J19">
        <v>3000</v>
      </c>
      <c r="K19">
        <v>-3102.7550927576599</v>
      </c>
      <c r="L19">
        <f t="shared" si="1"/>
        <v>-31.027550927576598</v>
      </c>
      <c r="M19" s="3">
        <f t="shared" si="8"/>
        <v>1.9879011179437513E-7</v>
      </c>
      <c r="N19" s="4">
        <f t="shared" si="6"/>
        <v>1.9879011179437512E-4</v>
      </c>
    </row>
    <row r="20" spans="2:14" x14ac:dyDescent="0.2">
      <c r="J20">
        <v>4000</v>
      </c>
      <c r="K20">
        <v>-3102.75509961846</v>
      </c>
      <c r="L20">
        <f t="shared" si="1"/>
        <v>-31.027550996184601</v>
      </c>
      <c r="M20" s="3">
        <f t="shared" si="8"/>
        <v>-1.6681285889663745E-6</v>
      </c>
      <c r="N20" s="4">
        <f t="shared" si="6"/>
        <v>-1.6681285889663744E-3</v>
      </c>
    </row>
    <row r="21" spans="2:14" x14ac:dyDescent="0.2">
      <c r="B21">
        <v>100</v>
      </c>
      <c r="C21">
        <v>-765.98399716150698</v>
      </c>
      <c r="D21">
        <f t="shared" ref="D21:D26" si="9">C21/100</f>
        <v>-7.65983997161507</v>
      </c>
      <c r="E21">
        <f>(D21-$D$26)</f>
        <v>-1.2581109149145675E-5</v>
      </c>
      <c r="F21">
        <f>E21*27.2113838565563</f>
        <v>-3.4234939039863539E-4</v>
      </c>
    </row>
    <row r="22" spans="2:14" x14ac:dyDescent="0.2">
      <c r="B22" s="1">
        <v>200</v>
      </c>
      <c r="C22" s="1">
        <v>-765.98274029392098</v>
      </c>
      <c r="D22" s="1">
        <f t="shared" si="9"/>
        <v>-7.6598274029392099</v>
      </c>
      <c r="E22">
        <f>(D22-$D$26)</f>
        <v>-1.2433289064972541E-8</v>
      </c>
      <c r="F22" s="1">
        <f>E22*27.2113838565563</f>
        <v>-3.3832700134649176E-7</v>
      </c>
      <c r="G22" s="1"/>
    </row>
    <row r="23" spans="2:14" x14ac:dyDescent="0.2">
      <c r="B23">
        <v>400</v>
      </c>
      <c r="C23">
        <v>-765.98273911212596</v>
      </c>
      <c r="D23">
        <f t="shared" si="9"/>
        <v>-7.6598273911212598</v>
      </c>
      <c r="E23">
        <f t="shared" ref="E23:E26" si="10">(D23-$D$26)</f>
        <v>-6.1533889095244376E-10</v>
      </c>
      <c r="F23">
        <f t="shared" ref="F23:F26" si="11">E23*27.2113838565563</f>
        <v>-1.6744222763574585E-8</v>
      </c>
      <c r="J23" s="2" t="s">
        <v>21</v>
      </c>
      <c r="K23" s="1"/>
      <c r="L23" s="1"/>
    </row>
    <row r="24" spans="2:14" x14ac:dyDescent="0.2">
      <c r="B24">
        <v>600</v>
      </c>
      <c r="C24">
        <v>-765.982739094669</v>
      </c>
      <c r="D24">
        <f t="shared" si="9"/>
        <v>-7.6598273909466901</v>
      </c>
      <c r="E24">
        <f t="shared" si="10"/>
        <v>-4.4076919891722355E-10</v>
      </c>
      <c r="F24">
        <f t="shared" si="11"/>
        <v>-1.1993939863883389E-8</v>
      </c>
      <c r="J24">
        <v>1200</v>
      </c>
      <c r="L24">
        <f t="shared" ref="L24:L31" si="12">K24/100</f>
        <v>0</v>
      </c>
      <c r="M24" s="3">
        <f t="shared" ref="M24:M32" si="13">(L24-L$32)*27.2113838565563</f>
        <v>844.30259861792638</v>
      </c>
      <c r="N24" s="4">
        <f>M24*1000</f>
        <v>844302.59861792636</v>
      </c>
    </row>
    <row r="25" spans="2:14" x14ac:dyDescent="0.2">
      <c r="B25">
        <v>800</v>
      </c>
      <c r="C25">
        <v>-765.98273905546296</v>
      </c>
      <c r="D25">
        <f t="shared" si="9"/>
        <v>-7.6598273905546295</v>
      </c>
      <c r="E25">
        <f t="shared" si="10"/>
        <v>-4.8708592714774568E-11</v>
      </c>
      <c r="F25">
        <f>E25*27.2113838565563</f>
        <v>-1.3254282134743924E-9</v>
      </c>
      <c r="J25">
        <v>1300</v>
      </c>
      <c r="L25">
        <f t="shared" si="12"/>
        <v>0</v>
      </c>
      <c r="M25" s="3">
        <f t="shared" si="13"/>
        <v>844.30259861792638</v>
      </c>
      <c r="N25" s="4">
        <f t="shared" ref="N25:N32" si="14">M25*1000</f>
        <v>844302.59861792636</v>
      </c>
    </row>
    <row r="26" spans="2:14" x14ac:dyDescent="0.2">
      <c r="B26">
        <v>1000</v>
      </c>
      <c r="C26">
        <v>-765.98273905059204</v>
      </c>
      <c r="D26">
        <f t="shared" si="9"/>
        <v>-7.6598273905059209</v>
      </c>
      <c r="E26">
        <f t="shared" si="10"/>
        <v>0</v>
      </c>
      <c r="F26">
        <f t="shared" si="11"/>
        <v>0</v>
      </c>
      <c r="J26">
        <v>1400</v>
      </c>
      <c r="L26">
        <f t="shared" si="12"/>
        <v>0</v>
      </c>
      <c r="M26" s="3">
        <f t="shared" si="13"/>
        <v>844.30259861792638</v>
      </c>
      <c r="N26" s="4">
        <f t="shared" si="14"/>
        <v>844302.59861792636</v>
      </c>
    </row>
    <row r="27" spans="2:14" x14ac:dyDescent="0.2">
      <c r="J27">
        <v>1500</v>
      </c>
      <c r="L27">
        <f t="shared" si="12"/>
        <v>0</v>
      </c>
      <c r="M27" s="3">
        <f t="shared" si="13"/>
        <v>844.30259861792638</v>
      </c>
      <c r="N27" s="4">
        <f t="shared" si="14"/>
        <v>844302.59861792636</v>
      </c>
    </row>
    <row r="28" spans="2:14" x14ac:dyDescent="0.2">
      <c r="B28" s="2" t="s">
        <v>10</v>
      </c>
      <c r="C28" s="2">
        <v>-765.98287350735802</v>
      </c>
      <c r="D28" s="2">
        <f>C28/100</f>
        <v>-7.6598287350735799</v>
      </c>
      <c r="E28" s="2">
        <f>(D28-$D$30)</f>
        <v>-1.3321297789303799E-6</v>
      </c>
      <c r="F28" s="2">
        <f>E28*27.2113838565563</f>
        <v>-3.6249094761224053E-5</v>
      </c>
      <c r="G28" s="1"/>
      <c r="J28">
        <v>1600</v>
      </c>
      <c r="L28">
        <f t="shared" si="12"/>
        <v>0</v>
      </c>
      <c r="M28" s="3">
        <f t="shared" si="13"/>
        <v>844.30259861792638</v>
      </c>
      <c r="N28" s="4">
        <f t="shared" si="14"/>
        <v>844302.59861792636</v>
      </c>
    </row>
    <row r="29" spans="2:14" x14ac:dyDescent="0.2">
      <c r="B29" t="s">
        <v>11</v>
      </c>
      <c r="C29" s="1">
        <v>-765.98274029392098</v>
      </c>
      <c r="D29" s="1">
        <f>C29/100</f>
        <v>-7.6598274029392099</v>
      </c>
      <c r="E29" s="2">
        <f t="shared" ref="E29:E30" si="15">(D29-$D$30)</f>
        <v>4.5909942514299473E-12</v>
      </c>
      <c r="F29" s="1">
        <f>E29*27.2113838565563</f>
        <v>1.2492730685890365E-10</v>
      </c>
      <c r="J29">
        <v>1700</v>
      </c>
      <c r="L29">
        <f t="shared" si="12"/>
        <v>0</v>
      </c>
      <c r="M29" s="3">
        <f t="shared" si="13"/>
        <v>844.30259861792638</v>
      </c>
      <c r="N29" s="4">
        <f t="shared" si="14"/>
        <v>844302.59861792636</v>
      </c>
    </row>
    <row r="30" spans="2:14" x14ac:dyDescent="0.2">
      <c r="B30" t="s">
        <v>13</v>
      </c>
      <c r="C30">
        <v>-765.98274029438005</v>
      </c>
      <c r="D30">
        <f>C30/100</f>
        <v>-7.6598274029438009</v>
      </c>
      <c r="E30" s="2">
        <f t="shared" si="15"/>
        <v>0</v>
      </c>
      <c r="F30">
        <f>E30*27.2113838565563</f>
        <v>0</v>
      </c>
      <c r="J30">
        <v>1800</v>
      </c>
      <c r="K30">
        <v>-3102.7551082704799</v>
      </c>
      <c r="L30">
        <f t="shared" si="12"/>
        <v>-31.0275510827048</v>
      </c>
      <c r="M30" s="3">
        <f t="shared" si="13"/>
        <v>-4.0224629354434793E-6</v>
      </c>
      <c r="N30" s="4">
        <f t="shared" si="14"/>
        <v>-4.0224629354434797E-3</v>
      </c>
    </row>
    <row r="31" spans="2:14" x14ac:dyDescent="0.2">
      <c r="J31">
        <v>2000</v>
      </c>
      <c r="K31">
        <v>-3102.7549906906702</v>
      </c>
      <c r="L31">
        <f t="shared" si="12"/>
        <v>-31.027549906906703</v>
      </c>
      <c r="M31" s="3">
        <f t="shared" si="13"/>
        <v>2.7972630422779666E-5</v>
      </c>
      <c r="N31" s="4">
        <f t="shared" si="14"/>
        <v>2.7972630422779667E-2</v>
      </c>
    </row>
    <row r="32" spans="2:14" x14ac:dyDescent="0.2">
      <c r="B32" t="s">
        <v>12</v>
      </c>
      <c r="J32">
        <v>4000</v>
      </c>
      <c r="K32">
        <v>-3102.7550934882001</v>
      </c>
      <c r="L32">
        <f t="shared" ref="L32" si="16">K32/100</f>
        <v>-31.027550934882001</v>
      </c>
      <c r="M32" s="3">
        <f t="shared" si="13"/>
        <v>0</v>
      </c>
      <c r="N32" s="4">
        <f t="shared" si="14"/>
        <v>0</v>
      </c>
    </row>
    <row r="33" spans="2:14" x14ac:dyDescent="0.2">
      <c r="B33">
        <v>50</v>
      </c>
      <c r="C33" s="2">
        <v>-765.98274029392098</v>
      </c>
      <c r="D33" s="2">
        <f>C33/100</f>
        <v>-7.6598274029392099</v>
      </c>
      <c r="E33" s="2">
        <f t="shared" ref="E33:E35" si="17">(D33-$D$37)</f>
        <v>9.7694906849632446E-5</v>
      </c>
      <c r="F33" s="2">
        <f>E33*27.2113838565563</f>
        <v>2.6584136111158598E-3</v>
      </c>
    </row>
    <row r="34" spans="2:14" x14ac:dyDescent="0.2">
      <c r="B34">
        <v>60</v>
      </c>
      <c r="C34" s="2">
        <v>-765.98739903247304</v>
      </c>
      <c r="D34" s="2">
        <f>C34/100</f>
        <v>-7.6598739903247299</v>
      </c>
      <c r="E34" s="2">
        <f t="shared" si="17"/>
        <v>5.1107521329640804E-5</v>
      </c>
      <c r="F34" s="2">
        <f>E34*27.2113838565563</f>
        <v>1.3907063808579945E-3</v>
      </c>
      <c r="J34" t="s">
        <v>22</v>
      </c>
    </row>
    <row r="35" spans="2:14" x14ac:dyDescent="0.2">
      <c r="B35">
        <v>80</v>
      </c>
      <c r="C35" s="2">
        <v>-765.99099614990905</v>
      </c>
      <c r="D35" s="2">
        <f>C35/100</f>
        <v>-7.6599099614990909</v>
      </c>
      <c r="E35" s="2">
        <f t="shared" si="17"/>
        <v>1.5136346968702696E-5</v>
      </c>
      <c r="F35" s="2">
        <f>E35*27.2113838565563</f>
        <v>4.118809475513914E-4</v>
      </c>
      <c r="J35" t="s">
        <v>23</v>
      </c>
    </row>
    <row r="36" spans="2:14" x14ac:dyDescent="0.2">
      <c r="B36" s="1">
        <v>100</v>
      </c>
      <c r="C36" s="1">
        <v>-765.99226330978797</v>
      </c>
      <c r="D36" s="1">
        <f>C36/100</f>
        <v>-7.6599226330978798</v>
      </c>
      <c r="E36" s="1">
        <f>(D36-$D$39)</f>
        <v>2.4562362304081375E-6</v>
      </c>
      <c r="F36" s="1">
        <f>E36*27.2113838565563</f>
        <v>6.6837586908016691E-5</v>
      </c>
      <c r="J36">
        <v>20</v>
      </c>
      <c r="K36">
        <v>-3102.8558833521201</v>
      </c>
      <c r="L36">
        <f t="shared" ref="L36" si="18">K36/100</f>
        <v>-31.028558833521203</v>
      </c>
      <c r="M36" s="3">
        <f t="shared" ref="M36:M38" si="19">(L36-L$32)*27.2113838565563</f>
        <v>-2.7426316759818166E-2</v>
      </c>
      <c r="N36" s="4">
        <f>M36*1000</f>
        <v>-27.426316759818167</v>
      </c>
    </row>
    <row r="37" spans="2:14" x14ac:dyDescent="0.2">
      <c r="B37">
        <v>200</v>
      </c>
      <c r="C37" s="2">
        <v>-765.992509784606</v>
      </c>
      <c r="D37" s="2">
        <f>C37/100</f>
        <v>-7.6599250978460596</v>
      </c>
      <c r="E37" s="2">
        <f>(D37-$D$37)</f>
        <v>0</v>
      </c>
      <c r="F37" s="2">
        <f>E37*27.2113838565563</f>
        <v>0</v>
      </c>
      <c r="J37">
        <v>50</v>
      </c>
      <c r="K37">
        <v>-3102.75510850095</v>
      </c>
      <c r="L37">
        <f t="shared" ref="L37:L39" si="20">K37/100</f>
        <v>-31.027551085009499</v>
      </c>
      <c r="M37" s="3">
        <f t="shared" si="19"/>
        <v>-4.0851769751950551E-6</v>
      </c>
      <c r="N37" s="4">
        <f t="shared" ref="N37:N39" si="21">M37*1000</f>
        <v>-4.0851769751950552E-3</v>
      </c>
    </row>
    <row r="38" spans="2:14" x14ac:dyDescent="0.2">
      <c r="J38">
        <v>100</v>
      </c>
      <c r="K38">
        <v>-3102.75510909794</v>
      </c>
      <c r="L38">
        <f t="shared" si="20"/>
        <v>-31.027551090979401</v>
      </c>
      <c r="M38" s="3">
        <f t="shared" si="19"/>
        <v>-4.2476262675494375E-6</v>
      </c>
      <c r="N38" s="4">
        <f t="shared" si="21"/>
        <v>-4.2476262675494375E-3</v>
      </c>
    </row>
    <row r="39" spans="2:14" x14ac:dyDescent="0.2">
      <c r="B39" t="s">
        <v>14</v>
      </c>
      <c r="C39">
        <v>-765.99250893341105</v>
      </c>
      <c r="D39" s="2">
        <f>C39/100</f>
        <v>-7.6599250893341102</v>
      </c>
      <c r="E39" s="2">
        <f>(D39-$D$37)</f>
        <v>8.5119493675733793E-9</v>
      </c>
      <c r="F39" s="2">
        <f>E39*27.2113838565563</f>
        <v>2.3162192160861087E-7</v>
      </c>
      <c r="J39">
        <v>200</v>
      </c>
      <c r="K39">
        <v>-3102.7551086918002</v>
      </c>
      <c r="L39">
        <f t="shared" si="20"/>
        <v>-31.027551086918002</v>
      </c>
      <c r="M39" s="3">
        <f t="shared" ref="M39" si="22">(L39-L$32)*27.2113838565563</f>
        <v>-4.1371099986312138E-6</v>
      </c>
      <c r="N39" s="4">
        <f t="shared" si="21"/>
        <v>-4.1371099986312141E-3</v>
      </c>
    </row>
    <row r="41" spans="2:14" x14ac:dyDescent="0.2">
      <c r="B41" s="1" t="s">
        <v>15</v>
      </c>
      <c r="C41" s="1" t="s">
        <v>16</v>
      </c>
      <c r="D41" s="1" t="s">
        <v>17</v>
      </c>
      <c r="E41" s="1" t="s">
        <v>18</v>
      </c>
      <c r="J41" t="s">
        <v>24</v>
      </c>
    </row>
    <row r="42" spans="2:14" x14ac:dyDescent="0.2">
      <c r="B42" s="1"/>
      <c r="C42" s="1">
        <v>200</v>
      </c>
      <c r="D42" s="1">
        <v>60</v>
      </c>
      <c r="E42" s="1">
        <v>100</v>
      </c>
      <c r="J42" t="s">
        <v>22</v>
      </c>
    </row>
    <row r="43" spans="2:14" x14ac:dyDescent="0.2">
      <c r="J43" t="s">
        <v>23</v>
      </c>
    </row>
    <row r="44" spans="2:14" x14ac:dyDescent="0.2">
      <c r="J44">
        <v>20</v>
      </c>
      <c r="K44">
        <v>-3102.86383817967</v>
      </c>
      <c r="L44">
        <f t="shared" ref="L44" si="23">K44/100</f>
        <v>-31.0286383817967</v>
      </c>
      <c r="M44" s="3">
        <f t="shared" ref="M44:M46" si="24">(L44-L$32)*27.2113838565563</f>
        <v>-2.9590935419504669E-2</v>
      </c>
      <c r="N44" s="4">
        <f>M44*1000</f>
        <v>-29.590935419504671</v>
      </c>
    </row>
    <row r="45" spans="2:14" x14ac:dyDescent="0.2">
      <c r="J45">
        <v>50</v>
      </c>
      <c r="K45">
        <v>-3102.7551085008799</v>
      </c>
      <c r="L45">
        <f t="shared" ref="L45:L47" si="25">K45/100</f>
        <v>-31.027551085008799</v>
      </c>
      <c r="M45" s="3">
        <f t="shared" si="24"/>
        <v>-4.0851579303666932E-6</v>
      </c>
      <c r="N45" s="4">
        <f t="shared" ref="N45:N47" si="26">M45*1000</f>
        <v>-4.0851579303666933E-3</v>
      </c>
    </row>
    <row r="46" spans="2:14" x14ac:dyDescent="0.2">
      <c r="J46" s="2">
        <v>100</v>
      </c>
      <c r="K46">
        <v>-3102.75510909785</v>
      </c>
      <c r="L46">
        <f t="shared" si="25"/>
        <v>-31.027551090978498</v>
      </c>
      <c r="M46" s="3">
        <f t="shared" si="24"/>
        <v>-4.2476017122885037E-6</v>
      </c>
      <c r="N46" s="4">
        <f t="shared" si="26"/>
        <v>-4.2476017122885035E-3</v>
      </c>
    </row>
    <row r="47" spans="2:14" x14ac:dyDescent="0.2">
      <c r="J47">
        <v>200</v>
      </c>
      <c r="K47">
        <v>-3102.7551086917201</v>
      </c>
      <c r="L47">
        <f t="shared" si="25"/>
        <v>-31.0275510869172</v>
      </c>
      <c r="M47" s="3">
        <f>(L47-L$32)*27.2113838565563</f>
        <v>-4.1370881502494378E-6</v>
      </c>
      <c r="N47" s="4">
        <f t="shared" si="26"/>
        <v>-4.1370881502494376E-3</v>
      </c>
    </row>
    <row r="49" spans="10:23" x14ac:dyDescent="0.2">
      <c r="J49" t="s">
        <v>25</v>
      </c>
    </row>
    <row r="50" spans="10:23" x14ac:dyDescent="0.2">
      <c r="J50" t="s">
        <v>26</v>
      </c>
    </row>
    <row r="51" spans="10:23" x14ac:dyDescent="0.2">
      <c r="J51" t="s">
        <v>27</v>
      </c>
    </row>
    <row r="52" spans="10:23" x14ac:dyDescent="0.2">
      <c r="J52">
        <v>1000</v>
      </c>
      <c r="K52">
        <v>-3102.7578492268099</v>
      </c>
      <c r="L52">
        <f>K52/100</f>
        <v>-31.027578492268098</v>
      </c>
      <c r="M52" s="3">
        <f>(L52-L$32)*27.2113838565563</f>
        <v>-7.498746111823649E-4</v>
      </c>
      <c r="N52" s="4">
        <f>M52*1000</f>
        <v>-0.74987461118236487</v>
      </c>
      <c r="Q52" t="s">
        <v>55</v>
      </c>
    </row>
    <row r="53" spans="10:23" x14ac:dyDescent="0.2">
      <c r="J53">
        <v>1500</v>
      </c>
      <c r="K53">
        <v>-3102.7555241675</v>
      </c>
      <c r="L53">
        <f>K53/100</f>
        <v>-31.027555241675</v>
      </c>
      <c r="M53" s="3">
        <f>(L53-L$32)*27.2113838565563</f>
        <v>-1.1719379747770727E-4</v>
      </c>
      <c r="N53" s="4">
        <f>M53*1000</f>
        <v>-0.11719379747770726</v>
      </c>
      <c r="Q53">
        <v>-3102.9141058157602</v>
      </c>
    </row>
    <row r="54" spans="10:23" x14ac:dyDescent="0.2">
      <c r="J54">
        <v>1800</v>
      </c>
      <c r="K54">
        <v>-3102.75510909785</v>
      </c>
      <c r="L54">
        <f>K54/100</f>
        <v>-31.027551090978498</v>
      </c>
      <c r="M54" s="3">
        <f>(L54-L$32)*27.2113838565563</f>
        <v>-4.2476017122885037E-6</v>
      </c>
      <c r="N54" s="4">
        <f t="shared" ref="N54:N55" si="27">M54*1000</f>
        <v>-4.2476017122885035E-3</v>
      </c>
    </row>
    <row r="55" spans="10:23" x14ac:dyDescent="0.2">
      <c r="J55">
        <v>2500</v>
      </c>
      <c r="K55">
        <v>-3102.7551487450601</v>
      </c>
      <c r="L55">
        <f>K55/100</f>
        <v>-31.027551487450602</v>
      </c>
      <c r="M55" s="3">
        <f>(L55-L$32)*27.2113838565563</f>
        <v>-1.5036156299464131E-5</v>
      </c>
      <c r="N55" s="4">
        <f t="shared" si="27"/>
        <v>-1.5036156299464131E-2</v>
      </c>
    </row>
    <row r="57" spans="10:23" x14ac:dyDescent="0.2">
      <c r="J57" t="s">
        <v>30</v>
      </c>
    </row>
    <row r="58" spans="10:23" x14ac:dyDescent="0.2">
      <c r="J58" t="s">
        <v>31</v>
      </c>
    </row>
    <row r="59" spans="10:23" x14ac:dyDescent="0.2">
      <c r="J59" t="s">
        <v>27</v>
      </c>
    </row>
    <row r="60" spans="10:23" x14ac:dyDescent="0.2">
      <c r="J60">
        <v>1000</v>
      </c>
      <c r="K60">
        <v>-3102.75785008923</v>
      </c>
      <c r="L60">
        <f>K60/100</f>
        <v>-31.0275785008923</v>
      </c>
      <c r="M60" s="3">
        <f t="shared" ref="M60:M62" si="28">(L60-L$32)*27.2113838565563</f>
        <v>-7.5010928764792349E-4</v>
      </c>
      <c r="N60" s="4">
        <f>M60*1000</f>
        <v>-0.75010928764792351</v>
      </c>
    </row>
    <row r="61" spans="10:23" x14ac:dyDescent="0.2">
      <c r="J61">
        <v>1500</v>
      </c>
      <c r="K61">
        <v>-3102.75552587013</v>
      </c>
      <c r="L61">
        <f t="shared" ref="L61:L63" si="29">K61/100</f>
        <v>-31.027555258701298</v>
      </c>
      <c r="M61" s="3">
        <f t="shared" si="28"/>
        <v>-1.1765710662438418E-4</v>
      </c>
      <c r="N61" s="4">
        <f>M61*1000</f>
        <v>-0.11765710662438418</v>
      </c>
    </row>
    <row r="62" spans="10:23" x14ac:dyDescent="0.2">
      <c r="J62">
        <v>1800</v>
      </c>
      <c r="K62">
        <v>-3102.7551085005898</v>
      </c>
      <c r="L62">
        <f t="shared" si="29"/>
        <v>-31.027551085005896</v>
      </c>
      <c r="M62" s="3">
        <f t="shared" si="28"/>
        <v>-4.0850789474998299E-6</v>
      </c>
      <c r="N62" s="4">
        <f t="shared" ref="N62:N63" si="30">M62*1000</f>
        <v>-4.0850789474998301E-3</v>
      </c>
    </row>
    <row r="63" spans="10:23" x14ac:dyDescent="0.2">
      <c r="J63">
        <v>2500</v>
      </c>
      <c r="L63">
        <f t="shared" si="29"/>
        <v>0</v>
      </c>
      <c r="M63" s="3">
        <f>(L63-L$32)*27.2113838565563</f>
        <v>844.30259861792638</v>
      </c>
      <c r="N63" s="4">
        <f t="shared" si="30"/>
        <v>844302.59861792636</v>
      </c>
    </row>
    <row r="64" spans="10:23" x14ac:dyDescent="0.2">
      <c r="Q64" s="2" t="s">
        <v>52</v>
      </c>
      <c r="U64" s="2" t="s">
        <v>35</v>
      </c>
      <c r="V64" s="2"/>
      <c r="W64" s="2"/>
    </row>
    <row r="65" spans="10:23" x14ac:dyDescent="0.2">
      <c r="K65" t="s">
        <v>36</v>
      </c>
      <c r="L65" t="s">
        <v>37</v>
      </c>
      <c r="M65" t="s">
        <v>38</v>
      </c>
      <c r="Q65" t="s">
        <v>54</v>
      </c>
      <c r="S65" t="s">
        <v>19</v>
      </c>
      <c r="U65" s="2" t="s">
        <v>54</v>
      </c>
      <c r="V65" s="2"/>
      <c r="W65" s="2"/>
    </row>
    <row r="66" spans="10:23" x14ac:dyDescent="0.2">
      <c r="J66" t="s">
        <v>32</v>
      </c>
      <c r="K66">
        <v>-3149.90159346163</v>
      </c>
      <c r="L66">
        <v>398.64600000000002</v>
      </c>
      <c r="M66" t="s">
        <v>39</v>
      </c>
      <c r="Q66">
        <v>50</v>
      </c>
      <c r="R66">
        <v>-3102.7554069678299</v>
      </c>
      <c r="S66" s="3">
        <f t="shared" ref="S66:S70" si="31">($Q$53-R66)/100*27.2113838565563</f>
        <v>-4.3184152686241525E-2</v>
      </c>
      <c r="U66" s="2">
        <v>500</v>
      </c>
      <c r="V66" s="2">
        <v>-3102.9116384396202</v>
      </c>
      <c r="W66" s="7">
        <f t="shared" ref="W66:W68" si="32">($Q$53-V66)/100*27.2113838565563</f>
        <v>-6.7140719263378409E-4</v>
      </c>
    </row>
    <row r="67" spans="10:23" x14ac:dyDescent="0.2">
      <c r="J67" t="s">
        <v>33</v>
      </c>
      <c r="K67">
        <v>-3149.9015935050902</v>
      </c>
      <c r="L67">
        <v>402.07100000000003</v>
      </c>
      <c r="M67" t="s">
        <v>39</v>
      </c>
      <c r="Q67">
        <v>100</v>
      </c>
      <c r="R67">
        <v>-3102.8381877250199</v>
      </c>
      <c r="S67" s="3">
        <f t="shared" si="31"/>
        <v>-2.0658363087908457E-2</v>
      </c>
      <c r="U67" s="2">
        <v>700</v>
      </c>
      <c r="V67" s="2">
        <v>-3102.91360734007</v>
      </c>
      <c r="W67" s="7">
        <f t="shared" si="32"/>
        <v>-1.3564213348239557E-4</v>
      </c>
    </row>
    <row r="68" spans="10:23" x14ac:dyDescent="0.2">
      <c r="J68" t="s">
        <v>34</v>
      </c>
      <c r="K68">
        <v>-3149.9015353889299</v>
      </c>
      <c r="L68">
        <v>413.75400000000002</v>
      </c>
      <c r="M68" t="s">
        <v>39</v>
      </c>
      <c r="Q68">
        <v>150</v>
      </c>
      <c r="R68">
        <v>-3102.8626020659399</v>
      </c>
      <c r="S68" s="3">
        <f t="shared" si="31"/>
        <v>-1.4014883064125742E-2</v>
      </c>
      <c r="U68" s="2">
        <v>800</v>
      </c>
      <c r="V68" s="2">
        <v>-3102.9139138001801</v>
      </c>
      <c r="W68" s="7">
        <f t="shared" si="32"/>
        <v>-5.2250096556964081E-5</v>
      </c>
    </row>
    <row r="69" spans="10:23" x14ac:dyDescent="0.2">
      <c r="J69" t="s">
        <v>35</v>
      </c>
      <c r="K69">
        <v>-3149.9022504705799</v>
      </c>
      <c r="L69">
        <v>314.19400000000002</v>
      </c>
      <c r="M69" t="s">
        <v>39</v>
      </c>
      <c r="Q69">
        <v>200</v>
      </c>
      <c r="R69">
        <v>-3102.88075020411</v>
      </c>
      <c r="S69" s="3">
        <f t="shared" si="31"/>
        <v>-9.0765235238441967E-3</v>
      </c>
      <c r="U69" s="2">
        <v>1000</v>
      </c>
      <c r="V69" s="2">
        <v>-3102.9145615388102</v>
      </c>
      <c r="W69" s="7">
        <f t="shared" ref="W69" si="33">($Q$53-V69)/100*27.2113838565563</f>
        <v>1.2400854845322177E-4</v>
      </c>
    </row>
    <row r="70" spans="10:23" x14ac:dyDescent="0.2">
      <c r="J70" t="s">
        <v>51</v>
      </c>
      <c r="K70">
        <v>-3149.9019457760601</v>
      </c>
      <c r="L70">
        <v>359.35599999999999</v>
      </c>
      <c r="M70" t="s">
        <v>39</v>
      </c>
      <c r="Q70">
        <v>500</v>
      </c>
      <c r="R70">
        <v>-3102.91152050346</v>
      </c>
      <c r="S70" s="3">
        <f t="shared" si="31"/>
        <v>-7.0349925389763849E-4</v>
      </c>
    </row>
    <row r="71" spans="10:23" x14ac:dyDescent="0.2">
      <c r="J71" s="2" t="s">
        <v>52</v>
      </c>
      <c r="K71">
        <v>-3149.9019449429902</v>
      </c>
      <c r="L71">
        <v>364.95400000000001</v>
      </c>
      <c r="M71" t="s">
        <v>39</v>
      </c>
      <c r="Q71">
        <v>800</v>
      </c>
      <c r="R71">
        <v>-3102.9137958523302</v>
      </c>
      <c r="S71" s="3">
        <f>($Q$53-R71)/100*27.2113838565563</f>
        <v>-8.4345338759590549E-5</v>
      </c>
      <c r="U71" s="1" t="s">
        <v>56</v>
      </c>
      <c r="V71" s="1"/>
      <c r="W71" s="1"/>
    </row>
    <row r="72" spans="10:23" x14ac:dyDescent="0.2">
      <c r="J72" s="2" t="s">
        <v>53</v>
      </c>
      <c r="K72">
        <v>-3149.9019460648201</v>
      </c>
      <c r="L72">
        <v>369.53800000000001</v>
      </c>
      <c r="M72" t="s">
        <v>39</v>
      </c>
      <c r="Q72">
        <v>1000</v>
      </c>
      <c r="R72">
        <v>-3102.9144434393802</v>
      </c>
      <c r="S72" s="3">
        <f>($Q$53-R72)/100*27.2113838565563</f>
        <v>9.187205922814915E-5</v>
      </c>
      <c r="U72" s="1" t="s">
        <v>54</v>
      </c>
      <c r="V72" s="1"/>
      <c r="W72" s="1"/>
    </row>
    <row r="73" spans="10:23" x14ac:dyDescent="0.2">
      <c r="Q73">
        <v>1200</v>
      </c>
      <c r="R73">
        <v>-3102.9144162581101</v>
      </c>
      <c r="S73" s="3">
        <f>($Q$53-R73)/100*27.2113838565563</f>
        <v>8.4475659492236192E-5</v>
      </c>
      <c r="U73" s="2">
        <v>500</v>
      </c>
      <c r="V73" s="2">
        <v>-3102.9139635936499</v>
      </c>
      <c r="W73" s="7">
        <f>($Q$53-V73)/100*27.2113838565563</f>
        <v>-3.870060436220944E-5</v>
      </c>
    </row>
    <row r="74" spans="10:23" x14ac:dyDescent="0.2">
      <c r="K74" t="s">
        <v>32</v>
      </c>
      <c r="U74" s="1">
        <v>400</v>
      </c>
      <c r="V74" s="1">
        <v>-3102.9116833098601</v>
      </c>
      <c r="W74" s="6">
        <f>($Q$53-V74)/100*27.2113838565563</f>
        <v>-6.5919737941999654E-4</v>
      </c>
    </row>
    <row r="75" spans="10:23" x14ac:dyDescent="0.2">
      <c r="K75" t="s">
        <v>40</v>
      </c>
      <c r="L75" t="s">
        <v>41</v>
      </c>
      <c r="M75" t="s">
        <v>42</v>
      </c>
      <c r="N75" t="s">
        <v>40</v>
      </c>
      <c r="U75" s="2">
        <v>300</v>
      </c>
      <c r="V75" s="2">
        <v>-3102.90867013451</v>
      </c>
      <c r="W75" s="7">
        <f>($Q$53-V75)/100*27.2113838565563</f>
        <v>-1.4791240902160062E-3</v>
      </c>
    </row>
    <row r="76" spans="10:23" x14ac:dyDescent="0.2">
      <c r="K76" t="s">
        <v>43</v>
      </c>
      <c r="W76" s="3"/>
    </row>
    <row r="77" spans="10:23" x14ac:dyDescent="0.2">
      <c r="K77" t="s">
        <v>44</v>
      </c>
      <c r="L77" t="s">
        <v>45</v>
      </c>
      <c r="M77" t="s">
        <v>46</v>
      </c>
      <c r="N77" s="5">
        <v>4.1666666666666664E-2</v>
      </c>
      <c r="O77">
        <v>589025</v>
      </c>
      <c r="P77" t="s">
        <v>16</v>
      </c>
      <c r="Q77" t="s">
        <v>47</v>
      </c>
      <c r="R77">
        <v>900</v>
      </c>
    </row>
    <row r="78" spans="10:23" x14ac:dyDescent="0.2">
      <c r="K78" t="s">
        <v>44</v>
      </c>
      <c r="L78" t="s">
        <v>45</v>
      </c>
      <c r="M78" t="s">
        <v>46</v>
      </c>
      <c r="N78" s="5">
        <v>8.3333333333333329E-2</v>
      </c>
      <c r="O78">
        <v>476953</v>
      </c>
      <c r="P78" t="s">
        <v>16</v>
      </c>
      <c r="Q78" t="s">
        <v>47</v>
      </c>
      <c r="R78">
        <v>300</v>
      </c>
    </row>
    <row r="79" spans="10:23" x14ac:dyDescent="0.2">
      <c r="K79" t="s">
        <v>44</v>
      </c>
      <c r="L79" t="s">
        <v>45</v>
      </c>
      <c r="M79" t="s">
        <v>46</v>
      </c>
      <c r="N79" s="5">
        <v>0.125</v>
      </c>
      <c r="O79">
        <v>1074982</v>
      </c>
      <c r="P79" t="s">
        <v>16</v>
      </c>
      <c r="Q79" t="s">
        <v>47</v>
      </c>
      <c r="R79">
        <v>100</v>
      </c>
    </row>
    <row r="80" spans="10:23" x14ac:dyDescent="0.2">
      <c r="K80" t="s">
        <v>44</v>
      </c>
      <c r="L80" t="s">
        <v>45</v>
      </c>
      <c r="M80" t="s">
        <v>46</v>
      </c>
      <c r="N80" s="5">
        <v>0.16666666666666666</v>
      </c>
      <c r="O80">
        <v>652551</v>
      </c>
      <c r="P80" t="s">
        <v>16</v>
      </c>
      <c r="Q80" t="s">
        <v>47</v>
      </c>
      <c r="R80">
        <v>33.33</v>
      </c>
    </row>
    <row r="81" spans="11:18" x14ac:dyDescent="0.2">
      <c r="K81" t="s">
        <v>48</v>
      </c>
      <c r="L81" t="s">
        <v>49</v>
      </c>
      <c r="M81" t="s">
        <v>44</v>
      </c>
      <c r="N81" t="s">
        <v>50</v>
      </c>
      <c r="O81">
        <v>2793511</v>
      </c>
    </row>
    <row r="83" spans="11:18" x14ac:dyDescent="0.2">
      <c r="K83" t="s">
        <v>34</v>
      </c>
    </row>
    <row r="84" spans="11:18" x14ac:dyDescent="0.2">
      <c r="K84" t="s">
        <v>40</v>
      </c>
      <c r="L84" t="s">
        <v>41</v>
      </c>
      <c r="M84" t="s">
        <v>42</v>
      </c>
      <c r="N84" t="s">
        <v>40</v>
      </c>
    </row>
    <row r="85" spans="11:18" x14ac:dyDescent="0.2">
      <c r="K85" t="s">
        <v>43</v>
      </c>
    </row>
    <row r="86" spans="11:18" x14ac:dyDescent="0.2">
      <c r="K86" t="s">
        <v>44</v>
      </c>
      <c r="L86" t="s">
        <v>45</v>
      </c>
      <c r="M86" t="s">
        <v>46</v>
      </c>
      <c r="N86" s="5">
        <v>4.1666666666666664E-2</v>
      </c>
      <c r="O86">
        <v>931466</v>
      </c>
      <c r="P86" t="s">
        <v>16</v>
      </c>
      <c r="Q86" t="s">
        <v>47</v>
      </c>
      <c r="R86">
        <v>900</v>
      </c>
    </row>
    <row r="87" spans="11:18" x14ac:dyDescent="0.2">
      <c r="K87" t="s">
        <v>44</v>
      </c>
      <c r="L87" t="s">
        <v>45</v>
      </c>
      <c r="M87" t="s">
        <v>46</v>
      </c>
      <c r="N87" s="5">
        <v>8.3333333333333329E-2</v>
      </c>
      <c r="O87">
        <v>793523</v>
      </c>
      <c r="P87" t="s">
        <v>16</v>
      </c>
      <c r="Q87" t="s">
        <v>47</v>
      </c>
      <c r="R87">
        <v>300</v>
      </c>
    </row>
    <row r="88" spans="11:18" x14ac:dyDescent="0.2">
      <c r="K88" t="s">
        <v>44</v>
      </c>
      <c r="L88" t="s">
        <v>45</v>
      </c>
      <c r="M88" t="s">
        <v>46</v>
      </c>
      <c r="N88" s="5">
        <v>0.125</v>
      </c>
      <c r="O88">
        <v>557072</v>
      </c>
      <c r="P88" t="s">
        <v>16</v>
      </c>
      <c r="Q88" t="s">
        <v>47</v>
      </c>
      <c r="R88">
        <v>100</v>
      </c>
    </row>
    <row r="89" spans="11:18" x14ac:dyDescent="0.2">
      <c r="K89" t="s">
        <v>44</v>
      </c>
      <c r="L89" t="s">
        <v>45</v>
      </c>
      <c r="M89" t="s">
        <v>46</v>
      </c>
      <c r="N89" s="5">
        <v>0.16666666666666666</v>
      </c>
      <c r="O89">
        <v>511450</v>
      </c>
      <c r="P89" t="s">
        <v>16</v>
      </c>
      <c r="Q89" t="s">
        <v>47</v>
      </c>
      <c r="R89">
        <v>33.33</v>
      </c>
    </row>
    <row r="90" spans="11:18" x14ac:dyDescent="0.2">
      <c r="K90" t="s">
        <v>48</v>
      </c>
      <c r="L90" t="s">
        <v>49</v>
      </c>
      <c r="M90" t="s">
        <v>44</v>
      </c>
      <c r="N90" t="s">
        <v>50</v>
      </c>
      <c r="O90">
        <v>2793511</v>
      </c>
    </row>
    <row r="92" spans="11:18" x14ac:dyDescent="0.2">
      <c r="K92" t="s">
        <v>52</v>
      </c>
    </row>
    <row r="93" spans="11:18" x14ac:dyDescent="0.2">
      <c r="K93" t="s">
        <v>40</v>
      </c>
      <c r="L93" t="s">
        <v>41</v>
      </c>
      <c r="M93" t="s">
        <v>42</v>
      </c>
      <c r="N93" t="s">
        <v>40</v>
      </c>
    </row>
    <row r="94" spans="11:18" x14ac:dyDescent="0.2">
      <c r="K94" t="s">
        <v>43</v>
      </c>
    </row>
    <row r="95" spans="11:18" x14ac:dyDescent="0.2">
      <c r="K95" t="s">
        <v>44</v>
      </c>
      <c r="L95" t="s">
        <v>45</v>
      </c>
      <c r="M95" t="s">
        <v>46</v>
      </c>
      <c r="N95" s="5">
        <v>4.1666666666666664E-2</v>
      </c>
      <c r="O95">
        <v>678725</v>
      </c>
      <c r="P95" t="s">
        <v>16</v>
      </c>
      <c r="Q95" t="s">
        <v>47</v>
      </c>
      <c r="R95">
        <v>800</v>
      </c>
    </row>
    <row r="96" spans="11:18" x14ac:dyDescent="0.2">
      <c r="K96" t="s">
        <v>44</v>
      </c>
      <c r="L96" t="s">
        <v>45</v>
      </c>
      <c r="M96" t="s">
        <v>46</v>
      </c>
      <c r="N96" s="5">
        <v>8.3333333333333329E-2</v>
      </c>
      <c r="O96">
        <v>589774</v>
      </c>
      <c r="P96" t="s">
        <v>16</v>
      </c>
      <c r="Q96" t="s">
        <v>47</v>
      </c>
      <c r="R96">
        <v>266.67</v>
      </c>
    </row>
    <row r="97" spans="11:18" x14ac:dyDescent="0.2">
      <c r="K97" t="s">
        <v>44</v>
      </c>
      <c r="L97" t="s">
        <v>45</v>
      </c>
      <c r="M97" t="s">
        <v>46</v>
      </c>
      <c r="N97" s="5">
        <v>0.125</v>
      </c>
      <c r="O97">
        <v>923289</v>
      </c>
      <c r="P97" t="s">
        <v>16</v>
      </c>
      <c r="Q97" t="s">
        <v>47</v>
      </c>
      <c r="R97">
        <v>88.89</v>
      </c>
    </row>
    <row r="98" spans="11:18" x14ac:dyDescent="0.2">
      <c r="K98" t="s">
        <v>44</v>
      </c>
      <c r="L98" t="s">
        <v>45</v>
      </c>
      <c r="M98" t="s">
        <v>46</v>
      </c>
      <c r="N98" s="5">
        <v>0.16666666666666666</v>
      </c>
      <c r="O98">
        <v>601723</v>
      </c>
      <c r="P98" t="s">
        <v>16</v>
      </c>
      <c r="Q98" t="s">
        <v>47</v>
      </c>
      <c r="R98">
        <v>29.63</v>
      </c>
    </row>
    <row r="99" spans="11:18" x14ac:dyDescent="0.2">
      <c r="K99" t="s">
        <v>48</v>
      </c>
      <c r="L99" t="s">
        <v>49</v>
      </c>
      <c r="M99" t="s">
        <v>44</v>
      </c>
      <c r="N99" t="s">
        <v>50</v>
      </c>
      <c r="O99">
        <v>2793511</v>
      </c>
    </row>
    <row r="101" spans="11:18" x14ac:dyDescent="0.2">
      <c r="K101" t="s">
        <v>53</v>
      </c>
    </row>
    <row r="102" spans="11:18" x14ac:dyDescent="0.2">
      <c r="K102" t="s">
        <v>40</v>
      </c>
      <c r="L102" t="s">
        <v>41</v>
      </c>
      <c r="M102" t="s">
        <v>42</v>
      </c>
      <c r="N102" t="s">
        <v>40</v>
      </c>
    </row>
    <row r="103" spans="11:18" x14ac:dyDescent="0.2">
      <c r="K103" t="s">
        <v>43</v>
      </c>
    </row>
    <row r="104" spans="11:18" x14ac:dyDescent="0.2">
      <c r="K104" t="s">
        <v>44</v>
      </c>
      <c r="L104" t="s">
        <v>45</v>
      </c>
      <c r="M104" t="s">
        <v>46</v>
      </c>
      <c r="N104" s="5">
        <v>4.1666666666666664E-2</v>
      </c>
      <c r="O104">
        <v>931466</v>
      </c>
      <c r="P104" t="s">
        <v>16</v>
      </c>
      <c r="Q104" t="s">
        <v>47</v>
      </c>
      <c r="R104">
        <v>800</v>
      </c>
    </row>
    <row r="105" spans="11:18" x14ac:dyDescent="0.2">
      <c r="K105" t="s">
        <v>44</v>
      </c>
      <c r="L105" t="s">
        <v>45</v>
      </c>
      <c r="M105" t="s">
        <v>46</v>
      </c>
      <c r="N105" s="5">
        <v>8.3333333333333329E-2</v>
      </c>
      <c r="O105">
        <v>657073</v>
      </c>
      <c r="P105" t="s">
        <v>16</v>
      </c>
      <c r="Q105" t="s">
        <v>47</v>
      </c>
      <c r="R105">
        <v>266.67</v>
      </c>
    </row>
    <row r="106" spans="11:18" x14ac:dyDescent="0.2">
      <c r="K106" t="s">
        <v>44</v>
      </c>
      <c r="L106" t="s">
        <v>45</v>
      </c>
      <c r="M106" t="s">
        <v>46</v>
      </c>
      <c r="N106" s="5">
        <v>0.125</v>
      </c>
      <c r="O106">
        <v>693522</v>
      </c>
      <c r="P106" t="s">
        <v>16</v>
      </c>
      <c r="Q106" t="s">
        <v>47</v>
      </c>
      <c r="R106">
        <v>88.89</v>
      </c>
    </row>
    <row r="107" spans="11:18" x14ac:dyDescent="0.2">
      <c r="K107" t="s">
        <v>44</v>
      </c>
      <c r="L107" t="s">
        <v>45</v>
      </c>
      <c r="M107" t="s">
        <v>46</v>
      </c>
      <c r="N107" s="5">
        <v>0.16666666666666666</v>
      </c>
      <c r="O107">
        <v>511450</v>
      </c>
      <c r="P107" t="s">
        <v>16</v>
      </c>
      <c r="Q107" t="s">
        <v>47</v>
      </c>
      <c r="R107">
        <v>29.63</v>
      </c>
    </row>
    <row r="108" spans="11:18" x14ac:dyDescent="0.2">
      <c r="K108" t="s">
        <v>48</v>
      </c>
      <c r="L108" t="s">
        <v>49</v>
      </c>
      <c r="M108" t="s">
        <v>44</v>
      </c>
      <c r="N108" t="s">
        <v>50</v>
      </c>
      <c r="O108">
        <v>2793511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AFA5E-D39D-0742-B3DF-D448B42F861B}">
  <dimension ref="B2:W37"/>
  <sheetViews>
    <sheetView tabSelected="1" workbookViewId="0">
      <selection activeCell="M35" sqref="M35"/>
    </sheetView>
  </sheetViews>
  <sheetFormatPr baseColWidth="10" defaultRowHeight="16" x14ac:dyDescent="0.2"/>
  <cols>
    <col min="5" max="5" width="11.33203125" bestFit="1" customWidth="1"/>
  </cols>
  <sheetData>
    <row r="2" spans="2:22" x14ac:dyDescent="0.2">
      <c r="B2" t="s">
        <v>57</v>
      </c>
      <c r="E2" t="s">
        <v>82</v>
      </c>
      <c r="G2" t="s">
        <v>83</v>
      </c>
    </row>
    <row r="3" spans="2:22" x14ac:dyDescent="0.2">
      <c r="B3" t="s">
        <v>16</v>
      </c>
      <c r="C3">
        <v>1000</v>
      </c>
      <c r="E3">
        <v>1000</v>
      </c>
      <c r="G3" s="1">
        <v>1500</v>
      </c>
    </row>
    <row r="4" spans="2:22" x14ac:dyDescent="0.2">
      <c r="B4" t="s">
        <v>58</v>
      </c>
      <c r="C4">
        <v>50</v>
      </c>
      <c r="E4">
        <v>100</v>
      </c>
      <c r="G4" s="1">
        <v>100</v>
      </c>
    </row>
    <row r="5" spans="2:22" x14ac:dyDescent="0.2">
      <c r="B5" t="s">
        <v>59</v>
      </c>
      <c r="C5">
        <v>4</v>
      </c>
      <c r="E5">
        <v>4</v>
      </c>
      <c r="G5" s="1">
        <v>4</v>
      </c>
    </row>
    <row r="6" spans="2:22" x14ac:dyDescent="0.2">
      <c r="B6" t="s">
        <v>60</v>
      </c>
      <c r="C6">
        <v>400</v>
      </c>
      <c r="E6">
        <v>400</v>
      </c>
      <c r="G6" s="1">
        <v>400</v>
      </c>
    </row>
    <row r="7" spans="2:22" x14ac:dyDescent="0.2">
      <c r="O7" t="s">
        <v>64</v>
      </c>
    </row>
    <row r="8" spans="2:22" x14ac:dyDescent="0.2">
      <c r="O8" t="s">
        <v>65</v>
      </c>
    </row>
    <row r="9" spans="2:22" x14ac:dyDescent="0.2">
      <c r="B9" t="s">
        <v>61</v>
      </c>
      <c r="D9" t="s">
        <v>81</v>
      </c>
      <c r="K9" t="s">
        <v>62</v>
      </c>
      <c r="M9" t="s">
        <v>81</v>
      </c>
    </row>
    <row r="10" spans="2:22" x14ac:dyDescent="0.2">
      <c r="D10" t="s">
        <v>80</v>
      </c>
      <c r="E10" t="s">
        <v>84</v>
      </c>
      <c r="M10" t="s">
        <v>80</v>
      </c>
      <c r="O10" t="s">
        <v>63</v>
      </c>
    </row>
    <row r="11" spans="2:22" x14ac:dyDescent="0.2">
      <c r="B11" t="s">
        <v>63</v>
      </c>
      <c r="C11">
        <v>-3686.2963628423299</v>
      </c>
      <c r="D11" s="3">
        <f t="shared" ref="D11:D18" si="0">(C11-$C$19)/120*27.21138</f>
        <v>-7.2491599775265959E-3</v>
      </c>
      <c r="E11" s="4">
        <f>D11*1000</f>
        <v>-7.2491599775265962</v>
      </c>
      <c r="K11" t="s">
        <v>63</v>
      </c>
      <c r="L11">
        <v>-2065.92040169353</v>
      </c>
      <c r="M11">
        <f>(L11-$L$11)/88*27.21138</f>
        <v>0</v>
      </c>
      <c r="O11" t="s">
        <v>40</v>
      </c>
      <c r="P11" t="s">
        <v>41</v>
      </c>
      <c r="Q11" t="s">
        <v>42</v>
      </c>
      <c r="R11" t="s">
        <v>40</v>
      </c>
    </row>
    <row r="12" spans="2:22" x14ac:dyDescent="0.2">
      <c r="B12">
        <v>900</v>
      </c>
      <c r="C12">
        <v>-3686.3226886378602</v>
      </c>
      <c r="D12" s="3">
        <f t="shared" si="0"/>
        <v>-1.3218836860666945E-2</v>
      </c>
      <c r="E12" s="4">
        <f t="shared" ref="E12:E19" si="1">D12*1000</f>
        <v>-13.218836860666945</v>
      </c>
      <c r="K12">
        <v>900</v>
      </c>
      <c r="L12">
        <v>-2065.9204033053102</v>
      </c>
      <c r="M12">
        <f t="shared" ref="M12:M14" si="2">(L12-$L$11)/88*27.21138</f>
        <v>-4.9839501970030725E-7</v>
      </c>
      <c r="O12" t="s">
        <v>43</v>
      </c>
    </row>
    <row r="13" spans="2:22" x14ac:dyDescent="0.2">
      <c r="B13">
        <v>1100</v>
      </c>
      <c r="C13">
        <v>-3686.2916469081601</v>
      </c>
      <c r="D13" s="3">
        <f t="shared" si="0"/>
        <v>-6.1797676712858768E-3</v>
      </c>
      <c r="E13" s="4">
        <f t="shared" si="1"/>
        <v>-6.1797676712858767</v>
      </c>
      <c r="K13">
        <v>1100</v>
      </c>
      <c r="L13">
        <v>-2065.9204011288498</v>
      </c>
      <c r="M13">
        <f t="shared" si="2"/>
        <v>1.7461055500224242E-7</v>
      </c>
      <c r="O13" t="s">
        <v>44</v>
      </c>
      <c r="P13" t="s">
        <v>45</v>
      </c>
      <c r="Q13" t="s">
        <v>46</v>
      </c>
      <c r="R13" s="5">
        <v>4.1666666666666664E-2</v>
      </c>
      <c r="S13">
        <v>179222</v>
      </c>
      <c r="T13" t="s">
        <v>16</v>
      </c>
      <c r="U13" t="s">
        <v>47</v>
      </c>
      <c r="V13">
        <v>500</v>
      </c>
    </row>
    <row r="14" spans="2:22" x14ac:dyDescent="0.2">
      <c r="B14">
        <v>1200</v>
      </c>
      <c r="C14">
        <v>-3686.27073214342</v>
      </c>
      <c r="D14" s="3">
        <f t="shared" si="0"/>
        <v>-1.437104246661201E-3</v>
      </c>
      <c r="E14" s="4">
        <f t="shared" si="1"/>
        <v>-1.437104246661201</v>
      </c>
      <c r="K14" t="s">
        <v>77</v>
      </c>
      <c r="L14">
        <v>-2065.92040247669</v>
      </c>
      <c r="M14">
        <f t="shared" si="2"/>
        <v>-2.4216890576378152E-7</v>
      </c>
      <c r="O14" t="s">
        <v>44</v>
      </c>
      <c r="P14" t="s">
        <v>45</v>
      </c>
      <c r="Q14" t="s">
        <v>46</v>
      </c>
      <c r="R14" s="5">
        <v>8.3333333333333329E-2</v>
      </c>
      <c r="S14">
        <v>4591185</v>
      </c>
      <c r="T14" t="s">
        <v>16</v>
      </c>
      <c r="U14" t="s">
        <v>47</v>
      </c>
      <c r="V14">
        <v>166.67</v>
      </c>
    </row>
    <row r="15" spans="2:22" x14ac:dyDescent="0.2">
      <c r="B15">
        <v>1300</v>
      </c>
      <c r="C15">
        <v>-3686.2707321948801</v>
      </c>
      <c r="D15" s="3">
        <f t="shared" si="0"/>
        <v>-1.4371159158351392E-3</v>
      </c>
      <c r="E15" s="4">
        <f t="shared" si="1"/>
        <v>-1.4371159158351392</v>
      </c>
      <c r="O15" t="s">
        <v>44</v>
      </c>
      <c r="P15" t="s">
        <v>45</v>
      </c>
      <c r="Q15" t="s">
        <v>46</v>
      </c>
      <c r="R15" s="5">
        <v>0.125</v>
      </c>
      <c r="S15">
        <v>5565407</v>
      </c>
      <c r="T15" t="s">
        <v>16</v>
      </c>
      <c r="U15" t="s">
        <v>47</v>
      </c>
      <c r="V15">
        <v>55.56</v>
      </c>
    </row>
    <row r="16" spans="2:22" x14ac:dyDescent="0.2">
      <c r="B16">
        <v>1400</v>
      </c>
      <c r="C16">
        <v>-3686.26914145817</v>
      </c>
      <c r="D16" s="3">
        <f t="shared" si="0"/>
        <v>-1.076398073344723E-3</v>
      </c>
      <c r="E16" s="4">
        <f t="shared" si="1"/>
        <v>-1.0763980733447229</v>
      </c>
      <c r="O16" t="s">
        <v>44</v>
      </c>
      <c r="P16" t="s">
        <v>45</v>
      </c>
      <c r="Q16" t="s">
        <v>46</v>
      </c>
      <c r="R16" s="5">
        <v>0.16666666666666666</v>
      </c>
      <c r="S16">
        <v>4399863</v>
      </c>
      <c r="T16" t="s">
        <v>16</v>
      </c>
      <c r="U16" t="s">
        <v>47</v>
      </c>
      <c r="V16">
        <v>18.52</v>
      </c>
    </row>
    <row r="17" spans="2:23" x14ac:dyDescent="0.2">
      <c r="B17">
        <v>1500</v>
      </c>
      <c r="C17">
        <v>-3686.2665171015501</v>
      </c>
      <c r="D17" s="3">
        <f>(C17-$C$19)/120*27.21138</f>
        <v>-4.8129502968353169E-4</v>
      </c>
      <c r="E17" s="4">
        <f t="shared" si="1"/>
        <v>-0.48129502968353172</v>
      </c>
      <c r="O17" t="s">
        <v>48</v>
      </c>
      <c r="P17" t="s">
        <v>49</v>
      </c>
      <c r="Q17" t="s">
        <v>44</v>
      </c>
      <c r="R17" t="s">
        <v>50</v>
      </c>
      <c r="S17">
        <v>14735677</v>
      </c>
    </row>
    <row r="18" spans="2:23" x14ac:dyDescent="0.2">
      <c r="B18">
        <v>1600</v>
      </c>
      <c r="C18">
        <v>-3686.2654332461502</v>
      </c>
      <c r="D18" s="3">
        <f t="shared" si="0"/>
        <v>-2.3551835342279059E-4</v>
      </c>
      <c r="E18" s="4">
        <f t="shared" si="1"/>
        <v>-0.23551835342279059</v>
      </c>
    </row>
    <row r="19" spans="2:23" x14ac:dyDescent="0.2">
      <c r="B19">
        <v>2000</v>
      </c>
      <c r="C19">
        <v>-3686.26439462913</v>
      </c>
      <c r="D19" s="3">
        <f>(C19-$C$19)/120*27.21138</f>
        <v>0</v>
      </c>
      <c r="E19" s="4">
        <f t="shared" si="1"/>
        <v>0</v>
      </c>
      <c r="O19" t="s">
        <v>78</v>
      </c>
      <c r="P19" t="s">
        <v>79</v>
      </c>
    </row>
    <row r="20" spans="2:23" x14ac:dyDescent="0.2">
      <c r="P20" t="s">
        <v>40</v>
      </c>
      <c r="Q20" t="s">
        <v>41</v>
      </c>
      <c r="R20" t="s">
        <v>42</v>
      </c>
      <c r="S20" t="s">
        <v>40</v>
      </c>
    </row>
    <row r="21" spans="2:23" x14ac:dyDescent="0.2">
      <c r="B21" t="s">
        <v>85</v>
      </c>
      <c r="K21" t="s">
        <v>91</v>
      </c>
      <c r="P21" t="s">
        <v>43</v>
      </c>
    </row>
    <row r="22" spans="2:23" x14ac:dyDescent="0.2">
      <c r="B22">
        <v>100</v>
      </c>
      <c r="C22">
        <v>-3686.2665171015501</v>
      </c>
      <c r="D22" s="3">
        <f>(C22-$C$19)/120*27.21138</f>
        <v>-4.8129502968353169E-4</v>
      </c>
      <c r="E22" s="4">
        <f t="shared" ref="E22:E23" si="3">D22*1000</f>
        <v>-0.48129502968353172</v>
      </c>
      <c r="K22" t="s">
        <v>66</v>
      </c>
      <c r="P22" t="s">
        <v>44</v>
      </c>
      <c r="Q22" t="s">
        <v>45</v>
      </c>
      <c r="R22" t="s">
        <v>46</v>
      </c>
      <c r="S22" s="5">
        <v>4.1666666666666664E-2</v>
      </c>
      <c r="T22">
        <v>3380284</v>
      </c>
      <c r="U22" t="s">
        <v>16</v>
      </c>
      <c r="V22" t="s">
        <v>47</v>
      </c>
      <c r="W22">
        <v>500</v>
      </c>
    </row>
    <row r="23" spans="2:23" x14ac:dyDescent="0.2">
      <c r="B23">
        <v>150</v>
      </c>
      <c r="C23">
        <v>-3686.2665171317899</v>
      </c>
      <c r="D23" s="3">
        <f>(C23-$C$19)/120*27.21138</f>
        <v>-4.8130188690352204E-4</v>
      </c>
      <c r="E23" s="4">
        <f t="shared" si="3"/>
        <v>-0.48130188690352205</v>
      </c>
      <c r="K23" t="s">
        <v>67</v>
      </c>
      <c r="L23" t="s">
        <v>37</v>
      </c>
      <c r="P23" t="s">
        <v>44</v>
      </c>
      <c r="Q23" t="s">
        <v>45</v>
      </c>
      <c r="R23" t="s">
        <v>46</v>
      </c>
      <c r="S23" s="5">
        <v>8.3333333333333329E-2</v>
      </c>
      <c r="T23">
        <v>5114500</v>
      </c>
      <c r="U23" t="s">
        <v>16</v>
      </c>
      <c r="V23" t="s">
        <v>47</v>
      </c>
      <c r="W23">
        <v>166.67</v>
      </c>
    </row>
    <row r="24" spans="2:23" x14ac:dyDescent="0.2">
      <c r="K24" t="s">
        <v>68</v>
      </c>
      <c r="L24">
        <v>4530.5959999999995</v>
      </c>
      <c r="P24" t="s">
        <v>44</v>
      </c>
      <c r="Q24" t="s">
        <v>45</v>
      </c>
      <c r="R24" t="s">
        <v>46</v>
      </c>
      <c r="S24" s="5">
        <v>0.125</v>
      </c>
      <c r="T24">
        <v>3942185</v>
      </c>
      <c r="U24" t="s">
        <v>16</v>
      </c>
      <c r="V24" t="s">
        <v>47</v>
      </c>
      <c r="W24">
        <v>55.56</v>
      </c>
    </row>
    <row r="25" spans="2:23" x14ac:dyDescent="0.2">
      <c r="B25" t="s">
        <v>54</v>
      </c>
      <c r="K25" t="s">
        <v>69</v>
      </c>
      <c r="L25">
        <v>4244.9359999999997</v>
      </c>
      <c r="P25" t="s">
        <v>44</v>
      </c>
      <c r="Q25" t="s">
        <v>45</v>
      </c>
      <c r="R25" t="s">
        <v>46</v>
      </c>
      <c r="S25" s="5">
        <v>0.16666666666666666</v>
      </c>
      <c r="T25">
        <v>2298708</v>
      </c>
      <c r="U25" t="s">
        <v>16</v>
      </c>
      <c r="V25" t="s">
        <v>47</v>
      </c>
      <c r="W25">
        <v>18.52</v>
      </c>
    </row>
    <row r="26" spans="2:23" x14ac:dyDescent="0.2">
      <c r="B26">
        <v>400</v>
      </c>
      <c r="C26">
        <v>-3686.2665171015501</v>
      </c>
      <c r="D26" s="3">
        <f>(C26-$C$19)/120*27.21138</f>
        <v>-4.8129502968353169E-4</v>
      </c>
      <c r="E26" s="4">
        <f t="shared" ref="E26:E27" si="4">D26*1000</f>
        <v>-0.48129502968353172</v>
      </c>
      <c r="K26" t="s">
        <v>70</v>
      </c>
      <c r="L26">
        <v>4272.93</v>
      </c>
      <c r="P26" t="s">
        <v>48</v>
      </c>
      <c r="Q26" t="s">
        <v>49</v>
      </c>
      <c r="R26" t="s">
        <v>44</v>
      </c>
      <c r="S26" t="s">
        <v>50</v>
      </c>
      <c r="T26">
        <v>14735677</v>
      </c>
    </row>
    <row r="27" spans="2:23" x14ac:dyDescent="0.2">
      <c r="B27">
        <v>500</v>
      </c>
      <c r="C27">
        <v>-3686.2673945525498</v>
      </c>
      <c r="D27" s="3">
        <f>(C27-$C$19)/120*27.21138</f>
        <v>-6.8026713455740149E-4</v>
      </c>
      <c r="E27" s="4">
        <f t="shared" si="4"/>
        <v>-0.68026713455740151</v>
      </c>
      <c r="K27" s="1" t="s">
        <v>71</v>
      </c>
      <c r="L27" s="1">
        <v>3941.877</v>
      </c>
    </row>
    <row r="28" spans="2:23" x14ac:dyDescent="0.2">
      <c r="K28" t="s">
        <v>72</v>
      </c>
      <c r="L28">
        <v>5233.2309999999998</v>
      </c>
    </row>
    <row r="29" spans="2:23" x14ac:dyDescent="0.2">
      <c r="K29" t="s">
        <v>73</v>
      </c>
      <c r="L29">
        <v>4960.6869999999999</v>
      </c>
    </row>
    <row r="30" spans="2:23" x14ac:dyDescent="0.2">
      <c r="K30" t="s">
        <v>74</v>
      </c>
      <c r="L30">
        <v>4279.8900000000003</v>
      </c>
    </row>
    <row r="31" spans="2:23" x14ac:dyDescent="0.2">
      <c r="K31" s="1" t="s">
        <v>75</v>
      </c>
      <c r="L31" s="1">
        <v>3751.4569999999999</v>
      </c>
    </row>
    <row r="32" spans="2:23" x14ac:dyDescent="0.2">
      <c r="K32" t="s">
        <v>76</v>
      </c>
      <c r="L32">
        <v>4876.4660000000003</v>
      </c>
    </row>
    <row r="33" spans="11:12" x14ac:dyDescent="0.2">
      <c r="K33" t="s">
        <v>86</v>
      </c>
      <c r="L33">
        <v>5348.5519999999997</v>
      </c>
    </row>
    <row r="34" spans="11:12" x14ac:dyDescent="0.2">
      <c r="K34" t="s">
        <v>87</v>
      </c>
    </row>
    <row r="35" spans="11:12" x14ac:dyDescent="0.2">
      <c r="K35" t="s">
        <v>88</v>
      </c>
      <c r="L35">
        <v>7794.25</v>
      </c>
    </row>
    <row r="36" spans="11:12" x14ac:dyDescent="0.2">
      <c r="K36" t="s">
        <v>89</v>
      </c>
      <c r="L36">
        <v>6848.48</v>
      </c>
    </row>
    <row r="37" spans="11:12" x14ac:dyDescent="0.2">
      <c r="K37" t="s">
        <v>90</v>
      </c>
      <c r="L37">
        <v>8116.5339999999997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nacl</vt:lpstr>
      <vt:lpstr>mgcl2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2024-10-29T13:00:22Z</dcterms:created>
  <dcterms:modified xsi:type="dcterms:W3CDTF">2025-07-29T21:01:56Z</dcterms:modified>
</cp:coreProperties>
</file>