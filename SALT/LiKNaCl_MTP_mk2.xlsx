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13_ncr:1_{33E5553E-0758-AE4E-8EEC-5EB858AF09F1}" xr6:coauthVersionLast="47" xr6:coauthVersionMax="47" xr10:uidLastSave="{00000000-0000-0000-0000-000000000000}"/>
  <bookViews>
    <workbookView xWindow="2120" yWindow="2960" windowWidth="29380" windowHeight="18960" activeTab="1" xr2:uid="{AD1F0662-E479-F942-9113-E180C0D161B9}"/>
  </bookViews>
  <sheets>
    <sheet name="Sheet1" sheetId="1" r:id="rId1"/>
    <sheet name="33.33.33" sheetId="2" r:id="rId2"/>
  </sheets>
  <definedNames>
    <definedName name="_xlchart.v1.0" hidden="1">'33.33.33'!$U$11:$U$14</definedName>
    <definedName name="_xlchart.v1.1" hidden="1">'33.33.33'!$V$11:$V$14</definedName>
    <definedName name="_xlchart.v1.10" hidden="1">'33.33.33'!$Y$11:$Y$14</definedName>
    <definedName name="_xlchart.v1.11" hidden="1">'33.33.33'!$Z$11:$Z$14</definedName>
    <definedName name="_xlchart.v1.12" hidden="1">'33.33.33'!$U$11:$U$14</definedName>
    <definedName name="_xlchart.v1.13" hidden="1">'33.33.33'!$V$11:$V$14</definedName>
    <definedName name="_xlchart.v1.14" hidden="1">'33.33.33'!$W$11:$W$14</definedName>
    <definedName name="_xlchart.v1.15" hidden="1">'33.33.33'!$X$11:$X$14</definedName>
    <definedName name="_xlchart.v1.16" hidden="1">'33.33.33'!$Y$11:$Y$14</definedName>
    <definedName name="_xlchart.v1.17" hidden="1">'33.33.33'!$Z$11:$Z$14</definedName>
    <definedName name="_xlchart.v1.18" hidden="1">'33.33.33'!$U$11:$U$14</definedName>
    <definedName name="_xlchart.v1.19" hidden="1">'33.33.33'!$V$11:$V$14</definedName>
    <definedName name="_xlchart.v1.2" hidden="1">'33.33.33'!$W$11:$W$14</definedName>
    <definedName name="_xlchart.v1.20" hidden="1">'33.33.33'!$W$11:$W$14</definedName>
    <definedName name="_xlchart.v1.21" hidden="1">'33.33.33'!$X$11:$X$14</definedName>
    <definedName name="_xlchart.v1.22" hidden="1">'33.33.33'!$Y$11:$Y$14</definedName>
    <definedName name="_xlchart.v1.23" hidden="1">'33.33.33'!$Z$11:$Z$14</definedName>
    <definedName name="_xlchart.v1.3" hidden="1">'33.33.33'!$X$11:$X$14</definedName>
    <definedName name="_xlchart.v1.4" hidden="1">'33.33.33'!$Y$11:$Y$14</definedName>
    <definedName name="_xlchart.v1.5" hidden="1">'33.33.33'!$Z$11:$Z$14</definedName>
    <definedName name="_xlchart.v1.6" hidden="1">'33.33.33'!$U$11:$U$14</definedName>
    <definedName name="_xlchart.v1.7" hidden="1">'33.33.33'!$V$11:$V$14</definedName>
    <definedName name="_xlchart.v1.8" hidden="1">'33.33.33'!$W$11:$W$14</definedName>
    <definedName name="_xlchart.v1.9" hidden="1">'33.33.33'!$X$11:$X$14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2" l="1"/>
  <c r="D16" i="2"/>
  <c r="D17" i="2"/>
  <c r="D15" i="2"/>
  <c r="I12" i="2"/>
  <c r="I13" i="2"/>
  <c r="I14" i="2"/>
  <c r="I11" i="2"/>
  <c r="R12" i="2"/>
  <c r="R13" i="2"/>
  <c r="R14" i="2"/>
  <c r="R15" i="2"/>
  <c r="R16" i="2"/>
  <c r="R11" i="2"/>
  <c r="AN41" i="2"/>
  <c r="AN35" i="2"/>
  <c r="AN29" i="2"/>
  <c r="AN23" i="2"/>
  <c r="Q53" i="2"/>
  <c r="Q52" i="2"/>
  <c r="Q51" i="2"/>
  <c r="R50" i="2" a="1"/>
  <c r="R50" i="2" s="1"/>
  <c r="R51" i="2" s="1"/>
  <c r="Q50" i="2"/>
  <c r="Q15" i="2"/>
  <c r="O50" i="2"/>
  <c r="K53" i="2"/>
  <c r="L53" i="2" s="1"/>
  <c r="K52" i="2"/>
  <c r="L52" i="2" s="1"/>
  <c r="K51" i="2"/>
  <c r="L51" i="2" s="1"/>
  <c r="K50" i="2"/>
  <c r="L50" i="2" s="1"/>
  <c r="AG67" i="2"/>
  <c r="AG61" i="2"/>
  <c r="AG55" i="2"/>
  <c r="AG49" i="2"/>
  <c r="Z67" i="2"/>
  <c r="Z61" i="2"/>
  <c r="Z55" i="2"/>
  <c r="Z49" i="2"/>
  <c r="AG41" i="2"/>
  <c r="AG35" i="2"/>
  <c r="AG29" i="2"/>
  <c r="AG23" i="2"/>
  <c r="Z35" i="2"/>
  <c r="Z41" i="2"/>
  <c r="Z29" i="2"/>
  <c r="Z23" i="2"/>
  <c r="Q11" i="2"/>
  <c r="P16" i="2"/>
  <c r="Q12" i="2" s="1"/>
  <c r="Q46" i="2"/>
  <c r="Q45" i="2"/>
  <c r="Q44" i="2"/>
  <c r="Q43" i="2"/>
  <c r="R43" i="2" s="1" a="1"/>
  <c r="R43" i="2" s="1"/>
  <c r="R44" i="2" s="1"/>
  <c r="K46" i="2"/>
  <c r="L46" i="2" s="1"/>
  <c r="K45" i="2"/>
  <c r="L45" i="2" s="1"/>
  <c r="K44" i="2"/>
  <c r="L44" i="2" s="1"/>
  <c r="K43" i="2"/>
  <c r="L43" i="2" s="1"/>
  <c r="O43" i="2"/>
  <c r="Q39" i="2"/>
  <c r="Q38" i="2"/>
  <c r="Q37" i="2"/>
  <c r="R36" i="2" a="1"/>
  <c r="R36" i="2" s="1"/>
  <c r="R37" i="2" s="1"/>
  <c r="Q36" i="2"/>
  <c r="O36" i="2"/>
  <c r="K37" i="2"/>
  <c r="L37" i="2" s="1"/>
  <c r="K38" i="2"/>
  <c r="L38" i="2" s="1"/>
  <c r="K39" i="2"/>
  <c r="L39" i="2" s="1"/>
  <c r="K36" i="2"/>
  <c r="L36" i="2" s="1"/>
  <c r="Q32" i="2"/>
  <c r="Q31" i="2"/>
  <c r="Q30" i="2"/>
  <c r="R29" i="2" a="1"/>
  <c r="R29" i="2" s="1"/>
  <c r="R30" i="2" s="1"/>
  <c r="Q29" i="2"/>
  <c r="R22" i="2" a="1"/>
  <c r="R22" i="2" s="1"/>
  <c r="R23" i="2" s="1"/>
  <c r="Q23" i="2"/>
  <c r="Q24" i="2"/>
  <c r="Q25" i="2"/>
  <c r="Q22" i="2"/>
  <c r="O22" i="2"/>
  <c r="O29" i="2"/>
  <c r="K32" i="2"/>
  <c r="L32" i="2" s="1"/>
  <c r="K31" i="2"/>
  <c r="L31" i="2" s="1"/>
  <c r="K30" i="2"/>
  <c r="L30" i="2" s="1"/>
  <c r="K29" i="2"/>
  <c r="L29" i="2" s="1"/>
  <c r="K23" i="2"/>
  <c r="L23" i="2" s="1"/>
  <c r="K24" i="2"/>
  <c r="L24" i="2" s="1"/>
  <c r="K25" i="2"/>
  <c r="L25" i="2" s="1"/>
  <c r="K22" i="2"/>
  <c r="L22" i="2" s="1"/>
  <c r="C12" i="2"/>
  <c r="C13" i="2"/>
  <c r="C14" i="2"/>
  <c r="C11" i="2"/>
  <c r="AC136" i="1"/>
  <c r="AC135" i="1"/>
  <c r="V18" i="1"/>
  <c r="U18" i="1"/>
  <c r="V15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27" i="1"/>
  <c r="L18" i="1"/>
  <c r="M18" i="1" s="1"/>
  <c r="L19" i="1"/>
  <c r="M19" i="1" s="1"/>
  <c r="N19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27" i="1"/>
  <c r="AD24" i="1"/>
  <c r="AE24" i="1" s="1"/>
  <c r="AC24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27" i="1"/>
  <c r="R24" i="1"/>
  <c r="S24" i="1" s="1"/>
  <c r="Q24" i="1"/>
  <c r="F24" i="1"/>
  <c r="G24" i="1" s="1"/>
  <c r="E24" i="1"/>
  <c r="L15" i="1"/>
  <c r="M15" i="1" s="1"/>
  <c r="N18" i="1"/>
  <c r="N17" i="1"/>
  <c r="L17" i="1"/>
  <c r="M17" i="1"/>
  <c r="N16" i="1"/>
  <c r="L16" i="1"/>
  <c r="M16" i="1"/>
  <c r="S16" i="1" s="1"/>
  <c r="N15" i="1"/>
  <c r="R18" i="1"/>
  <c r="R17" i="1"/>
  <c r="T17" i="1"/>
  <c r="S17" i="1"/>
  <c r="R16" i="1"/>
  <c r="T16" i="1"/>
  <c r="R15" i="1"/>
  <c r="U15" i="1" s="1"/>
  <c r="Q16" i="2" l="1"/>
  <c r="Q14" i="2"/>
  <c r="Q13" i="2"/>
  <c r="T15" i="1"/>
  <c r="S15" i="1"/>
  <c r="S18" i="1"/>
  <c r="T18" i="1"/>
  <c r="M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<sst xmlns="http://schemas.openxmlformats.org/spreadsheetml/2006/main" count="146" uniqueCount="75">
  <si>
    <t>mass</t>
  </si>
  <si>
    <t>Li</t>
  </si>
  <si>
    <t>K</t>
  </si>
  <si>
    <t>Na</t>
  </si>
  <si>
    <t>Cl</t>
  </si>
  <si>
    <t>DFT</t>
  </si>
  <si>
    <t>EXPT</t>
  </si>
  <si>
    <t>error-MD-DFT</t>
  </si>
  <si>
    <t>error MD-expt</t>
  </si>
  <si>
    <t>TimeStep</t>
  </si>
  <si>
    <t>v_T</t>
  </si>
  <si>
    <t>v_E</t>
  </si>
  <si>
    <t>v_V</t>
  </si>
  <si>
    <t>v_P</t>
  </si>
  <si>
    <t>c_nat[1]</t>
  </si>
  <si>
    <t>c_nat[2]</t>
  </si>
  <si>
    <t>c_nat[3]</t>
  </si>
  <si>
    <t>c_nat[4]</t>
  </si>
  <si>
    <t>total mass</t>
  </si>
  <si>
    <t>density</t>
  </si>
  <si>
    <t>TE</t>
  </si>
  <si>
    <t>NaCl</t>
  </si>
  <si>
    <t>200 atoms</t>
  </si>
  <si>
    <t>#</t>
  </si>
  <si>
    <t>Time-averaged</t>
  </si>
  <si>
    <t>data</t>
  </si>
  <si>
    <t>for</t>
  </si>
  <si>
    <t>fix</t>
  </si>
  <si>
    <t>c_pvir</t>
  </si>
  <si>
    <t>1600 B</t>
  </si>
  <si>
    <t>comp_idx</t>
  </si>
  <si>
    <t>temperature_K</t>
  </si>
  <si>
    <t>n_replicas</t>
  </si>
  <si>
    <t>frac_Li</t>
  </si>
  <si>
    <t>frac_K</t>
  </si>
  <si>
    <t>frac_Na</t>
  </si>
  <si>
    <t>v_T_mean</t>
  </si>
  <si>
    <t>v_T_std</t>
  </si>
  <si>
    <t>v_T_sem</t>
  </si>
  <si>
    <t>v_E_mean</t>
  </si>
  <si>
    <t>v_E_std</t>
  </si>
  <si>
    <t>v_E_sem</t>
  </si>
  <si>
    <t>v_V_mean</t>
  </si>
  <si>
    <t>v_V_std</t>
  </si>
  <si>
    <t>v_V_sem</t>
  </si>
  <si>
    <t>v_P_mean</t>
  </si>
  <si>
    <t>v_P_std</t>
  </si>
  <si>
    <t>v_P_sem</t>
  </si>
  <si>
    <t>c_nat_1</t>
  </si>
  <si>
    <t>c_nat_2</t>
  </si>
  <si>
    <t>c_nat_3</t>
  </si>
  <si>
    <t>c_nat_4</t>
  </si>
  <si>
    <t>density_g_cc</t>
  </si>
  <si>
    <t>density_sem_g_cc</t>
  </si>
  <si>
    <t>cp_J_mol_K</t>
  </si>
  <si>
    <t>cp_sem_J_mol_K</t>
  </si>
  <si>
    <t>MTP-EXPT</t>
  </si>
  <si>
    <t>MTP-DFT</t>
  </si>
  <si>
    <t>All data for LiCl-KCl-NaCl</t>
  </si>
  <si>
    <t>33.33.33</t>
  </si>
  <si>
    <t>12_10</t>
  </si>
  <si>
    <t>14_10</t>
  </si>
  <si>
    <t>16_10</t>
  </si>
  <si>
    <t>12_8</t>
  </si>
  <si>
    <t>time</t>
  </si>
  <si>
    <t>katom-step/s</t>
  </si>
  <si>
    <t>J/mol-K</t>
  </si>
  <si>
    <t>Speed</t>
  </si>
  <si>
    <t>Cp</t>
  </si>
  <si>
    <t>Speed N</t>
  </si>
  <si>
    <t>Visc</t>
  </si>
  <si>
    <t>BMH-NaCl</t>
  </si>
  <si>
    <t>12_6</t>
  </si>
  <si>
    <t>Slowdown</t>
  </si>
  <si>
    <t>max-min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</si>
</sst>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Sheet1!$B$27:$B$126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Sheet1!$M$27:$M$126</c:f>
              <c:numCache>
                <c:formatCode>General</c:formatCode>
                <c:ptCount val="100"/>
                <c:pt idx="0">
                  <c:v>33.414899999999996</c:v>
                </c:pt>
                <c:pt idx="1">
                  <c:v>33.340850000000003</c:v>
                </c:pt>
                <c:pt idx="2">
                  <c:v>33.467100000000002</c:v>
                </c:pt>
                <c:pt idx="3">
                  <c:v>33.829250000000002</c:v>
                </c:pt>
                <c:pt idx="4">
                  <c:v>34.335300000000004</c:v>
                </c:pt>
                <c:pt idx="5">
                  <c:v>34.753950000000003</c:v>
                </c:pt>
                <c:pt idx="6">
                  <c:v>35.062750000000001</c:v>
                </c:pt>
                <c:pt idx="7">
                  <c:v>35.0717</c:v>
                </c:pt>
                <c:pt idx="8">
                  <c:v>34.745849999999997</c:v>
                </c:pt>
                <c:pt idx="9">
                  <c:v>34.037649999999999</c:v>
                </c:pt>
                <c:pt idx="10">
                  <c:v>33.184249999999999</c:v>
                </c:pt>
                <c:pt idx="11">
                  <c:v>32.491100000000003</c:v>
                </c:pt>
                <c:pt idx="12">
                  <c:v>32.023850000000003</c:v>
                </c:pt>
                <c:pt idx="13">
                  <c:v>31.861450000000001</c:v>
                </c:pt>
                <c:pt idx="14">
                  <c:v>32.15005</c:v>
                </c:pt>
                <c:pt idx="15">
                  <c:v>32.787649999999999</c:v>
                </c:pt>
                <c:pt idx="16">
                  <c:v>33.736750000000001</c:v>
                </c:pt>
                <c:pt idx="17">
                  <c:v>34.704549999999998</c:v>
                </c:pt>
                <c:pt idx="18">
                  <c:v>35.301050000000004</c:v>
                </c:pt>
                <c:pt idx="19">
                  <c:v>35.338499999999996</c:v>
                </c:pt>
                <c:pt idx="20">
                  <c:v>35.12435</c:v>
                </c:pt>
                <c:pt idx="21">
                  <c:v>34.844850000000001</c:v>
                </c:pt>
                <c:pt idx="22">
                  <c:v>34.4649</c:v>
                </c:pt>
                <c:pt idx="23">
                  <c:v>33.987299999999998</c:v>
                </c:pt>
                <c:pt idx="24">
                  <c:v>33.554699999999997</c:v>
                </c:pt>
                <c:pt idx="25">
                  <c:v>33.365000000000002</c:v>
                </c:pt>
                <c:pt idx="26">
                  <c:v>33.354050000000001</c:v>
                </c:pt>
                <c:pt idx="27">
                  <c:v>33.517049999999998</c:v>
                </c:pt>
                <c:pt idx="28">
                  <c:v>33.495149999999995</c:v>
                </c:pt>
                <c:pt idx="29">
                  <c:v>33.467150000000004</c:v>
                </c:pt>
                <c:pt idx="30">
                  <c:v>33.6083</c:v>
                </c:pt>
                <c:pt idx="31">
                  <c:v>33.821249999999999</c:v>
                </c:pt>
                <c:pt idx="32">
                  <c:v>34.008800000000001</c:v>
                </c:pt>
                <c:pt idx="33">
                  <c:v>34.331649999999996</c:v>
                </c:pt>
                <c:pt idx="34">
                  <c:v>34.652900000000002</c:v>
                </c:pt>
                <c:pt idx="35">
                  <c:v>34.821350000000002</c:v>
                </c:pt>
                <c:pt idx="36">
                  <c:v>34.887050000000002</c:v>
                </c:pt>
                <c:pt idx="37">
                  <c:v>34.617249999999999</c:v>
                </c:pt>
                <c:pt idx="38">
                  <c:v>34.208400000000005</c:v>
                </c:pt>
                <c:pt idx="39">
                  <c:v>33.82985</c:v>
                </c:pt>
                <c:pt idx="40">
                  <c:v>33.515749999999997</c:v>
                </c:pt>
                <c:pt idx="41">
                  <c:v>33.244149999999998</c:v>
                </c:pt>
                <c:pt idx="42">
                  <c:v>33.139899999999997</c:v>
                </c:pt>
                <c:pt idx="43">
                  <c:v>33.1004</c:v>
                </c:pt>
                <c:pt idx="44">
                  <c:v>33.094899999999996</c:v>
                </c:pt>
                <c:pt idx="45">
                  <c:v>33.213049999999996</c:v>
                </c:pt>
                <c:pt idx="46">
                  <c:v>33.353200000000001</c:v>
                </c:pt>
                <c:pt idx="47">
                  <c:v>33.52975</c:v>
                </c:pt>
                <c:pt idx="48">
                  <c:v>33.747050000000002</c:v>
                </c:pt>
                <c:pt idx="49">
                  <c:v>33.951999999999998</c:v>
                </c:pt>
                <c:pt idx="50">
                  <c:v>34.036550000000005</c:v>
                </c:pt>
                <c:pt idx="51">
                  <c:v>34.064</c:v>
                </c:pt>
                <c:pt idx="52">
                  <c:v>33.94</c:v>
                </c:pt>
                <c:pt idx="53">
                  <c:v>33.712249999999997</c:v>
                </c:pt>
                <c:pt idx="54">
                  <c:v>33.506750000000004</c:v>
                </c:pt>
                <c:pt idx="55">
                  <c:v>33.1205</c:v>
                </c:pt>
                <c:pt idx="56">
                  <c:v>32.572949999999999</c:v>
                </c:pt>
                <c:pt idx="57">
                  <c:v>32.214199999999998</c:v>
                </c:pt>
                <c:pt idx="58">
                  <c:v>32.146350000000005</c:v>
                </c:pt>
                <c:pt idx="59">
                  <c:v>32.427100000000003</c:v>
                </c:pt>
                <c:pt idx="60">
                  <c:v>33.028800000000004</c:v>
                </c:pt>
                <c:pt idx="61">
                  <c:v>33.822249999999997</c:v>
                </c:pt>
                <c:pt idx="62">
                  <c:v>34.788850000000004</c:v>
                </c:pt>
                <c:pt idx="63">
                  <c:v>35.52205</c:v>
                </c:pt>
                <c:pt idx="64">
                  <c:v>35.874299999999998</c:v>
                </c:pt>
                <c:pt idx="65">
                  <c:v>35.864200000000004</c:v>
                </c:pt>
                <c:pt idx="66">
                  <c:v>35.602049999999998</c:v>
                </c:pt>
                <c:pt idx="67">
                  <c:v>35.107100000000003</c:v>
                </c:pt>
                <c:pt idx="68">
                  <c:v>34.275999999999996</c:v>
                </c:pt>
                <c:pt idx="69">
                  <c:v>33.379400000000004</c:v>
                </c:pt>
                <c:pt idx="70">
                  <c:v>32.610149999999997</c:v>
                </c:pt>
                <c:pt idx="71">
                  <c:v>32.365450000000003</c:v>
                </c:pt>
                <c:pt idx="72">
                  <c:v>32.456099999999999</c:v>
                </c:pt>
                <c:pt idx="73">
                  <c:v>32.787199999999999</c:v>
                </c:pt>
                <c:pt idx="74">
                  <c:v>33.2789</c:v>
                </c:pt>
                <c:pt idx="75">
                  <c:v>33.890149999999998</c:v>
                </c:pt>
                <c:pt idx="76">
                  <c:v>34.375149999999998</c:v>
                </c:pt>
                <c:pt idx="77">
                  <c:v>34.628</c:v>
                </c:pt>
                <c:pt idx="78">
                  <c:v>34.6205</c:v>
                </c:pt>
                <c:pt idx="79">
                  <c:v>34.268349999999998</c:v>
                </c:pt>
                <c:pt idx="80">
                  <c:v>33.827950000000001</c:v>
                </c:pt>
                <c:pt idx="81">
                  <c:v>33.403700000000001</c:v>
                </c:pt>
                <c:pt idx="82">
                  <c:v>33.038899999999998</c:v>
                </c:pt>
                <c:pt idx="83">
                  <c:v>32.845949999999995</c:v>
                </c:pt>
                <c:pt idx="84">
                  <c:v>32.878749999999997</c:v>
                </c:pt>
                <c:pt idx="85">
                  <c:v>32.999850000000002</c:v>
                </c:pt>
                <c:pt idx="86">
                  <c:v>33.181750000000001</c:v>
                </c:pt>
                <c:pt idx="87">
                  <c:v>33.425600000000003</c:v>
                </c:pt>
                <c:pt idx="88">
                  <c:v>33.588149999999999</c:v>
                </c:pt>
                <c:pt idx="89">
                  <c:v>33.654650000000004</c:v>
                </c:pt>
                <c:pt idx="90">
                  <c:v>33.728749999999998</c:v>
                </c:pt>
                <c:pt idx="91">
                  <c:v>33.7027</c:v>
                </c:pt>
                <c:pt idx="92">
                  <c:v>33.814149999999998</c:v>
                </c:pt>
                <c:pt idx="93">
                  <c:v>33.933199999999999</c:v>
                </c:pt>
                <c:pt idx="94">
                  <c:v>33.910049999999998</c:v>
                </c:pt>
                <c:pt idx="95">
                  <c:v>33.77955</c:v>
                </c:pt>
                <c:pt idx="96">
                  <c:v>33.608350000000002</c:v>
                </c:pt>
                <c:pt idx="97">
                  <c:v>33.390450000000001</c:v>
                </c:pt>
                <c:pt idx="98">
                  <c:v>33.062750000000001</c:v>
                </c:pt>
                <c:pt idx="99">
                  <c:v>32.7943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0-9846-B030-53122D40BE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Sheet1!$B$27:$B$126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Sheet1!$Y$27:$Y$126</c:f>
              <c:numCache>
                <c:formatCode>General</c:formatCode>
                <c:ptCount val="100"/>
                <c:pt idx="0">
                  <c:v>33.501624999999997</c:v>
                </c:pt>
                <c:pt idx="1">
                  <c:v>33.59975</c:v>
                </c:pt>
                <c:pt idx="2">
                  <c:v>33.709187499999999</c:v>
                </c:pt>
                <c:pt idx="3">
                  <c:v>33.851812500000001</c:v>
                </c:pt>
                <c:pt idx="4">
                  <c:v>33.946562499999999</c:v>
                </c:pt>
                <c:pt idx="5">
                  <c:v>34.016187500000001</c:v>
                </c:pt>
                <c:pt idx="6">
                  <c:v>33.982750000000003</c:v>
                </c:pt>
                <c:pt idx="7">
                  <c:v>33.899687499999999</c:v>
                </c:pt>
                <c:pt idx="8">
                  <c:v>33.774374999999999</c:v>
                </c:pt>
                <c:pt idx="9">
                  <c:v>33.666437500000001</c:v>
                </c:pt>
                <c:pt idx="10">
                  <c:v>33.554250000000003</c:v>
                </c:pt>
                <c:pt idx="11">
                  <c:v>33.466750000000005</c:v>
                </c:pt>
                <c:pt idx="12">
                  <c:v>33.355812499999999</c:v>
                </c:pt>
                <c:pt idx="13">
                  <c:v>33.2541875</c:v>
                </c:pt>
                <c:pt idx="14">
                  <c:v>33.1845</c:v>
                </c:pt>
                <c:pt idx="15">
                  <c:v>33.250999999999998</c:v>
                </c:pt>
                <c:pt idx="16">
                  <c:v>33.377624999999995</c:v>
                </c:pt>
                <c:pt idx="17">
                  <c:v>33.549624999999999</c:v>
                </c:pt>
                <c:pt idx="18">
                  <c:v>33.808624999999999</c:v>
                </c:pt>
                <c:pt idx="19">
                  <c:v>34.079812499999996</c:v>
                </c:pt>
                <c:pt idx="20">
                  <c:v>34.314687499999998</c:v>
                </c:pt>
                <c:pt idx="21">
                  <c:v>34.436062499999998</c:v>
                </c:pt>
                <c:pt idx="22">
                  <c:v>34.444937500000002</c:v>
                </c:pt>
                <c:pt idx="23">
                  <c:v>34.288312500000004</c:v>
                </c:pt>
                <c:pt idx="24">
                  <c:v>33.958812500000001</c:v>
                </c:pt>
                <c:pt idx="25">
                  <c:v>33.574874999999999</c:v>
                </c:pt>
                <c:pt idx="26">
                  <c:v>33.288874999999997</c:v>
                </c:pt>
                <c:pt idx="27">
                  <c:v>33.060937500000001</c:v>
                </c:pt>
                <c:pt idx="28">
                  <c:v>33.014812499999998</c:v>
                </c:pt>
                <c:pt idx="29">
                  <c:v>33.086812500000001</c:v>
                </c:pt>
                <c:pt idx="30">
                  <c:v>33.299187499999995</c:v>
                </c:pt>
                <c:pt idx="31">
                  <c:v>33.582687499999999</c:v>
                </c:pt>
                <c:pt idx="32">
                  <c:v>33.893124999999998</c:v>
                </c:pt>
                <c:pt idx="33">
                  <c:v>34.096812499999999</c:v>
                </c:pt>
                <c:pt idx="34">
                  <c:v>34.154499999999999</c:v>
                </c:pt>
                <c:pt idx="35">
                  <c:v>34.097312500000001</c:v>
                </c:pt>
                <c:pt idx="36">
                  <c:v>33.976624999999999</c:v>
                </c:pt>
                <c:pt idx="37">
                  <c:v>33.826625</c:v>
                </c:pt>
                <c:pt idx="38">
                  <c:v>33.697937499999995</c:v>
                </c:pt>
                <c:pt idx="39">
                  <c:v>33.59975</c:v>
                </c:pt>
                <c:pt idx="40">
                  <c:v>33.505875000000003</c:v>
                </c:pt>
                <c:pt idx="41">
                  <c:v>33.426812500000004</c:v>
                </c:pt>
                <c:pt idx="42">
                  <c:v>33.401249999999997</c:v>
                </c:pt>
                <c:pt idx="43">
                  <c:v>33.435625000000002</c:v>
                </c:pt>
                <c:pt idx="44">
                  <c:v>33.513062500000004</c:v>
                </c:pt>
                <c:pt idx="45">
                  <c:v>33.614062500000003</c:v>
                </c:pt>
                <c:pt idx="46">
                  <c:v>33.729937499999998</c:v>
                </c:pt>
                <c:pt idx="47">
                  <c:v>33.857750000000003</c:v>
                </c:pt>
                <c:pt idx="48">
                  <c:v>33.916874999999997</c:v>
                </c:pt>
                <c:pt idx="49">
                  <c:v>33.918187500000002</c:v>
                </c:pt>
                <c:pt idx="50">
                  <c:v>33.897187500000001</c:v>
                </c:pt>
                <c:pt idx="51">
                  <c:v>33.805437499999996</c:v>
                </c:pt>
                <c:pt idx="52">
                  <c:v>33.6499375</c:v>
                </c:pt>
                <c:pt idx="53">
                  <c:v>33.5078125</c:v>
                </c:pt>
                <c:pt idx="54">
                  <c:v>33.379062500000003</c:v>
                </c:pt>
                <c:pt idx="55">
                  <c:v>33.274124999999998</c:v>
                </c:pt>
                <c:pt idx="56">
                  <c:v>33.260999999999996</c:v>
                </c:pt>
                <c:pt idx="57">
                  <c:v>33.333437500000002</c:v>
                </c:pt>
                <c:pt idx="58">
                  <c:v>33.411687499999999</c:v>
                </c:pt>
                <c:pt idx="59">
                  <c:v>33.507624999999997</c:v>
                </c:pt>
                <c:pt idx="60">
                  <c:v>33.670875000000002</c:v>
                </c:pt>
                <c:pt idx="61">
                  <c:v>33.871875000000003</c:v>
                </c:pt>
                <c:pt idx="62">
                  <c:v>34.038000000000004</c:v>
                </c:pt>
                <c:pt idx="63">
                  <c:v>34.150812500000001</c:v>
                </c:pt>
                <c:pt idx="64">
                  <c:v>34.123312500000004</c:v>
                </c:pt>
                <c:pt idx="65">
                  <c:v>33.969812499999996</c:v>
                </c:pt>
                <c:pt idx="66">
                  <c:v>33.751374999999996</c:v>
                </c:pt>
                <c:pt idx="67">
                  <c:v>33.492624999999997</c:v>
                </c:pt>
                <c:pt idx="68">
                  <c:v>33.302875</c:v>
                </c:pt>
                <c:pt idx="69">
                  <c:v>33.223500000000001</c:v>
                </c:pt>
                <c:pt idx="70">
                  <c:v>33.26925</c:v>
                </c:pt>
                <c:pt idx="71">
                  <c:v>33.421750000000003</c:v>
                </c:pt>
                <c:pt idx="72">
                  <c:v>33.710250000000002</c:v>
                </c:pt>
                <c:pt idx="73">
                  <c:v>34.095312499999999</c:v>
                </c:pt>
                <c:pt idx="74">
                  <c:v>34.500937499999999</c:v>
                </c:pt>
                <c:pt idx="75">
                  <c:v>34.730437500000001</c:v>
                </c:pt>
                <c:pt idx="76">
                  <c:v>34.7824375</c:v>
                </c:pt>
                <c:pt idx="77">
                  <c:v>34.659312499999999</c:v>
                </c:pt>
                <c:pt idx="78">
                  <c:v>34.407812499999999</c:v>
                </c:pt>
                <c:pt idx="79">
                  <c:v>34.057562499999996</c:v>
                </c:pt>
                <c:pt idx="80">
                  <c:v>33.699750000000002</c:v>
                </c:pt>
                <c:pt idx="81">
                  <c:v>33.365437499999999</c:v>
                </c:pt>
                <c:pt idx="82">
                  <c:v>33.122375000000005</c:v>
                </c:pt>
                <c:pt idx="83">
                  <c:v>33.003999999999998</c:v>
                </c:pt>
                <c:pt idx="84">
                  <c:v>33.027812500000003</c:v>
                </c:pt>
                <c:pt idx="85">
                  <c:v>33.163312500000004</c:v>
                </c:pt>
                <c:pt idx="86">
                  <c:v>33.383249999999997</c:v>
                </c:pt>
                <c:pt idx="87">
                  <c:v>33.654312500000003</c:v>
                </c:pt>
                <c:pt idx="88">
                  <c:v>33.925375000000003</c:v>
                </c:pt>
                <c:pt idx="89">
                  <c:v>34.101624999999999</c:v>
                </c:pt>
                <c:pt idx="90">
                  <c:v>34.187062500000003</c:v>
                </c:pt>
                <c:pt idx="91">
                  <c:v>34.152625</c:v>
                </c:pt>
                <c:pt idx="92">
                  <c:v>34.013625000000005</c:v>
                </c:pt>
                <c:pt idx="93">
                  <c:v>33.8410625</c:v>
                </c:pt>
                <c:pt idx="94">
                  <c:v>33.638437500000002</c:v>
                </c:pt>
                <c:pt idx="95">
                  <c:v>33.477874999999997</c:v>
                </c:pt>
                <c:pt idx="96">
                  <c:v>33.380812500000005</c:v>
                </c:pt>
                <c:pt idx="97">
                  <c:v>33.356625000000001</c:v>
                </c:pt>
                <c:pt idx="98">
                  <c:v>33.394437500000002</c:v>
                </c:pt>
                <c:pt idx="99">
                  <c:v>33.466000000000001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0-9846-B030-53122D40BE8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Sheet1!$Z$27:$Z$126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Sheet1!$AK$27:$AK$126</c:f>
              <c:numCache>
                <c:formatCode>General</c:formatCode>
                <c:ptCount val="100"/>
                <c:pt idx="0">
                  <c:v>45.539437500000005</c:v>
                </c:pt>
                <c:pt idx="1">
                  <c:v>43.949125000000002</c:v>
                </c:pt>
                <c:pt idx="2">
                  <c:v>42.5985625</c:v>
                </c:pt>
                <c:pt idx="3">
                  <c:v>41.459062500000002</c:v>
                </c:pt>
                <c:pt idx="4">
                  <c:v>40.444875000000003</c:v>
                </c:pt>
                <c:pt idx="5">
                  <c:v>39.634875000000001</c:v>
                </c:pt>
                <c:pt idx="6">
                  <c:v>38.9558125</c:v>
                </c:pt>
                <c:pt idx="7">
                  <c:v>38.344749999999998</c:v>
                </c:pt>
                <c:pt idx="8">
                  <c:v>37.772500000000001</c:v>
                </c:pt>
                <c:pt idx="9">
                  <c:v>37.260374999999996</c:v>
                </c:pt>
                <c:pt idx="10">
                  <c:v>36.751374999999996</c:v>
                </c:pt>
                <c:pt idx="11">
                  <c:v>36.237312500000002</c:v>
                </c:pt>
                <c:pt idx="12">
                  <c:v>35.730249999999998</c:v>
                </c:pt>
                <c:pt idx="13">
                  <c:v>35.3293125</c:v>
                </c:pt>
                <c:pt idx="14">
                  <c:v>34.938375000000001</c:v>
                </c:pt>
                <c:pt idx="15">
                  <c:v>34.524000000000001</c:v>
                </c:pt>
                <c:pt idx="16">
                  <c:v>34.167124999999999</c:v>
                </c:pt>
                <c:pt idx="17">
                  <c:v>33.947749999999999</c:v>
                </c:pt>
                <c:pt idx="18">
                  <c:v>33.741</c:v>
                </c:pt>
                <c:pt idx="19">
                  <c:v>33.593562499999997</c:v>
                </c:pt>
                <c:pt idx="20">
                  <c:v>33.469749999999998</c:v>
                </c:pt>
                <c:pt idx="21">
                  <c:v>33.381187500000003</c:v>
                </c:pt>
                <c:pt idx="22">
                  <c:v>33.326687499999998</c:v>
                </c:pt>
                <c:pt idx="23">
                  <c:v>33.407249999999998</c:v>
                </c:pt>
                <c:pt idx="24">
                  <c:v>33.519374999999997</c:v>
                </c:pt>
                <c:pt idx="25">
                  <c:v>33.642375000000001</c:v>
                </c:pt>
                <c:pt idx="26">
                  <c:v>33.696562499999999</c:v>
                </c:pt>
                <c:pt idx="27">
                  <c:v>33.7466875</c:v>
                </c:pt>
                <c:pt idx="28">
                  <c:v>33.777250000000002</c:v>
                </c:pt>
                <c:pt idx="29">
                  <c:v>33.761312500000003</c:v>
                </c:pt>
                <c:pt idx="30">
                  <c:v>33.734250000000003</c:v>
                </c:pt>
                <c:pt idx="31">
                  <c:v>33.695687499999998</c:v>
                </c:pt>
                <c:pt idx="32">
                  <c:v>33.645687500000001</c:v>
                </c:pt>
                <c:pt idx="33">
                  <c:v>33.632375000000003</c:v>
                </c:pt>
                <c:pt idx="34">
                  <c:v>33.614125000000001</c:v>
                </c:pt>
                <c:pt idx="35">
                  <c:v>33.617062500000003</c:v>
                </c:pt>
                <c:pt idx="36">
                  <c:v>33.625937499999999</c:v>
                </c:pt>
                <c:pt idx="37">
                  <c:v>33.660187499999999</c:v>
                </c:pt>
                <c:pt idx="38">
                  <c:v>33.660312500000003</c:v>
                </c:pt>
                <c:pt idx="39">
                  <c:v>33.646125000000005</c:v>
                </c:pt>
                <c:pt idx="40">
                  <c:v>33.588749999999997</c:v>
                </c:pt>
                <c:pt idx="41">
                  <c:v>33.549687499999997</c:v>
                </c:pt>
                <c:pt idx="42">
                  <c:v>33.527625</c:v>
                </c:pt>
                <c:pt idx="43">
                  <c:v>33.526812499999998</c:v>
                </c:pt>
                <c:pt idx="44">
                  <c:v>33.518499999999996</c:v>
                </c:pt>
                <c:pt idx="45">
                  <c:v>33.538562499999998</c:v>
                </c:pt>
                <c:pt idx="46">
                  <c:v>33.659999999999997</c:v>
                </c:pt>
                <c:pt idx="47">
                  <c:v>33.744749999999996</c:v>
                </c:pt>
                <c:pt idx="48">
                  <c:v>33.793812500000001</c:v>
                </c:pt>
                <c:pt idx="49">
                  <c:v>33.855874999999997</c:v>
                </c:pt>
                <c:pt idx="50">
                  <c:v>33.9371875</c:v>
                </c:pt>
                <c:pt idx="51">
                  <c:v>33.983562499999998</c:v>
                </c:pt>
                <c:pt idx="52">
                  <c:v>33.994499999999995</c:v>
                </c:pt>
                <c:pt idx="53">
                  <c:v>33.917437499999998</c:v>
                </c:pt>
                <c:pt idx="54">
                  <c:v>33.811125000000004</c:v>
                </c:pt>
                <c:pt idx="55">
                  <c:v>33.657062500000002</c:v>
                </c:pt>
                <c:pt idx="56">
                  <c:v>33.524187499999996</c:v>
                </c:pt>
                <c:pt idx="57">
                  <c:v>33.434249999999999</c:v>
                </c:pt>
                <c:pt idx="58">
                  <c:v>33.35275</c:v>
                </c:pt>
                <c:pt idx="59">
                  <c:v>33.339624999999998</c:v>
                </c:pt>
                <c:pt idx="60">
                  <c:v>33.368249999999996</c:v>
                </c:pt>
                <c:pt idx="61">
                  <c:v>33.408874999999995</c:v>
                </c:pt>
                <c:pt idx="62">
                  <c:v>33.553625000000004</c:v>
                </c:pt>
                <c:pt idx="63">
                  <c:v>33.705874999999999</c:v>
                </c:pt>
                <c:pt idx="64">
                  <c:v>33.849437500000001</c:v>
                </c:pt>
                <c:pt idx="65">
                  <c:v>34.0093125</c:v>
                </c:pt>
                <c:pt idx="66">
                  <c:v>34.158625000000001</c:v>
                </c:pt>
                <c:pt idx="67">
                  <c:v>34.243499999999997</c:v>
                </c:pt>
                <c:pt idx="68">
                  <c:v>34.2034375</c:v>
                </c:pt>
                <c:pt idx="69">
                  <c:v>34.045937500000001</c:v>
                </c:pt>
                <c:pt idx="70">
                  <c:v>33.78275</c:v>
                </c:pt>
                <c:pt idx="71">
                  <c:v>33.451062499999999</c:v>
                </c:pt>
                <c:pt idx="72">
                  <c:v>33.121124999999999</c:v>
                </c:pt>
                <c:pt idx="73">
                  <c:v>32.9558125</c:v>
                </c:pt>
                <c:pt idx="74">
                  <c:v>32.948437499999997</c:v>
                </c:pt>
                <c:pt idx="75">
                  <c:v>33.137187500000003</c:v>
                </c:pt>
                <c:pt idx="76">
                  <c:v>33.413375000000002</c:v>
                </c:pt>
                <c:pt idx="77">
                  <c:v>33.6700625</c:v>
                </c:pt>
                <c:pt idx="78">
                  <c:v>33.842375000000004</c:v>
                </c:pt>
                <c:pt idx="79">
                  <c:v>33.948749999999997</c:v>
                </c:pt>
                <c:pt idx="80">
                  <c:v>34.041937499999996</c:v>
                </c:pt>
                <c:pt idx="81">
                  <c:v>34.141062499999997</c:v>
                </c:pt>
                <c:pt idx="82">
                  <c:v>34.188625000000002</c:v>
                </c:pt>
                <c:pt idx="83">
                  <c:v>34.184750000000001</c:v>
                </c:pt>
                <c:pt idx="84">
                  <c:v>34.139499999999998</c:v>
                </c:pt>
                <c:pt idx="85">
                  <c:v>34.072437499999999</c:v>
                </c:pt>
                <c:pt idx="86">
                  <c:v>33.902562500000002</c:v>
                </c:pt>
                <c:pt idx="87">
                  <c:v>33.694937500000002</c:v>
                </c:pt>
                <c:pt idx="88">
                  <c:v>33.518000000000001</c:v>
                </c:pt>
                <c:pt idx="89">
                  <c:v>33.374250000000004</c:v>
                </c:pt>
                <c:pt idx="90">
                  <c:v>33.309437500000001</c:v>
                </c:pt>
                <c:pt idx="91">
                  <c:v>33.306812499999999</c:v>
                </c:pt>
                <c:pt idx="92">
                  <c:v>33.341312500000001</c:v>
                </c:pt>
                <c:pt idx="93">
                  <c:v>33.506875000000001</c:v>
                </c:pt>
                <c:pt idx="94">
                  <c:v>33.730125000000001</c:v>
                </c:pt>
                <c:pt idx="95">
                  <c:v>33.90025</c:v>
                </c:pt>
                <c:pt idx="96">
                  <c:v>33.9936875</c:v>
                </c:pt>
                <c:pt idx="97">
                  <c:v>33.992874999999998</c:v>
                </c:pt>
                <c:pt idx="98">
                  <c:v>33.894125000000003</c:v>
                </c:pt>
                <c:pt idx="99">
                  <c:v>33.717687500000004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90-9846-B030-53122D40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75680"/>
        <c:axId val="1368792176"/>
      </c:scatterChart>
      <c:valAx>
        <c:axId val="138797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92176"/>
        <c:crosses val="autoZero"/>
        <c:crossBetween val="midCat"/>
      </c:valAx>
      <c:valAx>
        <c:axId val="136879217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7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Sheet1!$P$15:$P$18</c:f>
              <c:numCache>
                <c:formatCode>General</c:formatCode>
                <c:ptCount val="4"/>
                <c:pt idx="0">
                  <c:v>1500</c:v>
                </c:pt>
                <c:pt idx="1">
                  <c:v>1400</c:v>
                </c:pt>
                <c:pt idx="2">
                  <c:v>1300</c:v>
                </c:pt>
                <c:pt idx="3">
                  <c:v>1200</c:v>
                </c:pt>
              </c:numCache>
            </c:numRef>
          </c:xVal>
          <c:yVal>
            <c:numRef>
              <c:f>Sheet1!$R$15:$R$18</c:f>
              <c:numCache>
                <c:formatCode>0.000</c:formatCode>
                <c:ptCount val="4"/>
                <c:pt idx="0">
                  <c:v>1.3255000000000001</c:v>
                </c:pt>
                <c:pt idx="1">
                  <c:v>1.3798000000000001</c:v>
                </c:pt>
                <c:pt idx="2">
                  <c:v>1.4341000000000002</c:v>
                </c:pt>
                <c:pt idx="3">
                  <c:v>1.4884000000000002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6-BB49-871F-C86A72EFE31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Sheet1!$P$15:$P$18</c:f>
              <c:numCache>
                <c:formatCode>General</c:formatCode>
                <c:ptCount val="4"/>
                <c:pt idx="0">
                  <c:v>1500</c:v>
                </c:pt>
                <c:pt idx="1">
                  <c:v>1400</c:v>
                </c:pt>
                <c:pt idx="2">
                  <c:v>1300</c:v>
                </c:pt>
                <c:pt idx="3">
                  <c:v>1200</c:v>
                </c:pt>
              </c:numCache>
            </c:numRef>
          </c:xVal>
          <c:yVal>
            <c:numRef>
              <c:f>Sheet1!$Q$15:$Q$18</c:f>
              <c:numCache>
                <c:formatCode>0.000</c:formatCode>
                <c:ptCount val="4"/>
                <c:pt idx="0">
                  <c:v>1.3428222322799708</c:v>
                </c:pt>
                <c:pt idx="1">
                  <c:v>1.4065319716795661</c:v>
                </c:pt>
                <c:pt idx="2">
                  <c:v>1.4522421926736833</c:v>
                </c:pt>
                <c:pt idx="3">
                  <c:v>1.4776892983616661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6-BB49-871F-C86A72EFE31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Sheet1!$X$9:$X$10</c:f>
                <c:numCache>
                  <c:formatCode>General</c:formatCode>
                  <c:ptCount val="2"/>
                  <c:pt idx="0">
                    <c:v>2.40066441427167E-4</c:v>
                  </c:pt>
                  <c:pt idx="1">
                    <c:v>1.55125124595288E-3</c:v>
                  </c:pt>
                </c:numCache>
              </c:numRef>
            </c:plus>
            <c:minus>
              <c:numRef>
                <c:f>Sheet1!$X$9:$X$10</c:f>
                <c:numCache>
                  <c:formatCode>General</c:formatCode>
                  <c:ptCount val="2"/>
                  <c:pt idx="0">
                    <c:v>2.40066441427167E-4</c:v>
                  </c:pt>
                  <c:pt idx="1">
                    <c:v>1.55125124595288E-3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Sheet1!$G$9:$G$12</c:f>
              <c:numCache>
                <c:formatCode>General</c:formatCode>
                <c:ptCount val="4"/>
                <c:pt idx="0">
                  <c:v>1199.58666666666</c:v>
                </c:pt>
                <c:pt idx="1">
                  <c:v>1500.42</c:v>
                </c:pt>
              </c:numCache>
            </c:numRef>
          </c:xVal>
          <c:yVal>
            <c:numRef>
              <c:f>Sheet1!$W$9:$W$12</c:f>
              <c:numCache>
                <c:formatCode>General</c:formatCode>
                <c:ptCount val="4"/>
                <c:pt idx="0">
                  <c:v>1.4817565446560801</c:v>
                </c:pt>
                <c:pt idx="1">
                  <c:v>1.35215803318982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36-BB49-871F-C86A72EFE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06288"/>
        <c:axId val="1706468032"/>
      </c:scatterChart>
      <c:valAx>
        <c:axId val="1414606288"/>
        <c:scaling>
          <c:orientation val="minMax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468032"/>
        <c:crosses val="autoZero"/>
        <c:crossBetween val="midCat"/>
      </c:valAx>
      <c:valAx>
        <c:axId val="1706468032"/>
        <c:scaling>
          <c:orientation val="minMax"/>
          <c:max val="1.6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0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'33.33.33'!$C$11:$C$14</c:f>
              <c:numCache>
                <c:formatCode>General</c:formatCode>
                <c:ptCount val="4"/>
                <c:pt idx="0">
                  <c:v>1.4239999999999999</c:v>
                </c:pt>
                <c:pt idx="1">
                  <c:v>1.3734999999999997</c:v>
                </c:pt>
                <c:pt idx="2">
                  <c:v>1.3229999999999997</c:v>
                </c:pt>
                <c:pt idx="3">
                  <c:v>1.2724999999999997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B-1649-BC09-22088F787A9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'33.33.33'!$D$11:$D$14</c:f>
              <c:numCache>
                <c:formatCode>General</c:formatCode>
                <c:ptCount val="4"/>
                <c:pt idx="0">
                  <c:v>1.4521982984824864</c:v>
                </c:pt>
                <c:pt idx="1">
                  <c:v>1.4072080172825043</c:v>
                </c:pt>
                <c:pt idx="2">
                  <c:v>1.3646263311944169</c:v>
                </c:pt>
                <c:pt idx="3">
                  <c:v>1.3253968124454378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B-1649-BC09-22088F787A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'33.33.33'!$E$11:$E$14</c:f>
              <c:numCache>
                <c:formatCode>General</c:formatCode>
                <c:ptCount val="4"/>
                <c:pt idx="0">
                  <c:v>1.4201392391206853</c:v>
                </c:pt>
                <c:pt idx="1">
                  <c:v>1.3815717960818399</c:v>
                </c:pt>
                <c:pt idx="2">
                  <c:v>1.3349550283232501</c:v>
                </c:pt>
                <c:pt idx="3">
                  <c:v>1.2852095195496671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5B-1649-BC09-22088F787A9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'33.33.33'!$F$11:$F$14</c:f>
              <c:numCache>
                <c:formatCode>General</c:formatCode>
                <c:ptCount val="4"/>
                <c:pt idx="0">
                  <c:v>1.4469897432071506</c:v>
                </c:pt>
                <c:pt idx="1">
                  <c:v>1.3966767449312834</c:v>
                </c:pt>
                <c:pt idx="2">
                  <c:v>1.351633331649178</c:v>
                </c:pt>
                <c:pt idx="3">
                  <c:v>1.3003403263059448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5B-1649-BC09-22088F787A9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'33.33.33'!$G$11:$G$14</c:f>
              <c:numCache>
                <c:formatCode>General</c:formatCode>
                <c:ptCount val="4"/>
                <c:pt idx="0">
                  <c:v>1.4218075477230747</c:v>
                </c:pt>
                <c:pt idx="1">
                  <c:v>1.37530193246221</c:v>
                </c:pt>
                <c:pt idx="2">
                  <c:v>1.3339748868159742</c:v>
                </c:pt>
                <c:pt idx="3">
                  <c:v>1.2865074461928288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5B-1649-BC09-22088F787A9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'33.33.33'!$B$11:$B$14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'33.33.33'!$H$11:$H$14</c:f>
              <c:numCache>
                <c:formatCode>General</c:formatCode>
                <c:ptCount val="4"/>
                <c:pt idx="0">
                  <c:v>1.4380980575271523</c:v>
                </c:pt>
                <c:pt idx="1">
                  <c:v>1.3937335414873917</c:v>
                </c:pt>
                <c:pt idx="2">
                  <c:v>1.3492239066994554</c:v>
                </c:pt>
                <c:pt idx="3">
                  <c:v>1.3083489522164848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5B-1649-BC09-22088F787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75567"/>
        <c:axId val="1740115183"/>
      </c:scatterChart>
      <c:valAx>
        <c:axId val="2106075567"/>
        <c:scaling>
          <c:orientation val="minMax"/>
          <c:max val="1600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115183"/>
        <c:crosses val="autoZero"/>
        <c:crossBetween val="midCat"/>
      </c:valAx>
      <c:valAx>
        <c:axId val="1740115183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7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'33.33.33'!$U$11:$U$14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'33.33.33'!$V$11:$V$14</c:f>
              <c:numCache>
                <c:formatCode>General</c:formatCode>
                <c:ptCount val="4"/>
                <c:pt idx="0">
                  <c:v>0.74217781689879514</c:v>
                </c:pt>
                <c:pt idx="1">
                  <c:v>0.68435402454914762</c:v>
                </c:pt>
                <c:pt idx="2">
                  <c:v>0.54371702356252105</c:v>
                </c:pt>
                <c:pt idx="3">
                  <c:v>0.46281511924431556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E-8F42-ABC7-511DF9ECEE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'33.33.33'!$U$11:$U$14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'33.33.33'!$W$11:$W$14</c:f>
              <c:numCache>
                <c:formatCode>General</c:formatCode>
                <c:ptCount val="4"/>
                <c:pt idx="0">
                  <c:v>0.77195398536684023</c:v>
                </c:pt>
                <c:pt idx="1">
                  <c:v>0.63210645684103528</c:v>
                </c:pt>
                <c:pt idx="2">
                  <c:v>0.54084458290065762</c:v>
                </c:pt>
                <c:pt idx="3">
                  <c:v>0.49396522682389249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E-8F42-ABC7-511DF9ECEE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'33.33.33'!$U$11:$U$14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'33.33.33'!$X$11:$X$14</c:f>
              <c:numCache>
                <c:formatCode>General</c:formatCode>
                <c:ptCount val="4"/>
                <c:pt idx="0">
                  <c:v>0.7551706534642697</c:v>
                </c:pt>
                <c:pt idx="1">
                  <c:v>0.67726541896316084</c:v>
                </c:pt>
                <c:pt idx="2">
                  <c:v>0.53686836095163137</c:v>
                </c:pt>
                <c:pt idx="3">
                  <c:v>0.50648298217179899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4E-8F42-ABC7-511DF9ECEEC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'33.33.33'!$U$11:$U$14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'33.33.33'!$Y$11:$Y$14</c:f>
              <c:numCache>
                <c:formatCode>General</c:formatCode>
                <c:ptCount val="4"/>
                <c:pt idx="0">
                  <c:v>0.77498233040286679</c:v>
                </c:pt>
                <c:pt idx="1">
                  <c:v>0.60724491766366162</c:v>
                </c:pt>
                <c:pt idx="2">
                  <c:v>0.58232571573653724</c:v>
                </c:pt>
                <c:pt idx="3">
                  <c:v>0.50545537991542722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4E-8F42-ABC7-511DF9ECEEC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'33.33.33'!$U$11:$U$14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'33.33.33'!$Z$11:$Z$14</c:f>
              <c:numCache>
                <c:formatCode>General</c:formatCode>
                <c:ptCount val="4"/>
                <c:pt idx="0">
                  <c:v>0.82105716035738963</c:v>
                </c:pt>
                <c:pt idx="1">
                  <c:v>0.6562868340985637</c:v>
                </c:pt>
                <c:pt idx="2">
                  <c:v>0.55421865699518158</c:v>
                </c:pt>
                <c:pt idx="3">
                  <c:v>0.49782599388470555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4E-8F42-ABC7-511DF9EC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9824"/>
        <c:axId val="1740306687"/>
      </c:scatterChart>
      <c:valAx>
        <c:axId val="31609824"/>
        <c:scaling>
          <c:orientation val="minMax"/>
          <c:max val="1600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06687"/>
        <c:crosses val="autoZero"/>
        <c:crossBetween val="midCat"/>
      </c:valAx>
      <c:valAx>
        <c:axId val="1740306687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336550</xdr:colOff>
      <xdr:row>29</xdr:row>
      <xdr:rowOff>190500</xdr:rowOff>
    </xdr:from>
    <xdr:to>
      <xdr:col>8</xdr:col>
      <xdr:colOff>781050</xdr:colOff>
      <xdr:row>43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9EE1B-40C5-663B-A55A-792B5B753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285750</xdr:colOff>
      <xdr:row>9</xdr:row>
      <xdr:rowOff>88900</xdr:rowOff>
    </xdr:from>
    <xdr:to>
      <xdr:col>28</xdr:col>
      <xdr:colOff>381000</xdr:colOff>
      <xdr:row>20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0191B-E451-2DF0-24E5-85F72FB5E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</xdr:row>
      <xdr:rowOff>127000</xdr:rowOff>
    </xdr:from>
    <xdr:to>
      <xdr:col>13</xdr:col>
      <xdr:colOff>622300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A3B1F-1C33-3D90-B4CD-B3D40D8C5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368300</xdr:colOff>
      <xdr:row>1</xdr:row>
      <xdr:rowOff>165100</xdr:rowOff>
    </xdr:from>
    <xdr:to>
      <xdr:col>31</xdr:col>
      <xdr:colOff>812800</xdr:colOff>
      <xdr:row>15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7B503-954B-9E20-BBE2-3973C3335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2E3B-DE9D-384C-B705-E090ADFBC552}">
  <dimension ref="A3:AK136"/>
  <sheetViews>
    <sheetView workbookViewId="0">
      <selection activeCell="C20" sqref="C20"/>
    </sheetView>
  </sheetViews>
  <sheetFormatPr baseColWidth="10" defaultRowHeight="16" x14ac:dyDescent="0.2"/>
  <sheetData>
    <row r="3" spans="1:26" x14ac:dyDescent="0.2">
      <c r="F3" t="s">
        <v>0</v>
      </c>
      <c r="G3">
        <v>6.94</v>
      </c>
      <c r="H3">
        <v>39.097999999999999</v>
      </c>
      <c r="I3">
        <v>22.99</v>
      </c>
      <c r="J3">
        <v>35.450000000000003</v>
      </c>
    </row>
    <row r="4" spans="1:26" x14ac:dyDescent="0.2">
      <c r="G4" t="s">
        <v>1</v>
      </c>
      <c r="H4" t="s">
        <v>2</v>
      </c>
      <c r="I4" t="s">
        <v>3</v>
      </c>
      <c r="J4" t="s">
        <v>4</v>
      </c>
    </row>
    <row r="6" spans="1:26" x14ac:dyDescent="0.2">
      <c r="B6" t="s">
        <v>21</v>
      </c>
      <c r="Q6" t="s">
        <v>5</v>
      </c>
      <c r="R6" t="s">
        <v>6</v>
      </c>
      <c r="S6" t="s">
        <v>7</v>
      </c>
      <c r="T6" t="s">
        <v>8</v>
      </c>
    </row>
    <row r="7" spans="1:26" x14ac:dyDescent="0.2">
      <c r="L7" t="s">
        <v>18</v>
      </c>
      <c r="M7" t="s">
        <v>19</v>
      </c>
      <c r="N7" t="s">
        <v>20</v>
      </c>
    </row>
    <row r="8" spans="1:26" x14ac:dyDescent="0.2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52</v>
      </c>
      <c r="X8" t="s">
        <v>53</v>
      </c>
      <c r="Y8" t="s">
        <v>54</v>
      </c>
      <c r="Z8" t="s">
        <v>55</v>
      </c>
    </row>
    <row r="9" spans="1:26" x14ac:dyDescent="0.2">
      <c r="A9">
        <v>0</v>
      </c>
      <c r="B9">
        <v>1200</v>
      </c>
      <c r="C9">
        <v>3</v>
      </c>
      <c r="D9">
        <v>0</v>
      </c>
      <c r="E9">
        <v>0</v>
      </c>
      <c r="F9">
        <v>1</v>
      </c>
      <c r="G9">
        <v>1199.58666666666</v>
      </c>
      <c r="H9">
        <v>8.3864970836115493E-2</v>
      </c>
      <c r="I9">
        <v>4.8419463487811398E-2</v>
      </c>
      <c r="J9">
        <v>-2233.3566666666602</v>
      </c>
      <c r="K9">
        <v>0.41789153297653803</v>
      </c>
      <c r="L9">
        <v>0.241269789056069</v>
      </c>
      <c r="M9">
        <v>52392.9</v>
      </c>
      <c r="N9">
        <v>14.702380759589801</v>
      </c>
      <c r="O9">
        <v>8.4884234892775599</v>
      </c>
      <c r="P9">
        <v>10.8483133333333</v>
      </c>
      <c r="Q9">
        <v>12.6094582107731</v>
      </c>
      <c r="R9">
        <v>7.2800740923251901</v>
      </c>
      <c r="S9">
        <v>0</v>
      </c>
      <c r="T9">
        <v>0</v>
      </c>
      <c r="U9">
        <v>800</v>
      </c>
      <c r="V9">
        <v>800</v>
      </c>
      <c r="W9">
        <v>1.4817565446560801</v>
      </c>
      <c r="X9">
        <v>2.40066441427167E-4</v>
      </c>
      <c r="Y9">
        <v>65.736582231340805</v>
      </c>
    </row>
    <row r="10" spans="1:26" x14ac:dyDescent="0.2">
      <c r="A10">
        <v>0</v>
      </c>
      <c r="B10">
        <v>1500</v>
      </c>
      <c r="C10">
        <v>3</v>
      </c>
      <c r="D10">
        <v>0</v>
      </c>
      <c r="E10">
        <v>0</v>
      </c>
      <c r="F10">
        <v>1</v>
      </c>
      <c r="G10">
        <v>1500.42</v>
      </c>
      <c r="H10">
        <v>0.53075418038861</v>
      </c>
      <c r="I10">
        <v>0.30643106892088301</v>
      </c>
      <c r="J10">
        <v>-2131.8866666666599</v>
      </c>
      <c r="K10">
        <v>0.69923768014400101</v>
      </c>
      <c r="L10">
        <v>0.40370506285866897</v>
      </c>
      <c r="M10">
        <v>57414.533333333296</v>
      </c>
      <c r="N10">
        <v>114.087261924077</v>
      </c>
      <c r="O10">
        <v>65.868311382973701</v>
      </c>
      <c r="P10">
        <v>-19.946736666666599</v>
      </c>
      <c r="Q10">
        <v>18.924506667467799</v>
      </c>
      <c r="R10">
        <v>10.9260690187434</v>
      </c>
      <c r="S10">
        <v>0</v>
      </c>
      <c r="T10">
        <v>0</v>
      </c>
      <c r="U10">
        <v>800</v>
      </c>
      <c r="V10">
        <v>800</v>
      </c>
      <c r="W10">
        <v>1.35215803318982</v>
      </c>
      <c r="X10">
        <v>1.55125124595288E-3</v>
      </c>
    </row>
    <row r="14" spans="1:26" x14ac:dyDescent="0.2">
      <c r="U14" t="s">
        <v>56</v>
      </c>
      <c r="V14" t="s">
        <v>57</v>
      </c>
    </row>
    <row r="15" spans="1:26" x14ac:dyDescent="0.2">
      <c r="A15">
        <v>200</v>
      </c>
      <c r="B15">
        <v>100000</v>
      </c>
      <c r="C15">
        <v>1295.42</v>
      </c>
      <c r="D15">
        <v>-275.76299999999998</v>
      </c>
      <c r="E15">
        <v>6735.54</v>
      </c>
      <c r="F15">
        <v>8.0664499999999997</v>
      </c>
      <c r="G15">
        <v>0</v>
      </c>
      <c r="H15">
        <v>0</v>
      </c>
      <c r="I15">
        <v>100</v>
      </c>
      <c r="J15">
        <v>100</v>
      </c>
      <c r="K15">
        <v>-5279.05</v>
      </c>
      <c r="L15">
        <f>G15*G$3+H15*H$3+I15*I$3+J15*J$3</f>
        <v>5844</v>
      </c>
      <c r="M15">
        <f>L15*(1.66054E-24)/(E15)/(1E-24)</f>
        <v>1.4407450271247739</v>
      </c>
      <c r="N15">
        <f>D15+SUM(G15:J15)*1.5*(0.000086173)*C15</f>
        <v>-242.27393170199997</v>
      </c>
      <c r="P15">
        <v>1500</v>
      </c>
      <c r="Q15" s="1">
        <v>1.3428222322799708</v>
      </c>
      <c r="R15" s="1">
        <f>2.14-0.000543*P15</f>
        <v>1.3255000000000001</v>
      </c>
      <c r="S15">
        <f>ABS(Q15-M15)/Q15</f>
        <v>7.2923126003462541E-2</v>
      </c>
      <c r="T15">
        <f>ABS(R15-M15)/R15</f>
        <v>8.6944569690512105E-2</v>
      </c>
      <c r="U15" s="3">
        <f>(R15-W10)/R15</f>
        <v>-2.011168101834768E-2</v>
      </c>
      <c r="V15" s="3">
        <f>(Q15-W10)/Q15</f>
        <v>-6.9523729094043921E-3</v>
      </c>
    </row>
    <row r="16" spans="1:26" x14ac:dyDescent="0.2">
      <c r="A16">
        <v>400</v>
      </c>
      <c r="B16">
        <v>100000</v>
      </c>
      <c r="C16">
        <v>1297.6400000000001</v>
      </c>
      <c r="D16">
        <v>-550.12900000000002</v>
      </c>
      <c r="E16">
        <v>13482.6</v>
      </c>
      <c r="F16">
        <v>0.61274700000000004</v>
      </c>
      <c r="G16">
        <v>0</v>
      </c>
      <c r="H16">
        <v>0</v>
      </c>
      <c r="I16">
        <v>200</v>
      </c>
      <c r="J16">
        <v>200</v>
      </c>
      <c r="K16">
        <v>-5303.42</v>
      </c>
      <c r="L16">
        <f>G16*G$3+H16*H$3+I16*I$3+J16*J$3</f>
        <v>11688</v>
      </c>
      <c r="M16">
        <f>L16*(1.66054E-24)/(E16)/(1E-24)</f>
        <v>1.439514004717191</v>
      </c>
      <c r="N16">
        <f>D16+SUM(G16:J16)*1.5*(0.000086173)*C16</f>
        <v>-483.03608096800002</v>
      </c>
      <c r="P16">
        <v>1400</v>
      </c>
      <c r="Q16" s="1">
        <v>1.4065319716795661</v>
      </c>
      <c r="R16" s="1">
        <f t="shared" ref="R16:R18" si="0">2.14-0.000543*P16</f>
        <v>1.3798000000000001</v>
      </c>
      <c r="S16">
        <f>ABS(Q16-M16)/Q16</f>
        <v>2.3449188288440014E-2</v>
      </c>
      <c r="T16">
        <f>ABS(R16-M16)/R16</f>
        <v>4.3277289982019782E-2</v>
      </c>
      <c r="U16" s="3"/>
      <c r="V16" s="3"/>
    </row>
    <row r="17" spans="1:37" x14ac:dyDescent="0.2">
      <c r="A17">
        <v>800</v>
      </c>
      <c r="B17">
        <v>100000</v>
      </c>
      <c r="C17">
        <v>1300.1600000000001</v>
      </c>
      <c r="D17">
        <v>-1101.8699999999999</v>
      </c>
      <c r="E17">
        <v>26829.5</v>
      </c>
      <c r="F17">
        <v>1.4948399999999999</v>
      </c>
      <c r="G17">
        <v>0</v>
      </c>
      <c r="H17">
        <v>0</v>
      </c>
      <c r="I17">
        <v>400</v>
      </c>
      <c r="J17">
        <v>400</v>
      </c>
      <c r="K17">
        <v>-5345.3</v>
      </c>
      <c r="L17">
        <f>G17*G$3+H17*H$3+I17*I$3+J17*J$3</f>
        <v>23376</v>
      </c>
      <c r="M17">
        <f>L17*(1.66054E-24)/(E17)/(1E-24)</f>
        <v>1.4467948728079167</v>
      </c>
      <c r="N17">
        <f>D17+SUM(G17:J17)*1.5*(0.000086173)*C17</f>
        <v>-967.42357478399981</v>
      </c>
      <c r="P17">
        <v>1300</v>
      </c>
      <c r="Q17" s="1">
        <v>1.4522421926736833</v>
      </c>
      <c r="R17" s="1">
        <f t="shared" si="0"/>
        <v>1.4341000000000002</v>
      </c>
      <c r="S17">
        <f>ABS(Q17-M17)/Q17</f>
        <v>3.7509720439519861E-3</v>
      </c>
      <c r="T17">
        <f>ABS(R17-M17)/R17</f>
        <v>8.8521531329172221E-3</v>
      </c>
      <c r="U17" s="3"/>
      <c r="V17" s="3"/>
    </row>
    <row r="18" spans="1:37" x14ac:dyDescent="0.2">
      <c r="A18">
        <v>1600</v>
      </c>
      <c r="B18">
        <v>100000</v>
      </c>
      <c r="C18">
        <v>1298.4100000000001</v>
      </c>
      <c r="D18">
        <v>-2199.85</v>
      </c>
      <c r="E18">
        <v>53974.2</v>
      </c>
      <c r="F18">
        <v>1.47139</v>
      </c>
      <c r="G18">
        <v>0</v>
      </c>
      <c r="H18">
        <v>0</v>
      </c>
      <c r="I18">
        <v>800</v>
      </c>
      <c r="J18">
        <v>800</v>
      </c>
      <c r="K18">
        <v>-5309.88</v>
      </c>
      <c r="L18">
        <f>G18*G$3+H18*H$3+I18*I$3+J18*J$3</f>
        <v>46752</v>
      </c>
      <c r="M18">
        <f>L18*(1.66054E-24)/(E18)/(1E-24)</f>
        <v>1.4383458407906</v>
      </c>
      <c r="N18">
        <f>D18+SUM(G18:J18)*1.5*(0.000086173)*C18</f>
        <v>-1931.3190761679998</v>
      </c>
      <c r="P18">
        <v>1200</v>
      </c>
      <c r="Q18" s="1">
        <v>1.4776892983616661</v>
      </c>
      <c r="R18" s="1">
        <f t="shared" si="0"/>
        <v>1.4884000000000002</v>
      </c>
      <c r="S18">
        <f>ABS(Q18-M18)/Q18</f>
        <v>2.6624986466834855E-2</v>
      </c>
      <c r="T18">
        <f>ABS(R18-M18)/R18</f>
        <v>3.3629507665546995E-2</v>
      </c>
      <c r="U18" s="3">
        <f>(R18-W9)/R18</f>
        <v>4.4634878687987625E-3</v>
      </c>
      <c r="V18" s="3">
        <f>(Q18-W9)/Q18</f>
        <v>-2.7524367259906587E-3</v>
      </c>
    </row>
    <row r="19" spans="1:37" x14ac:dyDescent="0.2">
      <c r="A19" t="s">
        <v>29</v>
      </c>
      <c r="B19">
        <v>100000</v>
      </c>
      <c r="C19">
        <v>1299.0899999999999</v>
      </c>
      <c r="D19">
        <v>-2199.4499999999998</v>
      </c>
      <c r="E19">
        <v>53849</v>
      </c>
      <c r="F19">
        <v>1.0450999999999999</v>
      </c>
      <c r="G19">
        <v>0</v>
      </c>
      <c r="H19">
        <v>0</v>
      </c>
      <c r="I19">
        <v>800</v>
      </c>
      <c r="J19">
        <v>800</v>
      </c>
      <c r="K19">
        <v>-5310.78</v>
      </c>
      <c r="L19">
        <f>G19*G$3+H19*H$3+I19*I$3+J19*J$3</f>
        <v>46752</v>
      </c>
      <c r="M19">
        <f>L19*(1.66054E-24)/(E19)/(1E-24)</f>
        <v>1.4416900235844679</v>
      </c>
      <c r="N19">
        <f>D19+SUM(G19:J19)*1.5*(0.000086173)*C19</f>
        <v>-1930.7784418319998</v>
      </c>
    </row>
    <row r="21" spans="1:37" x14ac:dyDescent="0.2">
      <c r="M21">
        <f>(Q17-M18)/Q17</f>
        <v>9.5688941921588545E-3</v>
      </c>
    </row>
    <row r="22" spans="1:37" x14ac:dyDescent="0.2">
      <c r="B22" t="s">
        <v>22</v>
      </c>
      <c r="N22">
        <v>1600</v>
      </c>
      <c r="Z22" t="s">
        <v>29</v>
      </c>
    </row>
    <row r="24" spans="1:37" x14ac:dyDescent="0.2">
      <c r="E24">
        <f>AVERAGE(E46:E126)</f>
        <v>6750.7285185185201</v>
      </c>
      <c r="F24">
        <f>STDEV(E46:E126)</f>
        <v>165.34741318743926</v>
      </c>
      <c r="G24">
        <f>F24/E24</f>
        <v>2.449326953881498E-2</v>
      </c>
      <c r="Q24">
        <f>AVERAGE(Q46:Q126)</f>
        <v>53959.628395061707</v>
      </c>
      <c r="R24">
        <f>STDEV(Q46:Q126)</f>
        <v>677.68394241611031</v>
      </c>
      <c r="S24">
        <f>R24/Q24</f>
        <v>1.255909209482493E-2</v>
      </c>
      <c r="AC24">
        <f>AVERAGE(AC46:AC126)</f>
        <v>53884.02716049381</v>
      </c>
      <c r="AD24">
        <f>STDEV(AC46:AC126)</f>
        <v>456.0302213155245</v>
      </c>
      <c r="AE24">
        <f>AD24/AC24</f>
        <v>8.4631800061498088E-3</v>
      </c>
    </row>
    <row r="25" spans="1:37" x14ac:dyDescent="0.2"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>
        <v>3</v>
      </c>
      <c r="N25" t="s">
        <v>23</v>
      </c>
      <c r="O25" t="s">
        <v>24</v>
      </c>
      <c r="P25" t="s">
        <v>25</v>
      </c>
      <c r="Q25" t="s">
        <v>26</v>
      </c>
      <c r="R25" t="s">
        <v>27</v>
      </c>
      <c r="S25">
        <v>3</v>
      </c>
      <c r="Z25" t="s">
        <v>23</v>
      </c>
      <c r="AA25" t="s">
        <v>24</v>
      </c>
      <c r="AB25" t="s">
        <v>25</v>
      </c>
      <c r="AC25" t="s">
        <v>26</v>
      </c>
      <c r="AD25" t="s">
        <v>27</v>
      </c>
      <c r="AE25">
        <v>3</v>
      </c>
    </row>
    <row r="26" spans="1:37" x14ac:dyDescent="0.2">
      <c r="B26" t="s">
        <v>23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 t="s">
        <v>16</v>
      </c>
      <c r="K26" t="s">
        <v>17</v>
      </c>
      <c r="L26" t="s">
        <v>28</v>
      </c>
      <c r="N26" t="s">
        <v>23</v>
      </c>
      <c r="O26" t="s">
        <v>9</v>
      </c>
      <c r="P26" t="s">
        <v>10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t="s">
        <v>16</v>
      </c>
      <c r="W26" t="s">
        <v>17</v>
      </c>
      <c r="X26" t="s">
        <v>28</v>
      </c>
      <c r="Z26" t="s">
        <v>23</v>
      </c>
      <c r="AA26" t="s">
        <v>9</v>
      </c>
      <c r="AB26" t="s">
        <v>10</v>
      </c>
      <c r="AC26" t="s">
        <v>11</v>
      </c>
      <c r="AD26" t="s">
        <v>12</v>
      </c>
      <c r="AE26" t="s">
        <v>13</v>
      </c>
      <c r="AF26" t="s">
        <v>14</v>
      </c>
      <c r="AG26" t="s">
        <v>15</v>
      </c>
      <c r="AH26" t="s">
        <v>16</v>
      </c>
      <c r="AI26" t="s">
        <v>17</v>
      </c>
      <c r="AJ26" t="s">
        <v>28</v>
      </c>
    </row>
    <row r="27" spans="1:37" x14ac:dyDescent="0.2">
      <c r="B27">
        <v>1000</v>
      </c>
      <c r="C27">
        <v>1125.6199999999999</v>
      </c>
      <c r="D27">
        <v>-277.27800000000002</v>
      </c>
      <c r="E27">
        <v>6682.98</v>
      </c>
      <c r="F27">
        <v>-2635.23</v>
      </c>
      <c r="G27">
        <v>0</v>
      </c>
      <c r="H27">
        <v>0</v>
      </c>
      <c r="I27">
        <v>100</v>
      </c>
      <c r="J27">
        <v>100</v>
      </c>
      <c r="K27">
        <v>-7262.84</v>
      </c>
      <c r="M27">
        <f t="shared" ref="M27:M58" si="1">E27/SUM(I27:J27)</f>
        <v>33.414899999999996</v>
      </c>
      <c r="N27">
        <v>1000</v>
      </c>
      <c r="O27">
        <v>1239.67</v>
      </c>
      <c r="P27">
        <v>-2210.9699999999998</v>
      </c>
      <c r="Q27">
        <v>53602.6</v>
      </c>
      <c r="R27">
        <v>-367.39400000000001</v>
      </c>
      <c r="S27">
        <v>0</v>
      </c>
      <c r="T27">
        <v>0</v>
      </c>
      <c r="U27">
        <v>800</v>
      </c>
      <c r="V27">
        <v>800</v>
      </c>
      <c r="W27">
        <v>-5473.08</v>
      </c>
      <c r="Y27">
        <f t="shared" ref="Y27:Y58" si="2">Q27/SUM(U27:V27)</f>
        <v>33.501624999999997</v>
      </c>
      <c r="Z27">
        <v>1000</v>
      </c>
      <c r="AA27">
        <v>1320.36</v>
      </c>
      <c r="AB27">
        <v>-2064.6799999999998</v>
      </c>
      <c r="AC27" s="2">
        <v>72863.100000000006</v>
      </c>
      <c r="AD27">
        <v>-3315.77</v>
      </c>
      <c r="AE27">
        <v>0</v>
      </c>
      <c r="AF27">
        <v>0</v>
      </c>
      <c r="AG27">
        <v>800</v>
      </c>
      <c r="AH27">
        <v>800</v>
      </c>
      <c r="AI27">
        <v>-7316.27</v>
      </c>
      <c r="AK27">
        <f t="shared" ref="AK27:AK58" si="3">AC27/SUM(AG27:AH27)</f>
        <v>45.539437500000005</v>
      </c>
    </row>
    <row r="28" spans="1:37" x14ac:dyDescent="0.2">
      <c r="B28">
        <v>2000</v>
      </c>
      <c r="C28">
        <v>1320.43</v>
      </c>
      <c r="D28">
        <v>-277.214</v>
      </c>
      <c r="E28">
        <v>6668.17</v>
      </c>
      <c r="F28">
        <v>1255.05</v>
      </c>
      <c r="G28">
        <v>0</v>
      </c>
      <c r="H28">
        <v>0</v>
      </c>
      <c r="I28">
        <v>100</v>
      </c>
      <c r="J28">
        <v>100</v>
      </c>
      <c r="K28">
        <v>-4185.5200000000004</v>
      </c>
      <c r="M28">
        <f t="shared" si="1"/>
        <v>33.340850000000003</v>
      </c>
      <c r="N28">
        <v>2000</v>
      </c>
      <c r="O28">
        <v>1318.62</v>
      </c>
      <c r="P28">
        <v>-2202.11</v>
      </c>
      <c r="Q28">
        <v>53759.6</v>
      </c>
      <c r="R28">
        <v>-64.0702</v>
      </c>
      <c r="S28">
        <v>0</v>
      </c>
      <c r="T28">
        <v>0</v>
      </c>
      <c r="U28">
        <v>800</v>
      </c>
      <c r="V28">
        <v>800</v>
      </c>
      <c r="W28">
        <v>-5479.04</v>
      </c>
      <c r="Y28">
        <f t="shared" si="2"/>
        <v>33.59975</v>
      </c>
      <c r="Z28">
        <v>2000</v>
      </c>
      <c r="AA28">
        <v>1299.48</v>
      </c>
      <c r="AB28">
        <v>-2099.71</v>
      </c>
      <c r="AC28" s="2">
        <v>70318.600000000006</v>
      </c>
      <c r="AD28">
        <v>-3659.21</v>
      </c>
      <c r="AE28">
        <v>0</v>
      </c>
      <c r="AF28">
        <v>0</v>
      </c>
      <c r="AG28">
        <v>800</v>
      </c>
      <c r="AH28">
        <v>800</v>
      </c>
      <c r="AI28">
        <v>-7738.93</v>
      </c>
      <c r="AK28">
        <f t="shared" si="3"/>
        <v>43.949125000000002</v>
      </c>
    </row>
    <row r="29" spans="1:37" x14ac:dyDescent="0.2">
      <c r="B29">
        <v>3000</v>
      </c>
      <c r="C29">
        <v>1233.6400000000001</v>
      </c>
      <c r="D29">
        <v>-276.685</v>
      </c>
      <c r="E29">
        <v>6693.42</v>
      </c>
      <c r="F29">
        <v>103.66</v>
      </c>
      <c r="G29">
        <v>0</v>
      </c>
      <c r="H29">
        <v>0</v>
      </c>
      <c r="I29">
        <v>100</v>
      </c>
      <c r="J29">
        <v>100</v>
      </c>
      <c r="K29">
        <v>-4960.1499999999996</v>
      </c>
      <c r="M29">
        <f t="shared" si="1"/>
        <v>33.467100000000002</v>
      </c>
      <c r="N29">
        <v>3000</v>
      </c>
      <c r="O29">
        <v>1325.73</v>
      </c>
      <c r="P29">
        <v>-2201.91</v>
      </c>
      <c r="Q29">
        <v>53934.7</v>
      </c>
      <c r="R29">
        <v>627.83399999999995</v>
      </c>
      <c r="S29">
        <v>0</v>
      </c>
      <c r="T29">
        <v>0</v>
      </c>
      <c r="U29">
        <v>800</v>
      </c>
      <c r="V29">
        <v>800</v>
      </c>
      <c r="W29">
        <v>-4798.6499999999996</v>
      </c>
      <c r="Y29">
        <f t="shared" si="2"/>
        <v>33.709187499999999</v>
      </c>
      <c r="Z29">
        <v>3000</v>
      </c>
      <c r="AA29">
        <v>1327.78</v>
      </c>
      <c r="AB29">
        <v>-2119.85</v>
      </c>
      <c r="AC29" s="2">
        <v>68157.7</v>
      </c>
      <c r="AD29">
        <v>-2607.6999999999998</v>
      </c>
      <c r="AE29">
        <v>0</v>
      </c>
      <c r="AF29">
        <v>0</v>
      </c>
      <c r="AG29">
        <v>800</v>
      </c>
      <c r="AH29">
        <v>800</v>
      </c>
      <c r="AI29">
        <v>-6908.41</v>
      </c>
      <c r="AK29">
        <f t="shared" si="3"/>
        <v>42.5985625</v>
      </c>
    </row>
    <row r="30" spans="1:37" x14ac:dyDescent="0.2">
      <c r="B30">
        <v>4000</v>
      </c>
      <c r="C30">
        <v>1246.08</v>
      </c>
      <c r="D30">
        <v>-275.18799999999999</v>
      </c>
      <c r="E30">
        <v>6765.85</v>
      </c>
      <c r="F30">
        <v>-955.72199999999998</v>
      </c>
      <c r="G30">
        <v>0</v>
      </c>
      <c r="H30">
        <v>0</v>
      </c>
      <c r="I30">
        <v>100</v>
      </c>
      <c r="J30">
        <v>100</v>
      </c>
      <c r="K30">
        <v>-6015.87</v>
      </c>
      <c r="M30">
        <f t="shared" si="1"/>
        <v>33.829250000000002</v>
      </c>
      <c r="N30">
        <v>4000</v>
      </c>
      <c r="O30">
        <v>1288.75</v>
      </c>
      <c r="P30">
        <v>-2197.5500000000002</v>
      </c>
      <c r="Q30">
        <v>54162.9</v>
      </c>
      <c r="R30">
        <v>-332.64800000000002</v>
      </c>
      <c r="S30">
        <v>0</v>
      </c>
      <c r="T30">
        <v>0</v>
      </c>
      <c r="U30">
        <v>800</v>
      </c>
      <c r="V30">
        <v>800</v>
      </c>
      <c r="W30">
        <v>-5585.54</v>
      </c>
      <c r="Y30">
        <f t="shared" si="2"/>
        <v>33.851812500000001</v>
      </c>
      <c r="Z30">
        <v>4000</v>
      </c>
      <c r="AA30">
        <v>1305.07</v>
      </c>
      <c r="AB30">
        <v>-2132.0700000000002</v>
      </c>
      <c r="AC30" s="2">
        <v>66334.5</v>
      </c>
      <c r="AD30">
        <v>-2146.9499999999998</v>
      </c>
      <c r="AE30">
        <v>0</v>
      </c>
      <c r="AF30">
        <v>0</v>
      </c>
      <c r="AG30">
        <v>800</v>
      </c>
      <c r="AH30">
        <v>800</v>
      </c>
      <c r="AI30">
        <v>-6490.33</v>
      </c>
      <c r="AK30">
        <f t="shared" si="3"/>
        <v>41.459062500000002</v>
      </c>
    </row>
    <row r="31" spans="1:37" x14ac:dyDescent="0.2">
      <c r="B31">
        <v>5000</v>
      </c>
      <c r="C31">
        <v>1388.65</v>
      </c>
      <c r="D31">
        <v>-274.08600000000001</v>
      </c>
      <c r="E31">
        <v>6867.06</v>
      </c>
      <c r="F31">
        <v>-1445.96</v>
      </c>
      <c r="G31">
        <v>0</v>
      </c>
      <c r="H31">
        <v>0</v>
      </c>
      <c r="I31">
        <v>100</v>
      </c>
      <c r="J31">
        <v>100</v>
      </c>
      <c r="K31">
        <v>-7001.91</v>
      </c>
      <c r="M31">
        <f t="shared" si="1"/>
        <v>34.335300000000004</v>
      </c>
      <c r="N31">
        <v>5000</v>
      </c>
      <c r="O31">
        <v>1297.18</v>
      </c>
      <c r="P31">
        <v>-2186.83</v>
      </c>
      <c r="Q31">
        <v>54314.5</v>
      </c>
      <c r="R31">
        <v>510.34399999999999</v>
      </c>
      <c r="S31">
        <v>0</v>
      </c>
      <c r="T31">
        <v>0</v>
      </c>
      <c r="U31">
        <v>800</v>
      </c>
      <c r="V31">
        <v>800</v>
      </c>
      <c r="W31">
        <v>-4762.17</v>
      </c>
      <c r="Y31">
        <f t="shared" si="2"/>
        <v>33.946562499999999</v>
      </c>
      <c r="Z31">
        <v>5000</v>
      </c>
      <c r="AA31">
        <v>1338.07</v>
      </c>
      <c r="AB31">
        <v>-2149.1999999999998</v>
      </c>
      <c r="AC31" s="2">
        <v>64711.8</v>
      </c>
      <c r="AD31">
        <v>-1266.1199999999999</v>
      </c>
      <c r="AE31">
        <v>0</v>
      </c>
      <c r="AF31">
        <v>0</v>
      </c>
      <c r="AG31">
        <v>800</v>
      </c>
      <c r="AH31">
        <v>800</v>
      </c>
      <c r="AI31">
        <v>-5830.92</v>
      </c>
      <c r="AK31">
        <f t="shared" si="3"/>
        <v>40.444875000000003</v>
      </c>
    </row>
    <row r="32" spans="1:37" x14ac:dyDescent="0.2">
      <c r="B32">
        <v>6000</v>
      </c>
      <c r="C32">
        <v>1310.1400000000001</v>
      </c>
      <c r="D32">
        <v>-274.14699999999999</v>
      </c>
      <c r="E32">
        <v>6950.79</v>
      </c>
      <c r="F32">
        <v>-673.93</v>
      </c>
      <c r="G32">
        <v>0</v>
      </c>
      <c r="H32">
        <v>0</v>
      </c>
      <c r="I32">
        <v>100</v>
      </c>
      <c r="J32">
        <v>100</v>
      </c>
      <c r="K32">
        <v>-5852.63</v>
      </c>
      <c r="M32">
        <f t="shared" si="1"/>
        <v>34.753950000000003</v>
      </c>
      <c r="N32">
        <v>6000</v>
      </c>
      <c r="O32">
        <v>1297.3800000000001</v>
      </c>
      <c r="P32">
        <v>-2193.73</v>
      </c>
      <c r="Q32">
        <v>54425.9</v>
      </c>
      <c r="R32">
        <v>-162.911</v>
      </c>
      <c r="S32">
        <v>0</v>
      </c>
      <c r="T32">
        <v>0</v>
      </c>
      <c r="U32">
        <v>800</v>
      </c>
      <c r="V32">
        <v>800</v>
      </c>
      <c r="W32">
        <v>-5425.44</v>
      </c>
      <c r="Y32">
        <f t="shared" si="2"/>
        <v>34.016187500000001</v>
      </c>
      <c r="Z32">
        <v>6000</v>
      </c>
      <c r="AA32">
        <v>1308.6199999999999</v>
      </c>
      <c r="AB32">
        <v>-2155.64</v>
      </c>
      <c r="AC32" s="2">
        <v>63415.8</v>
      </c>
      <c r="AD32">
        <v>-572.04499999999996</v>
      </c>
      <c r="AE32">
        <v>0</v>
      </c>
      <c r="AF32">
        <v>0</v>
      </c>
      <c r="AG32">
        <v>800</v>
      </c>
      <c r="AH32">
        <v>800</v>
      </c>
      <c r="AI32">
        <v>-5127.6499999999996</v>
      </c>
      <c r="AK32">
        <f t="shared" si="3"/>
        <v>39.634875000000001</v>
      </c>
    </row>
    <row r="33" spans="2:37" x14ac:dyDescent="0.2">
      <c r="B33">
        <v>7000</v>
      </c>
      <c r="C33">
        <v>1254.95</v>
      </c>
      <c r="D33">
        <v>-275.06400000000002</v>
      </c>
      <c r="E33">
        <v>7012.55</v>
      </c>
      <c r="F33">
        <v>-1401.62</v>
      </c>
      <c r="G33">
        <v>0</v>
      </c>
      <c r="H33">
        <v>0</v>
      </c>
      <c r="I33">
        <v>100</v>
      </c>
      <c r="J33">
        <v>100</v>
      </c>
      <c r="K33">
        <v>-6318.48</v>
      </c>
      <c r="M33">
        <f t="shared" si="1"/>
        <v>35.062750000000001</v>
      </c>
      <c r="N33">
        <v>7000</v>
      </c>
      <c r="O33">
        <v>1313.67</v>
      </c>
      <c r="P33">
        <v>-2195.39</v>
      </c>
      <c r="Q33">
        <v>54372.4</v>
      </c>
      <c r="R33">
        <v>-55.259900000000002</v>
      </c>
      <c r="S33">
        <v>0</v>
      </c>
      <c r="T33">
        <v>0</v>
      </c>
      <c r="U33">
        <v>800</v>
      </c>
      <c r="V33">
        <v>800</v>
      </c>
      <c r="W33">
        <v>-5389.08</v>
      </c>
      <c r="Y33">
        <f t="shared" si="2"/>
        <v>33.982750000000003</v>
      </c>
      <c r="Z33">
        <v>7000</v>
      </c>
      <c r="AA33">
        <v>1295.58</v>
      </c>
      <c r="AB33">
        <v>-2164.9</v>
      </c>
      <c r="AC33" s="2">
        <v>62329.3</v>
      </c>
      <c r="AD33">
        <v>-809.41</v>
      </c>
      <c r="AE33">
        <v>0</v>
      </c>
      <c r="AF33">
        <v>0</v>
      </c>
      <c r="AG33">
        <v>800</v>
      </c>
      <c r="AH33">
        <v>800</v>
      </c>
      <c r="AI33">
        <v>-5398.29</v>
      </c>
      <c r="AK33">
        <f t="shared" si="3"/>
        <v>38.9558125</v>
      </c>
    </row>
    <row r="34" spans="2:37" x14ac:dyDescent="0.2">
      <c r="B34">
        <v>8000</v>
      </c>
      <c r="C34">
        <v>1372.97</v>
      </c>
      <c r="D34">
        <v>-273.76499999999999</v>
      </c>
      <c r="E34">
        <v>7014.34</v>
      </c>
      <c r="F34">
        <v>-1197.69</v>
      </c>
      <c r="G34">
        <v>0</v>
      </c>
      <c r="H34">
        <v>0</v>
      </c>
      <c r="I34">
        <v>100</v>
      </c>
      <c r="J34">
        <v>100</v>
      </c>
      <c r="K34">
        <v>-6575.56</v>
      </c>
      <c r="M34">
        <f t="shared" si="1"/>
        <v>35.0717</v>
      </c>
      <c r="N34">
        <v>8000</v>
      </c>
      <c r="O34">
        <v>1300.8900000000001</v>
      </c>
      <c r="P34">
        <v>-2197.9899999999998</v>
      </c>
      <c r="Q34">
        <v>54239.5</v>
      </c>
      <c r="R34">
        <v>-306.58699999999999</v>
      </c>
      <c r="S34">
        <v>0</v>
      </c>
      <c r="T34">
        <v>0</v>
      </c>
      <c r="U34">
        <v>800</v>
      </c>
      <c r="V34">
        <v>800</v>
      </c>
      <c r="W34">
        <v>-5601.48</v>
      </c>
      <c r="Y34">
        <f t="shared" si="2"/>
        <v>33.899687499999999</v>
      </c>
      <c r="Z34">
        <v>8000</v>
      </c>
      <c r="AA34">
        <v>1300.51</v>
      </c>
      <c r="AB34">
        <v>-2165.19</v>
      </c>
      <c r="AC34" s="2">
        <v>61351.6</v>
      </c>
      <c r="AD34">
        <v>-1423.52</v>
      </c>
      <c r="AE34">
        <v>0</v>
      </c>
      <c r="AF34">
        <v>0</v>
      </c>
      <c r="AG34">
        <v>800</v>
      </c>
      <c r="AH34">
        <v>800</v>
      </c>
      <c r="AI34">
        <v>-6103.22</v>
      </c>
      <c r="AK34">
        <f t="shared" si="3"/>
        <v>38.344749999999998</v>
      </c>
    </row>
    <row r="35" spans="2:37" x14ac:dyDescent="0.2">
      <c r="B35">
        <v>9000</v>
      </c>
      <c r="C35">
        <v>1246.7</v>
      </c>
      <c r="D35">
        <v>-273.14299999999997</v>
      </c>
      <c r="E35">
        <v>6949.17</v>
      </c>
      <c r="F35">
        <v>-2951.27</v>
      </c>
      <c r="G35">
        <v>0</v>
      </c>
      <c r="H35">
        <v>0</v>
      </c>
      <c r="I35">
        <v>100</v>
      </c>
      <c r="J35">
        <v>100</v>
      </c>
      <c r="K35">
        <v>-7880.38</v>
      </c>
      <c r="M35">
        <f t="shared" si="1"/>
        <v>34.745849999999997</v>
      </c>
      <c r="N35">
        <v>9000</v>
      </c>
      <c r="O35">
        <v>1291.5999999999999</v>
      </c>
      <c r="P35">
        <v>-2197.9299999999998</v>
      </c>
      <c r="Q35">
        <v>54039</v>
      </c>
      <c r="R35">
        <v>-185.465</v>
      </c>
      <c r="S35">
        <v>0</v>
      </c>
      <c r="T35">
        <v>0</v>
      </c>
      <c r="U35">
        <v>800</v>
      </c>
      <c r="V35">
        <v>800</v>
      </c>
      <c r="W35">
        <v>-5462.04</v>
      </c>
      <c r="Y35">
        <f t="shared" si="2"/>
        <v>33.774374999999999</v>
      </c>
      <c r="Z35">
        <v>9000</v>
      </c>
      <c r="AA35">
        <v>1299.31</v>
      </c>
      <c r="AB35">
        <v>-2173.1</v>
      </c>
      <c r="AC35" s="2">
        <v>60436</v>
      </c>
      <c r="AD35">
        <v>-972.97400000000005</v>
      </c>
      <c r="AE35">
        <v>0</v>
      </c>
      <c r="AF35">
        <v>0</v>
      </c>
      <c r="AG35">
        <v>800</v>
      </c>
      <c r="AH35">
        <v>800</v>
      </c>
      <c r="AI35">
        <v>-5719.22</v>
      </c>
      <c r="AK35">
        <f t="shared" si="3"/>
        <v>37.772500000000001</v>
      </c>
    </row>
    <row r="36" spans="2:37" x14ac:dyDescent="0.2">
      <c r="B36">
        <v>10000</v>
      </c>
      <c r="C36">
        <v>1277.52</v>
      </c>
      <c r="D36">
        <v>-277.61</v>
      </c>
      <c r="E36">
        <v>6807.53</v>
      </c>
      <c r="F36">
        <v>-1456.03</v>
      </c>
      <c r="G36">
        <v>0</v>
      </c>
      <c r="H36">
        <v>0</v>
      </c>
      <c r="I36">
        <v>100</v>
      </c>
      <c r="J36">
        <v>100</v>
      </c>
      <c r="K36">
        <v>-6611.8</v>
      </c>
      <c r="M36">
        <f t="shared" si="1"/>
        <v>34.037649999999999</v>
      </c>
      <c r="N36">
        <v>10000</v>
      </c>
      <c r="O36">
        <v>1314.2</v>
      </c>
      <c r="P36">
        <v>-2202.9299999999998</v>
      </c>
      <c r="Q36">
        <v>53866.3</v>
      </c>
      <c r="R36">
        <v>-521.64200000000005</v>
      </c>
      <c r="S36">
        <v>0</v>
      </c>
      <c r="T36">
        <v>0</v>
      </c>
      <c r="U36">
        <v>800</v>
      </c>
      <c r="V36">
        <v>800</v>
      </c>
      <c r="W36">
        <v>-5907.78</v>
      </c>
      <c r="Y36">
        <f t="shared" si="2"/>
        <v>33.666437500000001</v>
      </c>
      <c r="Z36">
        <v>10000</v>
      </c>
      <c r="AA36">
        <v>1295.43</v>
      </c>
      <c r="AB36">
        <v>-2163.54</v>
      </c>
      <c r="AC36" s="2">
        <v>59616.6</v>
      </c>
      <c r="AD36">
        <v>-2258.2399999999998</v>
      </c>
      <c r="AE36">
        <v>0</v>
      </c>
      <c r="AF36">
        <v>0</v>
      </c>
      <c r="AG36">
        <v>800</v>
      </c>
      <c r="AH36">
        <v>800</v>
      </c>
      <c r="AI36">
        <v>-7055.37</v>
      </c>
      <c r="AK36">
        <f t="shared" si="3"/>
        <v>37.260374999999996</v>
      </c>
    </row>
    <row r="37" spans="2:37" x14ac:dyDescent="0.2">
      <c r="B37">
        <v>11000</v>
      </c>
      <c r="C37">
        <v>1357.36</v>
      </c>
      <c r="D37">
        <v>-275.36500000000001</v>
      </c>
      <c r="E37">
        <v>6636.85</v>
      </c>
      <c r="F37">
        <v>442.32100000000003</v>
      </c>
      <c r="G37">
        <v>0</v>
      </c>
      <c r="H37">
        <v>0</v>
      </c>
      <c r="I37">
        <v>100</v>
      </c>
      <c r="J37">
        <v>100</v>
      </c>
      <c r="K37">
        <v>-5176.75</v>
      </c>
      <c r="M37">
        <f t="shared" si="1"/>
        <v>33.184249999999999</v>
      </c>
      <c r="N37">
        <v>11000</v>
      </c>
      <c r="O37">
        <v>1258.8</v>
      </c>
      <c r="P37">
        <v>-2207.7600000000002</v>
      </c>
      <c r="Q37">
        <v>53686.8</v>
      </c>
      <c r="R37">
        <v>-442.36799999999999</v>
      </c>
      <c r="S37">
        <v>0</v>
      </c>
      <c r="T37">
        <v>0</v>
      </c>
      <c r="U37">
        <v>800</v>
      </c>
      <c r="V37">
        <v>800</v>
      </c>
      <c r="W37">
        <v>-5618.7</v>
      </c>
      <c r="Y37">
        <f t="shared" si="2"/>
        <v>33.554250000000003</v>
      </c>
      <c r="Z37">
        <v>11000</v>
      </c>
      <c r="AA37">
        <v>1328.95</v>
      </c>
      <c r="AB37">
        <v>-2166.4299999999998</v>
      </c>
      <c r="AC37" s="2">
        <v>58802.2</v>
      </c>
      <c r="AD37">
        <v>-1280.82</v>
      </c>
      <c r="AE37">
        <v>0</v>
      </c>
      <c r="AF37">
        <v>0</v>
      </c>
      <c r="AG37">
        <v>800</v>
      </c>
      <c r="AH37">
        <v>800</v>
      </c>
      <c r="AI37">
        <v>-6270.24</v>
      </c>
      <c r="AK37">
        <f t="shared" si="3"/>
        <v>36.751374999999996</v>
      </c>
    </row>
    <row r="38" spans="2:37" x14ac:dyDescent="0.2">
      <c r="B38">
        <v>12000</v>
      </c>
      <c r="C38">
        <v>1328.64</v>
      </c>
      <c r="D38">
        <v>-276.67599999999999</v>
      </c>
      <c r="E38">
        <v>6498.22</v>
      </c>
      <c r="F38">
        <v>3618.93</v>
      </c>
      <c r="G38">
        <v>0</v>
      </c>
      <c r="H38">
        <v>0</v>
      </c>
      <c r="I38">
        <v>100</v>
      </c>
      <c r="J38">
        <v>100</v>
      </c>
      <c r="K38">
        <v>-1998.68</v>
      </c>
      <c r="M38">
        <f t="shared" si="1"/>
        <v>32.491100000000003</v>
      </c>
      <c r="N38">
        <v>12000</v>
      </c>
      <c r="O38">
        <v>1290.5999999999999</v>
      </c>
      <c r="P38">
        <v>-2196.4</v>
      </c>
      <c r="Q38">
        <v>53546.8</v>
      </c>
      <c r="R38">
        <v>-109.28</v>
      </c>
      <c r="S38">
        <v>0</v>
      </c>
      <c r="T38">
        <v>0</v>
      </c>
      <c r="U38">
        <v>800</v>
      </c>
      <c r="V38">
        <v>800</v>
      </c>
      <c r="W38">
        <v>-5430.22</v>
      </c>
      <c r="Y38">
        <f t="shared" si="2"/>
        <v>33.466750000000005</v>
      </c>
      <c r="Z38">
        <v>12000</v>
      </c>
      <c r="AA38">
        <v>1313.45</v>
      </c>
      <c r="AB38">
        <v>-2176.1799999999998</v>
      </c>
      <c r="AC38" s="2">
        <v>57979.7</v>
      </c>
      <c r="AD38">
        <v>-1244.22</v>
      </c>
      <c r="AE38">
        <v>0</v>
      </c>
      <c r="AF38">
        <v>0</v>
      </c>
      <c r="AG38">
        <v>800</v>
      </c>
      <c r="AH38">
        <v>800</v>
      </c>
      <c r="AI38">
        <v>-6245.36</v>
      </c>
      <c r="AK38">
        <f t="shared" si="3"/>
        <v>36.237312500000002</v>
      </c>
    </row>
    <row r="39" spans="2:37" x14ac:dyDescent="0.2">
      <c r="B39">
        <v>13000</v>
      </c>
      <c r="C39">
        <v>1287.6400000000001</v>
      </c>
      <c r="D39">
        <v>-277.22500000000002</v>
      </c>
      <c r="E39">
        <v>6404.77</v>
      </c>
      <c r="F39">
        <v>1907.64</v>
      </c>
      <c r="G39">
        <v>0</v>
      </c>
      <c r="H39">
        <v>0</v>
      </c>
      <c r="I39">
        <v>100</v>
      </c>
      <c r="J39">
        <v>100</v>
      </c>
      <c r="K39">
        <v>-3616.09</v>
      </c>
      <c r="M39">
        <f t="shared" si="1"/>
        <v>32.023850000000003</v>
      </c>
      <c r="N39">
        <v>13000</v>
      </c>
      <c r="O39">
        <v>1293.19</v>
      </c>
      <c r="P39">
        <v>-2200.27</v>
      </c>
      <c r="Q39">
        <v>53369.3</v>
      </c>
      <c r="R39">
        <v>467.822</v>
      </c>
      <c r="S39">
        <v>0</v>
      </c>
      <c r="T39">
        <v>0</v>
      </c>
      <c r="U39">
        <v>800</v>
      </c>
      <c r="V39">
        <v>800</v>
      </c>
      <c r="W39">
        <v>-4881.5600000000004</v>
      </c>
      <c r="Y39">
        <f t="shared" si="2"/>
        <v>33.355812499999999</v>
      </c>
      <c r="Z39">
        <v>13000</v>
      </c>
      <c r="AA39">
        <v>1322.93</v>
      </c>
      <c r="AB39">
        <v>-2178.8200000000002</v>
      </c>
      <c r="AC39" s="2">
        <v>57168.4</v>
      </c>
      <c r="AD39">
        <v>132.715</v>
      </c>
      <c r="AE39">
        <v>0</v>
      </c>
      <c r="AF39">
        <v>0</v>
      </c>
      <c r="AG39">
        <v>800</v>
      </c>
      <c r="AH39">
        <v>800</v>
      </c>
      <c r="AI39">
        <v>-4976.01</v>
      </c>
      <c r="AK39">
        <f t="shared" si="3"/>
        <v>35.730249999999998</v>
      </c>
    </row>
    <row r="40" spans="2:37" x14ac:dyDescent="0.2">
      <c r="B40">
        <v>14000</v>
      </c>
      <c r="C40">
        <v>1317.55</v>
      </c>
      <c r="D40">
        <v>-276.35300000000001</v>
      </c>
      <c r="E40">
        <v>6372.29</v>
      </c>
      <c r="F40">
        <v>3758.1</v>
      </c>
      <c r="G40">
        <v>0</v>
      </c>
      <c r="H40">
        <v>0</v>
      </c>
      <c r="I40">
        <v>100</v>
      </c>
      <c r="J40">
        <v>100</v>
      </c>
      <c r="K40">
        <v>-1922.69</v>
      </c>
      <c r="M40">
        <f t="shared" si="1"/>
        <v>31.861450000000001</v>
      </c>
      <c r="N40">
        <v>14000</v>
      </c>
      <c r="O40">
        <v>1265.68</v>
      </c>
      <c r="P40">
        <v>-2212.71</v>
      </c>
      <c r="Q40">
        <v>53206.7</v>
      </c>
      <c r="R40">
        <v>-80.068100000000001</v>
      </c>
      <c r="S40">
        <v>0</v>
      </c>
      <c r="T40">
        <v>0</v>
      </c>
      <c r="U40">
        <v>800</v>
      </c>
      <c r="V40">
        <v>800</v>
      </c>
      <c r="W40">
        <v>-5331.64</v>
      </c>
      <c r="Y40">
        <f t="shared" si="2"/>
        <v>33.2541875</v>
      </c>
      <c r="Z40">
        <v>14000</v>
      </c>
      <c r="AA40">
        <v>1257.93</v>
      </c>
      <c r="AB40">
        <v>-2185.11</v>
      </c>
      <c r="AC40" s="2">
        <v>56526.9</v>
      </c>
      <c r="AD40">
        <v>-623.92600000000004</v>
      </c>
      <c r="AE40">
        <v>0</v>
      </c>
      <c r="AF40">
        <v>0</v>
      </c>
      <c r="AG40">
        <v>800</v>
      </c>
      <c r="AH40">
        <v>800</v>
      </c>
      <c r="AI40">
        <v>-5536.72</v>
      </c>
      <c r="AK40">
        <f t="shared" si="3"/>
        <v>35.3293125</v>
      </c>
    </row>
    <row r="41" spans="2:37" x14ac:dyDescent="0.2">
      <c r="B41">
        <v>15000</v>
      </c>
      <c r="C41">
        <v>1167.99</v>
      </c>
      <c r="D41">
        <v>-277.10599999999999</v>
      </c>
      <c r="E41">
        <v>6430.01</v>
      </c>
      <c r="F41">
        <v>-772.375</v>
      </c>
      <c r="G41">
        <v>0</v>
      </c>
      <c r="H41">
        <v>0</v>
      </c>
      <c r="I41">
        <v>100</v>
      </c>
      <c r="J41">
        <v>100</v>
      </c>
      <c r="K41">
        <v>-5763.07</v>
      </c>
      <c r="M41">
        <f t="shared" si="1"/>
        <v>32.15005</v>
      </c>
      <c r="N41">
        <v>15000</v>
      </c>
      <c r="O41">
        <v>1332.53</v>
      </c>
      <c r="P41">
        <v>-2187.5100000000002</v>
      </c>
      <c r="Q41">
        <v>53095.199999999997</v>
      </c>
      <c r="R41">
        <v>1035.97</v>
      </c>
      <c r="S41">
        <v>0</v>
      </c>
      <c r="T41">
        <v>0</v>
      </c>
      <c r="U41">
        <v>800</v>
      </c>
      <c r="V41">
        <v>800</v>
      </c>
      <c r="W41">
        <v>-4504.59</v>
      </c>
      <c r="Y41">
        <f t="shared" si="2"/>
        <v>33.1845</v>
      </c>
      <c r="Z41">
        <v>15000</v>
      </c>
      <c r="AA41">
        <v>1294.27</v>
      </c>
      <c r="AB41">
        <v>-2190.23</v>
      </c>
      <c r="AC41" s="2">
        <v>55901.4</v>
      </c>
      <c r="AD41">
        <v>-1022.97</v>
      </c>
      <c r="AE41">
        <v>0</v>
      </c>
      <c r="AF41">
        <v>0</v>
      </c>
      <c r="AG41">
        <v>800</v>
      </c>
      <c r="AH41">
        <v>800</v>
      </c>
      <c r="AI41">
        <v>-6134.28</v>
      </c>
      <c r="AK41">
        <f t="shared" si="3"/>
        <v>34.938375000000001</v>
      </c>
    </row>
    <row r="42" spans="2:37" x14ac:dyDescent="0.2">
      <c r="B42">
        <v>16000</v>
      </c>
      <c r="C42">
        <v>1333.7</v>
      </c>
      <c r="D42">
        <v>-277.34500000000003</v>
      </c>
      <c r="E42">
        <v>6557.53</v>
      </c>
      <c r="F42">
        <v>2747.5</v>
      </c>
      <c r="G42">
        <v>0</v>
      </c>
      <c r="H42">
        <v>0</v>
      </c>
      <c r="I42">
        <v>100</v>
      </c>
      <c r="J42">
        <v>100</v>
      </c>
      <c r="K42">
        <v>-2840.55</v>
      </c>
      <c r="M42">
        <f t="shared" si="1"/>
        <v>32.787649999999999</v>
      </c>
      <c r="N42">
        <v>16000</v>
      </c>
      <c r="O42">
        <v>1272.49</v>
      </c>
      <c r="P42">
        <v>-2204.21</v>
      </c>
      <c r="Q42">
        <v>53201.599999999999</v>
      </c>
      <c r="R42">
        <v>-615.08299999999997</v>
      </c>
      <c r="S42">
        <v>0</v>
      </c>
      <c r="T42">
        <v>0</v>
      </c>
      <c r="U42">
        <v>800</v>
      </c>
      <c r="V42">
        <v>800</v>
      </c>
      <c r="W42">
        <v>-5895.41</v>
      </c>
      <c r="Y42">
        <f t="shared" si="2"/>
        <v>33.250999999999998</v>
      </c>
      <c r="Z42">
        <v>16000</v>
      </c>
      <c r="AA42">
        <v>1319.73</v>
      </c>
      <c r="AB42">
        <v>-2186.2199999999998</v>
      </c>
      <c r="AC42" s="2">
        <v>55238.400000000001</v>
      </c>
      <c r="AD42">
        <v>-775.94399999999996</v>
      </c>
      <c r="AE42">
        <v>0</v>
      </c>
      <c r="AF42">
        <v>0</v>
      </c>
      <c r="AG42">
        <v>800</v>
      </c>
      <c r="AH42">
        <v>800</v>
      </c>
      <c r="AI42">
        <v>-6050.4</v>
      </c>
      <c r="AK42">
        <f t="shared" si="3"/>
        <v>34.524000000000001</v>
      </c>
    </row>
    <row r="43" spans="2:37" x14ac:dyDescent="0.2">
      <c r="B43">
        <v>17000</v>
      </c>
      <c r="C43">
        <v>1252.27</v>
      </c>
      <c r="D43">
        <v>-276.22500000000002</v>
      </c>
      <c r="E43">
        <v>6747.35</v>
      </c>
      <c r="F43">
        <v>-302.75</v>
      </c>
      <c r="G43">
        <v>0</v>
      </c>
      <c r="H43">
        <v>0</v>
      </c>
      <c r="I43">
        <v>100</v>
      </c>
      <c r="J43">
        <v>100</v>
      </c>
      <c r="K43">
        <v>-5401.95</v>
      </c>
      <c r="M43">
        <f t="shared" si="1"/>
        <v>33.736750000000001</v>
      </c>
      <c r="N43">
        <v>17000</v>
      </c>
      <c r="O43">
        <v>1263.6199999999999</v>
      </c>
      <c r="P43">
        <v>-2207.14</v>
      </c>
      <c r="Q43">
        <v>53404.2</v>
      </c>
      <c r="R43">
        <v>-841.94500000000005</v>
      </c>
      <c r="S43">
        <v>0</v>
      </c>
      <c r="T43">
        <v>0</v>
      </c>
      <c r="U43">
        <v>800</v>
      </c>
      <c r="V43">
        <v>800</v>
      </c>
      <c r="W43">
        <v>-6065.59</v>
      </c>
      <c r="Y43">
        <f t="shared" si="2"/>
        <v>33.377624999999995</v>
      </c>
      <c r="Z43">
        <v>17000</v>
      </c>
      <c r="AA43">
        <v>1322.6</v>
      </c>
      <c r="AB43">
        <v>-2188.19</v>
      </c>
      <c r="AC43" s="2">
        <v>54667.4</v>
      </c>
      <c r="AD43">
        <v>260.70400000000001</v>
      </c>
      <c r="AE43">
        <v>0</v>
      </c>
      <c r="AF43">
        <v>0</v>
      </c>
      <c r="AG43">
        <v>800</v>
      </c>
      <c r="AH43">
        <v>800</v>
      </c>
      <c r="AI43">
        <v>-5080.43</v>
      </c>
      <c r="AK43">
        <f t="shared" si="3"/>
        <v>34.167124999999999</v>
      </c>
    </row>
    <row r="44" spans="2:37" x14ac:dyDescent="0.2">
      <c r="B44">
        <v>18000</v>
      </c>
      <c r="C44">
        <v>1293.92</v>
      </c>
      <c r="D44">
        <v>-273.11099999999999</v>
      </c>
      <c r="E44">
        <v>6940.91</v>
      </c>
      <c r="F44">
        <v>-1701.05</v>
      </c>
      <c r="G44">
        <v>0</v>
      </c>
      <c r="H44">
        <v>0</v>
      </c>
      <c r="I44">
        <v>100</v>
      </c>
      <c r="J44">
        <v>100</v>
      </c>
      <c r="K44">
        <v>-6823.09</v>
      </c>
      <c r="M44">
        <f t="shared" si="1"/>
        <v>34.704549999999998</v>
      </c>
      <c r="N44">
        <v>18000</v>
      </c>
      <c r="O44">
        <v>1301.5999999999999</v>
      </c>
      <c r="P44">
        <v>-2199.54</v>
      </c>
      <c r="Q44">
        <v>53679.4</v>
      </c>
      <c r="R44">
        <v>158.34399999999999</v>
      </c>
      <c r="S44">
        <v>0</v>
      </c>
      <c r="T44">
        <v>0</v>
      </c>
      <c r="U44">
        <v>800</v>
      </c>
      <c r="V44">
        <v>800</v>
      </c>
      <c r="W44">
        <v>-5194.71</v>
      </c>
      <c r="Y44">
        <f t="shared" si="2"/>
        <v>33.549624999999999</v>
      </c>
      <c r="Z44">
        <v>18000</v>
      </c>
      <c r="AA44">
        <v>1286.6600000000001</v>
      </c>
      <c r="AB44">
        <v>-2198.5500000000002</v>
      </c>
      <c r="AC44" s="2">
        <v>54316.4</v>
      </c>
      <c r="AD44">
        <v>-1312.15</v>
      </c>
      <c r="AE44">
        <v>0</v>
      </c>
      <c r="AF44">
        <v>0</v>
      </c>
      <c r="AG44">
        <v>800</v>
      </c>
      <c r="AH44">
        <v>800</v>
      </c>
      <c r="AI44">
        <v>-6541.73</v>
      </c>
      <c r="AK44">
        <f t="shared" si="3"/>
        <v>33.947749999999999</v>
      </c>
    </row>
    <row r="45" spans="2:37" x14ac:dyDescent="0.2">
      <c r="B45">
        <v>19000</v>
      </c>
      <c r="C45">
        <v>1315.12</v>
      </c>
      <c r="D45">
        <v>-271.892</v>
      </c>
      <c r="E45">
        <v>7060.21</v>
      </c>
      <c r="F45">
        <v>-3711.03</v>
      </c>
      <c r="G45">
        <v>0</v>
      </c>
      <c r="H45">
        <v>0</v>
      </c>
      <c r="I45">
        <v>100</v>
      </c>
      <c r="J45">
        <v>100</v>
      </c>
      <c r="K45">
        <v>-8828.86</v>
      </c>
      <c r="M45">
        <f t="shared" si="1"/>
        <v>35.301050000000004</v>
      </c>
      <c r="N45">
        <v>19000</v>
      </c>
      <c r="O45">
        <v>1254.54</v>
      </c>
      <c r="P45">
        <v>-2201.21</v>
      </c>
      <c r="Q45">
        <v>54093.8</v>
      </c>
      <c r="R45">
        <v>-608.476</v>
      </c>
      <c r="S45">
        <v>0</v>
      </c>
      <c r="T45">
        <v>0</v>
      </c>
      <c r="U45">
        <v>800</v>
      </c>
      <c r="V45">
        <v>800</v>
      </c>
      <c r="W45">
        <v>-5728.48</v>
      </c>
      <c r="Y45">
        <f t="shared" si="2"/>
        <v>33.808624999999999</v>
      </c>
      <c r="Z45">
        <v>19000</v>
      </c>
      <c r="AA45">
        <v>1296.02</v>
      </c>
      <c r="AB45">
        <v>-2199.66</v>
      </c>
      <c r="AC45" s="2">
        <v>53985.599999999999</v>
      </c>
      <c r="AD45">
        <v>692.07</v>
      </c>
      <c r="AE45">
        <v>0</v>
      </c>
      <c r="AF45">
        <v>0</v>
      </c>
      <c r="AG45">
        <v>800</v>
      </c>
      <c r="AH45">
        <v>800</v>
      </c>
      <c r="AI45">
        <v>-4607.83</v>
      </c>
      <c r="AK45">
        <f t="shared" si="3"/>
        <v>33.741</v>
      </c>
    </row>
    <row r="46" spans="2:37" x14ac:dyDescent="0.2">
      <c r="B46">
        <v>20000</v>
      </c>
      <c r="C46">
        <v>1287.73</v>
      </c>
      <c r="D46">
        <v>-275.67899999999997</v>
      </c>
      <c r="E46">
        <v>7067.7</v>
      </c>
      <c r="F46">
        <v>-1904.18</v>
      </c>
      <c r="G46">
        <v>0</v>
      </c>
      <c r="H46">
        <v>0</v>
      </c>
      <c r="I46">
        <v>100</v>
      </c>
      <c r="J46">
        <v>100</v>
      </c>
      <c r="K46">
        <v>-6910.09</v>
      </c>
      <c r="M46">
        <f t="shared" si="1"/>
        <v>35.338499999999996</v>
      </c>
      <c r="N46">
        <v>20000</v>
      </c>
      <c r="O46">
        <v>1302.01</v>
      </c>
      <c r="P46">
        <v>-2190.48</v>
      </c>
      <c r="Q46">
        <v>54527.7</v>
      </c>
      <c r="R46">
        <v>-17.273900000000001</v>
      </c>
      <c r="S46">
        <v>0</v>
      </c>
      <c r="T46">
        <v>0</v>
      </c>
      <c r="U46">
        <v>800</v>
      </c>
      <c r="V46">
        <v>800</v>
      </c>
      <c r="W46">
        <v>-5288.72</v>
      </c>
      <c r="Y46">
        <f t="shared" si="2"/>
        <v>34.079812499999996</v>
      </c>
      <c r="Z46">
        <v>20000</v>
      </c>
      <c r="AA46">
        <v>1274.28</v>
      </c>
      <c r="AB46">
        <v>-2203.9499999999998</v>
      </c>
      <c r="AC46" s="2">
        <v>53749.7</v>
      </c>
      <c r="AD46">
        <v>-344.935</v>
      </c>
      <c r="AE46">
        <v>0</v>
      </c>
      <c r="AF46">
        <v>0</v>
      </c>
      <c r="AG46">
        <v>800</v>
      </c>
      <c r="AH46">
        <v>800</v>
      </c>
      <c r="AI46">
        <v>-5578.79</v>
      </c>
      <c r="AK46">
        <f t="shared" si="3"/>
        <v>33.593562499999997</v>
      </c>
    </row>
    <row r="47" spans="2:37" x14ac:dyDescent="0.2">
      <c r="B47">
        <v>21000</v>
      </c>
      <c r="C47">
        <v>1417.91</v>
      </c>
      <c r="D47">
        <v>-271.84699999999998</v>
      </c>
      <c r="E47">
        <v>7024.87</v>
      </c>
      <c r="F47">
        <v>2161.4</v>
      </c>
      <c r="G47">
        <v>0</v>
      </c>
      <c r="H47">
        <v>0</v>
      </c>
      <c r="I47">
        <v>100</v>
      </c>
      <c r="J47">
        <v>100</v>
      </c>
      <c r="K47">
        <v>-3384.15</v>
      </c>
      <c r="M47">
        <f t="shared" si="1"/>
        <v>35.12435</v>
      </c>
      <c r="N47">
        <v>21000</v>
      </c>
      <c r="O47">
        <v>1278.95</v>
      </c>
      <c r="P47">
        <v>-2197.6999999999998</v>
      </c>
      <c r="Q47">
        <v>54903.5</v>
      </c>
      <c r="R47">
        <v>-700.67899999999997</v>
      </c>
      <c r="S47">
        <v>0</v>
      </c>
      <c r="T47">
        <v>0</v>
      </c>
      <c r="U47">
        <v>800</v>
      </c>
      <c r="V47">
        <v>800</v>
      </c>
      <c r="W47">
        <v>-5843.3</v>
      </c>
      <c r="Y47">
        <f t="shared" si="2"/>
        <v>34.314687499999998</v>
      </c>
      <c r="Z47">
        <v>21000</v>
      </c>
      <c r="AA47">
        <v>1303.97</v>
      </c>
      <c r="AB47">
        <v>-2199.48</v>
      </c>
      <c r="AC47" s="2">
        <v>53551.6</v>
      </c>
      <c r="AD47">
        <v>313.89</v>
      </c>
      <c r="AE47">
        <v>0</v>
      </c>
      <c r="AF47">
        <v>0</v>
      </c>
      <c r="AG47">
        <v>800</v>
      </c>
      <c r="AH47">
        <v>800</v>
      </c>
      <c r="AI47">
        <v>-5061.72</v>
      </c>
      <c r="AK47">
        <f t="shared" si="3"/>
        <v>33.469749999999998</v>
      </c>
    </row>
    <row r="48" spans="2:37" x14ac:dyDescent="0.2">
      <c r="B48">
        <v>22000</v>
      </c>
      <c r="C48">
        <v>1222.6300000000001</v>
      </c>
      <c r="D48">
        <v>-274.89299999999997</v>
      </c>
      <c r="E48">
        <v>6968.97</v>
      </c>
      <c r="F48">
        <v>-1049.72</v>
      </c>
      <c r="G48">
        <v>0</v>
      </c>
      <c r="H48">
        <v>0</v>
      </c>
      <c r="I48">
        <v>100</v>
      </c>
      <c r="J48">
        <v>100</v>
      </c>
      <c r="K48">
        <v>-5869.88</v>
      </c>
      <c r="M48">
        <f t="shared" si="1"/>
        <v>34.844850000000001</v>
      </c>
      <c r="N48">
        <v>22000</v>
      </c>
      <c r="O48">
        <v>1316.48</v>
      </c>
      <c r="P48">
        <v>-2187.04</v>
      </c>
      <c r="Q48">
        <v>55097.7</v>
      </c>
      <c r="R48">
        <v>-241.25700000000001</v>
      </c>
      <c r="S48">
        <v>0</v>
      </c>
      <c r="T48">
        <v>0</v>
      </c>
      <c r="U48">
        <v>800</v>
      </c>
      <c r="V48">
        <v>800</v>
      </c>
      <c r="W48">
        <v>-5516.13</v>
      </c>
      <c r="Y48">
        <f t="shared" si="2"/>
        <v>34.436062499999998</v>
      </c>
      <c r="Z48">
        <v>22000</v>
      </c>
      <c r="AA48">
        <v>1288.1300000000001</v>
      </c>
      <c r="AB48">
        <v>-2208.14</v>
      </c>
      <c r="AC48" s="2">
        <v>53409.9</v>
      </c>
      <c r="AD48">
        <v>-629.99300000000005</v>
      </c>
      <c r="AE48">
        <v>0</v>
      </c>
      <c r="AF48">
        <v>0</v>
      </c>
      <c r="AG48">
        <v>800</v>
      </c>
      <c r="AH48">
        <v>800</v>
      </c>
      <c r="AI48">
        <v>-5954.37</v>
      </c>
      <c r="AK48">
        <f t="shared" si="3"/>
        <v>33.381187500000003</v>
      </c>
    </row>
    <row r="49" spans="2:37" x14ac:dyDescent="0.2">
      <c r="B49">
        <v>23000</v>
      </c>
      <c r="C49">
        <v>1383.42</v>
      </c>
      <c r="D49">
        <v>-272.29300000000001</v>
      </c>
      <c r="E49">
        <v>6892.98</v>
      </c>
      <c r="F49">
        <v>-1239.7</v>
      </c>
      <c r="G49">
        <v>0</v>
      </c>
      <c r="H49">
        <v>0</v>
      </c>
      <c r="I49">
        <v>100</v>
      </c>
      <c r="J49">
        <v>100</v>
      </c>
      <c r="K49">
        <v>-6753.96</v>
      </c>
      <c r="M49">
        <f t="shared" si="1"/>
        <v>34.4649</v>
      </c>
      <c r="N49">
        <v>23000</v>
      </c>
      <c r="O49">
        <v>1270.8499999999999</v>
      </c>
      <c r="P49">
        <v>-2193</v>
      </c>
      <c r="Q49">
        <v>55111.9</v>
      </c>
      <c r="R49">
        <v>-952.375</v>
      </c>
      <c r="S49">
        <v>0</v>
      </c>
      <c r="T49">
        <v>0</v>
      </c>
      <c r="U49">
        <v>800</v>
      </c>
      <c r="V49">
        <v>800</v>
      </c>
      <c r="W49">
        <v>-6043.1</v>
      </c>
      <c r="Y49">
        <f t="shared" si="2"/>
        <v>34.444937500000002</v>
      </c>
      <c r="Z49">
        <v>23000</v>
      </c>
      <c r="AA49">
        <v>1310.83</v>
      </c>
      <c r="AB49">
        <v>-2203.69</v>
      </c>
      <c r="AC49" s="2">
        <v>53322.7</v>
      </c>
      <c r="AD49">
        <v>1118.49</v>
      </c>
      <c r="AE49">
        <v>0</v>
      </c>
      <c r="AF49">
        <v>0</v>
      </c>
      <c r="AG49">
        <v>800</v>
      </c>
      <c r="AH49">
        <v>800</v>
      </c>
      <c r="AI49">
        <v>-4308.6000000000004</v>
      </c>
      <c r="AK49">
        <f t="shared" si="3"/>
        <v>33.326687499999998</v>
      </c>
    </row>
    <row r="50" spans="2:37" x14ac:dyDescent="0.2">
      <c r="B50">
        <v>24000</v>
      </c>
      <c r="C50">
        <v>1225.6600000000001</v>
      </c>
      <c r="D50">
        <v>-273.70299999999997</v>
      </c>
      <c r="E50">
        <v>6797.46</v>
      </c>
      <c r="F50">
        <v>-1107</v>
      </c>
      <c r="G50">
        <v>0</v>
      </c>
      <c r="H50">
        <v>0</v>
      </c>
      <c r="I50">
        <v>100</v>
      </c>
      <c r="J50">
        <v>100</v>
      </c>
      <c r="K50">
        <v>-6061.05</v>
      </c>
      <c r="M50">
        <f t="shared" si="1"/>
        <v>33.987299999999998</v>
      </c>
      <c r="N50">
        <v>24000</v>
      </c>
      <c r="O50">
        <v>1301.25</v>
      </c>
      <c r="P50">
        <v>-2187.2199999999998</v>
      </c>
      <c r="Q50">
        <v>54861.3</v>
      </c>
      <c r="R50">
        <v>-663.30799999999999</v>
      </c>
      <c r="S50">
        <v>0</v>
      </c>
      <c r="T50">
        <v>0</v>
      </c>
      <c r="U50">
        <v>800</v>
      </c>
      <c r="V50">
        <v>800</v>
      </c>
      <c r="W50">
        <v>-5899.62</v>
      </c>
      <c r="Y50">
        <f t="shared" si="2"/>
        <v>34.288312500000004</v>
      </c>
      <c r="Z50">
        <v>24000</v>
      </c>
      <c r="AA50">
        <v>1275.6400000000001</v>
      </c>
      <c r="AB50">
        <v>-2206.5</v>
      </c>
      <c r="AC50" s="2">
        <v>53451.6</v>
      </c>
      <c r="AD50">
        <v>355.71100000000001</v>
      </c>
      <c r="AE50">
        <v>0</v>
      </c>
      <c r="AF50">
        <v>0</v>
      </c>
      <c r="AG50">
        <v>800</v>
      </c>
      <c r="AH50">
        <v>800</v>
      </c>
      <c r="AI50">
        <v>-4912.92</v>
      </c>
      <c r="AK50">
        <f t="shared" si="3"/>
        <v>33.407249999999998</v>
      </c>
    </row>
    <row r="51" spans="2:37" x14ac:dyDescent="0.2">
      <c r="B51">
        <v>25000</v>
      </c>
      <c r="C51">
        <v>1300.5899999999999</v>
      </c>
      <c r="D51">
        <v>-273.76</v>
      </c>
      <c r="E51">
        <v>6710.94</v>
      </c>
      <c r="F51">
        <v>-21.158799999999999</v>
      </c>
      <c r="G51">
        <v>0</v>
      </c>
      <c r="H51">
        <v>0</v>
      </c>
      <c r="I51">
        <v>100</v>
      </c>
      <c r="J51">
        <v>100</v>
      </c>
      <c r="K51">
        <v>-5345.86</v>
      </c>
      <c r="M51">
        <f t="shared" si="1"/>
        <v>33.554699999999997</v>
      </c>
      <c r="N51">
        <v>25000</v>
      </c>
      <c r="O51">
        <v>1274.26</v>
      </c>
      <c r="P51">
        <v>-2201.3000000000002</v>
      </c>
      <c r="Q51">
        <v>54334.1</v>
      </c>
      <c r="R51">
        <v>-555.09</v>
      </c>
      <c r="S51">
        <v>0</v>
      </c>
      <c r="T51">
        <v>0</v>
      </c>
      <c r="U51">
        <v>800</v>
      </c>
      <c r="V51">
        <v>800</v>
      </c>
      <c r="W51">
        <v>-5732.58</v>
      </c>
      <c r="Y51">
        <f t="shared" si="2"/>
        <v>33.958812500000001</v>
      </c>
      <c r="Z51">
        <v>25000</v>
      </c>
      <c r="AA51">
        <v>1288.98</v>
      </c>
      <c r="AB51">
        <v>-2206.21</v>
      </c>
      <c r="AC51" s="2">
        <v>53631</v>
      </c>
      <c r="AD51">
        <v>19.7319</v>
      </c>
      <c r="AE51">
        <v>0</v>
      </c>
      <c r="AF51">
        <v>0</v>
      </c>
      <c r="AG51">
        <v>800</v>
      </c>
      <c r="AH51">
        <v>800</v>
      </c>
      <c r="AI51">
        <v>-5286.21</v>
      </c>
      <c r="AK51">
        <f t="shared" si="3"/>
        <v>33.519374999999997</v>
      </c>
    </row>
    <row r="52" spans="2:37" x14ac:dyDescent="0.2">
      <c r="B52">
        <v>26000</v>
      </c>
      <c r="C52">
        <v>1336.18</v>
      </c>
      <c r="D52">
        <v>-274.97800000000001</v>
      </c>
      <c r="E52">
        <v>6673</v>
      </c>
      <c r="F52">
        <v>1245.71</v>
      </c>
      <c r="G52">
        <v>0</v>
      </c>
      <c r="H52">
        <v>0</v>
      </c>
      <c r="I52">
        <v>100</v>
      </c>
      <c r="J52">
        <v>100</v>
      </c>
      <c r="K52">
        <v>-4255.79</v>
      </c>
      <c r="M52">
        <f t="shared" si="1"/>
        <v>33.365000000000002</v>
      </c>
      <c r="N52">
        <v>26000</v>
      </c>
      <c r="O52">
        <v>1304.92</v>
      </c>
      <c r="P52">
        <v>-2199.9699999999998</v>
      </c>
      <c r="Q52">
        <v>53719.8</v>
      </c>
      <c r="R52">
        <v>1512.71</v>
      </c>
      <c r="S52">
        <v>0</v>
      </c>
      <c r="T52">
        <v>0</v>
      </c>
      <c r="U52">
        <v>800</v>
      </c>
      <c r="V52">
        <v>800</v>
      </c>
      <c r="W52">
        <v>-3849.97</v>
      </c>
      <c r="Y52">
        <f t="shared" si="2"/>
        <v>33.574874999999999</v>
      </c>
      <c r="Z52">
        <v>26000</v>
      </c>
      <c r="AA52">
        <v>1295.71</v>
      </c>
      <c r="AB52">
        <v>-2207.25</v>
      </c>
      <c r="AC52" s="2">
        <v>53827.8</v>
      </c>
      <c r="AD52">
        <v>-278.67399999999998</v>
      </c>
      <c r="AE52">
        <v>0</v>
      </c>
      <c r="AF52">
        <v>0</v>
      </c>
      <c r="AG52">
        <v>800</v>
      </c>
      <c r="AH52">
        <v>800</v>
      </c>
      <c r="AI52">
        <v>-5592.82</v>
      </c>
      <c r="AK52">
        <f t="shared" si="3"/>
        <v>33.642375000000001</v>
      </c>
    </row>
    <row r="53" spans="2:37" x14ac:dyDescent="0.2">
      <c r="B53">
        <v>27000</v>
      </c>
      <c r="C53">
        <v>1346.97</v>
      </c>
      <c r="D53">
        <v>-275.19</v>
      </c>
      <c r="E53">
        <v>6670.81</v>
      </c>
      <c r="F53">
        <v>3302.3</v>
      </c>
      <c r="G53">
        <v>0</v>
      </c>
      <c r="H53">
        <v>0</v>
      </c>
      <c r="I53">
        <v>100</v>
      </c>
      <c r="J53">
        <v>100</v>
      </c>
      <c r="K53">
        <v>-2245.44</v>
      </c>
      <c r="M53">
        <f t="shared" si="1"/>
        <v>33.354050000000001</v>
      </c>
      <c r="N53">
        <v>27000</v>
      </c>
      <c r="O53">
        <v>1307.8800000000001</v>
      </c>
      <c r="P53">
        <v>-2214.34</v>
      </c>
      <c r="Q53">
        <v>53262.2</v>
      </c>
      <c r="R53">
        <v>-479.21600000000001</v>
      </c>
      <c r="S53">
        <v>0</v>
      </c>
      <c r="T53">
        <v>0</v>
      </c>
      <c r="U53">
        <v>800</v>
      </c>
      <c r="V53">
        <v>800</v>
      </c>
      <c r="W53">
        <v>-5900.24</v>
      </c>
      <c r="Y53">
        <f t="shared" si="2"/>
        <v>33.288874999999997</v>
      </c>
      <c r="Z53">
        <v>27000</v>
      </c>
      <c r="AA53">
        <v>1299.5</v>
      </c>
      <c r="AB53">
        <v>-2197.8000000000002</v>
      </c>
      <c r="AC53" s="2">
        <v>53914.5</v>
      </c>
      <c r="AD53">
        <v>1190.6300000000001</v>
      </c>
      <c r="AE53">
        <v>0</v>
      </c>
      <c r="AF53">
        <v>0</v>
      </c>
      <c r="AG53">
        <v>800</v>
      </c>
      <c r="AH53">
        <v>800</v>
      </c>
      <c r="AI53">
        <v>-4130.5</v>
      </c>
      <c r="AK53">
        <f t="shared" si="3"/>
        <v>33.696562499999999</v>
      </c>
    </row>
    <row r="54" spans="2:37" x14ac:dyDescent="0.2">
      <c r="B54">
        <v>28000</v>
      </c>
      <c r="C54">
        <v>1188.5999999999999</v>
      </c>
      <c r="D54">
        <v>-277.00700000000001</v>
      </c>
      <c r="E54">
        <v>6703.41</v>
      </c>
      <c r="F54">
        <v>-2266.33</v>
      </c>
      <c r="G54">
        <v>0</v>
      </c>
      <c r="H54">
        <v>0</v>
      </c>
      <c r="I54">
        <v>100</v>
      </c>
      <c r="J54">
        <v>100</v>
      </c>
      <c r="K54">
        <v>-7137.98</v>
      </c>
      <c r="M54">
        <f t="shared" si="1"/>
        <v>33.517049999999998</v>
      </c>
      <c r="N54">
        <v>28000</v>
      </c>
      <c r="O54">
        <v>1289.9100000000001</v>
      </c>
      <c r="P54">
        <v>-2208.5100000000002</v>
      </c>
      <c r="Q54">
        <v>52897.5</v>
      </c>
      <c r="R54">
        <v>1523.88</v>
      </c>
      <c r="S54">
        <v>0</v>
      </c>
      <c r="T54">
        <v>0</v>
      </c>
      <c r="U54">
        <v>800</v>
      </c>
      <c r="V54">
        <v>800</v>
      </c>
      <c r="W54">
        <v>-3859.51</v>
      </c>
      <c r="Y54">
        <f t="shared" si="2"/>
        <v>33.060937500000001</v>
      </c>
      <c r="Z54">
        <v>28000</v>
      </c>
      <c r="AA54">
        <v>1281.0999999999999</v>
      </c>
      <c r="AB54">
        <v>-2204.58</v>
      </c>
      <c r="AC54" s="2">
        <v>53994.7</v>
      </c>
      <c r="AD54">
        <v>-988.23800000000006</v>
      </c>
      <c r="AE54">
        <v>0</v>
      </c>
      <c r="AF54">
        <v>0</v>
      </c>
      <c r="AG54">
        <v>800</v>
      </c>
      <c r="AH54">
        <v>800</v>
      </c>
      <c r="AI54">
        <v>-6226.23</v>
      </c>
      <c r="AK54">
        <f t="shared" si="3"/>
        <v>33.7466875</v>
      </c>
    </row>
    <row r="55" spans="2:37" x14ac:dyDescent="0.2">
      <c r="B55">
        <v>29000</v>
      </c>
      <c r="C55">
        <v>1296.1199999999999</v>
      </c>
      <c r="D55">
        <v>-274.08</v>
      </c>
      <c r="E55">
        <v>6699.03</v>
      </c>
      <c r="F55">
        <v>989.01499999999999</v>
      </c>
      <c r="G55">
        <v>0</v>
      </c>
      <c r="H55">
        <v>0</v>
      </c>
      <c r="I55">
        <v>100</v>
      </c>
      <c r="J55">
        <v>100</v>
      </c>
      <c r="K55">
        <v>-4326.82</v>
      </c>
      <c r="M55">
        <f t="shared" si="1"/>
        <v>33.495149999999995</v>
      </c>
      <c r="N55">
        <v>29000</v>
      </c>
      <c r="O55">
        <v>1267.57</v>
      </c>
      <c r="P55">
        <v>-2222.29</v>
      </c>
      <c r="Q55">
        <v>52823.7</v>
      </c>
      <c r="R55">
        <v>140.66399999999999</v>
      </c>
      <c r="S55">
        <v>0</v>
      </c>
      <c r="T55">
        <v>0</v>
      </c>
      <c r="U55">
        <v>800</v>
      </c>
      <c r="V55">
        <v>800</v>
      </c>
      <c r="W55">
        <v>-5156.8900000000003</v>
      </c>
      <c r="Y55">
        <f t="shared" si="2"/>
        <v>33.014812499999998</v>
      </c>
      <c r="Z55">
        <v>29000</v>
      </c>
      <c r="AA55">
        <v>1280.52</v>
      </c>
      <c r="AB55">
        <v>-2198.0500000000002</v>
      </c>
      <c r="AC55" s="2">
        <v>54043.6</v>
      </c>
      <c r="AD55">
        <v>-1134.08</v>
      </c>
      <c r="AE55">
        <v>0</v>
      </c>
      <c r="AF55">
        <v>0</v>
      </c>
      <c r="AG55">
        <v>800</v>
      </c>
      <c r="AH55">
        <v>800</v>
      </c>
      <c r="AI55">
        <v>-6364.94</v>
      </c>
      <c r="AK55">
        <f t="shared" si="3"/>
        <v>33.777250000000002</v>
      </c>
    </row>
    <row r="56" spans="2:37" x14ac:dyDescent="0.2">
      <c r="B56">
        <v>30000</v>
      </c>
      <c r="C56">
        <v>1263.99</v>
      </c>
      <c r="D56">
        <v>-274.49799999999999</v>
      </c>
      <c r="E56">
        <v>6693.43</v>
      </c>
      <c r="F56">
        <v>1100.3</v>
      </c>
      <c r="G56">
        <v>0</v>
      </c>
      <c r="H56">
        <v>0</v>
      </c>
      <c r="I56">
        <v>100</v>
      </c>
      <c r="J56">
        <v>100</v>
      </c>
      <c r="K56">
        <v>-4088.09</v>
      </c>
      <c r="M56">
        <f t="shared" si="1"/>
        <v>33.467150000000004</v>
      </c>
      <c r="N56">
        <v>30000</v>
      </c>
      <c r="O56">
        <v>1262.01</v>
      </c>
      <c r="P56">
        <v>-2209.61</v>
      </c>
      <c r="Q56">
        <v>52938.9</v>
      </c>
      <c r="R56">
        <v>629.23099999999999</v>
      </c>
      <c r="S56">
        <v>0</v>
      </c>
      <c r="T56">
        <v>0</v>
      </c>
      <c r="U56">
        <v>800</v>
      </c>
      <c r="V56">
        <v>800</v>
      </c>
      <c r="W56">
        <v>-4633.59</v>
      </c>
      <c r="Y56">
        <f t="shared" si="2"/>
        <v>33.086812500000001</v>
      </c>
      <c r="Z56">
        <v>30000</v>
      </c>
      <c r="AA56">
        <v>1310.6600000000001</v>
      </c>
      <c r="AB56">
        <v>-2199.62</v>
      </c>
      <c r="AC56" s="2">
        <v>54018.1</v>
      </c>
      <c r="AD56">
        <v>-4.8147200000000003</v>
      </c>
      <c r="AE56">
        <v>0</v>
      </c>
      <c r="AF56">
        <v>0</v>
      </c>
      <c r="AG56">
        <v>800</v>
      </c>
      <c r="AH56">
        <v>800</v>
      </c>
      <c r="AI56">
        <v>-5361.33</v>
      </c>
      <c r="AK56">
        <f t="shared" si="3"/>
        <v>33.761312500000003</v>
      </c>
    </row>
    <row r="57" spans="2:37" x14ac:dyDescent="0.2">
      <c r="B57">
        <v>31000</v>
      </c>
      <c r="C57">
        <v>1207.58</v>
      </c>
      <c r="D57">
        <v>-275.48899999999998</v>
      </c>
      <c r="E57">
        <v>6721.66</v>
      </c>
      <c r="F57">
        <v>-1117.1099999999999</v>
      </c>
      <c r="G57">
        <v>0</v>
      </c>
      <c r="H57">
        <v>0</v>
      </c>
      <c r="I57">
        <v>100</v>
      </c>
      <c r="J57">
        <v>100</v>
      </c>
      <c r="K57">
        <v>-6053.12</v>
      </c>
      <c r="M57">
        <f t="shared" si="1"/>
        <v>33.6083</v>
      </c>
      <c r="N57">
        <v>31000</v>
      </c>
      <c r="O57">
        <v>1279.47</v>
      </c>
      <c r="P57">
        <v>-2198.77</v>
      </c>
      <c r="Q57">
        <v>53278.7</v>
      </c>
      <c r="R57">
        <v>724.44100000000003</v>
      </c>
      <c r="S57">
        <v>0</v>
      </c>
      <c r="T57">
        <v>0</v>
      </c>
      <c r="U57">
        <v>800</v>
      </c>
      <c r="V57">
        <v>800</v>
      </c>
      <c r="W57">
        <v>-4577.16</v>
      </c>
      <c r="Y57">
        <f t="shared" si="2"/>
        <v>33.299187499999995</v>
      </c>
      <c r="Z57">
        <v>31000</v>
      </c>
      <c r="AA57">
        <v>1278.6099999999999</v>
      </c>
      <c r="AB57">
        <v>-2204.73</v>
      </c>
      <c r="AC57" s="2">
        <v>53974.8</v>
      </c>
      <c r="AD57">
        <v>29.476400000000002</v>
      </c>
      <c r="AE57">
        <v>0</v>
      </c>
      <c r="AF57">
        <v>0</v>
      </c>
      <c r="AG57">
        <v>800</v>
      </c>
      <c r="AH57">
        <v>800</v>
      </c>
      <c r="AI57">
        <v>-5200.25</v>
      </c>
      <c r="AK57">
        <f t="shared" si="3"/>
        <v>33.734250000000003</v>
      </c>
    </row>
    <row r="58" spans="2:37" x14ac:dyDescent="0.2">
      <c r="B58">
        <v>32000</v>
      </c>
      <c r="C58">
        <v>1292.05</v>
      </c>
      <c r="D58">
        <v>-276.74099999999999</v>
      </c>
      <c r="E58">
        <v>6764.25</v>
      </c>
      <c r="F58">
        <v>-409.76</v>
      </c>
      <c r="G58">
        <v>0</v>
      </c>
      <c r="H58">
        <v>0</v>
      </c>
      <c r="I58">
        <v>100</v>
      </c>
      <c r="J58">
        <v>100</v>
      </c>
      <c r="K58">
        <v>-5657.81</v>
      </c>
      <c r="M58">
        <f t="shared" si="1"/>
        <v>33.821249999999999</v>
      </c>
      <c r="N58">
        <v>32000</v>
      </c>
      <c r="O58">
        <v>1320.53</v>
      </c>
      <c r="P58">
        <v>-2202.79</v>
      </c>
      <c r="Q58">
        <v>53732.3</v>
      </c>
      <c r="R58">
        <v>192.041</v>
      </c>
      <c r="S58">
        <v>0</v>
      </c>
      <c r="T58">
        <v>0</v>
      </c>
      <c r="U58">
        <v>800</v>
      </c>
      <c r="V58">
        <v>800</v>
      </c>
      <c r="W58">
        <v>-5233.49</v>
      </c>
      <c r="Y58">
        <f t="shared" si="2"/>
        <v>33.582687499999999</v>
      </c>
      <c r="Z58">
        <v>32000</v>
      </c>
      <c r="AA58">
        <v>1293.42</v>
      </c>
      <c r="AB58">
        <v>-2202.7600000000002</v>
      </c>
      <c r="AC58" s="2">
        <v>53913.1</v>
      </c>
      <c r="AD58">
        <v>-320.19400000000002</v>
      </c>
      <c r="AE58">
        <v>0</v>
      </c>
      <c r="AF58">
        <v>0</v>
      </c>
      <c r="AG58">
        <v>800</v>
      </c>
      <c r="AH58">
        <v>800</v>
      </c>
      <c r="AI58">
        <v>-5616.54</v>
      </c>
      <c r="AK58">
        <f t="shared" si="3"/>
        <v>33.695687499999998</v>
      </c>
    </row>
    <row r="59" spans="2:37" x14ac:dyDescent="0.2">
      <c r="B59">
        <v>33000</v>
      </c>
      <c r="C59">
        <v>1427.74</v>
      </c>
      <c r="D59">
        <v>-273.28399999999999</v>
      </c>
      <c r="E59">
        <v>6801.76</v>
      </c>
      <c r="F59">
        <v>670.38599999999997</v>
      </c>
      <c r="G59">
        <v>0</v>
      </c>
      <c r="H59">
        <v>0</v>
      </c>
      <c r="I59">
        <v>100</v>
      </c>
      <c r="J59">
        <v>100</v>
      </c>
      <c r="K59">
        <v>-5096.8</v>
      </c>
      <c r="M59">
        <f t="shared" ref="M59:M90" si="4">E59/SUM(I59:J59)</f>
        <v>34.008800000000001</v>
      </c>
      <c r="N59">
        <v>33000</v>
      </c>
      <c r="O59">
        <v>1288.6600000000001</v>
      </c>
      <c r="P59">
        <v>-2197.2800000000002</v>
      </c>
      <c r="Q59">
        <v>54229</v>
      </c>
      <c r="R59">
        <v>155.952</v>
      </c>
      <c r="S59">
        <v>0</v>
      </c>
      <c r="T59">
        <v>0</v>
      </c>
      <c r="U59">
        <v>800</v>
      </c>
      <c r="V59">
        <v>800</v>
      </c>
      <c r="W59">
        <v>-5090.18</v>
      </c>
      <c r="Y59">
        <f t="shared" ref="Y59:Y90" si="5">Q59/SUM(U59:V59)</f>
        <v>33.893124999999998</v>
      </c>
      <c r="Z59">
        <v>33000</v>
      </c>
      <c r="AA59">
        <v>1260.01</v>
      </c>
      <c r="AB59">
        <v>-2197.11</v>
      </c>
      <c r="AC59" s="2">
        <v>53833.1</v>
      </c>
      <c r="AD59">
        <v>332.952</v>
      </c>
      <c r="AE59">
        <v>0</v>
      </c>
      <c r="AF59">
        <v>0</v>
      </c>
      <c r="AG59">
        <v>800</v>
      </c>
      <c r="AH59">
        <v>800</v>
      </c>
      <c r="AI59">
        <v>-4834.25</v>
      </c>
      <c r="AK59">
        <f t="shared" ref="AK59:AK90" si="6">AC59/SUM(AG59:AH59)</f>
        <v>33.645687500000001</v>
      </c>
    </row>
    <row r="60" spans="2:37" x14ac:dyDescent="0.2">
      <c r="B60">
        <v>34000</v>
      </c>
      <c r="C60">
        <v>1293.76</v>
      </c>
      <c r="D60">
        <v>-270.911</v>
      </c>
      <c r="E60">
        <v>6866.33</v>
      </c>
      <c r="F60">
        <v>835.87400000000002</v>
      </c>
      <c r="G60">
        <v>0</v>
      </c>
      <c r="H60">
        <v>0</v>
      </c>
      <c r="I60">
        <v>100</v>
      </c>
      <c r="J60">
        <v>100</v>
      </c>
      <c r="K60">
        <v>-4341.01</v>
      </c>
      <c r="M60">
        <f t="shared" si="4"/>
        <v>34.331649999999996</v>
      </c>
      <c r="N60">
        <v>34000</v>
      </c>
      <c r="O60">
        <v>1307.49</v>
      </c>
      <c r="P60">
        <v>-2192.39</v>
      </c>
      <c r="Q60">
        <v>54554.9</v>
      </c>
      <c r="R60">
        <v>-194.483</v>
      </c>
      <c r="S60">
        <v>0</v>
      </c>
      <c r="T60">
        <v>0</v>
      </c>
      <c r="U60">
        <v>800</v>
      </c>
      <c r="V60">
        <v>800</v>
      </c>
      <c r="W60">
        <v>-5485.47</v>
      </c>
      <c r="Y60">
        <f t="shared" si="5"/>
        <v>34.096812499999999</v>
      </c>
      <c r="Z60">
        <v>34000</v>
      </c>
      <c r="AA60">
        <v>1325.08</v>
      </c>
      <c r="AB60">
        <v>-2195.87</v>
      </c>
      <c r="AC60" s="2">
        <v>53811.8</v>
      </c>
      <c r="AD60">
        <v>-96.834500000000006</v>
      </c>
      <c r="AE60">
        <v>0</v>
      </c>
      <c r="AF60">
        <v>0</v>
      </c>
      <c r="AG60">
        <v>800</v>
      </c>
      <c r="AH60">
        <v>800</v>
      </c>
      <c r="AI60">
        <v>-5533.05</v>
      </c>
      <c r="AK60">
        <f t="shared" si="6"/>
        <v>33.632375000000003</v>
      </c>
    </row>
    <row r="61" spans="2:37" x14ac:dyDescent="0.2">
      <c r="B61">
        <v>35000</v>
      </c>
      <c r="C61">
        <v>1345.75</v>
      </c>
      <c r="D61">
        <v>-272.142</v>
      </c>
      <c r="E61">
        <v>6930.58</v>
      </c>
      <c r="F61">
        <v>241.768</v>
      </c>
      <c r="G61">
        <v>0</v>
      </c>
      <c r="H61">
        <v>0</v>
      </c>
      <c r="I61">
        <v>100</v>
      </c>
      <c r="J61">
        <v>100</v>
      </c>
      <c r="K61">
        <v>-5093.21</v>
      </c>
      <c r="M61">
        <f t="shared" si="4"/>
        <v>34.652900000000002</v>
      </c>
      <c r="N61">
        <v>35000</v>
      </c>
      <c r="O61">
        <v>1307.3</v>
      </c>
      <c r="P61">
        <v>-2191.6999999999998</v>
      </c>
      <c r="Q61">
        <v>54647.199999999997</v>
      </c>
      <c r="R61">
        <v>-618.303</v>
      </c>
      <c r="S61">
        <v>0</v>
      </c>
      <c r="T61">
        <v>0</v>
      </c>
      <c r="U61">
        <v>800</v>
      </c>
      <c r="V61">
        <v>800</v>
      </c>
      <c r="W61">
        <v>-5899.57</v>
      </c>
      <c r="Y61">
        <f t="shared" si="5"/>
        <v>34.154499999999999</v>
      </c>
      <c r="Z61">
        <v>35000</v>
      </c>
      <c r="AA61">
        <v>1299.25</v>
      </c>
      <c r="AB61">
        <v>-2198</v>
      </c>
      <c r="AC61" s="2">
        <v>53782.6</v>
      </c>
      <c r="AD61">
        <v>2.3275999999999999</v>
      </c>
      <c r="AE61">
        <v>0</v>
      </c>
      <c r="AF61">
        <v>0</v>
      </c>
      <c r="AG61">
        <v>800</v>
      </c>
      <c r="AH61">
        <v>800</v>
      </c>
      <c r="AI61">
        <v>-5330.83</v>
      </c>
      <c r="AK61">
        <f t="shared" si="6"/>
        <v>33.614125000000001</v>
      </c>
    </row>
    <row r="62" spans="2:37" x14ac:dyDescent="0.2">
      <c r="B62">
        <v>36000</v>
      </c>
      <c r="C62">
        <v>1223.8599999999999</v>
      </c>
      <c r="D62">
        <v>-274.94200000000001</v>
      </c>
      <c r="E62">
        <v>6964.27</v>
      </c>
      <c r="F62">
        <v>-2102.64</v>
      </c>
      <c r="G62">
        <v>0</v>
      </c>
      <c r="H62">
        <v>0</v>
      </c>
      <c r="I62">
        <v>100</v>
      </c>
      <c r="J62">
        <v>100</v>
      </c>
      <c r="K62">
        <v>-6930.95</v>
      </c>
      <c r="M62">
        <f t="shared" si="4"/>
        <v>34.821350000000002</v>
      </c>
      <c r="N62">
        <v>36000</v>
      </c>
      <c r="O62">
        <v>1305.49</v>
      </c>
      <c r="P62">
        <v>-2206.36</v>
      </c>
      <c r="Q62">
        <v>54555.7</v>
      </c>
      <c r="R62">
        <v>154.08799999999999</v>
      </c>
      <c r="S62">
        <v>0</v>
      </c>
      <c r="T62">
        <v>0</v>
      </c>
      <c r="U62">
        <v>800</v>
      </c>
      <c r="V62">
        <v>800</v>
      </c>
      <c r="W62">
        <v>-5128.72</v>
      </c>
      <c r="Y62">
        <f t="shared" si="5"/>
        <v>34.097312500000001</v>
      </c>
      <c r="Z62">
        <v>36000</v>
      </c>
      <c r="AA62">
        <v>1281.3399999999999</v>
      </c>
      <c r="AB62">
        <v>-2204.12</v>
      </c>
      <c r="AC62" s="2">
        <v>53787.3</v>
      </c>
      <c r="AD62">
        <v>-532.43299999999999</v>
      </c>
      <c r="AE62">
        <v>0</v>
      </c>
      <c r="AF62">
        <v>0</v>
      </c>
      <c r="AG62">
        <v>800</v>
      </c>
      <c r="AH62">
        <v>800</v>
      </c>
      <c r="AI62">
        <v>-5791.6</v>
      </c>
      <c r="AK62">
        <f t="shared" si="6"/>
        <v>33.617062500000003</v>
      </c>
    </row>
    <row r="63" spans="2:37" x14ac:dyDescent="0.2">
      <c r="B63">
        <v>37000</v>
      </c>
      <c r="C63">
        <v>1369.86</v>
      </c>
      <c r="D63">
        <v>-274.92700000000002</v>
      </c>
      <c r="E63">
        <v>6977.41</v>
      </c>
      <c r="F63">
        <v>-2757.5</v>
      </c>
      <c r="G63">
        <v>0</v>
      </c>
      <c r="H63">
        <v>0</v>
      </c>
      <c r="I63">
        <v>100</v>
      </c>
      <c r="J63">
        <v>100</v>
      </c>
      <c r="K63">
        <v>-8151.61</v>
      </c>
      <c r="M63">
        <f t="shared" si="4"/>
        <v>34.887050000000002</v>
      </c>
      <c r="N63">
        <v>37000</v>
      </c>
      <c r="O63">
        <v>1272.56</v>
      </c>
      <c r="P63">
        <v>-2192.63</v>
      </c>
      <c r="Q63">
        <v>54362.6</v>
      </c>
      <c r="R63">
        <v>-442.524</v>
      </c>
      <c r="S63">
        <v>0</v>
      </c>
      <c r="T63">
        <v>0</v>
      </c>
      <c r="U63">
        <v>800</v>
      </c>
      <c r="V63">
        <v>800</v>
      </c>
      <c r="W63">
        <v>-5610.37</v>
      </c>
      <c r="Y63">
        <f t="shared" si="5"/>
        <v>33.976624999999999</v>
      </c>
      <c r="Z63">
        <v>37000</v>
      </c>
      <c r="AA63">
        <v>1297.6400000000001</v>
      </c>
      <c r="AB63">
        <v>-2192.5500000000002</v>
      </c>
      <c r="AC63" s="2">
        <v>53801.5</v>
      </c>
      <c r="AD63">
        <v>813.83799999999997</v>
      </c>
      <c r="AE63">
        <v>0</v>
      </c>
      <c r="AF63">
        <v>0</v>
      </c>
      <c r="AG63">
        <v>800</v>
      </c>
      <c r="AH63">
        <v>800</v>
      </c>
      <c r="AI63">
        <v>-4510.83</v>
      </c>
      <c r="AK63">
        <f t="shared" si="6"/>
        <v>33.625937499999999</v>
      </c>
    </row>
    <row r="64" spans="2:37" x14ac:dyDescent="0.2">
      <c r="B64">
        <v>38000</v>
      </c>
      <c r="C64">
        <v>1228.45</v>
      </c>
      <c r="D64">
        <v>-276.81299999999999</v>
      </c>
      <c r="E64">
        <v>6923.45</v>
      </c>
      <c r="F64">
        <v>-1679.94</v>
      </c>
      <c r="G64">
        <v>0</v>
      </c>
      <c r="H64">
        <v>0</v>
      </c>
      <c r="I64">
        <v>100</v>
      </c>
      <c r="J64">
        <v>100</v>
      </c>
      <c r="K64">
        <v>-6554.94</v>
      </c>
      <c r="M64">
        <f t="shared" si="4"/>
        <v>34.617249999999999</v>
      </c>
      <c r="N64">
        <v>38000</v>
      </c>
      <c r="O64">
        <v>1292.48</v>
      </c>
      <c r="P64">
        <v>-2192.0500000000002</v>
      </c>
      <c r="Q64">
        <v>54122.6</v>
      </c>
      <c r="R64">
        <v>-739.78399999999999</v>
      </c>
      <c r="S64">
        <v>0</v>
      </c>
      <c r="T64">
        <v>0</v>
      </c>
      <c r="U64">
        <v>800</v>
      </c>
      <c r="V64">
        <v>800</v>
      </c>
      <c r="W64">
        <v>-6011.79</v>
      </c>
      <c r="Y64">
        <f t="shared" si="5"/>
        <v>33.826625</v>
      </c>
      <c r="Z64">
        <v>38000</v>
      </c>
      <c r="AA64">
        <v>1291.21</v>
      </c>
      <c r="AB64">
        <v>-2198.96</v>
      </c>
      <c r="AC64" s="2">
        <v>53856.3</v>
      </c>
      <c r="AD64">
        <v>3.2522600000000002</v>
      </c>
      <c r="AE64">
        <v>0</v>
      </c>
      <c r="AF64">
        <v>0</v>
      </c>
      <c r="AG64">
        <v>800</v>
      </c>
      <c r="AH64">
        <v>800</v>
      </c>
      <c r="AI64">
        <v>-5289.64</v>
      </c>
      <c r="AK64">
        <f t="shared" si="6"/>
        <v>33.660187499999999</v>
      </c>
    </row>
    <row r="65" spans="2:37" x14ac:dyDescent="0.2">
      <c r="B65">
        <v>39000</v>
      </c>
      <c r="C65">
        <v>1237.6300000000001</v>
      </c>
      <c r="D65">
        <v>-275.14800000000002</v>
      </c>
      <c r="E65">
        <v>6841.68</v>
      </c>
      <c r="F65">
        <v>1226.07</v>
      </c>
      <c r="G65">
        <v>0</v>
      </c>
      <c r="H65">
        <v>0</v>
      </c>
      <c r="I65">
        <v>100</v>
      </c>
      <c r="J65">
        <v>100</v>
      </c>
      <c r="K65">
        <v>-3744.03</v>
      </c>
      <c r="M65">
        <f t="shared" si="4"/>
        <v>34.208400000000005</v>
      </c>
      <c r="N65">
        <v>39000</v>
      </c>
      <c r="O65">
        <v>1314.67</v>
      </c>
      <c r="P65">
        <v>-2201.89</v>
      </c>
      <c r="Q65">
        <v>53916.7</v>
      </c>
      <c r="R65">
        <v>156.465</v>
      </c>
      <c r="S65">
        <v>0</v>
      </c>
      <c r="T65">
        <v>0</v>
      </c>
      <c r="U65">
        <v>800</v>
      </c>
      <c r="V65">
        <v>800</v>
      </c>
      <c r="W65">
        <v>-5226.55</v>
      </c>
      <c r="Y65">
        <f t="shared" si="5"/>
        <v>33.697937499999995</v>
      </c>
      <c r="Z65">
        <v>39000</v>
      </c>
      <c r="AA65">
        <v>1275.0899999999999</v>
      </c>
      <c r="AB65">
        <v>-2205.73</v>
      </c>
      <c r="AC65" s="2">
        <v>53856.5</v>
      </c>
      <c r="AD65">
        <v>-519.04300000000001</v>
      </c>
      <c r="AE65">
        <v>0</v>
      </c>
      <c r="AF65">
        <v>0</v>
      </c>
      <c r="AG65">
        <v>800</v>
      </c>
      <c r="AH65">
        <v>800</v>
      </c>
      <c r="AI65">
        <v>-5745.81</v>
      </c>
      <c r="AK65">
        <f t="shared" si="6"/>
        <v>33.660312500000003</v>
      </c>
    </row>
    <row r="66" spans="2:37" x14ac:dyDescent="0.2">
      <c r="B66">
        <v>40000</v>
      </c>
      <c r="C66">
        <v>1389.84</v>
      </c>
      <c r="D66">
        <v>-273.56</v>
      </c>
      <c r="E66">
        <v>6765.97</v>
      </c>
      <c r="F66">
        <v>2312.81</v>
      </c>
      <c r="G66">
        <v>0</v>
      </c>
      <c r="H66">
        <v>0</v>
      </c>
      <c r="I66">
        <v>100</v>
      </c>
      <c r="J66">
        <v>100</v>
      </c>
      <c r="K66">
        <v>-3330.99</v>
      </c>
      <c r="M66">
        <f t="shared" si="4"/>
        <v>33.82985</v>
      </c>
      <c r="N66">
        <v>40000</v>
      </c>
      <c r="O66">
        <v>1297.5999999999999</v>
      </c>
      <c r="P66">
        <v>-2195.23</v>
      </c>
      <c r="Q66">
        <v>53759.6</v>
      </c>
      <c r="R66">
        <v>734.13400000000001</v>
      </c>
      <c r="S66">
        <v>0</v>
      </c>
      <c r="T66">
        <v>0</v>
      </c>
      <c r="U66">
        <v>800</v>
      </c>
      <c r="V66">
        <v>800</v>
      </c>
      <c r="W66">
        <v>-4594.53</v>
      </c>
      <c r="Y66">
        <f t="shared" si="5"/>
        <v>33.59975</v>
      </c>
      <c r="Z66">
        <v>40000</v>
      </c>
      <c r="AA66">
        <v>1305.51</v>
      </c>
      <c r="AB66">
        <v>-2202.83</v>
      </c>
      <c r="AC66" s="2">
        <v>53833.8</v>
      </c>
      <c r="AD66">
        <v>-657.69500000000005</v>
      </c>
      <c r="AE66">
        <v>0</v>
      </c>
      <c r="AF66">
        <v>0</v>
      </c>
      <c r="AG66">
        <v>800</v>
      </c>
      <c r="AH66">
        <v>800</v>
      </c>
      <c r="AI66">
        <v>-6011.42</v>
      </c>
      <c r="AK66">
        <f t="shared" si="6"/>
        <v>33.646125000000005</v>
      </c>
    </row>
    <row r="67" spans="2:37" x14ac:dyDescent="0.2">
      <c r="B67">
        <v>41000</v>
      </c>
      <c r="C67">
        <v>1237.58</v>
      </c>
      <c r="D67">
        <v>-275.60500000000002</v>
      </c>
      <c r="E67">
        <v>6703.15</v>
      </c>
      <c r="F67">
        <v>-836.87699999999995</v>
      </c>
      <c r="G67">
        <v>0</v>
      </c>
      <c r="H67">
        <v>0</v>
      </c>
      <c r="I67">
        <v>100</v>
      </c>
      <c r="J67">
        <v>100</v>
      </c>
      <c r="K67">
        <v>-5909.5</v>
      </c>
      <c r="M67">
        <f t="shared" si="4"/>
        <v>33.515749999999997</v>
      </c>
      <c r="N67">
        <v>41000</v>
      </c>
      <c r="O67">
        <v>1307.3699999999999</v>
      </c>
      <c r="P67">
        <v>-2197.2199999999998</v>
      </c>
      <c r="Q67">
        <v>53609.4</v>
      </c>
      <c r="R67">
        <v>-726.86300000000006</v>
      </c>
      <c r="S67">
        <v>0</v>
      </c>
      <c r="T67">
        <v>0</v>
      </c>
      <c r="U67">
        <v>800</v>
      </c>
      <c r="V67">
        <v>800</v>
      </c>
      <c r="W67">
        <v>-6110.67</v>
      </c>
      <c r="Y67">
        <f t="shared" si="5"/>
        <v>33.505875000000003</v>
      </c>
      <c r="Z67">
        <v>41000</v>
      </c>
      <c r="AA67">
        <v>1310.56</v>
      </c>
      <c r="AB67">
        <v>-2206.4299999999998</v>
      </c>
      <c r="AC67" s="2">
        <v>53742</v>
      </c>
      <c r="AD67">
        <v>6.1771599999999998</v>
      </c>
      <c r="AE67">
        <v>0</v>
      </c>
      <c r="AF67">
        <v>0</v>
      </c>
      <c r="AG67">
        <v>800</v>
      </c>
      <c r="AH67">
        <v>800</v>
      </c>
      <c r="AI67">
        <v>-5377.44</v>
      </c>
      <c r="AK67">
        <f t="shared" si="6"/>
        <v>33.588749999999997</v>
      </c>
    </row>
    <row r="68" spans="2:37" x14ac:dyDescent="0.2">
      <c r="B68">
        <v>42000</v>
      </c>
      <c r="C68">
        <v>1238.6099999999999</v>
      </c>
      <c r="D68">
        <v>-276.053</v>
      </c>
      <c r="E68">
        <v>6648.83</v>
      </c>
      <c r="F68">
        <v>440.42</v>
      </c>
      <c r="G68">
        <v>0</v>
      </c>
      <c r="H68">
        <v>0</v>
      </c>
      <c r="I68">
        <v>100</v>
      </c>
      <c r="J68">
        <v>100</v>
      </c>
      <c r="K68">
        <v>-4677.87</v>
      </c>
      <c r="M68">
        <f t="shared" si="4"/>
        <v>33.244149999999998</v>
      </c>
      <c r="N68">
        <v>42000</v>
      </c>
      <c r="O68">
        <v>1298.76</v>
      </c>
      <c r="P68">
        <v>-2207.17</v>
      </c>
      <c r="Q68">
        <v>53482.9</v>
      </c>
      <c r="R68">
        <v>523.69799999999998</v>
      </c>
      <c r="S68">
        <v>0</v>
      </c>
      <c r="T68">
        <v>0</v>
      </c>
      <c r="U68">
        <v>800</v>
      </c>
      <c r="V68">
        <v>800</v>
      </c>
      <c r="W68">
        <v>-4837.3</v>
      </c>
      <c r="Y68">
        <f t="shared" si="5"/>
        <v>33.426812500000004</v>
      </c>
      <c r="Z68">
        <v>42000</v>
      </c>
      <c r="AA68">
        <v>1292.75</v>
      </c>
      <c r="AB68">
        <v>-2207.77</v>
      </c>
      <c r="AC68" s="2">
        <v>53679.5</v>
      </c>
      <c r="AD68">
        <v>-265.11200000000002</v>
      </c>
      <c r="AE68">
        <v>0</v>
      </c>
      <c r="AF68">
        <v>0</v>
      </c>
      <c r="AG68">
        <v>800</v>
      </c>
      <c r="AH68">
        <v>800</v>
      </c>
      <c r="AI68">
        <v>-5581.77</v>
      </c>
      <c r="AK68">
        <f t="shared" si="6"/>
        <v>33.549687499999997</v>
      </c>
    </row>
    <row r="69" spans="2:37" x14ac:dyDescent="0.2">
      <c r="B69">
        <v>43000</v>
      </c>
      <c r="C69">
        <v>1191.01</v>
      </c>
      <c r="D69">
        <v>-278.90100000000001</v>
      </c>
      <c r="E69">
        <v>6627.98</v>
      </c>
      <c r="F69">
        <v>-1853.88</v>
      </c>
      <c r="G69">
        <v>0</v>
      </c>
      <c r="H69">
        <v>0</v>
      </c>
      <c r="I69">
        <v>100</v>
      </c>
      <c r="J69">
        <v>100</v>
      </c>
      <c r="K69">
        <v>-6790.99</v>
      </c>
      <c r="M69">
        <f t="shared" si="4"/>
        <v>33.139899999999997</v>
      </c>
      <c r="N69">
        <v>43000</v>
      </c>
      <c r="O69">
        <v>1330.13</v>
      </c>
      <c r="P69">
        <v>-2194.2600000000002</v>
      </c>
      <c r="Q69">
        <v>53442</v>
      </c>
      <c r="R69">
        <v>721.57</v>
      </c>
      <c r="S69">
        <v>0</v>
      </c>
      <c r="T69">
        <v>0</v>
      </c>
      <c r="U69">
        <v>800</v>
      </c>
      <c r="V69">
        <v>800</v>
      </c>
      <c r="W69">
        <v>-4773.13</v>
      </c>
      <c r="Y69">
        <f t="shared" si="5"/>
        <v>33.401249999999997</v>
      </c>
      <c r="Z69">
        <v>43000</v>
      </c>
      <c r="AA69">
        <v>1309.21</v>
      </c>
      <c r="AB69">
        <v>-2206.2600000000002</v>
      </c>
      <c r="AC69" s="2">
        <v>53644.2</v>
      </c>
      <c r="AD69">
        <v>-172.75800000000001</v>
      </c>
      <c r="AE69">
        <v>0</v>
      </c>
      <c r="AF69">
        <v>0</v>
      </c>
      <c r="AG69">
        <v>800</v>
      </c>
      <c r="AH69">
        <v>800</v>
      </c>
      <c r="AI69">
        <v>-5560.65</v>
      </c>
      <c r="AK69">
        <f t="shared" si="6"/>
        <v>33.527625</v>
      </c>
    </row>
    <row r="70" spans="2:37" x14ac:dyDescent="0.2">
      <c r="B70">
        <v>44000</v>
      </c>
      <c r="C70">
        <v>1335.98</v>
      </c>
      <c r="D70">
        <v>-276.142</v>
      </c>
      <c r="E70">
        <v>6620.08</v>
      </c>
      <c r="F70">
        <v>665.47799999999995</v>
      </c>
      <c r="G70">
        <v>0</v>
      </c>
      <c r="H70">
        <v>0</v>
      </c>
      <c r="I70">
        <v>100</v>
      </c>
      <c r="J70">
        <v>100</v>
      </c>
      <c r="K70">
        <v>-4879.17</v>
      </c>
      <c r="M70">
        <f t="shared" si="4"/>
        <v>33.1004</v>
      </c>
      <c r="N70">
        <v>44000</v>
      </c>
      <c r="O70">
        <v>1293.79</v>
      </c>
      <c r="P70">
        <v>-2202.7800000000002</v>
      </c>
      <c r="Q70">
        <v>53497</v>
      </c>
      <c r="R70">
        <v>170.834</v>
      </c>
      <c r="S70">
        <v>0</v>
      </c>
      <c r="T70">
        <v>0</v>
      </c>
      <c r="U70">
        <v>800</v>
      </c>
      <c r="V70">
        <v>800</v>
      </c>
      <c r="W70">
        <v>-5168.26</v>
      </c>
      <c r="Y70">
        <f t="shared" si="5"/>
        <v>33.435625000000002</v>
      </c>
      <c r="Z70">
        <v>44000</v>
      </c>
      <c r="AA70">
        <v>1279.02</v>
      </c>
      <c r="AB70">
        <v>-2200.84</v>
      </c>
      <c r="AC70" s="2">
        <v>53642.9</v>
      </c>
      <c r="AD70">
        <v>-497.863</v>
      </c>
      <c r="AE70">
        <v>0</v>
      </c>
      <c r="AF70">
        <v>0</v>
      </c>
      <c r="AG70">
        <v>800</v>
      </c>
      <c r="AH70">
        <v>800</v>
      </c>
      <c r="AI70">
        <v>-5761.62</v>
      </c>
      <c r="AK70">
        <f t="shared" si="6"/>
        <v>33.526812499999998</v>
      </c>
    </row>
    <row r="71" spans="2:37" x14ac:dyDescent="0.2">
      <c r="B71">
        <v>45000</v>
      </c>
      <c r="C71">
        <v>1227.3599999999999</v>
      </c>
      <c r="D71">
        <v>-278.22899999999998</v>
      </c>
      <c r="E71">
        <v>6618.98</v>
      </c>
      <c r="F71">
        <v>406.36700000000002</v>
      </c>
      <c r="G71">
        <v>0</v>
      </c>
      <c r="H71">
        <v>0</v>
      </c>
      <c r="I71">
        <v>100</v>
      </c>
      <c r="J71">
        <v>100</v>
      </c>
      <c r="K71">
        <v>-4688.3100000000004</v>
      </c>
      <c r="M71">
        <f t="shared" si="4"/>
        <v>33.094899999999996</v>
      </c>
      <c r="N71">
        <v>45000</v>
      </c>
      <c r="O71">
        <v>1293.45</v>
      </c>
      <c r="P71">
        <v>-2204.08</v>
      </c>
      <c r="Q71">
        <v>53620.9</v>
      </c>
      <c r="R71">
        <v>-247.423</v>
      </c>
      <c r="S71">
        <v>0</v>
      </c>
      <c r="T71">
        <v>0</v>
      </c>
      <c r="U71">
        <v>800</v>
      </c>
      <c r="V71">
        <v>800</v>
      </c>
      <c r="W71">
        <v>-5572.75</v>
      </c>
      <c r="Y71">
        <f t="shared" si="5"/>
        <v>33.513062500000004</v>
      </c>
      <c r="Z71">
        <v>45000</v>
      </c>
      <c r="AA71">
        <v>1286.6199999999999</v>
      </c>
      <c r="AB71">
        <v>-2199.34</v>
      </c>
      <c r="AC71" s="2">
        <v>53629.599999999999</v>
      </c>
      <c r="AD71">
        <v>-179.11600000000001</v>
      </c>
      <c r="AE71">
        <v>0</v>
      </c>
      <c r="AF71">
        <v>0</v>
      </c>
      <c r="AG71">
        <v>800</v>
      </c>
      <c r="AH71">
        <v>800</v>
      </c>
      <c r="AI71">
        <v>-5475.46</v>
      </c>
      <c r="AK71">
        <f t="shared" si="6"/>
        <v>33.518499999999996</v>
      </c>
    </row>
    <row r="72" spans="2:37" x14ac:dyDescent="0.2">
      <c r="B72">
        <v>46000</v>
      </c>
      <c r="C72">
        <v>1354.64</v>
      </c>
      <c r="D72">
        <v>-276.81599999999997</v>
      </c>
      <c r="E72">
        <v>6642.61</v>
      </c>
      <c r="F72">
        <v>1708.52</v>
      </c>
      <c r="G72">
        <v>0</v>
      </c>
      <c r="H72">
        <v>0</v>
      </c>
      <c r="I72">
        <v>100</v>
      </c>
      <c r="J72">
        <v>100</v>
      </c>
      <c r="K72">
        <v>-3894.54</v>
      </c>
      <c r="M72">
        <f t="shared" si="4"/>
        <v>33.213049999999996</v>
      </c>
      <c r="N72">
        <v>46000</v>
      </c>
      <c r="O72">
        <v>1301.69</v>
      </c>
      <c r="P72">
        <v>-2199.98</v>
      </c>
      <c r="Q72">
        <v>53782.5</v>
      </c>
      <c r="R72">
        <v>-615.23400000000004</v>
      </c>
      <c r="S72">
        <v>0</v>
      </c>
      <c r="T72">
        <v>0</v>
      </c>
      <c r="U72">
        <v>800</v>
      </c>
      <c r="V72">
        <v>800</v>
      </c>
      <c r="W72">
        <v>-5958.39</v>
      </c>
      <c r="Y72">
        <f t="shared" si="5"/>
        <v>33.614062500000003</v>
      </c>
      <c r="Z72">
        <v>46000</v>
      </c>
      <c r="AA72">
        <v>1315.31</v>
      </c>
      <c r="AB72">
        <v>-2205.96</v>
      </c>
      <c r="AC72" s="2">
        <v>53661.7</v>
      </c>
      <c r="AD72">
        <v>1487.29</v>
      </c>
      <c r="AE72">
        <v>0</v>
      </c>
      <c r="AF72">
        <v>0</v>
      </c>
      <c r="AG72">
        <v>800</v>
      </c>
      <c r="AH72">
        <v>800</v>
      </c>
      <c r="AI72">
        <v>-3923.93</v>
      </c>
      <c r="AK72">
        <f t="shared" si="6"/>
        <v>33.538562499999998</v>
      </c>
    </row>
    <row r="73" spans="2:37" x14ac:dyDescent="0.2">
      <c r="B73">
        <v>47000</v>
      </c>
      <c r="C73">
        <v>1328.59</v>
      </c>
      <c r="D73">
        <v>-274.29300000000001</v>
      </c>
      <c r="E73">
        <v>6670.64</v>
      </c>
      <c r="F73">
        <v>-268.37599999999998</v>
      </c>
      <c r="G73">
        <v>0</v>
      </c>
      <c r="H73">
        <v>0</v>
      </c>
      <c r="I73">
        <v>100</v>
      </c>
      <c r="J73">
        <v>100</v>
      </c>
      <c r="K73">
        <v>-5740.54</v>
      </c>
      <c r="M73">
        <f t="shared" si="4"/>
        <v>33.353200000000001</v>
      </c>
      <c r="N73">
        <v>47000</v>
      </c>
      <c r="O73">
        <v>1270.42</v>
      </c>
      <c r="P73">
        <v>-2203.19</v>
      </c>
      <c r="Q73">
        <v>53967.9</v>
      </c>
      <c r="R73">
        <v>217.03299999999999</v>
      </c>
      <c r="S73">
        <v>0</v>
      </c>
      <c r="T73">
        <v>0</v>
      </c>
      <c r="U73">
        <v>800</v>
      </c>
      <c r="V73">
        <v>800</v>
      </c>
      <c r="W73">
        <v>-4979.8500000000004</v>
      </c>
      <c r="Y73">
        <f t="shared" si="5"/>
        <v>33.729937499999998</v>
      </c>
      <c r="Z73">
        <v>47000</v>
      </c>
      <c r="AA73">
        <v>1315.38</v>
      </c>
      <c r="AB73">
        <v>-2205.44</v>
      </c>
      <c r="AC73" s="2">
        <v>53856</v>
      </c>
      <c r="AD73">
        <v>-147.358</v>
      </c>
      <c r="AE73">
        <v>0</v>
      </c>
      <c r="AF73">
        <v>0</v>
      </c>
      <c r="AG73">
        <v>800</v>
      </c>
      <c r="AH73">
        <v>800</v>
      </c>
      <c r="AI73">
        <v>-5539.35</v>
      </c>
      <c r="AK73">
        <f t="shared" si="6"/>
        <v>33.659999999999997</v>
      </c>
    </row>
    <row r="74" spans="2:37" x14ac:dyDescent="0.2">
      <c r="B74">
        <v>48000</v>
      </c>
      <c r="C74">
        <v>1255.72</v>
      </c>
      <c r="D74">
        <v>-276.46699999999998</v>
      </c>
      <c r="E74">
        <v>6705.95</v>
      </c>
      <c r="F74">
        <v>-2495.85</v>
      </c>
      <c r="G74">
        <v>0</v>
      </c>
      <c r="H74">
        <v>0</v>
      </c>
      <c r="I74">
        <v>100</v>
      </c>
      <c r="J74">
        <v>100</v>
      </c>
      <c r="K74">
        <v>-7640.68</v>
      </c>
      <c r="M74">
        <f t="shared" si="4"/>
        <v>33.52975</v>
      </c>
      <c r="N74">
        <v>48000</v>
      </c>
      <c r="O74">
        <v>1274.48</v>
      </c>
      <c r="P74">
        <v>-2203.62</v>
      </c>
      <c r="Q74">
        <v>54172.4</v>
      </c>
      <c r="R74">
        <v>-348.05599999999998</v>
      </c>
      <c r="S74">
        <v>0</v>
      </c>
      <c r="T74">
        <v>0</v>
      </c>
      <c r="U74">
        <v>800</v>
      </c>
      <c r="V74">
        <v>800</v>
      </c>
      <c r="W74">
        <v>-5541.88</v>
      </c>
      <c r="Y74">
        <f t="shared" si="5"/>
        <v>33.857750000000003</v>
      </c>
      <c r="Z74">
        <v>48000</v>
      </c>
      <c r="AA74">
        <v>1298.44</v>
      </c>
      <c r="AB74">
        <v>-2197.6</v>
      </c>
      <c r="AC74" s="2">
        <v>53991.6</v>
      </c>
      <c r="AD74">
        <v>-514.928</v>
      </c>
      <c r="AE74">
        <v>0</v>
      </c>
      <c r="AF74">
        <v>0</v>
      </c>
      <c r="AG74">
        <v>800</v>
      </c>
      <c r="AH74">
        <v>800</v>
      </c>
      <c r="AI74">
        <v>-5824.11</v>
      </c>
      <c r="AK74">
        <f t="shared" si="6"/>
        <v>33.744749999999996</v>
      </c>
    </row>
    <row r="75" spans="2:37" x14ac:dyDescent="0.2">
      <c r="B75">
        <v>49000</v>
      </c>
      <c r="C75">
        <v>1359.97</v>
      </c>
      <c r="D75">
        <v>-276.19</v>
      </c>
      <c r="E75">
        <v>6749.41</v>
      </c>
      <c r="F75">
        <v>386.24099999999999</v>
      </c>
      <c r="G75">
        <v>0</v>
      </c>
      <c r="H75">
        <v>0</v>
      </c>
      <c r="I75">
        <v>100</v>
      </c>
      <c r="J75">
        <v>100</v>
      </c>
      <c r="K75">
        <v>-5149.8</v>
      </c>
      <c r="M75">
        <f t="shared" si="4"/>
        <v>33.747050000000002</v>
      </c>
      <c r="N75">
        <v>49000</v>
      </c>
      <c r="O75">
        <v>1309.05</v>
      </c>
      <c r="P75">
        <v>-2197.9</v>
      </c>
      <c r="Q75">
        <v>54267</v>
      </c>
      <c r="R75">
        <v>-575.67899999999997</v>
      </c>
      <c r="S75">
        <v>0</v>
      </c>
      <c r="T75">
        <v>0</v>
      </c>
      <c r="U75">
        <v>800</v>
      </c>
      <c r="V75">
        <v>800</v>
      </c>
      <c r="W75">
        <v>-5901.06</v>
      </c>
      <c r="Y75">
        <f t="shared" si="5"/>
        <v>33.916874999999997</v>
      </c>
      <c r="Z75">
        <v>49000</v>
      </c>
      <c r="AA75">
        <v>1313.18</v>
      </c>
      <c r="AB75">
        <v>-2197.08</v>
      </c>
      <c r="AC75" s="2">
        <v>54070.1</v>
      </c>
      <c r="AD75">
        <v>-161.30600000000001</v>
      </c>
      <c r="AE75">
        <v>0</v>
      </c>
      <c r="AF75">
        <v>0</v>
      </c>
      <c r="AG75">
        <v>800</v>
      </c>
      <c r="AH75">
        <v>800</v>
      </c>
      <c r="AI75">
        <v>-5522.98</v>
      </c>
      <c r="AK75">
        <f t="shared" si="6"/>
        <v>33.793812500000001</v>
      </c>
    </row>
    <row r="76" spans="2:37" x14ac:dyDescent="0.2">
      <c r="B76">
        <v>50000</v>
      </c>
      <c r="C76">
        <v>1274.3499999999999</v>
      </c>
      <c r="D76">
        <v>-274.38499999999999</v>
      </c>
      <c r="E76">
        <v>6790.4</v>
      </c>
      <c r="F76">
        <v>-1643.77</v>
      </c>
      <c r="G76">
        <v>0</v>
      </c>
      <c r="H76">
        <v>0</v>
      </c>
      <c r="I76">
        <v>100</v>
      </c>
      <c r="J76">
        <v>100</v>
      </c>
      <c r="K76">
        <v>-6799.96</v>
      </c>
      <c r="M76">
        <f t="shared" si="4"/>
        <v>33.951999999999998</v>
      </c>
      <c r="N76">
        <v>50000</v>
      </c>
      <c r="O76">
        <v>1305.6199999999999</v>
      </c>
      <c r="P76">
        <v>-2199.54</v>
      </c>
      <c r="Q76">
        <v>54269.1</v>
      </c>
      <c r="R76">
        <v>-571.976</v>
      </c>
      <c r="S76">
        <v>0</v>
      </c>
      <c r="T76">
        <v>0</v>
      </c>
      <c r="U76">
        <v>800</v>
      </c>
      <c r="V76">
        <v>800</v>
      </c>
      <c r="W76">
        <v>-5883.21</v>
      </c>
      <c r="Y76">
        <f t="shared" si="5"/>
        <v>33.918187500000002</v>
      </c>
      <c r="Z76">
        <v>50000</v>
      </c>
      <c r="AA76">
        <v>1335.01</v>
      </c>
      <c r="AB76">
        <v>-2191.84</v>
      </c>
      <c r="AC76" s="2">
        <v>54169.4</v>
      </c>
      <c r="AD76">
        <v>492.34199999999998</v>
      </c>
      <c r="AE76">
        <v>0</v>
      </c>
      <c r="AF76">
        <v>0</v>
      </c>
      <c r="AG76">
        <v>800</v>
      </c>
      <c r="AH76">
        <v>800</v>
      </c>
      <c r="AI76">
        <v>-4948.4399999999996</v>
      </c>
      <c r="AK76">
        <f t="shared" si="6"/>
        <v>33.855874999999997</v>
      </c>
    </row>
    <row r="77" spans="2:37" x14ac:dyDescent="0.2">
      <c r="B77">
        <v>51000</v>
      </c>
      <c r="C77">
        <v>1247.1600000000001</v>
      </c>
      <c r="D77">
        <v>-274.52499999999998</v>
      </c>
      <c r="E77">
        <v>6807.31</v>
      </c>
      <c r="F77">
        <v>-2230.09</v>
      </c>
      <c r="G77">
        <v>0</v>
      </c>
      <c r="H77">
        <v>0</v>
      </c>
      <c r="I77">
        <v>100</v>
      </c>
      <c r="J77">
        <v>100</v>
      </c>
      <c r="K77">
        <v>-7263.74</v>
      </c>
      <c r="M77">
        <f t="shared" si="4"/>
        <v>34.036550000000005</v>
      </c>
      <c r="N77">
        <v>51000</v>
      </c>
      <c r="O77">
        <v>1306.26</v>
      </c>
      <c r="P77">
        <v>-2190.84</v>
      </c>
      <c r="Q77">
        <v>54235.5</v>
      </c>
      <c r="R77">
        <v>-467.29199999999997</v>
      </c>
      <c r="S77">
        <v>0</v>
      </c>
      <c r="T77">
        <v>0</v>
      </c>
      <c r="U77">
        <v>800</v>
      </c>
      <c r="V77">
        <v>800</v>
      </c>
      <c r="W77">
        <v>-5784.45</v>
      </c>
      <c r="Y77">
        <f t="shared" si="5"/>
        <v>33.897187500000001</v>
      </c>
      <c r="Z77">
        <v>51000</v>
      </c>
      <c r="AA77">
        <v>1278.32</v>
      </c>
      <c r="AB77">
        <v>-2194.41</v>
      </c>
      <c r="AC77" s="2">
        <v>54299.5</v>
      </c>
      <c r="AD77">
        <v>-158.196</v>
      </c>
      <c r="AE77">
        <v>0</v>
      </c>
      <c r="AF77">
        <v>0</v>
      </c>
      <c r="AG77">
        <v>800</v>
      </c>
      <c r="AH77">
        <v>800</v>
      </c>
      <c r="AI77">
        <v>-5355.49</v>
      </c>
      <c r="AK77">
        <f t="shared" si="6"/>
        <v>33.9371875</v>
      </c>
    </row>
    <row r="78" spans="2:37" x14ac:dyDescent="0.2">
      <c r="B78">
        <v>52000</v>
      </c>
      <c r="C78">
        <v>1296.48</v>
      </c>
      <c r="D78">
        <v>-271.73099999999999</v>
      </c>
      <c r="E78">
        <v>6812.8</v>
      </c>
      <c r="F78">
        <v>-671.24400000000003</v>
      </c>
      <c r="G78">
        <v>0</v>
      </c>
      <c r="H78">
        <v>0</v>
      </c>
      <c r="I78">
        <v>100</v>
      </c>
      <c r="J78">
        <v>100</v>
      </c>
      <c r="K78">
        <v>-5899.75</v>
      </c>
      <c r="M78">
        <f t="shared" si="4"/>
        <v>34.064</v>
      </c>
      <c r="N78">
        <v>52000</v>
      </c>
      <c r="O78">
        <v>1286.75</v>
      </c>
      <c r="P78">
        <v>-2202.4</v>
      </c>
      <c r="Q78">
        <v>54088.7</v>
      </c>
      <c r="R78">
        <v>-870.44600000000003</v>
      </c>
      <c r="S78">
        <v>0</v>
      </c>
      <c r="T78">
        <v>0</v>
      </c>
      <c r="U78">
        <v>800</v>
      </c>
      <c r="V78">
        <v>800</v>
      </c>
      <c r="W78">
        <v>-6122.39</v>
      </c>
      <c r="Y78">
        <f t="shared" si="5"/>
        <v>33.805437499999996</v>
      </c>
      <c r="Z78">
        <v>52000</v>
      </c>
      <c r="AA78">
        <v>1293.68</v>
      </c>
      <c r="AB78">
        <v>-2202.04</v>
      </c>
      <c r="AC78" s="2">
        <v>54373.7</v>
      </c>
      <c r="AD78">
        <v>-299.57299999999998</v>
      </c>
      <c r="AE78">
        <v>0</v>
      </c>
      <c r="AF78">
        <v>0</v>
      </c>
      <c r="AG78">
        <v>800</v>
      </c>
      <c r="AH78">
        <v>800</v>
      </c>
      <c r="AI78">
        <v>-5552.14</v>
      </c>
      <c r="AK78">
        <f t="shared" si="6"/>
        <v>33.983562499999998</v>
      </c>
    </row>
    <row r="79" spans="2:37" x14ac:dyDescent="0.2">
      <c r="B79">
        <v>53000</v>
      </c>
      <c r="C79">
        <v>1229.4000000000001</v>
      </c>
      <c r="D79">
        <v>-275.60500000000002</v>
      </c>
      <c r="E79">
        <v>6788</v>
      </c>
      <c r="F79">
        <v>803.51199999999994</v>
      </c>
      <c r="G79">
        <v>0</v>
      </c>
      <c r="H79">
        <v>0</v>
      </c>
      <c r="I79">
        <v>100</v>
      </c>
      <c r="J79">
        <v>100</v>
      </c>
      <c r="K79">
        <v>-4172.55</v>
      </c>
      <c r="M79">
        <f t="shared" si="4"/>
        <v>33.94</v>
      </c>
      <c r="N79">
        <v>53000</v>
      </c>
      <c r="O79">
        <v>1315.58</v>
      </c>
      <c r="P79">
        <v>-2203.04</v>
      </c>
      <c r="Q79">
        <v>53839.9</v>
      </c>
      <c r="R79">
        <v>635.91499999999996</v>
      </c>
      <c r="S79">
        <v>0</v>
      </c>
      <c r="T79">
        <v>0</v>
      </c>
      <c r="U79">
        <v>800</v>
      </c>
      <c r="V79">
        <v>800</v>
      </c>
      <c r="W79">
        <v>-4758.5200000000004</v>
      </c>
      <c r="Y79">
        <f t="shared" si="5"/>
        <v>33.6499375</v>
      </c>
      <c r="Z79">
        <v>53000</v>
      </c>
      <c r="AA79">
        <v>1300.3399999999999</v>
      </c>
      <c r="AB79">
        <v>-2197.5700000000002</v>
      </c>
      <c r="AC79" s="2">
        <v>54391.199999999997</v>
      </c>
      <c r="AD79">
        <v>-883.73299999999995</v>
      </c>
      <c r="AE79">
        <v>0</v>
      </c>
      <c r="AF79">
        <v>0</v>
      </c>
      <c r="AG79">
        <v>800</v>
      </c>
      <c r="AH79">
        <v>800</v>
      </c>
      <c r="AI79">
        <v>-6161.64</v>
      </c>
      <c r="AK79">
        <f t="shared" si="6"/>
        <v>33.994499999999995</v>
      </c>
    </row>
    <row r="80" spans="2:37" x14ac:dyDescent="0.2">
      <c r="B80">
        <v>54000</v>
      </c>
      <c r="C80">
        <v>1272.6099999999999</v>
      </c>
      <c r="D80">
        <v>-275.65899999999999</v>
      </c>
      <c r="E80">
        <v>6742.45</v>
      </c>
      <c r="F80">
        <v>1525.58</v>
      </c>
      <c r="G80">
        <v>0</v>
      </c>
      <c r="H80">
        <v>0</v>
      </c>
      <c r="I80">
        <v>100</v>
      </c>
      <c r="J80">
        <v>100</v>
      </c>
      <c r="K80">
        <v>-3660.21</v>
      </c>
      <c r="M80">
        <f t="shared" si="4"/>
        <v>33.712249999999997</v>
      </c>
      <c r="N80">
        <v>54000</v>
      </c>
      <c r="O80">
        <v>1281.3499999999999</v>
      </c>
      <c r="P80">
        <v>-2204.4299999999998</v>
      </c>
      <c r="Q80">
        <v>53612.5</v>
      </c>
      <c r="R80">
        <v>-612.79499999999996</v>
      </c>
      <c r="S80">
        <v>0</v>
      </c>
      <c r="T80">
        <v>0</v>
      </c>
      <c r="U80">
        <v>800</v>
      </c>
      <c r="V80">
        <v>800</v>
      </c>
      <c r="W80">
        <v>-5889.16</v>
      </c>
      <c r="Y80">
        <f t="shared" si="5"/>
        <v>33.5078125</v>
      </c>
      <c r="Z80">
        <v>54000</v>
      </c>
      <c r="AA80">
        <v>1305.74</v>
      </c>
      <c r="AB80">
        <v>-2201.6799999999998</v>
      </c>
      <c r="AC80" s="2">
        <v>54267.9</v>
      </c>
      <c r="AD80">
        <v>160.636</v>
      </c>
      <c r="AE80">
        <v>0</v>
      </c>
      <c r="AF80">
        <v>0</v>
      </c>
      <c r="AG80">
        <v>800</v>
      </c>
      <c r="AH80">
        <v>800</v>
      </c>
      <c r="AI80">
        <v>-5151.2299999999996</v>
      </c>
      <c r="AK80">
        <f t="shared" si="6"/>
        <v>33.917437499999998</v>
      </c>
    </row>
    <row r="81" spans="2:37" x14ac:dyDescent="0.2">
      <c r="B81">
        <v>55000</v>
      </c>
      <c r="C81">
        <v>1317.72</v>
      </c>
      <c r="D81">
        <v>-274.32600000000002</v>
      </c>
      <c r="E81">
        <v>6701.35</v>
      </c>
      <c r="F81">
        <v>-973.06200000000001</v>
      </c>
      <c r="G81">
        <v>0</v>
      </c>
      <c r="H81">
        <v>0</v>
      </c>
      <c r="I81">
        <v>100</v>
      </c>
      <c r="J81">
        <v>100</v>
      </c>
      <c r="K81">
        <v>-6375.55</v>
      </c>
      <c r="M81">
        <f t="shared" si="4"/>
        <v>33.506750000000004</v>
      </c>
      <c r="N81">
        <v>55000</v>
      </c>
      <c r="O81">
        <v>1304.99</v>
      </c>
      <c r="P81">
        <v>-2199.9499999999998</v>
      </c>
      <c r="Q81">
        <v>53406.5</v>
      </c>
      <c r="R81">
        <v>-128.643</v>
      </c>
      <c r="S81">
        <v>0</v>
      </c>
      <c r="T81">
        <v>0</v>
      </c>
      <c r="U81">
        <v>800</v>
      </c>
      <c r="V81">
        <v>800</v>
      </c>
      <c r="W81">
        <v>-5523.07</v>
      </c>
      <c r="Y81">
        <f t="shared" si="5"/>
        <v>33.379062500000003</v>
      </c>
      <c r="Z81">
        <v>55000</v>
      </c>
      <c r="AA81">
        <v>1263.23</v>
      </c>
      <c r="AB81">
        <v>-2204.6799999999998</v>
      </c>
      <c r="AC81" s="2">
        <v>54097.8</v>
      </c>
      <c r="AD81">
        <v>-628.45000000000005</v>
      </c>
      <c r="AE81">
        <v>0</v>
      </c>
      <c r="AF81">
        <v>0</v>
      </c>
      <c r="AG81">
        <v>800</v>
      </c>
      <c r="AH81">
        <v>800</v>
      </c>
      <c r="AI81">
        <v>-5783.52</v>
      </c>
      <c r="AK81">
        <f t="shared" si="6"/>
        <v>33.811125000000004</v>
      </c>
    </row>
    <row r="82" spans="2:37" x14ac:dyDescent="0.2">
      <c r="B82">
        <v>56000</v>
      </c>
      <c r="C82">
        <v>1219.9100000000001</v>
      </c>
      <c r="D82">
        <v>-278.39</v>
      </c>
      <c r="E82">
        <v>6624.1</v>
      </c>
      <c r="F82">
        <v>-1850.48</v>
      </c>
      <c r="G82">
        <v>0</v>
      </c>
      <c r="H82">
        <v>0</v>
      </c>
      <c r="I82">
        <v>100</v>
      </c>
      <c r="J82">
        <v>100</v>
      </c>
      <c r="K82">
        <v>-6910.3</v>
      </c>
      <c r="M82">
        <f t="shared" si="4"/>
        <v>33.1205</v>
      </c>
      <c r="N82">
        <v>56000</v>
      </c>
      <c r="O82">
        <v>1301.49</v>
      </c>
      <c r="P82">
        <v>-2204.33</v>
      </c>
      <c r="Q82">
        <v>53238.6</v>
      </c>
      <c r="R82">
        <v>1326.07</v>
      </c>
      <c r="S82">
        <v>0</v>
      </c>
      <c r="T82">
        <v>0</v>
      </c>
      <c r="U82">
        <v>800</v>
      </c>
      <c r="V82">
        <v>800</v>
      </c>
      <c r="W82">
        <v>-4070.85</v>
      </c>
      <c r="Y82">
        <f t="shared" si="5"/>
        <v>33.274124999999998</v>
      </c>
      <c r="Z82">
        <v>56000</v>
      </c>
      <c r="AA82">
        <v>1326.92</v>
      </c>
      <c r="AB82">
        <v>-2191.29</v>
      </c>
      <c r="AC82" s="2">
        <v>53851.3</v>
      </c>
      <c r="AD82">
        <v>605.24</v>
      </c>
      <c r="AE82">
        <v>0</v>
      </c>
      <c r="AF82">
        <v>0</v>
      </c>
      <c r="AG82">
        <v>800</v>
      </c>
      <c r="AH82">
        <v>800</v>
      </c>
      <c r="AI82">
        <v>-4834.53</v>
      </c>
      <c r="AK82">
        <f t="shared" si="6"/>
        <v>33.657062500000002</v>
      </c>
    </row>
    <row r="83" spans="2:37" x14ac:dyDescent="0.2">
      <c r="B83">
        <v>57000</v>
      </c>
      <c r="C83">
        <v>1347.14</v>
      </c>
      <c r="D83">
        <v>-278.41800000000001</v>
      </c>
      <c r="E83">
        <v>6514.59</v>
      </c>
      <c r="F83">
        <v>2721.98</v>
      </c>
      <c r="G83">
        <v>0</v>
      </c>
      <c r="H83">
        <v>0</v>
      </c>
      <c r="I83">
        <v>100</v>
      </c>
      <c r="J83">
        <v>100</v>
      </c>
      <c r="K83">
        <v>-2959.53</v>
      </c>
      <c r="M83">
        <f t="shared" si="4"/>
        <v>32.572949999999999</v>
      </c>
      <c r="N83">
        <v>57000</v>
      </c>
      <c r="O83">
        <v>1335.17</v>
      </c>
      <c r="P83">
        <v>-2198.66</v>
      </c>
      <c r="Q83">
        <v>53217.599999999999</v>
      </c>
      <c r="R83">
        <v>140.73400000000001</v>
      </c>
      <c r="S83">
        <v>0</v>
      </c>
      <c r="T83">
        <v>0</v>
      </c>
      <c r="U83">
        <v>800</v>
      </c>
      <c r="V83">
        <v>800</v>
      </c>
      <c r="W83">
        <v>-5398.05</v>
      </c>
      <c r="Y83">
        <f t="shared" si="5"/>
        <v>33.260999999999996</v>
      </c>
      <c r="Z83">
        <v>57000</v>
      </c>
      <c r="AA83">
        <v>1304.92</v>
      </c>
      <c r="AB83">
        <v>-2206.1799999999998</v>
      </c>
      <c r="AC83" s="2">
        <v>53638.7</v>
      </c>
      <c r="AD83">
        <v>442.791</v>
      </c>
      <c r="AE83">
        <v>0</v>
      </c>
      <c r="AF83">
        <v>0</v>
      </c>
      <c r="AG83">
        <v>800</v>
      </c>
      <c r="AH83">
        <v>800</v>
      </c>
      <c r="AI83">
        <v>-4928.01</v>
      </c>
      <c r="AK83">
        <f t="shared" si="6"/>
        <v>33.524187499999996</v>
      </c>
    </row>
    <row r="84" spans="2:37" x14ac:dyDescent="0.2">
      <c r="B84">
        <v>58000</v>
      </c>
      <c r="C84">
        <v>1302.57</v>
      </c>
      <c r="D84">
        <v>-277.62900000000002</v>
      </c>
      <c r="E84">
        <v>6442.84</v>
      </c>
      <c r="F84">
        <v>2265.37</v>
      </c>
      <c r="G84">
        <v>0</v>
      </c>
      <c r="H84">
        <v>0</v>
      </c>
      <c r="I84">
        <v>100</v>
      </c>
      <c r="J84">
        <v>100</v>
      </c>
      <c r="K84">
        <v>-3289.35</v>
      </c>
      <c r="M84">
        <f t="shared" si="4"/>
        <v>32.214199999999998</v>
      </c>
      <c r="N84">
        <v>58000</v>
      </c>
      <c r="O84">
        <v>1312.76</v>
      </c>
      <c r="P84">
        <v>-2206.69</v>
      </c>
      <c r="Q84">
        <v>53333.5</v>
      </c>
      <c r="R84">
        <v>-583.83000000000004</v>
      </c>
      <c r="S84">
        <v>0</v>
      </c>
      <c r="T84">
        <v>0</v>
      </c>
      <c r="U84">
        <v>800</v>
      </c>
      <c r="V84">
        <v>800</v>
      </c>
      <c r="W84">
        <v>-6017.8</v>
      </c>
      <c r="Y84">
        <f t="shared" si="5"/>
        <v>33.333437500000002</v>
      </c>
      <c r="Z84">
        <v>58000</v>
      </c>
      <c r="AA84">
        <v>1294.71</v>
      </c>
      <c r="AB84">
        <v>-2196.88</v>
      </c>
      <c r="AC84" s="2">
        <v>53494.8</v>
      </c>
      <c r="AD84">
        <v>-221.708</v>
      </c>
      <c r="AE84">
        <v>0</v>
      </c>
      <c r="AF84">
        <v>0</v>
      </c>
      <c r="AG84">
        <v>800</v>
      </c>
      <c r="AH84">
        <v>800</v>
      </c>
      <c r="AI84">
        <v>-5564.82</v>
      </c>
      <c r="AK84">
        <f t="shared" si="6"/>
        <v>33.434249999999999</v>
      </c>
    </row>
    <row r="85" spans="2:37" x14ac:dyDescent="0.2">
      <c r="B85">
        <v>59000</v>
      </c>
      <c r="C85">
        <v>1266.54</v>
      </c>
      <c r="D85">
        <v>-279.27199999999999</v>
      </c>
      <c r="E85">
        <v>6429.27</v>
      </c>
      <c r="F85">
        <v>1188.46</v>
      </c>
      <c r="G85">
        <v>0</v>
      </c>
      <c r="H85">
        <v>0</v>
      </c>
      <c r="I85">
        <v>100</v>
      </c>
      <c r="J85">
        <v>100</v>
      </c>
      <c r="K85">
        <v>-4224</v>
      </c>
      <c r="M85">
        <f t="shared" si="4"/>
        <v>32.146350000000005</v>
      </c>
      <c r="N85">
        <v>59000</v>
      </c>
      <c r="O85">
        <v>1293.02</v>
      </c>
      <c r="P85">
        <v>-2205.67</v>
      </c>
      <c r="Q85">
        <v>53458.7</v>
      </c>
      <c r="R85">
        <v>254.81800000000001</v>
      </c>
      <c r="S85">
        <v>0</v>
      </c>
      <c r="T85">
        <v>0</v>
      </c>
      <c r="U85">
        <v>800</v>
      </c>
      <c r="V85">
        <v>800</v>
      </c>
      <c r="W85">
        <v>-5084.91</v>
      </c>
      <c r="Y85">
        <f t="shared" si="5"/>
        <v>33.411687499999999</v>
      </c>
      <c r="Z85">
        <v>59000</v>
      </c>
      <c r="AA85">
        <v>1264.48</v>
      </c>
      <c r="AB85">
        <v>-2203.48</v>
      </c>
      <c r="AC85" s="2">
        <v>53364.4</v>
      </c>
      <c r="AD85">
        <v>491.65</v>
      </c>
      <c r="AE85">
        <v>0</v>
      </c>
      <c r="AF85">
        <v>0</v>
      </c>
      <c r="AG85">
        <v>800</v>
      </c>
      <c r="AH85">
        <v>800</v>
      </c>
      <c r="AI85">
        <v>-4739.4399999999996</v>
      </c>
      <c r="AK85">
        <f t="shared" si="6"/>
        <v>33.35275</v>
      </c>
    </row>
    <row r="86" spans="2:37" x14ac:dyDescent="0.2">
      <c r="B86">
        <v>60000</v>
      </c>
      <c r="C86">
        <v>1271</v>
      </c>
      <c r="D86">
        <v>-277.51400000000001</v>
      </c>
      <c r="E86">
        <v>6485.42</v>
      </c>
      <c r="F86">
        <v>2701.16</v>
      </c>
      <c r="G86">
        <v>0</v>
      </c>
      <c r="H86">
        <v>0</v>
      </c>
      <c r="I86">
        <v>100</v>
      </c>
      <c r="J86">
        <v>100</v>
      </c>
      <c r="K86">
        <v>-2683.34</v>
      </c>
      <c r="M86">
        <f t="shared" si="4"/>
        <v>32.427100000000003</v>
      </c>
      <c r="N86">
        <v>60000</v>
      </c>
      <c r="O86">
        <v>1298.52</v>
      </c>
      <c r="P86">
        <v>-2198.92</v>
      </c>
      <c r="Q86">
        <v>53612.2</v>
      </c>
      <c r="R86">
        <v>1126.25</v>
      </c>
      <c r="S86">
        <v>0</v>
      </c>
      <c r="T86">
        <v>0</v>
      </c>
      <c r="U86">
        <v>800</v>
      </c>
      <c r="V86">
        <v>800</v>
      </c>
      <c r="W86">
        <v>-4220.8500000000004</v>
      </c>
      <c r="Y86">
        <f t="shared" si="5"/>
        <v>33.507624999999997</v>
      </c>
      <c r="Z86">
        <v>60000</v>
      </c>
      <c r="AA86">
        <v>1259.4100000000001</v>
      </c>
      <c r="AB86">
        <v>-2214.69</v>
      </c>
      <c r="AC86" s="2">
        <v>53343.4</v>
      </c>
      <c r="AD86">
        <v>191.99100000000001</v>
      </c>
      <c r="AE86">
        <v>0</v>
      </c>
      <c r="AF86">
        <v>0</v>
      </c>
      <c r="AG86">
        <v>800</v>
      </c>
      <c r="AH86">
        <v>800</v>
      </c>
      <c r="AI86">
        <v>-5020.1899999999996</v>
      </c>
      <c r="AK86">
        <f t="shared" si="6"/>
        <v>33.339624999999998</v>
      </c>
    </row>
    <row r="87" spans="2:37" x14ac:dyDescent="0.2">
      <c r="B87">
        <v>61000</v>
      </c>
      <c r="C87">
        <v>1238.25</v>
      </c>
      <c r="D87">
        <v>-277.58800000000002</v>
      </c>
      <c r="E87">
        <v>6605.76</v>
      </c>
      <c r="F87">
        <v>1417.21</v>
      </c>
      <c r="G87">
        <v>0</v>
      </c>
      <c r="H87">
        <v>0</v>
      </c>
      <c r="I87">
        <v>100</v>
      </c>
      <c r="J87">
        <v>100</v>
      </c>
      <c r="K87">
        <v>-3732.84</v>
      </c>
      <c r="M87">
        <f t="shared" si="4"/>
        <v>33.028800000000004</v>
      </c>
      <c r="N87">
        <v>61000</v>
      </c>
      <c r="O87">
        <v>1315.89</v>
      </c>
      <c r="P87">
        <v>-2198.23</v>
      </c>
      <c r="Q87">
        <v>53873.4</v>
      </c>
      <c r="R87">
        <v>560.04499999999996</v>
      </c>
      <c r="S87">
        <v>0</v>
      </c>
      <c r="T87">
        <v>0</v>
      </c>
      <c r="U87">
        <v>800</v>
      </c>
      <c r="V87">
        <v>800</v>
      </c>
      <c r="W87">
        <v>-4832.28</v>
      </c>
      <c r="Y87">
        <f t="shared" si="5"/>
        <v>33.670875000000002</v>
      </c>
      <c r="Z87">
        <v>61000</v>
      </c>
      <c r="AA87">
        <v>1327.65</v>
      </c>
      <c r="AB87">
        <v>-2201</v>
      </c>
      <c r="AC87" s="2">
        <v>53389.2</v>
      </c>
      <c r="AD87">
        <v>432.57100000000003</v>
      </c>
      <c r="AE87">
        <v>0</v>
      </c>
      <c r="AF87">
        <v>0</v>
      </c>
      <c r="AG87">
        <v>800</v>
      </c>
      <c r="AH87">
        <v>800</v>
      </c>
      <c r="AI87">
        <v>-5057.29</v>
      </c>
      <c r="AK87">
        <f t="shared" si="6"/>
        <v>33.368249999999996</v>
      </c>
    </row>
    <row r="88" spans="2:37" x14ac:dyDescent="0.2">
      <c r="B88">
        <v>62000</v>
      </c>
      <c r="C88">
        <v>1297.3499999999999</v>
      </c>
      <c r="D88">
        <v>-273.78699999999998</v>
      </c>
      <c r="E88">
        <v>6764.45</v>
      </c>
      <c r="F88">
        <v>3873</v>
      </c>
      <c r="G88">
        <v>0</v>
      </c>
      <c r="H88">
        <v>0</v>
      </c>
      <c r="I88">
        <v>100</v>
      </c>
      <c r="J88">
        <v>100</v>
      </c>
      <c r="K88">
        <v>-1396.36</v>
      </c>
      <c r="M88">
        <f t="shared" si="4"/>
        <v>33.822249999999997</v>
      </c>
      <c r="N88">
        <v>62000</v>
      </c>
      <c r="O88">
        <v>1304.24</v>
      </c>
      <c r="P88">
        <v>-2200.9499999999998</v>
      </c>
      <c r="Q88">
        <v>54195</v>
      </c>
      <c r="R88">
        <v>131.88999999999999</v>
      </c>
      <c r="S88">
        <v>0</v>
      </c>
      <c r="T88">
        <v>0</v>
      </c>
      <c r="U88">
        <v>800</v>
      </c>
      <c r="V88">
        <v>800</v>
      </c>
      <c r="W88">
        <v>-5180.99</v>
      </c>
      <c r="Y88">
        <f t="shared" si="5"/>
        <v>33.871875000000003</v>
      </c>
      <c r="Z88">
        <v>62000</v>
      </c>
      <c r="AA88">
        <v>1296.82</v>
      </c>
      <c r="AB88">
        <v>-2203.9</v>
      </c>
      <c r="AC88" s="2">
        <v>53454.2</v>
      </c>
      <c r="AD88">
        <v>1288.54</v>
      </c>
      <c r="AE88">
        <v>0</v>
      </c>
      <c r="AF88">
        <v>0</v>
      </c>
      <c r="AG88">
        <v>800</v>
      </c>
      <c r="AH88">
        <v>800</v>
      </c>
      <c r="AI88">
        <v>-4067.34</v>
      </c>
      <c r="AK88">
        <f t="shared" si="6"/>
        <v>33.408874999999995</v>
      </c>
    </row>
    <row r="89" spans="2:37" x14ac:dyDescent="0.2">
      <c r="B89">
        <v>63000</v>
      </c>
      <c r="C89">
        <v>1355.17</v>
      </c>
      <c r="D89">
        <v>-275.57400000000001</v>
      </c>
      <c r="E89">
        <v>6957.77</v>
      </c>
      <c r="F89">
        <v>-1436.21</v>
      </c>
      <c r="G89">
        <v>0</v>
      </c>
      <c r="H89">
        <v>0</v>
      </c>
      <c r="I89">
        <v>100</v>
      </c>
      <c r="J89">
        <v>100</v>
      </c>
      <c r="K89">
        <v>-6787.63</v>
      </c>
      <c r="M89">
        <f t="shared" si="4"/>
        <v>34.788850000000004</v>
      </c>
      <c r="N89">
        <v>63000</v>
      </c>
      <c r="O89">
        <v>1300.1400000000001</v>
      </c>
      <c r="P89">
        <v>-2195.7800000000002</v>
      </c>
      <c r="Q89">
        <v>54460.800000000003</v>
      </c>
      <c r="R89">
        <v>-509.31400000000002</v>
      </c>
      <c r="S89">
        <v>0</v>
      </c>
      <c r="T89">
        <v>0</v>
      </c>
      <c r="U89">
        <v>800</v>
      </c>
      <c r="V89">
        <v>800</v>
      </c>
      <c r="W89">
        <v>-5779.66</v>
      </c>
      <c r="Y89">
        <f t="shared" si="5"/>
        <v>34.038000000000004</v>
      </c>
      <c r="Z89">
        <v>63000</v>
      </c>
      <c r="AA89">
        <v>1329.87</v>
      </c>
      <c r="AB89">
        <v>-2204.0100000000002</v>
      </c>
      <c r="AC89" s="2">
        <v>53685.8</v>
      </c>
      <c r="AD89">
        <v>458.96699999999998</v>
      </c>
      <c r="AE89">
        <v>0</v>
      </c>
      <c r="AF89">
        <v>0</v>
      </c>
      <c r="AG89">
        <v>800</v>
      </c>
      <c r="AH89">
        <v>800</v>
      </c>
      <c r="AI89">
        <v>-5009.71</v>
      </c>
      <c r="AK89">
        <f t="shared" si="6"/>
        <v>33.553625000000004</v>
      </c>
    </row>
    <row r="90" spans="2:37" x14ac:dyDescent="0.2">
      <c r="B90">
        <v>64000</v>
      </c>
      <c r="C90">
        <v>1324.18</v>
      </c>
      <c r="D90">
        <v>-269.53899999999999</v>
      </c>
      <c r="E90">
        <v>7104.41</v>
      </c>
      <c r="F90">
        <v>-1972.45</v>
      </c>
      <c r="G90">
        <v>0</v>
      </c>
      <c r="H90">
        <v>0</v>
      </c>
      <c r="I90">
        <v>100</v>
      </c>
      <c r="J90">
        <v>100</v>
      </c>
      <c r="K90">
        <v>-7093.51</v>
      </c>
      <c r="M90">
        <f t="shared" si="4"/>
        <v>35.52205</v>
      </c>
      <c r="N90">
        <v>64000</v>
      </c>
      <c r="O90">
        <v>1297.02</v>
      </c>
      <c r="P90">
        <v>-2201.23</v>
      </c>
      <c r="Q90">
        <v>54641.3</v>
      </c>
      <c r="R90">
        <v>-1649.98</v>
      </c>
      <c r="S90">
        <v>0</v>
      </c>
      <c r="T90">
        <v>0</v>
      </c>
      <c r="U90">
        <v>800</v>
      </c>
      <c r="V90">
        <v>800</v>
      </c>
      <c r="W90">
        <v>-6890.31</v>
      </c>
      <c r="Y90">
        <f t="shared" si="5"/>
        <v>34.150812500000001</v>
      </c>
      <c r="Z90">
        <v>64000</v>
      </c>
      <c r="AA90">
        <v>1326.27</v>
      </c>
      <c r="AB90">
        <v>-2205.19</v>
      </c>
      <c r="AC90" s="2">
        <v>53929.4</v>
      </c>
      <c r="AD90">
        <v>469.19400000000002</v>
      </c>
      <c r="AE90">
        <v>0</v>
      </c>
      <c r="AF90">
        <v>0</v>
      </c>
      <c r="AG90">
        <v>800</v>
      </c>
      <c r="AH90">
        <v>800</v>
      </c>
      <c r="AI90">
        <v>-4960.04</v>
      </c>
      <c r="AK90">
        <f t="shared" si="6"/>
        <v>33.705874999999999</v>
      </c>
    </row>
    <row r="91" spans="2:37" x14ac:dyDescent="0.2">
      <c r="B91">
        <v>65000</v>
      </c>
      <c r="C91">
        <v>1200.68</v>
      </c>
      <c r="D91">
        <v>-274.40800000000002</v>
      </c>
      <c r="E91">
        <v>7174.86</v>
      </c>
      <c r="F91">
        <v>-2464.44</v>
      </c>
      <c r="G91">
        <v>0</v>
      </c>
      <c r="H91">
        <v>0</v>
      </c>
      <c r="I91">
        <v>100</v>
      </c>
      <c r="J91">
        <v>100</v>
      </c>
      <c r="K91">
        <v>-7062.24</v>
      </c>
      <c r="M91">
        <f t="shared" ref="M91:M126" si="7">E91/SUM(I91:J91)</f>
        <v>35.874299999999998</v>
      </c>
      <c r="N91">
        <v>65000</v>
      </c>
      <c r="O91">
        <v>1326.97</v>
      </c>
      <c r="P91">
        <v>-2194.19</v>
      </c>
      <c r="Q91">
        <v>54597.3</v>
      </c>
      <c r="R91">
        <v>-78.7333</v>
      </c>
      <c r="S91">
        <v>0</v>
      </c>
      <c r="T91">
        <v>0</v>
      </c>
      <c r="U91">
        <v>800</v>
      </c>
      <c r="V91">
        <v>800</v>
      </c>
      <c r="W91">
        <v>-5444.39</v>
      </c>
      <c r="Y91">
        <f t="shared" ref="Y91:Y126" si="8">Q91/SUM(U91:V91)</f>
        <v>34.123312500000004</v>
      </c>
      <c r="Z91">
        <v>65000</v>
      </c>
      <c r="AA91">
        <v>1310.07</v>
      </c>
      <c r="AB91">
        <v>-2194.92</v>
      </c>
      <c r="AC91" s="2">
        <v>54159.1</v>
      </c>
      <c r="AD91">
        <v>-497.19499999999999</v>
      </c>
      <c r="AE91">
        <v>0</v>
      </c>
      <c r="AF91">
        <v>0</v>
      </c>
      <c r="AG91">
        <v>800</v>
      </c>
      <c r="AH91">
        <v>800</v>
      </c>
      <c r="AI91">
        <v>-5837.36</v>
      </c>
      <c r="AK91">
        <f t="shared" ref="AK91:AK126" si="9">AC91/SUM(AG91:AH91)</f>
        <v>33.849437500000001</v>
      </c>
    </row>
    <row r="92" spans="2:37" x14ac:dyDescent="0.2">
      <c r="B92">
        <v>66000</v>
      </c>
      <c r="C92">
        <v>1306.67</v>
      </c>
      <c r="D92">
        <v>-270.35700000000003</v>
      </c>
      <c r="E92">
        <v>7172.84</v>
      </c>
      <c r="F92">
        <v>-1289.79</v>
      </c>
      <c r="G92">
        <v>0</v>
      </c>
      <c r="H92">
        <v>0</v>
      </c>
      <c r="I92">
        <v>100</v>
      </c>
      <c r="J92">
        <v>100</v>
      </c>
      <c r="K92">
        <v>-6294.89</v>
      </c>
      <c r="M92">
        <f t="shared" si="7"/>
        <v>35.864200000000004</v>
      </c>
      <c r="N92">
        <v>66000</v>
      </c>
      <c r="O92">
        <v>1297.74</v>
      </c>
      <c r="P92">
        <v>-2190.4</v>
      </c>
      <c r="Q92">
        <v>54351.7</v>
      </c>
      <c r="R92">
        <v>86.051199999999994</v>
      </c>
      <c r="S92">
        <v>0</v>
      </c>
      <c r="T92">
        <v>0</v>
      </c>
      <c r="U92">
        <v>800</v>
      </c>
      <c r="V92">
        <v>800</v>
      </c>
      <c r="W92">
        <v>-5185.12</v>
      </c>
      <c r="Y92">
        <f t="shared" si="8"/>
        <v>33.969812499999996</v>
      </c>
      <c r="Z92">
        <v>66000</v>
      </c>
      <c r="AA92">
        <v>1278.1199999999999</v>
      </c>
      <c r="AB92">
        <v>-2197.58</v>
      </c>
      <c r="AC92" s="2">
        <v>54414.9</v>
      </c>
      <c r="AD92">
        <v>-522.78800000000001</v>
      </c>
      <c r="AE92">
        <v>0</v>
      </c>
      <c r="AF92">
        <v>0</v>
      </c>
      <c r="AG92">
        <v>800</v>
      </c>
      <c r="AH92">
        <v>800</v>
      </c>
      <c r="AI92">
        <v>-5708.24</v>
      </c>
      <c r="AK92">
        <f t="shared" si="9"/>
        <v>34.0093125</v>
      </c>
    </row>
    <row r="93" spans="2:37" x14ac:dyDescent="0.2">
      <c r="B93">
        <v>67000</v>
      </c>
      <c r="C93">
        <v>1281.1199999999999</v>
      </c>
      <c r="D93">
        <v>-272.73899999999998</v>
      </c>
      <c r="E93">
        <v>7120.41</v>
      </c>
      <c r="F93">
        <v>-555.47500000000002</v>
      </c>
      <c r="G93">
        <v>0</v>
      </c>
      <c r="H93">
        <v>0</v>
      </c>
      <c r="I93">
        <v>100</v>
      </c>
      <c r="J93">
        <v>100</v>
      </c>
      <c r="K93">
        <v>-5498.85</v>
      </c>
      <c r="M93">
        <f t="shared" si="7"/>
        <v>35.602049999999998</v>
      </c>
      <c r="N93">
        <v>67000</v>
      </c>
      <c r="O93">
        <v>1294.1600000000001</v>
      </c>
      <c r="P93">
        <v>-2196.96</v>
      </c>
      <c r="Q93">
        <v>54002.2</v>
      </c>
      <c r="R93">
        <v>-54.091500000000003</v>
      </c>
      <c r="S93">
        <v>0</v>
      </c>
      <c r="T93">
        <v>0</v>
      </c>
      <c r="U93">
        <v>800</v>
      </c>
      <c r="V93">
        <v>800</v>
      </c>
      <c r="W93">
        <v>-5344.75</v>
      </c>
      <c r="Y93">
        <f t="shared" si="8"/>
        <v>33.751374999999996</v>
      </c>
      <c r="Z93">
        <v>67000</v>
      </c>
      <c r="AA93">
        <v>1304.69</v>
      </c>
      <c r="AB93">
        <v>-2192.0700000000002</v>
      </c>
      <c r="AC93" s="2">
        <v>54653.8</v>
      </c>
      <c r="AD93">
        <v>-436.54199999999997</v>
      </c>
      <c r="AE93">
        <v>0</v>
      </c>
      <c r="AF93">
        <v>0</v>
      </c>
      <c r="AG93">
        <v>800</v>
      </c>
      <c r="AH93">
        <v>800</v>
      </c>
      <c r="AI93">
        <v>-5706.65</v>
      </c>
      <c r="AK93">
        <f t="shared" si="9"/>
        <v>34.158625000000001</v>
      </c>
    </row>
    <row r="94" spans="2:37" x14ac:dyDescent="0.2">
      <c r="B94">
        <v>68000</v>
      </c>
      <c r="C94">
        <v>1245.44</v>
      </c>
      <c r="D94">
        <v>-273.52199999999999</v>
      </c>
      <c r="E94">
        <v>7021.42</v>
      </c>
      <c r="F94">
        <v>-3375.3</v>
      </c>
      <c r="G94">
        <v>0</v>
      </c>
      <c r="H94">
        <v>0</v>
      </c>
      <c r="I94">
        <v>100</v>
      </c>
      <c r="J94">
        <v>100</v>
      </c>
      <c r="K94">
        <v>-8248.7199999999993</v>
      </c>
      <c r="M94">
        <f t="shared" si="7"/>
        <v>35.107100000000003</v>
      </c>
      <c r="N94">
        <v>68000</v>
      </c>
      <c r="O94">
        <v>1271.52</v>
      </c>
      <c r="P94">
        <v>-2201.17</v>
      </c>
      <c r="Q94">
        <v>53588.2</v>
      </c>
      <c r="R94">
        <v>531.93100000000004</v>
      </c>
      <c r="S94">
        <v>0</v>
      </c>
      <c r="T94">
        <v>0</v>
      </c>
      <c r="U94">
        <v>800</v>
      </c>
      <c r="V94">
        <v>800</v>
      </c>
      <c r="W94">
        <v>-4706.3100000000004</v>
      </c>
      <c r="Y94">
        <f t="shared" si="8"/>
        <v>33.492624999999997</v>
      </c>
      <c r="Z94">
        <v>68000</v>
      </c>
      <c r="AA94">
        <v>1335.75</v>
      </c>
      <c r="AB94">
        <v>-2192.41</v>
      </c>
      <c r="AC94" s="2">
        <v>54789.599999999999</v>
      </c>
      <c r="AD94">
        <v>-215.51599999999999</v>
      </c>
      <c r="AE94">
        <v>0</v>
      </c>
      <c r="AF94">
        <v>0</v>
      </c>
      <c r="AG94">
        <v>800</v>
      </c>
      <c r="AH94">
        <v>800</v>
      </c>
      <c r="AI94">
        <v>-5597.71</v>
      </c>
      <c r="AK94">
        <f t="shared" si="9"/>
        <v>34.243499999999997</v>
      </c>
    </row>
    <row r="95" spans="2:37" x14ac:dyDescent="0.2">
      <c r="B95">
        <v>69000</v>
      </c>
      <c r="C95">
        <v>1255.32</v>
      </c>
      <c r="D95">
        <v>-277.64999999999998</v>
      </c>
      <c r="E95">
        <v>6855.2</v>
      </c>
      <c r="F95">
        <v>-1240</v>
      </c>
      <c r="G95">
        <v>0</v>
      </c>
      <c r="H95">
        <v>0</v>
      </c>
      <c r="I95">
        <v>100</v>
      </c>
      <c r="J95">
        <v>100</v>
      </c>
      <c r="K95">
        <v>-6271.09</v>
      </c>
      <c r="M95">
        <f t="shared" si="7"/>
        <v>34.275999999999996</v>
      </c>
      <c r="N95">
        <v>69000</v>
      </c>
      <c r="O95">
        <v>1321.2</v>
      </c>
      <c r="P95">
        <v>-2199.3000000000002</v>
      </c>
      <c r="Q95">
        <v>53284.6</v>
      </c>
      <c r="R95">
        <v>1067.18</v>
      </c>
      <c r="S95">
        <v>0</v>
      </c>
      <c r="T95">
        <v>0</v>
      </c>
      <c r="U95">
        <v>800</v>
      </c>
      <c r="V95">
        <v>800</v>
      </c>
      <c r="W95">
        <v>-4406.75</v>
      </c>
      <c r="Y95">
        <f t="shared" si="8"/>
        <v>33.302875</v>
      </c>
      <c r="Z95">
        <v>69000</v>
      </c>
      <c r="AA95">
        <v>1287.99</v>
      </c>
      <c r="AB95">
        <v>-2196.14</v>
      </c>
      <c r="AC95" s="2">
        <v>54725.5</v>
      </c>
      <c r="AD95">
        <v>-171.011</v>
      </c>
      <c r="AE95">
        <v>0</v>
      </c>
      <c r="AF95">
        <v>0</v>
      </c>
      <c r="AG95">
        <v>800</v>
      </c>
      <c r="AH95">
        <v>800</v>
      </c>
      <c r="AI95">
        <v>-5366.83</v>
      </c>
      <c r="AK95">
        <f t="shared" si="9"/>
        <v>34.2034375</v>
      </c>
    </row>
    <row r="96" spans="2:37" x14ac:dyDescent="0.2">
      <c r="B96">
        <v>70000</v>
      </c>
      <c r="C96">
        <v>1286.1400000000001</v>
      </c>
      <c r="D96">
        <v>-278.08300000000003</v>
      </c>
      <c r="E96">
        <v>6675.88</v>
      </c>
      <c r="F96">
        <v>439.49</v>
      </c>
      <c r="G96">
        <v>0</v>
      </c>
      <c r="H96">
        <v>0</v>
      </c>
      <c r="I96">
        <v>100</v>
      </c>
      <c r="J96">
        <v>100</v>
      </c>
      <c r="K96">
        <v>-4853.95</v>
      </c>
      <c r="M96">
        <f t="shared" si="7"/>
        <v>33.379400000000004</v>
      </c>
      <c r="N96">
        <v>70000</v>
      </c>
      <c r="O96">
        <v>1284.8399999999999</v>
      </c>
      <c r="P96">
        <v>-2213.2600000000002</v>
      </c>
      <c r="Q96">
        <v>53157.599999999999</v>
      </c>
      <c r="R96">
        <v>496.94600000000003</v>
      </c>
      <c r="S96">
        <v>0</v>
      </c>
      <c r="T96">
        <v>0</v>
      </c>
      <c r="U96">
        <v>800</v>
      </c>
      <c r="V96">
        <v>800</v>
      </c>
      <c r="W96">
        <v>-4839.04</v>
      </c>
      <c r="Y96">
        <f t="shared" si="8"/>
        <v>33.223500000000001</v>
      </c>
      <c r="Z96">
        <v>70000</v>
      </c>
      <c r="AA96">
        <v>1289.78</v>
      </c>
      <c r="AB96">
        <v>-2194.83</v>
      </c>
      <c r="AC96" s="2">
        <v>54473.5</v>
      </c>
      <c r="AD96">
        <v>-99.553100000000001</v>
      </c>
      <c r="AE96">
        <v>0</v>
      </c>
      <c r="AF96">
        <v>0</v>
      </c>
      <c r="AG96">
        <v>800</v>
      </c>
      <c r="AH96">
        <v>800</v>
      </c>
      <c r="AI96">
        <v>-5326.64</v>
      </c>
      <c r="AK96">
        <f t="shared" si="9"/>
        <v>34.045937500000001</v>
      </c>
    </row>
    <row r="97" spans="2:37" x14ac:dyDescent="0.2">
      <c r="B97">
        <v>71000</v>
      </c>
      <c r="C97">
        <v>1340.52</v>
      </c>
      <c r="D97">
        <v>-277.53399999999999</v>
      </c>
      <c r="E97">
        <v>6522.03</v>
      </c>
      <c r="F97">
        <v>4299.13</v>
      </c>
      <c r="G97">
        <v>0</v>
      </c>
      <c r="H97">
        <v>0</v>
      </c>
      <c r="I97">
        <v>100</v>
      </c>
      <c r="J97">
        <v>100</v>
      </c>
      <c r="K97">
        <v>-1348.04</v>
      </c>
      <c r="M97">
        <f t="shared" si="7"/>
        <v>32.610149999999997</v>
      </c>
      <c r="N97">
        <v>71000</v>
      </c>
      <c r="O97">
        <v>1235.45</v>
      </c>
      <c r="P97">
        <v>-2212.52</v>
      </c>
      <c r="Q97">
        <v>53230.8</v>
      </c>
      <c r="R97">
        <v>369.18700000000001</v>
      </c>
      <c r="S97">
        <v>0</v>
      </c>
      <c r="T97">
        <v>0</v>
      </c>
      <c r="U97">
        <v>800</v>
      </c>
      <c r="V97">
        <v>800</v>
      </c>
      <c r="W97">
        <v>-4754.6499999999996</v>
      </c>
      <c r="Y97">
        <f t="shared" si="8"/>
        <v>33.26925</v>
      </c>
      <c r="Z97">
        <v>71000</v>
      </c>
      <c r="AA97">
        <v>1267.24</v>
      </c>
      <c r="AB97">
        <v>-2204.63</v>
      </c>
      <c r="AC97" s="2">
        <v>54052.4</v>
      </c>
      <c r="AD97">
        <v>-746.43600000000004</v>
      </c>
      <c r="AE97">
        <v>0</v>
      </c>
      <c r="AF97">
        <v>0</v>
      </c>
      <c r="AG97">
        <v>800</v>
      </c>
      <c r="AH97">
        <v>800</v>
      </c>
      <c r="AI97">
        <v>-5922.23</v>
      </c>
      <c r="AK97">
        <f t="shared" si="9"/>
        <v>33.78275</v>
      </c>
    </row>
    <row r="98" spans="2:37" x14ac:dyDescent="0.2">
      <c r="B98">
        <v>72000</v>
      </c>
      <c r="C98">
        <v>1382.27</v>
      </c>
      <c r="D98">
        <v>-276.61200000000002</v>
      </c>
      <c r="E98">
        <v>6473.09</v>
      </c>
      <c r="F98">
        <v>1954.29</v>
      </c>
      <c r="G98">
        <v>0</v>
      </c>
      <c r="H98">
        <v>0</v>
      </c>
      <c r="I98">
        <v>100</v>
      </c>
      <c r="J98">
        <v>100</v>
      </c>
      <c r="K98">
        <v>-3912.73</v>
      </c>
      <c r="M98">
        <f t="shared" si="7"/>
        <v>32.365450000000003</v>
      </c>
      <c r="N98">
        <v>72000</v>
      </c>
      <c r="O98">
        <v>1349.26</v>
      </c>
      <c r="P98">
        <v>-2201.9499999999998</v>
      </c>
      <c r="Q98">
        <v>53474.8</v>
      </c>
      <c r="R98">
        <v>1129.67</v>
      </c>
      <c r="S98">
        <v>0</v>
      </c>
      <c r="T98">
        <v>0</v>
      </c>
      <c r="U98">
        <v>800</v>
      </c>
      <c r="V98">
        <v>800</v>
      </c>
      <c r="W98">
        <v>-4440.59</v>
      </c>
      <c r="Y98">
        <f t="shared" si="8"/>
        <v>33.421750000000003</v>
      </c>
      <c r="Z98">
        <v>72000</v>
      </c>
      <c r="AA98">
        <v>1319.32</v>
      </c>
      <c r="AB98">
        <v>-2210.06</v>
      </c>
      <c r="AC98" s="2">
        <v>53521.7</v>
      </c>
      <c r="AD98">
        <v>-129.78800000000001</v>
      </c>
      <c r="AE98">
        <v>0</v>
      </c>
      <c r="AF98">
        <v>0</v>
      </c>
      <c r="AG98">
        <v>800</v>
      </c>
      <c r="AH98">
        <v>800</v>
      </c>
      <c r="AI98">
        <v>-5571.73</v>
      </c>
      <c r="AK98">
        <f t="shared" si="9"/>
        <v>33.451062499999999</v>
      </c>
    </row>
    <row r="99" spans="2:37" x14ac:dyDescent="0.2">
      <c r="B99">
        <v>73000</v>
      </c>
      <c r="C99">
        <v>1304.1600000000001</v>
      </c>
      <c r="D99">
        <v>-277.113</v>
      </c>
      <c r="E99">
        <v>6491.22</v>
      </c>
      <c r="F99">
        <v>3541.07</v>
      </c>
      <c r="G99">
        <v>0</v>
      </c>
      <c r="H99">
        <v>0</v>
      </c>
      <c r="I99">
        <v>100</v>
      </c>
      <c r="J99">
        <v>100</v>
      </c>
      <c r="K99">
        <v>-1978.98</v>
      </c>
      <c r="M99">
        <f t="shared" si="7"/>
        <v>32.456099999999999</v>
      </c>
      <c r="N99">
        <v>73000</v>
      </c>
      <c r="O99">
        <v>1303.92</v>
      </c>
      <c r="P99">
        <v>-2193.9699999999998</v>
      </c>
      <c r="Q99">
        <v>53936.4</v>
      </c>
      <c r="R99">
        <v>366.74799999999999</v>
      </c>
      <c r="S99">
        <v>0</v>
      </c>
      <c r="T99">
        <v>0</v>
      </c>
      <c r="U99">
        <v>800</v>
      </c>
      <c r="V99">
        <v>800</v>
      </c>
      <c r="W99">
        <v>-4970.29</v>
      </c>
      <c r="Y99">
        <f t="shared" si="8"/>
        <v>33.710250000000002</v>
      </c>
      <c r="Z99">
        <v>73000</v>
      </c>
      <c r="AA99">
        <v>1330.15</v>
      </c>
      <c r="AB99">
        <v>-2203.7600000000002</v>
      </c>
      <c r="AC99" s="2">
        <v>52993.8</v>
      </c>
      <c r="AD99">
        <v>1065.8</v>
      </c>
      <c r="AE99">
        <v>0</v>
      </c>
      <c r="AF99">
        <v>0</v>
      </c>
      <c r="AG99">
        <v>800</v>
      </c>
      <c r="AH99">
        <v>800</v>
      </c>
      <c r="AI99">
        <v>-4475.47</v>
      </c>
      <c r="AK99">
        <f t="shared" si="9"/>
        <v>33.121124999999999</v>
      </c>
    </row>
    <row r="100" spans="2:37" x14ac:dyDescent="0.2">
      <c r="B100">
        <v>74000</v>
      </c>
      <c r="C100">
        <v>1313.98</v>
      </c>
      <c r="D100">
        <v>-276.35399999999998</v>
      </c>
      <c r="E100">
        <v>6557.44</v>
      </c>
      <c r="F100">
        <v>-91.621099999999998</v>
      </c>
      <c r="G100">
        <v>0</v>
      </c>
      <c r="H100">
        <v>0</v>
      </c>
      <c r="I100">
        <v>100</v>
      </c>
      <c r="J100">
        <v>100</v>
      </c>
      <c r="K100">
        <v>-5597.07</v>
      </c>
      <c r="M100">
        <f t="shared" si="7"/>
        <v>32.787199999999999</v>
      </c>
      <c r="N100">
        <v>74000</v>
      </c>
      <c r="O100">
        <v>1325.87</v>
      </c>
      <c r="P100">
        <v>-2201.13</v>
      </c>
      <c r="Q100">
        <v>54552.5</v>
      </c>
      <c r="R100">
        <v>264.02800000000002</v>
      </c>
      <c r="S100">
        <v>0</v>
      </c>
      <c r="T100">
        <v>0</v>
      </c>
      <c r="U100">
        <v>800</v>
      </c>
      <c r="V100">
        <v>800</v>
      </c>
      <c r="W100">
        <v>-5101.6000000000004</v>
      </c>
      <c r="Y100">
        <f t="shared" si="8"/>
        <v>34.095312499999999</v>
      </c>
      <c r="Z100">
        <v>74000</v>
      </c>
      <c r="AA100">
        <v>1288.21</v>
      </c>
      <c r="AB100">
        <v>-2206.5100000000002</v>
      </c>
      <c r="AC100" s="2">
        <v>52729.3</v>
      </c>
      <c r="AD100">
        <v>335.053</v>
      </c>
      <c r="AE100">
        <v>0</v>
      </c>
      <c r="AF100">
        <v>0</v>
      </c>
      <c r="AG100">
        <v>800</v>
      </c>
      <c r="AH100">
        <v>800</v>
      </c>
      <c r="AI100">
        <v>-5058.41</v>
      </c>
      <c r="AK100">
        <f t="shared" si="9"/>
        <v>32.9558125</v>
      </c>
    </row>
    <row r="101" spans="2:37" x14ac:dyDescent="0.2">
      <c r="B101">
        <v>75000</v>
      </c>
      <c r="C101">
        <v>1297.47</v>
      </c>
      <c r="D101">
        <v>-275.32400000000001</v>
      </c>
      <c r="E101">
        <v>6655.78</v>
      </c>
      <c r="F101">
        <v>898.21</v>
      </c>
      <c r="G101">
        <v>0</v>
      </c>
      <c r="H101">
        <v>0</v>
      </c>
      <c r="I101">
        <v>100</v>
      </c>
      <c r="J101">
        <v>100</v>
      </c>
      <c r="K101">
        <v>-4457.74</v>
      </c>
      <c r="M101">
        <f t="shared" si="7"/>
        <v>33.2789</v>
      </c>
      <c r="N101">
        <v>75000</v>
      </c>
      <c r="O101">
        <v>1297.08</v>
      </c>
      <c r="P101">
        <v>-2189.6999999999998</v>
      </c>
      <c r="Q101">
        <v>55201.5</v>
      </c>
      <c r="R101">
        <v>-1556.92</v>
      </c>
      <c r="S101">
        <v>0</v>
      </c>
      <c r="T101">
        <v>0</v>
      </c>
      <c r="U101">
        <v>800</v>
      </c>
      <c r="V101">
        <v>800</v>
      </c>
      <c r="W101">
        <v>-6744.29</v>
      </c>
      <c r="Y101">
        <f t="shared" si="8"/>
        <v>34.500937499999999</v>
      </c>
      <c r="Z101">
        <v>75000</v>
      </c>
      <c r="AA101">
        <v>1310.33</v>
      </c>
      <c r="AB101">
        <v>-2213.35</v>
      </c>
      <c r="AC101" s="2">
        <v>52717.5</v>
      </c>
      <c r="AD101">
        <v>1846</v>
      </c>
      <c r="AE101">
        <v>0</v>
      </c>
      <c r="AF101">
        <v>0</v>
      </c>
      <c r="AG101">
        <v>800</v>
      </c>
      <c r="AH101">
        <v>800</v>
      </c>
      <c r="AI101">
        <v>-3641.29</v>
      </c>
      <c r="AK101">
        <f t="shared" si="9"/>
        <v>32.948437499999997</v>
      </c>
    </row>
    <row r="102" spans="2:37" x14ac:dyDescent="0.2">
      <c r="B102">
        <v>76000</v>
      </c>
      <c r="C102">
        <v>1311.14</v>
      </c>
      <c r="D102">
        <v>-276.88200000000001</v>
      </c>
      <c r="E102">
        <v>6778.03</v>
      </c>
      <c r="F102">
        <v>-573.79499999999996</v>
      </c>
      <c r="G102">
        <v>0</v>
      </c>
      <c r="H102">
        <v>0</v>
      </c>
      <c r="I102">
        <v>100</v>
      </c>
      <c r="J102">
        <v>100</v>
      </c>
      <c r="K102">
        <v>-5888.43</v>
      </c>
      <c r="M102">
        <f t="shared" si="7"/>
        <v>33.890149999999998</v>
      </c>
      <c r="N102">
        <v>76000</v>
      </c>
      <c r="O102">
        <v>1285.08</v>
      </c>
      <c r="P102">
        <v>-2185.52</v>
      </c>
      <c r="Q102">
        <v>55568.7</v>
      </c>
      <c r="R102">
        <v>-1058.3699999999999</v>
      </c>
      <c r="S102">
        <v>0</v>
      </c>
      <c r="T102">
        <v>0</v>
      </c>
      <c r="U102">
        <v>800</v>
      </c>
      <c r="V102">
        <v>800</v>
      </c>
      <c r="W102">
        <v>-6163.78</v>
      </c>
      <c r="Y102">
        <f t="shared" si="8"/>
        <v>34.730437500000001</v>
      </c>
      <c r="Z102">
        <v>76000</v>
      </c>
      <c r="AA102">
        <v>1282.32</v>
      </c>
      <c r="AB102">
        <v>-2206.06</v>
      </c>
      <c r="AC102" s="2">
        <v>53019.5</v>
      </c>
      <c r="AD102">
        <v>900.29300000000001</v>
      </c>
      <c r="AE102">
        <v>0</v>
      </c>
      <c r="AF102">
        <v>0</v>
      </c>
      <c r="AG102">
        <v>800</v>
      </c>
      <c r="AH102">
        <v>800</v>
      </c>
      <c r="AI102">
        <v>-4439.1000000000004</v>
      </c>
      <c r="AK102">
        <f t="shared" si="9"/>
        <v>33.137187500000003</v>
      </c>
    </row>
    <row r="103" spans="2:37" x14ac:dyDescent="0.2">
      <c r="B103">
        <v>77000</v>
      </c>
      <c r="C103">
        <v>1302.32</v>
      </c>
      <c r="D103">
        <v>-271.94600000000003</v>
      </c>
      <c r="E103">
        <v>6875.03</v>
      </c>
      <c r="F103">
        <v>213.13399999999999</v>
      </c>
      <c r="G103">
        <v>0</v>
      </c>
      <c r="H103">
        <v>0</v>
      </c>
      <c r="I103">
        <v>100</v>
      </c>
      <c r="J103">
        <v>100</v>
      </c>
      <c r="K103">
        <v>-4991.41</v>
      </c>
      <c r="M103">
        <f t="shared" si="7"/>
        <v>34.375149999999998</v>
      </c>
      <c r="N103">
        <v>77000</v>
      </c>
      <c r="O103">
        <v>1291.22</v>
      </c>
      <c r="P103">
        <v>-2182.73</v>
      </c>
      <c r="Q103">
        <v>55651.9</v>
      </c>
      <c r="R103">
        <v>-894.16499999999996</v>
      </c>
      <c r="S103">
        <v>0</v>
      </c>
      <c r="T103">
        <v>0</v>
      </c>
      <c r="U103">
        <v>800</v>
      </c>
      <c r="V103">
        <v>800</v>
      </c>
      <c r="W103">
        <v>-6016.33</v>
      </c>
      <c r="Y103">
        <f t="shared" si="8"/>
        <v>34.7824375</v>
      </c>
      <c r="Z103">
        <v>77000</v>
      </c>
      <c r="AA103">
        <v>1307.29</v>
      </c>
      <c r="AB103">
        <v>-2203.9899999999998</v>
      </c>
      <c r="AC103" s="2">
        <v>53461.4</v>
      </c>
      <c r="AD103">
        <v>-106.621</v>
      </c>
      <c r="AE103">
        <v>0</v>
      </c>
      <c r="AF103">
        <v>0</v>
      </c>
      <c r="AG103">
        <v>800</v>
      </c>
      <c r="AH103">
        <v>800</v>
      </c>
      <c r="AI103">
        <v>-5504.99</v>
      </c>
      <c r="AK103">
        <f t="shared" si="9"/>
        <v>33.413375000000002</v>
      </c>
    </row>
    <row r="104" spans="2:37" x14ac:dyDescent="0.2">
      <c r="B104">
        <v>78000</v>
      </c>
      <c r="C104">
        <v>1214.78</v>
      </c>
      <c r="D104">
        <v>-275.95800000000003</v>
      </c>
      <c r="E104">
        <v>6925.6</v>
      </c>
      <c r="F104">
        <v>-1230.24</v>
      </c>
      <c r="G104">
        <v>0</v>
      </c>
      <c r="H104">
        <v>0</v>
      </c>
      <c r="I104">
        <v>100</v>
      </c>
      <c r="J104">
        <v>100</v>
      </c>
      <c r="K104">
        <v>-6049.5</v>
      </c>
      <c r="M104">
        <f t="shared" si="7"/>
        <v>34.628</v>
      </c>
      <c r="N104">
        <v>78000</v>
      </c>
      <c r="O104">
        <v>1308.97</v>
      </c>
      <c r="P104">
        <v>-2190.06</v>
      </c>
      <c r="Q104">
        <v>55454.9</v>
      </c>
      <c r="R104">
        <v>-395.392</v>
      </c>
      <c r="S104">
        <v>0</v>
      </c>
      <c r="T104">
        <v>0</v>
      </c>
      <c r="U104">
        <v>800</v>
      </c>
      <c r="V104">
        <v>800</v>
      </c>
      <c r="W104">
        <v>-5606.42</v>
      </c>
      <c r="Y104">
        <f t="shared" si="8"/>
        <v>34.659312499999999</v>
      </c>
      <c r="Z104">
        <v>78000</v>
      </c>
      <c r="AA104">
        <v>1275.27</v>
      </c>
      <c r="AB104">
        <v>-2207.75</v>
      </c>
      <c r="AC104" s="2">
        <v>53872.1</v>
      </c>
      <c r="AD104">
        <v>-446.17</v>
      </c>
      <c r="AE104">
        <v>0</v>
      </c>
      <c r="AF104">
        <v>0</v>
      </c>
      <c r="AG104">
        <v>800</v>
      </c>
      <c r="AH104">
        <v>800</v>
      </c>
      <c r="AI104">
        <v>-5672.17</v>
      </c>
      <c r="AK104">
        <f t="shared" si="9"/>
        <v>33.6700625</v>
      </c>
    </row>
    <row r="105" spans="2:37" x14ac:dyDescent="0.2">
      <c r="B105">
        <v>79000</v>
      </c>
      <c r="C105">
        <v>1204.8599999999999</v>
      </c>
      <c r="D105">
        <v>-272.34699999999998</v>
      </c>
      <c r="E105">
        <v>6924.1</v>
      </c>
      <c r="F105">
        <v>-3102.05</v>
      </c>
      <c r="G105">
        <v>0</v>
      </c>
      <c r="H105">
        <v>0</v>
      </c>
      <c r="I105">
        <v>100</v>
      </c>
      <c r="J105">
        <v>100</v>
      </c>
      <c r="K105">
        <v>-7882.94</v>
      </c>
      <c r="M105">
        <f t="shared" si="7"/>
        <v>34.6205</v>
      </c>
      <c r="N105">
        <v>79000</v>
      </c>
      <c r="O105">
        <v>1327.68</v>
      </c>
      <c r="P105">
        <v>-2186.87</v>
      </c>
      <c r="Q105">
        <v>55052.5</v>
      </c>
      <c r="R105">
        <v>-298.45100000000002</v>
      </c>
      <c r="S105">
        <v>0</v>
      </c>
      <c r="T105">
        <v>0</v>
      </c>
      <c r="U105">
        <v>800</v>
      </c>
      <c r="V105">
        <v>800</v>
      </c>
      <c r="W105">
        <v>-5622.57</v>
      </c>
      <c r="Y105">
        <f t="shared" si="8"/>
        <v>34.407812499999999</v>
      </c>
      <c r="Z105">
        <v>79000</v>
      </c>
      <c r="AA105">
        <v>1269.49</v>
      </c>
      <c r="AB105">
        <v>-2203.39</v>
      </c>
      <c r="AC105" s="2">
        <v>54147.8</v>
      </c>
      <c r="AD105">
        <v>-515.197</v>
      </c>
      <c r="AE105">
        <v>0</v>
      </c>
      <c r="AF105">
        <v>0</v>
      </c>
      <c r="AG105">
        <v>800</v>
      </c>
      <c r="AH105">
        <v>800</v>
      </c>
      <c r="AI105">
        <v>-5691.04</v>
      </c>
      <c r="AK105">
        <f t="shared" si="9"/>
        <v>33.842375000000004</v>
      </c>
    </row>
    <row r="106" spans="2:37" x14ac:dyDescent="0.2">
      <c r="B106">
        <v>80000</v>
      </c>
      <c r="C106">
        <v>1234.74</v>
      </c>
      <c r="D106">
        <v>-270.89499999999998</v>
      </c>
      <c r="E106">
        <v>6853.67</v>
      </c>
      <c r="F106">
        <v>-551.66300000000001</v>
      </c>
      <c r="G106">
        <v>0</v>
      </c>
      <c r="H106">
        <v>0</v>
      </c>
      <c r="I106">
        <v>100</v>
      </c>
      <c r="J106">
        <v>100</v>
      </c>
      <c r="K106">
        <v>-5501.34</v>
      </c>
      <c r="M106">
        <f t="shared" si="7"/>
        <v>34.268349999999998</v>
      </c>
      <c r="N106">
        <v>80000</v>
      </c>
      <c r="O106">
        <v>1294.95</v>
      </c>
      <c r="P106">
        <v>-2193.6999999999998</v>
      </c>
      <c r="Q106">
        <v>54492.1</v>
      </c>
      <c r="R106">
        <v>380.47699999999998</v>
      </c>
      <c r="S106">
        <v>0</v>
      </c>
      <c r="T106">
        <v>0</v>
      </c>
      <c r="U106">
        <v>800</v>
      </c>
      <c r="V106">
        <v>800</v>
      </c>
      <c r="W106">
        <v>-4865.82</v>
      </c>
      <c r="Y106">
        <f t="shared" si="8"/>
        <v>34.057562499999996</v>
      </c>
      <c r="Z106">
        <v>80000</v>
      </c>
      <c r="AA106">
        <v>1288.6600000000001</v>
      </c>
      <c r="AB106">
        <v>-2201.9299999999998</v>
      </c>
      <c r="AC106" s="2">
        <v>54318</v>
      </c>
      <c r="AD106">
        <v>210.512</v>
      </c>
      <c r="AE106">
        <v>0</v>
      </c>
      <c r="AF106">
        <v>0</v>
      </c>
      <c r="AG106">
        <v>800</v>
      </c>
      <c r="AH106">
        <v>800</v>
      </c>
      <c r="AI106">
        <v>-5027.0200000000004</v>
      </c>
      <c r="AK106">
        <f t="shared" si="9"/>
        <v>33.948749999999997</v>
      </c>
    </row>
    <row r="107" spans="2:37" x14ac:dyDescent="0.2">
      <c r="B107">
        <v>81000</v>
      </c>
      <c r="C107">
        <v>1262.23</v>
      </c>
      <c r="D107">
        <v>-274.96899999999999</v>
      </c>
      <c r="E107">
        <v>6765.59</v>
      </c>
      <c r="F107">
        <v>627.05200000000002</v>
      </c>
      <c r="G107">
        <v>0</v>
      </c>
      <c r="H107">
        <v>0</v>
      </c>
      <c r="I107">
        <v>100</v>
      </c>
      <c r="J107">
        <v>100</v>
      </c>
      <c r="K107">
        <v>-4498.8500000000004</v>
      </c>
      <c r="M107">
        <f t="shared" si="7"/>
        <v>33.827950000000001</v>
      </c>
      <c r="N107">
        <v>81000</v>
      </c>
      <c r="O107">
        <v>1317.62</v>
      </c>
      <c r="P107">
        <v>-2200.14</v>
      </c>
      <c r="Q107">
        <v>53919.6</v>
      </c>
      <c r="R107">
        <v>537.89300000000003</v>
      </c>
      <c r="S107">
        <v>0</v>
      </c>
      <c r="T107">
        <v>0</v>
      </c>
      <c r="U107">
        <v>800</v>
      </c>
      <c r="V107">
        <v>800</v>
      </c>
      <c r="W107">
        <v>-4856.87</v>
      </c>
      <c r="Y107">
        <f t="shared" si="8"/>
        <v>33.699750000000002</v>
      </c>
      <c r="Z107">
        <v>81000</v>
      </c>
      <c r="AA107">
        <v>1275.97</v>
      </c>
      <c r="AB107">
        <v>-2193.08</v>
      </c>
      <c r="AC107" s="2">
        <v>54467.1</v>
      </c>
      <c r="AD107">
        <v>484.54</v>
      </c>
      <c r="AE107">
        <v>0</v>
      </c>
      <c r="AF107">
        <v>0</v>
      </c>
      <c r="AG107">
        <v>800</v>
      </c>
      <c r="AH107">
        <v>800</v>
      </c>
      <c r="AI107">
        <v>-4687.22</v>
      </c>
      <c r="AK107">
        <f t="shared" si="9"/>
        <v>34.041937499999996</v>
      </c>
    </row>
    <row r="108" spans="2:37" x14ac:dyDescent="0.2">
      <c r="B108">
        <v>82000</v>
      </c>
      <c r="C108">
        <v>1352.58</v>
      </c>
      <c r="D108">
        <v>-276.62099999999998</v>
      </c>
      <c r="E108">
        <v>6680.74</v>
      </c>
      <c r="F108">
        <v>164.911</v>
      </c>
      <c r="G108">
        <v>0</v>
      </c>
      <c r="H108">
        <v>0</v>
      </c>
      <c r="I108">
        <v>100</v>
      </c>
      <c r="J108">
        <v>100</v>
      </c>
      <c r="K108">
        <v>-5397.61</v>
      </c>
      <c r="M108">
        <f t="shared" si="7"/>
        <v>33.403700000000001</v>
      </c>
      <c r="N108">
        <v>82000</v>
      </c>
      <c r="O108">
        <v>1293.79</v>
      </c>
      <c r="P108">
        <v>-2201.62</v>
      </c>
      <c r="Q108">
        <v>53384.7</v>
      </c>
      <c r="R108">
        <v>550.995</v>
      </c>
      <c r="S108">
        <v>0</v>
      </c>
      <c r="T108">
        <v>0</v>
      </c>
      <c r="U108">
        <v>800</v>
      </c>
      <c r="V108">
        <v>800</v>
      </c>
      <c r="W108">
        <v>-4799.32</v>
      </c>
      <c r="Y108">
        <f t="shared" si="8"/>
        <v>33.365437499999999</v>
      </c>
      <c r="Z108">
        <v>82000</v>
      </c>
      <c r="AA108">
        <v>1297.97</v>
      </c>
      <c r="AB108">
        <v>-2201.4699999999998</v>
      </c>
      <c r="AC108" s="2">
        <v>54625.7</v>
      </c>
      <c r="AD108">
        <v>-538.11199999999997</v>
      </c>
      <c r="AE108">
        <v>0</v>
      </c>
      <c r="AF108">
        <v>0</v>
      </c>
      <c r="AG108">
        <v>800</v>
      </c>
      <c r="AH108">
        <v>800</v>
      </c>
      <c r="AI108">
        <v>-5783.77</v>
      </c>
      <c r="AK108">
        <f t="shared" si="9"/>
        <v>34.141062499999997</v>
      </c>
    </row>
    <row r="109" spans="2:37" x14ac:dyDescent="0.2">
      <c r="B109">
        <v>83000</v>
      </c>
      <c r="C109">
        <v>1222.04</v>
      </c>
      <c r="D109">
        <v>-275.09800000000001</v>
      </c>
      <c r="E109">
        <v>6607.78</v>
      </c>
      <c r="F109">
        <v>-988.34</v>
      </c>
      <c r="G109">
        <v>0</v>
      </c>
      <c r="H109">
        <v>0</v>
      </c>
      <c r="I109">
        <v>100</v>
      </c>
      <c r="J109">
        <v>100</v>
      </c>
      <c r="K109">
        <v>-6069.56</v>
      </c>
      <c r="M109">
        <f t="shared" si="7"/>
        <v>33.038899999999998</v>
      </c>
      <c r="N109">
        <v>83000</v>
      </c>
      <c r="O109">
        <v>1291.99</v>
      </c>
      <c r="P109">
        <v>-2212.13</v>
      </c>
      <c r="Q109">
        <v>52995.8</v>
      </c>
      <c r="R109">
        <v>448.62900000000002</v>
      </c>
      <c r="S109">
        <v>0</v>
      </c>
      <c r="T109">
        <v>0</v>
      </c>
      <c r="U109">
        <v>800</v>
      </c>
      <c r="V109">
        <v>800</v>
      </c>
      <c r="W109">
        <v>-4933.4399999999996</v>
      </c>
      <c r="Y109">
        <f t="shared" si="8"/>
        <v>33.122375000000005</v>
      </c>
      <c r="Z109">
        <v>83000</v>
      </c>
      <c r="AA109">
        <v>1298.54</v>
      </c>
      <c r="AB109">
        <v>-2190.5300000000002</v>
      </c>
      <c r="AC109" s="2">
        <v>54701.8</v>
      </c>
      <c r="AD109">
        <v>-1033.8699999999999</v>
      </c>
      <c r="AE109">
        <v>0</v>
      </c>
      <c r="AF109">
        <v>0</v>
      </c>
      <c r="AG109">
        <v>800</v>
      </c>
      <c r="AH109">
        <v>800</v>
      </c>
      <c r="AI109">
        <v>-6274.52</v>
      </c>
      <c r="AK109">
        <f t="shared" si="9"/>
        <v>34.188625000000002</v>
      </c>
    </row>
    <row r="110" spans="2:37" x14ac:dyDescent="0.2">
      <c r="B110">
        <v>84000</v>
      </c>
      <c r="C110">
        <v>1312.84</v>
      </c>
      <c r="D110">
        <v>-277.93299999999999</v>
      </c>
      <c r="E110">
        <v>6569.19</v>
      </c>
      <c r="F110">
        <v>955.84900000000005</v>
      </c>
      <c r="G110">
        <v>0</v>
      </c>
      <c r="H110">
        <v>0</v>
      </c>
      <c r="I110">
        <v>100</v>
      </c>
      <c r="J110">
        <v>100</v>
      </c>
      <c r="K110">
        <v>-4534.96</v>
      </c>
      <c r="M110">
        <f t="shared" si="7"/>
        <v>32.845949999999995</v>
      </c>
      <c r="N110">
        <v>84000</v>
      </c>
      <c r="O110">
        <v>1323.16</v>
      </c>
      <c r="P110">
        <v>-2195.87</v>
      </c>
      <c r="Q110">
        <v>52806.400000000001</v>
      </c>
      <c r="R110">
        <v>1190.8399999999999</v>
      </c>
      <c r="S110">
        <v>0</v>
      </c>
      <c r="T110">
        <v>0</v>
      </c>
      <c r="U110">
        <v>800</v>
      </c>
      <c r="V110">
        <v>800</v>
      </c>
      <c r="W110">
        <v>-4340.83</v>
      </c>
      <c r="Y110">
        <f t="shared" si="8"/>
        <v>33.003999999999998</v>
      </c>
      <c r="Z110">
        <v>84000</v>
      </c>
      <c r="AA110">
        <v>1318.5</v>
      </c>
      <c r="AB110">
        <v>-2190.02</v>
      </c>
      <c r="AC110" s="2">
        <v>54695.6</v>
      </c>
      <c r="AD110">
        <v>278.94099999999997</v>
      </c>
      <c r="AE110">
        <v>0</v>
      </c>
      <c r="AF110">
        <v>0</v>
      </c>
      <c r="AG110">
        <v>800</v>
      </c>
      <c r="AH110">
        <v>800</v>
      </c>
      <c r="AI110">
        <v>-5042.8599999999997</v>
      </c>
      <c r="AK110">
        <f t="shared" si="9"/>
        <v>34.184750000000001</v>
      </c>
    </row>
    <row r="111" spans="2:37" x14ac:dyDescent="0.2">
      <c r="B111">
        <v>85000</v>
      </c>
      <c r="C111">
        <v>1387.58</v>
      </c>
      <c r="D111">
        <v>-278.22800000000001</v>
      </c>
      <c r="E111">
        <v>6575.75</v>
      </c>
      <c r="F111">
        <v>12.712999999999999</v>
      </c>
      <c r="G111">
        <v>0</v>
      </c>
      <c r="H111">
        <v>0</v>
      </c>
      <c r="I111">
        <v>100</v>
      </c>
      <c r="J111">
        <v>100</v>
      </c>
      <c r="K111">
        <v>-5784.89</v>
      </c>
      <c r="M111">
        <f t="shared" si="7"/>
        <v>32.878749999999997</v>
      </c>
      <c r="N111">
        <v>85000</v>
      </c>
      <c r="O111">
        <v>1311.94</v>
      </c>
      <c r="P111">
        <v>-2210.62</v>
      </c>
      <c r="Q111">
        <v>52844.5</v>
      </c>
      <c r="R111">
        <v>1537.44</v>
      </c>
      <c r="S111">
        <v>0</v>
      </c>
      <c r="T111">
        <v>0</v>
      </c>
      <c r="U111">
        <v>800</v>
      </c>
      <c r="V111">
        <v>800</v>
      </c>
      <c r="W111">
        <v>-3943.4</v>
      </c>
      <c r="Y111">
        <f t="shared" si="8"/>
        <v>33.027812500000003</v>
      </c>
      <c r="Z111">
        <v>85000</v>
      </c>
      <c r="AA111">
        <v>1285.6099999999999</v>
      </c>
      <c r="AB111">
        <v>-2194.89</v>
      </c>
      <c r="AC111" s="2">
        <v>54623.199999999997</v>
      </c>
      <c r="AD111">
        <v>-421.827</v>
      </c>
      <c r="AE111">
        <v>0</v>
      </c>
      <c r="AF111">
        <v>0</v>
      </c>
      <c r="AG111">
        <v>800</v>
      </c>
      <c r="AH111">
        <v>800</v>
      </c>
      <c r="AI111">
        <v>-5617.75</v>
      </c>
      <c r="AK111">
        <f t="shared" si="9"/>
        <v>34.139499999999998</v>
      </c>
    </row>
    <row r="112" spans="2:37" x14ac:dyDescent="0.2">
      <c r="B112">
        <v>86000</v>
      </c>
      <c r="C112">
        <v>1367.57</v>
      </c>
      <c r="D112">
        <v>-276.37900000000002</v>
      </c>
      <c r="E112">
        <v>6599.97</v>
      </c>
      <c r="F112">
        <v>-677.88400000000001</v>
      </c>
      <c r="G112">
        <v>0</v>
      </c>
      <c r="H112">
        <v>0</v>
      </c>
      <c r="I112">
        <v>100</v>
      </c>
      <c r="J112">
        <v>100</v>
      </c>
      <c r="K112">
        <v>-6370.91</v>
      </c>
      <c r="M112">
        <f t="shared" si="7"/>
        <v>32.999850000000002</v>
      </c>
      <c r="N112">
        <v>86000</v>
      </c>
      <c r="O112">
        <v>1305.17</v>
      </c>
      <c r="P112">
        <v>-2208.88</v>
      </c>
      <c r="Q112">
        <v>53061.3</v>
      </c>
      <c r="R112">
        <v>580.50699999999995</v>
      </c>
      <c r="S112">
        <v>0</v>
      </c>
      <c r="T112">
        <v>0</v>
      </c>
      <c r="U112">
        <v>800</v>
      </c>
      <c r="V112">
        <v>800</v>
      </c>
      <c r="W112">
        <v>-4849.76</v>
      </c>
      <c r="Y112">
        <f t="shared" si="8"/>
        <v>33.163312500000004</v>
      </c>
      <c r="Z112">
        <v>86000</v>
      </c>
      <c r="AA112">
        <v>1292.3699999999999</v>
      </c>
      <c r="AB112">
        <v>-2195.83</v>
      </c>
      <c r="AC112" s="2">
        <v>54515.9</v>
      </c>
      <c r="AD112">
        <v>-1304.1099999999999</v>
      </c>
      <c r="AE112">
        <v>0</v>
      </c>
      <c r="AF112">
        <v>0</v>
      </c>
      <c r="AG112">
        <v>800</v>
      </c>
      <c r="AH112">
        <v>800</v>
      </c>
      <c r="AI112">
        <v>-6537.65</v>
      </c>
      <c r="AK112">
        <f t="shared" si="9"/>
        <v>34.072437499999999</v>
      </c>
    </row>
    <row r="113" spans="2:37" x14ac:dyDescent="0.2">
      <c r="B113">
        <v>87000</v>
      </c>
      <c r="C113">
        <v>1297.48</v>
      </c>
      <c r="D113">
        <v>-275.697</v>
      </c>
      <c r="E113">
        <v>6636.35</v>
      </c>
      <c r="F113">
        <v>204.45699999999999</v>
      </c>
      <c r="G113">
        <v>0</v>
      </c>
      <c r="H113">
        <v>0</v>
      </c>
      <c r="I113">
        <v>100</v>
      </c>
      <c r="J113">
        <v>100</v>
      </c>
      <c r="K113">
        <v>-5167.28</v>
      </c>
      <c r="M113">
        <f t="shared" si="7"/>
        <v>33.181750000000001</v>
      </c>
      <c r="N113">
        <v>87000</v>
      </c>
      <c r="O113">
        <v>1283.92</v>
      </c>
      <c r="P113">
        <v>-2207.0700000000002</v>
      </c>
      <c r="Q113">
        <v>53413.2</v>
      </c>
      <c r="R113">
        <v>561.88800000000003</v>
      </c>
      <c r="S113">
        <v>0</v>
      </c>
      <c r="T113">
        <v>0</v>
      </c>
      <c r="U113">
        <v>800</v>
      </c>
      <c r="V113">
        <v>800</v>
      </c>
      <c r="W113">
        <v>-4744.75</v>
      </c>
      <c r="Y113">
        <f t="shared" si="8"/>
        <v>33.383249999999997</v>
      </c>
      <c r="Z113">
        <v>87000</v>
      </c>
      <c r="AA113">
        <v>1320.55</v>
      </c>
      <c r="AB113">
        <v>-2195.48</v>
      </c>
      <c r="AC113" s="2">
        <v>54244.1</v>
      </c>
      <c r="AD113">
        <v>292.99900000000002</v>
      </c>
      <c r="AE113">
        <v>0</v>
      </c>
      <c r="AF113">
        <v>0</v>
      </c>
      <c r="AG113">
        <v>800</v>
      </c>
      <c r="AH113">
        <v>800</v>
      </c>
      <c r="AI113">
        <v>-5081.4399999999996</v>
      </c>
      <c r="AK113">
        <f t="shared" si="9"/>
        <v>33.902562500000002</v>
      </c>
    </row>
    <row r="114" spans="2:37" x14ac:dyDescent="0.2">
      <c r="B114">
        <v>88000</v>
      </c>
      <c r="C114">
        <v>1363.57</v>
      </c>
      <c r="D114">
        <v>-274.44900000000001</v>
      </c>
      <c r="E114">
        <v>6685.12</v>
      </c>
      <c r="F114">
        <v>921.899</v>
      </c>
      <c r="G114">
        <v>0</v>
      </c>
      <c r="H114">
        <v>0</v>
      </c>
      <c r="I114">
        <v>100</v>
      </c>
      <c r="J114">
        <v>100</v>
      </c>
      <c r="K114">
        <v>-4682.24</v>
      </c>
      <c r="M114">
        <f t="shared" si="7"/>
        <v>33.425600000000003</v>
      </c>
      <c r="N114">
        <v>88000</v>
      </c>
      <c r="O114">
        <v>1294.6500000000001</v>
      </c>
      <c r="P114">
        <v>-2203.7600000000002</v>
      </c>
      <c r="Q114">
        <v>53846.9</v>
      </c>
      <c r="R114">
        <v>502.5</v>
      </c>
      <c r="S114">
        <v>0</v>
      </c>
      <c r="T114">
        <v>0</v>
      </c>
      <c r="U114">
        <v>800</v>
      </c>
      <c r="V114">
        <v>800</v>
      </c>
      <c r="W114">
        <v>-4805.4399999999996</v>
      </c>
      <c r="Y114">
        <f t="shared" si="8"/>
        <v>33.654312500000003</v>
      </c>
      <c r="Z114">
        <v>88000</v>
      </c>
      <c r="AA114">
        <v>1339.93</v>
      </c>
      <c r="AB114">
        <v>-2193.7199999999998</v>
      </c>
      <c r="AC114" s="2">
        <v>53911.9</v>
      </c>
      <c r="AD114">
        <v>555.53499999999997</v>
      </c>
      <c r="AE114">
        <v>0</v>
      </c>
      <c r="AF114">
        <v>0</v>
      </c>
      <c r="AG114">
        <v>800</v>
      </c>
      <c r="AH114">
        <v>800</v>
      </c>
      <c r="AI114">
        <v>-4931.3900000000003</v>
      </c>
      <c r="AK114">
        <f t="shared" si="9"/>
        <v>33.694937500000002</v>
      </c>
    </row>
    <row r="115" spans="2:37" x14ac:dyDescent="0.2">
      <c r="B115">
        <v>89000</v>
      </c>
      <c r="C115">
        <v>1322.83</v>
      </c>
      <c r="D115">
        <v>-274.767</v>
      </c>
      <c r="E115">
        <v>6717.63</v>
      </c>
      <c r="F115">
        <v>-1100.01</v>
      </c>
      <c r="G115">
        <v>0</v>
      </c>
      <c r="H115">
        <v>0</v>
      </c>
      <c r="I115">
        <v>100</v>
      </c>
      <c r="J115">
        <v>100</v>
      </c>
      <c r="K115">
        <v>-6510.35</v>
      </c>
      <c r="M115">
        <f t="shared" si="7"/>
        <v>33.588149999999999</v>
      </c>
      <c r="N115">
        <v>89000</v>
      </c>
      <c r="O115">
        <v>1313.51</v>
      </c>
      <c r="P115">
        <v>-2199.6999999999998</v>
      </c>
      <c r="Q115">
        <v>54280.6</v>
      </c>
      <c r="R115">
        <v>-33.898000000000003</v>
      </c>
      <c r="S115">
        <v>0</v>
      </c>
      <c r="T115">
        <v>0</v>
      </c>
      <c r="U115">
        <v>800</v>
      </c>
      <c r="V115">
        <v>800</v>
      </c>
      <c r="W115">
        <v>-5376.13</v>
      </c>
      <c r="Y115">
        <f t="shared" si="8"/>
        <v>33.925375000000003</v>
      </c>
      <c r="Z115">
        <v>89000</v>
      </c>
      <c r="AA115">
        <v>1302.8699999999999</v>
      </c>
      <c r="AB115">
        <v>-2198.59</v>
      </c>
      <c r="AC115" s="2">
        <v>53628.800000000003</v>
      </c>
      <c r="AD115">
        <v>536.952</v>
      </c>
      <c r="AE115">
        <v>0</v>
      </c>
      <c r="AF115">
        <v>0</v>
      </c>
      <c r="AG115">
        <v>800</v>
      </c>
      <c r="AH115">
        <v>800</v>
      </c>
      <c r="AI115">
        <v>-4826.38</v>
      </c>
      <c r="AK115">
        <f t="shared" si="9"/>
        <v>33.518000000000001</v>
      </c>
    </row>
    <row r="116" spans="2:37" x14ac:dyDescent="0.2">
      <c r="B116">
        <v>90000</v>
      </c>
      <c r="C116">
        <v>1315.94</v>
      </c>
      <c r="D116">
        <v>-274.39699999999999</v>
      </c>
      <c r="E116">
        <v>6730.93</v>
      </c>
      <c r="F116">
        <v>38.320399999999999</v>
      </c>
      <c r="G116">
        <v>0</v>
      </c>
      <c r="H116">
        <v>0</v>
      </c>
      <c r="I116">
        <v>100</v>
      </c>
      <c r="J116">
        <v>100</v>
      </c>
      <c r="K116">
        <v>-5333.24</v>
      </c>
      <c r="M116">
        <f t="shared" si="7"/>
        <v>33.654650000000004</v>
      </c>
      <c r="N116">
        <v>90000</v>
      </c>
      <c r="O116">
        <v>1290.77</v>
      </c>
      <c r="P116">
        <v>-2194.11</v>
      </c>
      <c r="Q116">
        <v>54562.6</v>
      </c>
      <c r="R116">
        <v>159.29400000000001</v>
      </c>
      <c r="S116">
        <v>0</v>
      </c>
      <c r="T116">
        <v>0</v>
      </c>
      <c r="U116">
        <v>800</v>
      </c>
      <c r="V116">
        <v>800</v>
      </c>
      <c r="W116">
        <v>-5063.29</v>
      </c>
      <c r="Y116">
        <f t="shared" si="8"/>
        <v>34.101624999999999</v>
      </c>
      <c r="Z116">
        <v>90000</v>
      </c>
      <c r="AA116">
        <v>1280.3699999999999</v>
      </c>
      <c r="AB116">
        <v>-2207.66</v>
      </c>
      <c r="AC116" s="2">
        <v>53398.8</v>
      </c>
      <c r="AD116">
        <v>100.24</v>
      </c>
      <c r="AE116">
        <v>0</v>
      </c>
      <c r="AF116">
        <v>0</v>
      </c>
      <c r="AG116">
        <v>800</v>
      </c>
      <c r="AH116">
        <v>800</v>
      </c>
      <c r="AI116">
        <v>-5193.21</v>
      </c>
      <c r="AK116">
        <f t="shared" si="9"/>
        <v>33.374250000000004</v>
      </c>
    </row>
    <row r="117" spans="2:37" x14ac:dyDescent="0.2">
      <c r="B117">
        <v>91000</v>
      </c>
      <c r="C117">
        <v>1249.6600000000001</v>
      </c>
      <c r="D117">
        <v>-276.98399999999998</v>
      </c>
      <c r="E117">
        <v>6745.75</v>
      </c>
      <c r="F117">
        <v>-2917.03</v>
      </c>
      <c r="G117">
        <v>0</v>
      </c>
      <c r="H117">
        <v>0</v>
      </c>
      <c r="I117">
        <v>100</v>
      </c>
      <c r="J117">
        <v>100</v>
      </c>
      <c r="K117">
        <v>-8006.8</v>
      </c>
      <c r="M117">
        <f t="shared" si="7"/>
        <v>33.728749999999998</v>
      </c>
      <c r="N117">
        <v>91000</v>
      </c>
      <c r="O117">
        <v>1294.7</v>
      </c>
      <c r="P117">
        <v>-2187.15</v>
      </c>
      <c r="Q117">
        <v>54699.3</v>
      </c>
      <c r="R117">
        <v>-539.75099999999998</v>
      </c>
      <c r="S117">
        <v>0</v>
      </c>
      <c r="T117">
        <v>0</v>
      </c>
      <c r="U117">
        <v>800</v>
      </c>
      <c r="V117">
        <v>800</v>
      </c>
      <c r="W117">
        <v>-5765.13</v>
      </c>
      <c r="Y117">
        <f t="shared" si="8"/>
        <v>34.187062500000003</v>
      </c>
      <c r="Z117">
        <v>91000</v>
      </c>
      <c r="AA117">
        <v>1323.9</v>
      </c>
      <c r="AB117">
        <v>-2201.7199999999998</v>
      </c>
      <c r="AC117" s="2">
        <v>53295.1</v>
      </c>
      <c r="AD117">
        <v>1068.7</v>
      </c>
      <c r="AE117">
        <v>0</v>
      </c>
      <c r="AF117">
        <v>0</v>
      </c>
      <c r="AG117">
        <v>800</v>
      </c>
      <c r="AH117">
        <v>800</v>
      </c>
      <c r="AI117">
        <v>-4415.3500000000004</v>
      </c>
      <c r="AK117">
        <f t="shared" si="9"/>
        <v>33.309437500000001</v>
      </c>
    </row>
    <row r="118" spans="2:37" x14ac:dyDescent="0.2">
      <c r="B118">
        <v>92000</v>
      </c>
      <c r="C118">
        <v>1253.54</v>
      </c>
      <c r="D118">
        <v>-275.34199999999998</v>
      </c>
      <c r="E118">
        <v>6740.54</v>
      </c>
      <c r="F118">
        <v>389.79</v>
      </c>
      <c r="G118">
        <v>0</v>
      </c>
      <c r="H118">
        <v>0</v>
      </c>
      <c r="I118">
        <v>100</v>
      </c>
      <c r="J118">
        <v>100</v>
      </c>
      <c r="K118">
        <v>-4719.72</v>
      </c>
      <c r="M118">
        <f t="shared" si="7"/>
        <v>33.7027</v>
      </c>
      <c r="N118">
        <v>92000</v>
      </c>
      <c r="O118">
        <v>1292.44</v>
      </c>
      <c r="P118">
        <v>-2194.5300000000002</v>
      </c>
      <c r="Q118">
        <v>54644.2</v>
      </c>
      <c r="R118">
        <v>-636.08600000000001</v>
      </c>
      <c r="S118">
        <v>0</v>
      </c>
      <c r="T118">
        <v>0</v>
      </c>
      <c r="U118">
        <v>800</v>
      </c>
      <c r="V118">
        <v>800</v>
      </c>
      <c r="W118">
        <v>-5857.63</v>
      </c>
      <c r="Y118">
        <f t="shared" si="8"/>
        <v>34.152625</v>
      </c>
      <c r="Z118">
        <v>92000</v>
      </c>
      <c r="AA118">
        <v>1302.48</v>
      </c>
      <c r="AB118">
        <v>-2207.41</v>
      </c>
      <c r="AC118" s="2">
        <v>53290.9</v>
      </c>
      <c r="AD118">
        <v>-45.138300000000001</v>
      </c>
      <c r="AE118">
        <v>0</v>
      </c>
      <c r="AF118">
        <v>0</v>
      </c>
      <c r="AG118">
        <v>800</v>
      </c>
      <c r="AH118">
        <v>800</v>
      </c>
      <c r="AI118">
        <v>-5440.86</v>
      </c>
      <c r="AK118">
        <f t="shared" si="9"/>
        <v>33.306812499999999</v>
      </c>
    </row>
    <row r="119" spans="2:37" x14ac:dyDescent="0.2">
      <c r="B119">
        <v>93000</v>
      </c>
      <c r="C119">
        <v>1189.28</v>
      </c>
      <c r="D119">
        <v>-272.62799999999999</v>
      </c>
      <c r="E119">
        <v>6762.83</v>
      </c>
      <c r="F119">
        <v>-1889.06</v>
      </c>
      <c r="G119">
        <v>0</v>
      </c>
      <c r="H119">
        <v>0</v>
      </c>
      <c r="I119">
        <v>100</v>
      </c>
      <c r="J119">
        <v>100</v>
      </c>
      <c r="K119">
        <v>-6720.67</v>
      </c>
      <c r="M119">
        <f t="shared" si="7"/>
        <v>33.814149999999998</v>
      </c>
      <c r="N119">
        <v>93000</v>
      </c>
      <c r="O119">
        <v>1310.21</v>
      </c>
      <c r="P119">
        <v>-2193.7399999999998</v>
      </c>
      <c r="Q119">
        <v>54421.8</v>
      </c>
      <c r="R119">
        <v>-173.24100000000001</v>
      </c>
      <c r="S119">
        <v>0</v>
      </c>
      <c r="T119">
        <v>0</v>
      </c>
      <c r="U119">
        <v>800</v>
      </c>
      <c r="V119">
        <v>800</v>
      </c>
      <c r="W119">
        <v>-5488.22</v>
      </c>
      <c r="Y119">
        <f t="shared" si="8"/>
        <v>34.013625000000005</v>
      </c>
      <c r="Z119">
        <v>93000</v>
      </c>
      <c r="AA119">
        <v>1287.48</v>
      </c>
      <c r="AB119">
        <v>-2200.23</v>
      </c>
      <c r="AC119" s="2">
        <v>53346.1</v>
      </c>
      <c r="AD119">
        <v>818.49800000000005</v>
      </c>
      <c r="AE119">
        <v>0</v>
      </c>
      <c r="AF119">
        <v>0</v>
      </c>
      <c r="AG119">
        <v>800</v>
      </c>
      <c r="AH119">
        <v>800</v>
      </c>
      <c r="AI119">
        <v>-4509.58</v>
      </c>
      <c r="AK119">
        <f t="shared" si="9"/>
        <v>33.341312500000001</v>
      </c>
    </row>
    <row r="120" spans="2:37" x14ac:dyDescent="0.2">
      <c r="B120">
        <v>94000</v>
      </c>
      <c r="C120">
        <v>1221.1300000000001</v>
      </c>
      <c r="D120">
        <v>-274.93400000000003</v>
      </c>
      <c r="E120">
        <v>6786.64</v>
      </c>
      <c r="F120">
        <v>-2195.5500000000002</v>
      </c>
      <c r="G120">
        <v>0</v>
      </c>
      <c r="H120">
        <v>0</v>
      </c>
      <c r="I120">
        <v>100</v>
      </c>
      <c r="J120">
        <v>100</v>
      </c>
      <c r="K120">
        <v>-7139.14</v>
      </c>
      <c r="M120">
        <f t="shared" si="7"/>
        <v>33.933199999999999</v>
      </c>
      <c r="N120">
        <v>94000</v>
      </c>
      <c r="O120">
        <v>1303.96</v>
      </c>
      <c r="P120">
        <v>-2198.4699999999998</v>
      </c>
      <c r="Q120">
        <v>54145.7</v>
      </c>
      <c r="R120">
        <v>-114.19199999999999</v>
      </c>
      <c r="S120">
        <v>0</v>
      </c>
      <c r="T120">
        <v>0</v>
      </c>
      <c r="U120">
        <v>800</v>
      </c>
      <c r="V120">
        <v>800</v>
      </c>
      <c r="W120">
        <v>-5430.78</v>
      </c>
      <c r="Y120">
        <f t="shared" si="8"/>
        <v>33.8410625</v>
      </c>
      <c r="Z120">
        <v>94000</v>
      </c>
      <c r="AA120">
        <v>1326.08</v>
      </c>
      <c r="AB120">
        <v>-2202.04</v>
      </c>
      <c r="AC120">
        <v>53611</v>
      </c>
      <c r="AD120">
        <v>850.98500000000001</v>
      </c>
      <c r="AE120">
        <v>0</v>
      </c>
      <c r="AF120">
        <v>0</v>
      </c>
      <c r="AG120">
        <v>800</v>
      </c>
      <c r="AH120">
        <v>800</v>
      </c>
      <c r="AI120">
        <v>-4609.6899999999996</v>
      </c>
      <c r="AK120">
        <f t="shared" si="9"/>
        <v>33.506875000000001</v>
      </c>
    </row>
    <row r="121" spans="2:37" x14ac:dyDescent="0.2">
      <c r="B121">
        <v>95000</v>
      </c>
      <c r="C121">
        <v>1296.3599999999999</v>
      </c>
      <c r="D121">
        <v>-274.78399999999999</v>
      </c>
      <c r="E121">
        <v>6782.01</v>
      </c>
      <c r="F121">
        <v>-798.56100000000004</v>
      </c>
      <c r="G121">
        <v>0</v>
      </c>
      <c r="H121">
        <v>0</v>
      </c>
      <c r="I121">
        <v>100</v>
      </c>
      <c r="J121">
        <v>100</v>
      </c>
      <c r="K121">
        <v>-6050.3</v>
      </c>
      <c r="M121">
        <f t="shared" si="7"/>
        <v>33.910049999999998</v>
      </c>
      <c r="N121">
        <v>95000</v>
      </c>
      <c r="O121">
        <v>1303.92</v>
      </c>
      <c r="P121">
        <v>-2197.11</v>
      </c>
      <c r="Q121">
        <v>53821.5</v>
      </c>
      <c r="R121">
        <v>-896.16499999999996</v>
      </c>
      <c r="S121">
        <v>0</v>
      </c>
      <c r="T121">
        <v>0</v>
      </c>
      <c r="U121">
        <v>800</v>
      </c>
      <c r="V121">
        <v>800</v>
      </c>
      <c r="W121">
        <v>-6244.61</v>
      </c>
      <c r="Y121">
        <f t="shared" si="8"/>
        <v>33.638437500000002</v>
      </c>
      <c r="Z121">
        <v>95000</v>
      </c>
      <c r="AA121">
        <v>1317.87</v>
      </c>
      <c r="AB121">
        <v>-2193.94</v>
      </c>
      <c r="AC121">
        <v>53968.2</v>
      </c>
      <c r="AD121">
        <v>380.65800000000002</v>
      </c>
      <c r="AE121">
        <v>0</v>
      </c>
      <c r="AF121">
        <v>0</v>
      </c>
      <c r="AG121">
        <v>800</v>
      </c>
      <c r="AH121">
        <v>800</v>
      </c>
      <c r="AI121">
        <v>-5010.33</v>
      </c>
      <c r="AK121">
        <f t="shared" si="9"/>
        <v>33.730125000000001</v>
      </c>
    </row>
    <row r="122" spans="2:37" x14ac:dyDescent="0.2">
      <c r="B122">
        <v>96000</v>
      </c>
      <c r="C122">
        <v>1332.99</v>
      </c>
      <c r="D122">
        <v>-274.86</v>
      </c>
      <c r="E122">
        <v>6755.91</v>
      </c>
      <c r="F122">
        <v>-1659.2</v>
      </c>
      <c r="G122">
        <v>0</v>
      </c>
      <c r="H122">
        <v>0</v>
      </c>
      <c r="I122">
        <v>100</v>
      </c>
      <c r="J122">
        <v>100</v>
      </c>
      <c r="K122">
        <v>-7080.22</v>
      </c>
      <c r="M122">
        <f t="shared" si="7"/>
        <v>33.77955</v>
      </c>
      <c r="N122">
        <v>96000</v>
      </c>
      <c r="O122">
        <v>1284.1099999999999</v>
      </c>
      <c r="P122">
        <v>-2202.9</v>
      </c>
      <c r="Q122">
        <v>53564.6</v>
      </c>
      <c r="R122">
        <v>-479.48500000000001</v>
      </c>
      <c r="S122">
        <v>0</v>
      </c>
      <c r="T122">
        <v>0</v>
      </c>
      <c r="U122">
        <v>800</v>
      </c>
      <c r="V122">
        <v>800</v>
      </c>
      <c r="W122">
        <v>-5771.94</v>
      </c>
      <c r="Y122">
        <f t="shared" si="8"/>
        <v>33.477874999999997</v>
      </c>
      <c r="Z122">
        <v>96000</v>
      </c>
      <c r="AA122">
        <v>1290.3800000000001</v>
      </c>
      <c r="AB122">
        <v>-2207.39</v>
      </c>
      <c r="AC122">
        <v>54240.4</v>
      </c>
      <c r="AD122">
        <v>-119.224</v>
      </c>
      <c r="AE122">
        <v>0</v>
      </c>
      <c r="AF122">
        <v>0</v>
      </c>
      <c r="AG122">
        <v>800</v>
      </c>
      <c r="AH122">
        <v>800</v>
      </c>
      <c r="AI122">
        <v>-5371.26</v>
      </c>
      <c r="AK122">
        <f t="shared" si="9"/>
        <v>33.90025</v>
      </c>
    </row>
    <row r="123" spans="2:37" x14ac:dyDescent="0.2">
      <c r="B123">
        <v>97000</v>
      </c>
      <c r="C123">
        <v>1221.02</v>
      </c>
      <c r="D123">
        <v>-276.87099999999998</v>
      </c>
      <c r="E123">
        <v>6721.67</v>
      </c>
      <c r="F123">
        <v>-499.202</v>
      </c>
      <c r="G123">
        <v>0</v>
      </c>
      <c r="H123">
        <v>0</v>
      </c>
      <c r="I123">
        <v>100</v>
      </c>
      <c r="J123">
        <v>100</v>
      </c>
      <c r="K123">
        <v>-5490.14</v>
      </c>
      <c r="M123">
        <f t="shared" si="7"/>
        <v>33.608350000000002</v>
      </c>
      <c r="N123">
        <v>97000</v>
      </c>
      <c r="O123">
        <v>1286.8900000000001</v>
      </c>
      <c r="P123">
        <v>-2214.66</v>
      </c>
      <c r="Q123">
        <v>53409.3</v>
      </c>
      <c r="R123">
        <v>579.66700000000003</v>
      </c>
      <c r="S123">
        <v>0</v>
      </c>
      <c r="T123">
        <v>0</v>
      </c>
      <c r="U123">
        <v>800</v>
      </c>
      <c r="V123">
        <v>800</v>
      </c>
      <c r="W123">
        <v>-4739.67</v>
      </c>
      <c r="Y123">
        <f t="shared" si="8"/>
        <v>33.380812500000005</v>
      </c>
      <c r="Z123">
        <v>97000</v>
      </c>
      <c r="AA123">
        <v>1276.81</v>
      </c>
      <c r="AB123">
        <v>-2200.9</v>
      </c>
      <c r="AC123">
        <v>54389.9</v>
      </c>
      <c r="AD123">
        <v>-879.73500000000001</v>
      </c>
      <c r="AE123">
        <v>0</v>
      </c>
      <c r="AF123">
        <v>0</v>
      </c>
      <c r="AG123">
        <v>800</v>
      </c>
      <c r="AH123">
        <v>800</v>
      </c>
      <c r="AI123">
        <v>-6062.23</v>
      </c>
      <c r="AK123">
        <f t="shared" si="9"/>
        <v>33.9936875</v>
      </c>
    </row>
    <row r="124" spans="2:37" x14ac:dyDescent="0.2">
      <c r="B124">
        <v>98000</v>
      </c>
      <c r="C124">
        <v>1295.6600000000001</v>
      </c>
      <c r="D124">
        <v>-275.28300000000002</v>
      </c>
      <c r="E124">
        <v>6678.09</v>
      </c>
      <c r="F124">
        <v>130.22</v>
      </c>
      <c r="G124">
        <v>0</v>
      </c>
      <c r="H124">
        <v>0</v>
      </c>
      <c r="I124">
        <v>100</v>
      </c>
      <c r="J124">
        <v>100</v>
      </c>
      <c r="K124">
        <v>-5200.34</v>
      </c>
      <c r="M124">
        <f t="shared" si="7"/>
        <v>33.390450000000001</v>
      </c>
      <c r="N124">
        <v>98000</v>
      </c>
      <c r="O124">
        <v>1298.54</v>
      </c>
      <c r="P124">
        <v>-2208.06</v>
      </c>
      <c r="Q124">
        <v>53370.6</v>
      </c>
      <c r="R124">
        <v>142.72</v>
      </c>
      <c r="S124">
        <v>0</v>
      </c>
      <c r="T124">
        <v>0</v>
      </c>
      <c r="U124">
        <v>800</v>
      </c>
      <c r="V124">
        <v>800</v>
      </c>
      <c r="W124">
        <v>-5228.6499999999996</v>
      </c>
      <c r="Y124">
        <f t="shared" si="8"/>
        <v>33.356625000000001</v>
      </c>
      <c r="Z124">
        <v>98000</v>
      </c>
      <c r="AA124">
        <v>1298.1600000000001</v>
      </c>
      <c r="AB124">
        <v>-2189.46</v>
      </c>
      <c r="AC124">
        <v>54388.6</v>
      </c>
      <c r="AD124">
        <v>-115.623</v>
      </c>
      <c r="AE124">
        <v>0</v>
      </c>
      <c r="AF124">
        <v>0</v>
      </c>
      <c r="AG124">
        <v>800</v>
      </c>
      <c r="AH124">
        <v>800</v>
      </c>
      <c r="AI124">
        <v>-5384.92</v>
      </c>
      <c r="AK124">
        <f t="shared" si="9"/>
        <v>33.992874999999998</v>
      </c>
    </row>
    <row r="125" spans="2:37" x14ac:dyDescent="0.2">
      <c r="B125">
        <v>99000</v>
      </c>
      <c r="C125">
        <v>1449.31</v>
      </c>
      <c r="D125">
        <v>-275.49299999999999</v>
      </c>
      <c r="E125">
        <v>6612.55</v>
      </c>
      <c r="F125">
        <v>117.68600000000001</v>
      </c>
      <c r="G125">
        <v>0</v>
      </c>
      <c r="H125">
        <v>0</v>
      </c>
      <c r="I125">
        <v>100</v>
      </c>
      <c r="J125">
        <v>100</v>
      </c>
      <c r="K125">
        <v>-5904.14</v>
      </c>
      <c r="M125">
        <f t="shared" si="7"/>
        <v>33.062750000000001</v>
      </c>
      <c r="N125">
        <v>99000</v>
      </c>
      <c r="O125">
        <v>1265.01</v>
      </c>
      <c r="P125">
        <v>-2210.9</v>
      </c>
      <c r="Q125">
        <v>53431.1</v>
      </c>
      <c r="R125">
        <v>235.501</v>
      </c>
      <c r="S125">
        <v>0</v>
      </c>
      <c r="T125">
        <v>0</v>
      </c>
      <c r="U125">
        <v>800</v>
      </c>
      <c r="V125">
        <v>800</v>
      </c>
      <c r="W125">
        <v>-4991.25</v>
      </c>
      <c r="Y125">
        <f t="shared" si="8"/>
        <v>33.394437500000002</v>
      </c>
      <c r="Z125">
        <v>99000</v>
      </c>
      <c r="AA125">
        <v>1291.0899999999999</v>
      </c>
      <c r="AB125">
        <v>-2197.75</v>
      </c>
      <c r="AC125">
        <v>54230.6</v>
      </c>
      <c r="AD125">
        <v>-227.70400000000001</v>
      </c>
      <c r="AE125">
        <v>0</v>
      </c>
      <c r="AF125">
        <v>0</v>
      </c>
      <c r="AG125">
        <v>800</v>
      </c>
      <c r="AH125">
        <v>800</v>
      </c>
      <c r="AI125">
        <v>-5483.54</v>
      </c>
      <c r="AK125">
        <f t="shared" si="9"/>
        <v>33.894125000000003</v>
      </c>
    </row>
    <row r="126" spans="2:37" x14ac:dyDescent="0.2">
      <c r="B126">
        <v>100000</v>
      </c>
      <c r="C126">
        <v>1213.75</v>
      </c>
      <c r="D126">
        <v>-278.72899999999998</v>
      </c>
      <c r="E126">
        <v>6558.86</v>
      </c>
      <c r="F126">
        <v>-1352.61</v>
      </c>
      <c r="G126">
        <v>0</v>
      </c>
      <c r="H126">
        <v>0</v>
      </c>
      <c r="I126">
        <v>100</v>
      </c>
      <c r="J126">
        <v>100</v>
      </c>
      <c r="K126">
        <v>-6436.99</v>
      </c>
      <c r="M126">
        <f t="shared" si="7"/>
        <v>32.7943</v>
      </c>
      <c r="N126">
        <v>100000</v>
      </c>
      <c r="O126">
        <v>1336.78</v>
      </c>
      <c r="P126">
        <v>-2203.16</v>
      </c>
      <c r="Q126">
        <v>53545.599999999999</v>
      </c>
      <c r="R126">
        <v>531.62599999999998</v>
      </c>
      <c r="S126">
        <v>0</v>
      </c>
      <c r="T126">
        <v>0</v>
      </c>
      <c r="U126">
        <v>800</v>
      </c>
      <c r="V126">
        <v>800</v>
      </c>
      <c r="W126">
        <v>-4979.87</v>
      </c>
      <c r="Y126">
        <f t="shared" si="8"/>
        <v>33.466000000000001</v>
      </c>
      <c r="Z126">
        <v>100000</v>
      </c>
      <c r="AA126">
        <v>1279.07</v>
      </c>
      <c r="AB126">
        <v>-2205.9299999999998</v>
      </c>
      <c r="AC126">
        <v>53948.3</v>
      </c>
      <c r="AD126">
        <v>316.43799999999999</v>
      </c>
      <c r="AE126">
        <v>0</v>
      </c>
      <c r="AF126">
        <v>0</v>
      </c>
      <c r="AG126">
        <v>800</v>
      </c>
      <c r="AH126">
        <v>800</v>
      </c>
      <c r="AI126">
        <v>-4917.7299999999996</v>
      </c>
      <c r="AK126">
        <f t="shared" si="9"/>
        <v>33.717687500000004</v>
      </c>
    </row>
    <row r="131" spans="14:31" x14ac:dyDescent="0.2">
      <c r="N131">
        <v>0</v>
      </c>
      <c r="O131">
        <v>1200</v>
      </c>
      <c r="P131">
        <v>0</v>
      </c>
      <c r="Q131">
        <v>0</v>
      </c>
      <c r="R131">
        <v>0</v>
      </c>
      <c r="S131">
        <v>1</v>
      </c>
      <c r="T131">
        <v>200000</v>
      </c>
      <c r="U131">
        <v>1199.6400000000001</v>
      </c>
      <c r="V131">
        <v>-2233.3000000000002</v>
      </c>
      <c r="W131">
        <v>52394.9</v>
      </c>
      <c r="X131">
        <v>25.126999999999999</v>
      </c>
      <c r="Y131">
        <v>0</v>
      </c>
      <c r="Z131">
        <v>0</v>
      </c>
      <c r="AA131">
        <v>800</v>
      </c>
      <c r="AB131">
        <v>800</v>
      </c>
      <c r="AC131">
        <v>1.48169998355778</v>
      </c>
      <c r="AD131">
        <v>65.736582231340606</v>
      </c>
      <c r="AE131">
        <v>0.189073954633418</v>
      </c>
    </row>
    <row r="132" spans="14:31" x14ac:dyDescent="0.2">
      <c r="N132">
        <v>0</v>
      </c>
      <c r="O132">
        <v>1200</v>
      </c>
      <c r="P132">
        <v>1</v>
      </c>
      <c r="Q132">
        <v>0</v>
      </c>
      <c r="R132">
        <v>0</v>
      </c>
      <c r="S132">
        <v>1</v>
      </c>
      <c r="T132">
        <v>200000</v>
      </c>
      <c r="U132">
        <v>1199.49</v>
      </c>
      <c r="V132">
        <v>-2232.9699999999998</v>
      </c>
      <c r="W132">
        <v>52406.5</v>
      </c>
      <c r="X132">
        <v>1.24163</v>
      </c>
      <c r="Y132">
        <v>0</v>
      </c>
      <c r="Z132">
        <v>0</v>
      </c>
      <c r="AA132">
        <v>800</v>
      </c>
      <c r="AB132">
        <v>800</v>
      </c>
      <c r="AC132">
        <v>1.4813720143209601</v>
      </c>
    </row>
    <row r="133" spans="14:31" x14ac:dyDescent="0.2">
      <c r="N133">
        <v>0</v>
      </c>
      <c r="O133">
        <v>1200</v>
      </c>
      <c r="P133">
        <v>2</v>
      </c>
      <c r="Q133">
        <v>0</v>
      </c>
      <c r="R133">
        <v>0</v>
      </c>
      <c r="S133">
        <v>1</v>
      </c>
      <c r="T133">
        <v>200000</v>
      </c>
      <c r="U133">
        <v>1199.6300000000001</v>
      </c>
      <c r="V133">
        <v>-2233.8000000000002</v>
      </c>
      <c r="W133">
        <v>52377.3</v>
      </c>
      <c r="X133">
        <v>6.17631</v>
      </c>
      <c r="Y133">
        <v>0</v>
      </c>
      <c r="Z133">
        <v>0</v>
      </c>
      <c r="AA133">
        <v>800</v>
      </c>
      <c r="AB133">
        <v>800</v>
      </c>
      <c r="AC133">
        <v>1.4821978694684801</v>
      </c>
    </row>
    <row r="135" spans="14:31" x14ac:dyDescent="0.2">
      <c r="AC135">
        <f>AVERAGE(AC131:AC133)</f>
        <v>1.4817566224490732</v>
      </c>
    </row>
    <row r="136" spans="14:31" x14ac:dyDescent="0.2">
      <c r="AC136">
        <f>STDEV(AC131:AC133)</f>
        <v>4.1583067969610285E-4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A940-1343-5643-9D4F-169D8F4C58F7}">
  <dimension ref="B5:AN67"/>
  <sheetViews>
    <sheetView tabSelected="1" topLeftCell="K1" workbookViewId="0">
      <selection activeCell="T17" sqref="T17"/>
    </sheetView>
  </sheetViews>
  <sheetFormatPr baseColWidth="10" defaultRowHeight="16" x14ac:dyDescent="0.2"/>
  <sheetData>
    <row r="5" spans="2:26" x14ac:dyDescent="0.2">
      <c r="B5" t="s">
        <v>58</v>
      </c>
    </row>
    <row r="7" spans="2:26" x14ac:dyDescent="0.2">
      <c r="B7" t="s">
        <v>59</v>
      </c>
    </row>
    <row r="9" spans="2:26" x14ac:dyDescent="0.2">
      <c r="C9" t="s">
        <v>6</v>
      </c>
      <c r="D9" t="s">
        <v>60</v>
      </c>
      <c r="E9" t="s">
        <v>61</v>
      </c>
      <c r="F9" t="s">
        <v>62</v>
      </c>
      <c r="G9" t="s">
        <v>63</v>
      </c>
      <c r="H9" t="s">
        <v>72</v>
      </c>
      <c r="I9" t="s">
        <v>74</v>
      </c>
      <c r="U9" t="s">
        <v>70</v>
      </c>
    </row>
    <row r="10" spans="2:26" x14ac:dyDescent="0.2">
      <c r="P10" t="s">
        <v>67</v>
      </c>
      <c r="Q10" t="s">
        <v>69</v>
      </c>
      <c r="R10" t="s">
        <v>73</v>
      </c>
      <c r="S10" t="s">
        <v>68</v>
      </c>
      <c r="V10" t="s">
        <v>60</v>
      </c>
      <c r="W10" t="s">
        <v>61</v>
      </c>
      <c r="X10" t="s">
        <v>62</v>
      </c>
      <c r="Y10" t="s">
        <v>63</v>
      </c>
      <c r="Z10" t="s">
        <v>72</v>
      </c>
    </row>
    <row r="11" spans="2:26" x14ac:dyDescent="0.2">
      <c r="B11">
        <v>1200</v>
      </c>
      <c r="C11">
        <f>2.03-0.000505*B11</f>
        <v>1.4239999999999999</v>
      </c>
      <c r="D11">
        <v>1.4521982984824864</v>
      </c>
      <c r="E11">
        <v>1.4201392391206853</v>
      </c>
      <c r="F11">
        <v>1.4469897432071506</v>
      </c>
      <c r="G11">
        <v>1.4218075477230747</v>
      </c>
      <c r="H11">
        <v>1.4380980575271523</v>
      </c>
      <c r="I11">
        <f>MAX(D11:H11)-MIN(D11:H11)</f>
        <v>3.205905936180109E-2</v>
      </c>
      <c r="O11" t="s">
        <v>60</v>
      </c>
      <c r="P11">
        <v>958.14</v>
      </c>
      <c r="Q11" s="4">
        <f>P11/$P$16</f>
        <v>0.35751492537313434</v>
      </c>
      <c r="R11" s="4">
        <f>1/Q11</f>
        <v>2.7970860208320287</v>
      </c>
      <c r="S11" s="4">
        <v>66.500148797145641</v>
      </c>
      <c r="U11">
        <v>1200</v>
      </c>
      <c r="V11">
        <v>0.74217781689879514</v>
      </c>
      <c r="W11">
        <v>0.77195398536684023</v>
      </c>
      <c r="X11">
        <v>0.7551706534642697</v>
      </c>
      <c r="Y11">
        <v>0.77498233040286679</v>
      </c>
      <c r="Z11">
        <v>0.82105716035738963</v>
      </c>
    </row>
    <row r="12" spans="2:26" x14ac:dyDescent="0.2">
      <c r="B12">
        <v>1300</v>
      </c>
      <c r="C12">
        <f t="shared" ref="C12:C14" si="0">2.03-0.000505*B12</f>
        <v>1.3734999999999997</v>
      </c>
      <c r="D12">
        <v>1.4072080172825043</v>
      </c>
      <c r="E12">
        <v>1.3815717960818399</v>
      </c>
      <c r="F12">
        <v>1.3966767449312834</v>
      </c>
      <c r="G12">
        <v>1.37530193246221</v>
      </c>
      <c r="H12">
        <v>1.3937335414873917</v>
      </c>
      <c r="I12">
        <f t="shared" ref="I12:I14" si="1">MAX(D12:H12)-MIN(D12:H12)</f>
        <v>3.1906084820294334E-2</v>
      </c>
      <c r="O12" t="s">
        <v>61</v>
      </c>
      <c r="P12">
        <v>681.91300000000001</v>
      </c>
      <c r="Q12" s="4">
        <f>P12/$P$16</f>
        <v>0.25444514925373135</v>
      </c>
      <c r="R12" s="4">
        <f t="shared" ref="R12:R16" si="2">1/Q12</f>
        <v>3.9301201179622618</v>
      </c>
      <c r="S12" s="4">
        <v>67.79126301354583</v>
      </c>
      <c r="U12">
        <v>1300</v>
      </c>
      <c r="V12">
        <v>0.68435402454914762</v>
      </c>
      <c r="W12">
        <v>0.63210645684103528</v>
      </c>
      <c r="X12">
        <v>0.67726541896316084</v>
      </c>
      <c r="Y12">
        <v>0.60724491766366162</v>
      </c>
      <c r="Z12">
        <v>0.6562868340985637</v>
      </c>
    </row>
    <row r="13" spans="2:26" x14ac:dyDescent="0.2">
      <c r="B13">
        <v>1400</v>
      </c>
      <c r="C13">
        <f t="shared" si="0"/>
        <v>1.3229999999999997</v>
      </c>
      <c r="D13">
        <v>1.3646263311944169</v>
      </c>
      <c r="E13">
        <v>1.3349550283232501</v>
      </c>
      <c r="F13">
        <v>1.351633331649178</v>
      </c>
      <c r="G13">
        <v>1.3339748868159742</v>
      </c>
      <c r="H13">
        <v>1.3492239066994554</v>
      </c>
      <c r="I13">
        <f t="shared" si="1"/>
        <v>3.0651444378442694E-2</v>
      </c>
      <c r="O13" t="s">
        <v>62</v>
      </c>
      <c r="P13">
        <v>482.40699999999998</v>
      </c>
      <c r="Q13" s="4">
        <f>P13/$P$16</f>
        <v>0.18000261194029851</v>
      </c>
      <c r="R13" s="4">
        <f t="shared" si="2"/>
        <v>5.555474941284019</v>
      </c>
      <c r="S13" s="4">
        <v>68.755392542124341</v>
      </c>
      <c r="U13">
        <v>1400</v>
      </c>
      <c r="V13">
        <v>0.54371702356252105</v>
      </c>
      <c r="W13">
        <v>0.54084458290065762</v>
      </c>
      <c r="X13">
        <v>0.53686836095163137</v>
      </c>
      <c r="Y13">
        <v>0.58232571573653724</v>
      </c>
      <c r="Z13">
        <v>0.55421865699518158</v>
      </c>
    </row>
    <row r="14" spans="2:26" x14ac:dyDescent="0.2">
      <c r="B14">
        <v>1500</v>
      </c>
      <c r="C14">
        <f t="shared" si="0"/>
        <v>1.2724999999999997</v>
      </c>
      <c r="D14">
        <v>1.3253968124454378</v>
      </c>
      <c r="E14">
        <v>1.2852095195496671</v>
      </c>
      <c r="F14">
        <v>1.3003403263059448</v>
      </c>
      <c r="G14">
        <v>1.2865074461928288</v>
      </c>
      <c r="H14">
        <v>1.3083489522164848</v>
      </c>
      <c r="I14">
        <f t="shared" si="1"/>
        <v>4.0187292895770721E-2</v>
      </c>
      <c r="O14" t="s">
        <v>63</v>
      </c>
      <c r="P14">
        <v>1477.75</v>
      </c>
      <c r="Q14" s="4">
        <f>P14/$P$16</f>
        <v>0.55139925373134324</v>
      </c>
      <c r="R14" s="4">
        <f t="shared" si="2"/>
        <v>1.8135679242091018</v>
      </c>
      <c r="S14" s="4">
        <v>66.835690415927758</v>
      </c>
      <c r="U14">
        <v>1500</v>
      </c>
      <c r="V14">
        <v>0.46281511924431556</v>
      </c>
      <c r="W14">
        <v>0.49396522682389249</v>
      </c>
      <c r="X14">
        <v>0.50648298217179899</v>
      </c>
      <c r="Y14">
        <v>0.50545537991542722</v>
      </c>
      <c r="Z14">
        <v>0.49782599388470555</v>
      </c>
    </row>
    <row r="15" spans="2:26" x14ac:dyDescent="0.2">
      <c r="D15">
        <f>(D11-C11)/C11</f>
        <v>1.9802175900622509E-2</v>
      </c>
      <c r="O15" t="s">
        <v>72</v>
      </c>
      <c r="P15">
        <v>2360.5</v>
      </c>
      <c r="Q15" s="4">
        <f>P15/$P$16</f>
        <v>0.88078358208955221</v>
      </c>
      <c r="R15" s="4">
        <f t="shared" si="2"/>
        <v>1.1353526795170514</v>
      </c>
      <c r="S15" s="4">
        <v>67.472319614814538</v>
      </c>
    </row>
    <row r="16" spans="2:26" x14ac:dyDescent="0.2">
      <c r="D16">
        <f t="shared" ref="D16:D18" si="3">(D12-C12)/C12</f>
        <v>2.4541694417549775E-2</v>
      </c>
      <c r="O16" t="s">
        <v>71</v>
      </c>
      <c r="P16">
        <f>2.68*1000</f>
        <v>2680</v>
      </c>
      <c r="Q16" s="4">
        <f>P16/$P$16</f>
        <v>1</v>
      </c>
      <c r="R16" s="4">
        <f t="shared" si="2"/>
        <v>1</v>
      </c>
    </row>
    <row r="17" spans="2:40" x14ac:dyDescent="0.2">
      <c r="D17">
        <f t="shared" si="3"/>
        <v>3.1463591227828554E-2</v>
      </c>
      <c r="V17" t="s">
        <v>63</v>
      </c>
      <c r="AC17" t="s">
        <v>60</v>
      </c>
      <c r="AJ17" t="s">
        <v>72</v>
      </c>
    </row>
    <row r="18" spans="2:40" x14ac:dyDescent="0.2">
      <c r="D18">
        <f>(D14-C14)/C14</f>
        <v>4.1569204279322675E-2</v>
      </c>
    </row>
    <row r="19" spans="2:40" x14ac:dyDescent="0.2">
      <c r="F19" t="s">
        <v>0</v>
      </c>
      <c r="G19">
        <v>6.94</v>
      </c>
      <c r="H19">
        <v>39.097999999999999</v>
      </c>
      <c r="I19">
        <v>22.99</v>
      </c>
      <c r="J19">
        <v>35.450000000000003</v>
      </c>
      <c r="U19">
        <v>1200</v>
      </c>
      <c r="V19">
        <v>600000</v>
      </c>
      <c r="W19">
        <v>1.47102</v>
      </c>
      <c r="X19">
        <v>0.69268099999999999</v>
      </c>
      <c r="Y19">
        <v>1376.19</v>
      </c>
      <c r="AB19">
        <v>1200</v>
      </c>
      <c r="AC19">
        <v>600000</v>
      </c>
      <c r="AD19">
        <v>1.47235</v>
      </c>
      <c r="AE19">
        <v>0.65113799999999999</v>
      </c>
      <c r="AF19">
        <v>1293.25</v>
      </c>
      <c r="AI19">
        <v>1200</v>
      </c>
      <c r="AJ19">
        <v>600000</v>
      </c>
      <c r="AK19">
        <v>1.4713799999999999</v>
      </c>
      <c r="AL19">
        <v>0.66652</v>
      </c>
      <c r="AM19">
        <v>1324.13</v>
      </c>
    </row>
    <row r="20" spans="2:40" x14ac:dyDescent="0.2">
      <c r="B20" t="s">
        <v>60</v>
      </c>
      <c r="G20" t="s">
        <v>1</v>
      </c>
      <c r="H20" t="s">
        <v>2</v>
      </c>
      <c r="I20" t="s">
        <v>3</v>
      </c>
      <c r="J20" t="s">
        <v>4</v>
      </c>
      <c r="V20">
        <v>700000</v>
      </c>
      <c r="W20">
        <v>1.46997</v>
      </c>
      <c r="X20">
        <v>0.64649299999999998</v>
      </c>
      <c r="Y20">
        <v>1284.76</v>
      </c>
      <c r="AC20">
        <v>700000</v>
      </c>
      <c r="AD20">
        <v>1.4713099999999999</v>
      </c>
      <c r="AE20">
        <v>0.65574299999999996</v>
      </c>
      <c r="AF20">
        <v>1302.78</v>
      </c>
      <c r="AJ20">
        <v>700000</v>
      </c>
      <c r="AK20">
        <v>1.47159</v>
      </c>
      <c r="AL20">
        <v>0.57474700000000001</v>
      </c>
      <c r="AM20">
        <v>1141.8</v>
      </c>
    </row>
    <row r="21" spans="2:40" x14ac:dyDescent="0.2">
      <c r="K21" t="s">
        <v>0</v>
      </c>
      <c r="L21" t="s">
        <v>19</v>
      </c>
      <c r="N21" t="s">
        <v>64</v>
      </c>
      <c r="Q21" t="s">
        <v>20</v>
      </c>
      <c r="V21">
        <v>800000</v>
      </c>
      <c r="W21">
        <v>1.4703200000000001</v>
      </c>
      <c r="X21">
        <v>0.66824099999999997</v>
      </c>
      <c r="Y21">
        <v>1327.91</v>
      </c>
      <c r="AC21">
        <v>800000</v>
      </c>
      <c r="AD21">
        <v>1.4722999999999999</v>
      </c>
      <c r="AE21">
        <v>0.763961</v>
      </c>
      <c r="AF21">
        <v>1517.45</v>
      </c>
      <c r="AJ21">
        <v>800000</v>
      </c>
      <c r="AK21">
        <v>1.4714</v>
      </c>
      <c r="AL21">
        <v>0.57133400000000001</v>
      </c>
      <c r="AM21">
        <v>1135.01</v>
      </c>
    </row>
    <row r="22" spans="2:40" x14ac:dyDescent="0.2">
      <c r="B22">
        <v>100000</v>
      </c>
      <c r="C22">
        <v>1199.51</v>
      </c>
      <c r="D22">
        <v>-2933.16</v>
      </c>
      <c r="E22">
        <v>53422.9</v>
      </c>
      <c r="F22">
        <v>-44.899900000000002</v>
      </c>
      <c r="G22">
        <v>268</v>
      </c>
      <c r="H22">
        <v>266</v>
      </c>
      <c r="I22">
        <v>266</v>
      </c>
      <c r="J22">
        <v>800</v>
      </c>
      <c r="K22">
        <f>G22*$G$19+H22*$H$19+I22*$I$19+J22*$J$19</f>
        <v>46735.328000000001</v>
      </c>
      <c r="L22">
        <f>(K22*1.66E-24)/(E22*1E-24)</f>
        <v>1.4521982984824864</v>
      </c>
      <c r="N22">
        <v>937.42100000000005</v>
      </c>
      <c r="O22">
        <f>AVERAGE(N22:N25)</f>
        <v>958.14</v>
      </c>
      <c r="Q22">
        <f>D22+(1.5*(0.000086173)*C22*SUM(G22:J22))</f>
        <v>-2685.0830994479998</v>
      </c>
      <c r="R22" cm="1">
        <f t="array" ref="R22:S22">LINEST(Q22:Q25,C22:C25)</f>
        <v>0.5514540633336994</v>
      </c>
      <c r="S22">
        <v>-3345.9168993249859</v>
      </c>
      <c r="V22">
        <v>900000</v>
      </c>
      <c r="W22">
        <v>1.47194</v>
      </c>
      <c r="X22">
        <v>0.64171900000000004</v>
      </c>
      <c r="Y22">
        <v>1274.72</v>
      </c>
      <c r="AC22">
        <v>900000</v>
      </c>
      <c r="AD22">
        <v>1.4718199999999999</v>
      </c>
      <c r="AE22">
        <v>0.61241699999999999</v>
      </c>
      <c r="AF22">
        <v>1216.45</v>
      </c>
      <c r="AJ22">
        <v>900000</v>
      </c>
      <c r="AK22">
        <v>1.4718599999999999</v>
      </c>
      <c r="AL22">
        <v>0.65232900000000005</v>
      </c>
      <c r="AM22">
        <v>1295.8</v>
      </c>
    </row>
    <row r="23" spans="2:40" x14ac:dyDescent="0.2">
      <c r="B23">
        <v>100000</v>
      </c>
      <c r="C23">
        <v>1298.06</v>
      </c>
      <c r="D23">
        <v>-2897.8</v>
      </c>
      <c r="E23">
        <v>55130.9</v>
      </c>
      <c r="F23">
        <v>-75.903999999999996</v>
      </c>
      <c r="G23">
        <v>268</v>
      </c>
      <c r="H23">
        <v>266</v>
      </c>
      <c r="I23">
        <v>266</v>
      </c>
      <c r="J23">
        <v>800</v>
      </c>
      <c r="K23">
        <f>G23*$G$19+H23*$H$19+I23*$I$19+J23*$J$19</f>
        <v>46735.328000000001</v>
      </c>
      <c r="L23">
        <f t="shared" ref="L23:L25" si="4">(K23*1.66E-24)/(E23*1E-24)</f>
        <v>1.4072080172825043</v>
      </c>
      <c r="N23">
        <v>948.71</v>
      </c>
      <c r="O23" t="s">
        <v>65</v>
      </c>
      <c r="Q23">
        <f t="shared" ref="Q23:Q25" si="5">D23+(1.5*(0.000086173)*C23*SUM(G23:J23))</f>
        <v>-2629.3414614880003</v>
      </c>
      <c r="R23">
        <f>R22/SUM(G22:I22)*(1.602E-19)*(6.022E+23)</f>
        <v>66.500148797145641</v>
      </c>
      <c r="S23" t="s">
        <v>66</v>
      </c>
      <c r="V23">
        <v>1000000</v>
      </c>
      <c r="W23">
        <v>1.47278</v>
      </c>
      <c r="X23">
        <v>0.59826100000000004</v>
      </c>
      <c r="Y23">
        <v>1188.18</v>
      </c>
      <c r="Z23">
        <f>1000/AVERAGE(Y19:Y23)</f>
        <v>0.77498233040286679</v>
      </c>
      <c r="AC23">
        <v>1000000</v>
      </c>
      <c r="AD23">
        <v>1.4721500000000001</v>
      </c>
      <c r="AE23">
        <v>0.70836100000000002</v>
      </c>
      <c r="AF23">
        <v>1407</v>
      </c>
      <c r="AG23">
        <f>1000/AVERAGE(AF19:AF23)</f>
        <v>0.74217781689879514</v>
      </c>
      <c r="AJ23">
        <v>1000000</v>
      </c>
      <c r="AK23">
        <v>1.47143</v>
      </c>
      <c r="AL23">
        <v>0.60044799999999998</v>
      </c>
      <c r="AM23">
        <v>1192.97</v>
      </c>
      <c r="AN23">
        <f>1000/AVERAGE(AM19:AM23)</f>
        <v>0.82105716035738963</v>
      </c>
    </row>
    <row r="24" spans="2:40" x14ac:dyDescent="0.2">
      <c r="B24">
        <v>100000</v>
      </c>
      <c r="C24">
        <v>1401.13</v>
      </c>
      <c r="D24">
        <v>-2862.63</v>
      </c>
      <c r="E24">
        <v>56851.199999999997</v>
      </c>
      <c r="F24">
        <v>-8.3133300000000006</v>
      </c>
      <c r="G24">
        <v>268</v>
      </c>
      <c r="H24">
        <v>266</v>
      </c>
      <c r="I24">
        <v>266</v>
      </c>
      <c r="J24">
        <v>800</v>
      </c>
      <c r="K24">
        <f>G24*$G$19+H24*$H$19+I24*$I$19+J24*$J$19</f>
        <v>46735.328000000001</v>
      </c>
      <c r="L24">
        <f t="shared" si="4"/>
        <v>1.3646263311944169</v>
      </c>
      <c r="N24">
        <v>968.99900000000002</v>
      </c>
      <c r="Q24">
        <f t="shared" si="5"/>
        <v>-2572.8550188240001</v>
      </c>
    </row>
    <row r="25" spans="2:40" x14ac:dyDescent="0.2">
      <c r="B25">
        <v>100000</v>
      </c>
      <c r="C25">
        <v>1500.51</v>
      </c>
      <c r="D25">
        <v>-2829.3</v>
      </c>
      <c r="E25">
        <v>58533.9</v>
      </c>
      <c r="F25">
        <v>56.941299999999998</v>
      </c>
      <c r="G25">
        <v>268</v>
      </c>
      <c r="H25">
        <v>266</v>
      </c>
      <c r="I25">
        <v>266</v>
      </c>
      <c r="J25">
        <v>800</v>
      </c>
      <c r="K25">
        <f>G25*$G$19+H25*$H$19+I25*$I$19+J25*$J$19</f>
        <v>46735.328000000001</v>
      </c>
      <c r="L25">
        <f t="shared" si="4"/>
        <v>1.3253968124454378</v>
      </c>
      <c r="N25">
        <v>977.43</v>
      </c>
      <c r="Q25">
        <f t="shared" si="5"/>
        <v>-2518.9717242480001</v>
      </c>
      <c r="U25">
        <v>1300</v>
      </c>
      <c r="V25">
        <v>600000</v>
      </c>
      <c r="W25">
        <v>1.42831</v>
      </c>
      <c r="X25">
        <v>0.82969199999999999</v>
      </c>
      <c r="Y25">
        <v>1664.77</v>
      </c>
      <c r="AB25">
        <v>1300</v>
      </c>
      <c r="AC25">
        <v>600000</v>
      </c>
      <c r="AD25">
        <v>1.42761</v>
      </c>
      <c r="AE25">
        <v>0.741116</v>
      </c>
      <c r="AF25">
        <v>1487.28</v>
      </c>
      <c r="AI25">
        <v>1300</v>
      </c>
      <c r="AJ25">
        <v>600000</v>
      </c>
      <c r="AK25">
        <v>1.42927</v>
      </c>
      <c r="AL25">
        <v>0.83113300000000001</v>
      </c>
      <c r="AM25">
        <v>1667.29</v>
      </c>
    </row>
    <row r="26" spans="2:40" x14ac:dyDescent="0.2">
      <c r="V26">
        <v>700000</v>
      </c>
      <c r="W26">
        <v>1.42642</v>
      </c>
      <c r="X26">
        <v>0.78553499999999998</v>
      </c>
      <c r="Y26">
        <v>1576.81</v>
      </c>
      <c r="AC26">
        <v>700000</v>
      </c>
      <c r="AD26">
        <v>1.42902</v>
      </c>
      <c r="AE26">
        <v>0.74786699999999995</v>
      </c>
      <c r="AF26">
        <v>1500.31</v>
      </c>
      <c r="AJ26">
        <v>700000</v>
      </c>
      <c r="AK26">
        <v>1.4296199999999999</v>
      </c>
      <c r="AL26">
        <v>0.70822399999999996</v>
      </c>
      <c r="AM26">
        <v>1420.55</v>
      </c>
    </row>
    <row r="27" spans="2:40" x14ac:dyDescent="0.2">
      <c r="B27" t="s">
        <v>61</v>
      </c>
      <c r="V27">
        <v>800000</v>
      </c>
      <c r="W27">
        <v>1.42909</v>
      </c>
      <c r="X27">
        <v>0.71484599999999998</v>
      </c>
      <c r="Y27">
        <v>1434.07</v>
      </c>
      <c r="AC27">
        <v>800000</v>
      </c>
      <c r="AD27">
        <v>1.4274100000000001</v>
      </c>
      <c r="AE27">
        <v>0.71874400000000005</v>
      </c>
      <c r="AF27">
        <v>1442.43</v>
      </c>
      <c r="AJ27">
        <v>800000</v>
      </c>
      <c r="AK27">
        <v>1.4278900000000001</v>
      </c>
      <c r="AL27">
        <v>0.69199100000000002</v>
      </c>
      <c r="AM27">
        <v>1388.62</v>
      </c>
    </row>
    <row r="28" spans="2:40" x14ac:dyDescent="0.2">
      <c r="V28">
        <v>900000</v>
      </c>
      <c r="W28">
        <v>1.42709</v>
      </c>
      <c r="X28">
        <v>0.84440599999999999</v>
      </c>
      <c r="Y28">
        <v>1694.76</v>
      </c>
      <c r="AC28">
        <v>900000</v>
      </c>
      <c r="AD28">
        <v>1.42849</v>
      </c>
      <c r="AE28">
        <v>0.66290800000000005</v>
      </c>
      <c r="AF28">
        <v>1329.98</v>
      </c>
      <c r="AJ28">
        <v>900000</v>
      </c>
      <c r="AK28">
        <v>1.4283399999999999</v>
      </c>
      <c r="AL28">
        <v>0.76108600000000004</v>
      </c>
      <c r="AM28">
        <v>1526.97</v>
      </c>
    </row>
    <row r="29" spans="2:40" x14ac:dyDescent="0.2">
      <c r="B29">
        <v>100000</v>
      </c>
      <c r="C29">
        <v>1201.06</v>
      </c>
      <c r="D29">
        <v>-2922.67</v>
      </c>
      <c r="E29">
        <v>54628.9</v>
      </c>
      <c r="F29">
        <v>-8.7104999999999997</v>
      </c>
      <c r="G29">
        <v>268</v>
      </c>
      <c r="H29">
        <v>266</v>
      </c>
      <c r="I29">
        <v>266</v>
      </c>
      <c r="J29">
        <v>800</v>
      </c>
      <c r="K29">
        <f>G29*$G$19+H29*$H$19+I29*$I$19+J29*$J$19</f>
        <v>46735.328000000001</v>
      </c>
      <c r="L29">
        <f>(K29*1.66E-24)/(E29*1E-24)</f>
        <v>1.4201392391206853</v>
      </c>
      <c r="N29">
        <v>678.24400000000003</v>
      </c>
      <c r="O29">
        <f>AVERAGE(N29:N32)</f>
        <v>681.91300000000001</v>
      </c>
      <c r="Q29">
        <f>D29+(1.5*(0.000086173)*C29*SUM(G29:J29))</f>
        <v>-2674.2725358880002</v>
      </c>
      <c r="R29" cm="1">
        <f t="array" ref="R29:S29">LINEST(Q29:Q32,C29:C32)</f>
        <v>0.56216065863822517</v>
      </c>
      <c r="S29">
        <v>-3350.2790342525441</v>
      </c>
      <c r="V29">
        <v>1000000</v>
      </c>
      <c r="W29">
        <v>1.42841</v>
      </c>
      <c r="X29">
        <v>0.92877500000000002</v>
      </c>
      <c r="Y29">
        <v>1863.5</v>
      </c>
      <c r="Z29">
        <f>1000/AVERAGE(Y25:Y29)</f>
        <v>0.60724491766366162</v>
      </c>
      <c r="AC29">
        <v>1000000</v>
      </c>
      <c r="AD29">
        <v>1.4286700000000001</v>
      </c>
      <c r="AE29">
        <v>0.77065099999999997</v>
      </c>
      <c r="AF29">
        <v>1546.16</v>
      </c>
      <c r="AG29">
        <f>1000/AVERAGE(AF25:AF29)</f>
        <v>0.68435402454914762</v>
      </c>
      <c r="AJ29">
        <v>1000000</v>
      </c>
      <c r="AK29">
        <v>1.4266399999999999</v>
      </c>
      <c r="AL29">
        <v>0.80471199999999998</v>
      </c>
      <c r="AM29">
        <v>1615.19</v>
      </c>
      <c r="AN29">
        <f>1000/AVERAGE(AM25:AM29)</f>
        <v>0.6562868340985637</v>
      </c>
    </row>
    <row r="30" spans="2:40" x14ac:dyDescent="0.2">
      <c r="B30">
        <v>100000</v>
      </c>
      <c r="C30">
        <v>1299.7</v>
      </c>
      <c r="D30">
        <v>-2889.31</v>
      </c>
      <c r="E30">
        <v>56153.9</v>
      </c>
      <c r="F30">
        <v>49.739699999999999</v>
      </c>
      <c r="G30">
        <v>268</v>
      </c>
      <c r="H30">
        <v>266</v>
      </c>
      <c r="I30">
        <v>266</v>
      </c>
      <c r="J30">
        <v>800</v>
      </c>
      <c r="K30">
        <f>G30*$G$19+H30*$H$19+I30*$I$19+J30*$J$19</f>
        <v>46735.328000000001</v>
      </c>
      <c r="L30">
        <f t="shared" ref="L30:L32" si="6">(K30*1.66E-24)/(E30*1E-24)</f>
        <v>1.3815717960818399</v>
      </c>
      <c r="N30">
        <v>666.56299999999999</v>
      </c>
      <c r="O30" t="s">
        <v>65</v>
      </c>
      <c r="Q30">
        <f t="shared" ref="Q30:Q32" si="7">D30+(1.5*(0.000086173)*C30*SUM(G30:J30))</f>
        <v>-2620.5122845599999</v>
      </c>
      <c r="R30">
        <f>R29/SUM(G29:I29)*(1.602E-19)*(6.022E+23)</f>
        <v>67.79126301354583</v>
      </c>
      <c r="S30" t="s">
        <v>66</v>
      </c>
    </row>
    <row r="31" spans="2:40" x14ac:dyDescent="0.2">
      <c r="B31">
        <v>100000</v>
      </c>
      <c r="C31">
        <v>1398.64</v>
      </c>
      <c r="D31">
        <v>-2853.96</v>
      </c>
      <c r="E31">
        <v>58114.8</v>
      </c>
      <c r="F31">
        <v>-7.7317200000000001</v>
      </c>
      <c r="G31">
        <v>268</v>
      </c>
      <c r="H31">
        <v>266</v>
      </c>
      <c r="I31">
        <v>266</v>
      </c>
      <c r="J31">
        <v>800</v>
      </c>
      <c r="K31">
        <f>G31*$G$19+H31*$H$19+I31*$I$19+J31*$J$19</f>
        <v>46735.328000000001</v>
      </c>
      <c r="L31">
        <f t="shared" si="6"/>
        <v>1.3349550283232501</v>
      </c>
      <c r="N31">
        <v>682.05100000000004</v>
      </c>
      <c r="Q31">
        <f t="shared" si="7"/>
        <v>-2564.699988672</v>
      </c>
      <c r="U31">
        <v>1400</v>
      </c>
      <c r="V31">
        <v>600000</v>
      </c>
      <c r="W31">
        <v>1.3857200000000001</v>
      </c>
      <c r="X31">
        <v>0.93722099999999997</v>
      </c>
      <c r="Y31">
        <v>1899.49</v>
      </c>
      <c r="AB31">
        <v>1400</v>
      </c>
      <c r="AC31">
        <v>600000</v>
      </c>
      <c r="AD31">
        <v>1.3859900000000001</v>
      </c>
      <c r="AE31">
        <v>0.81157599999999996</v>
      </c>
      <c r="AF31">
        <v>1644.81</v>
      </c>
      <c r="AI31">
        <v>1400</v>
      </c>
      <c r="AJ31">
        <v>600000</v>
      </c>
      <c r="AK31">
        <v>1.3855999999999999</v>
      </c>
      <c r="AL31">
        <v>0.92325800000000002</v>
      </c>
      <c r="AM31">
        <v>1871.34</v>
      </c>
    </row>
    <row r="32" spans="2:40" x14ac:dyDescent="0.2">
      <c r="B32">
        <v>100000</v>
      </c>
      <c r="C32">
        <v>1500.63</v>
      </c>
      <c r="D32">
        <v>-2816.3</v>
      </c>
      <c r="E32">
        <v>60364.2</v>
      </c>
      <c r="F32">
        <v>-65.107600000000005</v>
      </c>
      <c r="G32">
        <v>268</v>
      </c>
      <c r="H32">
        <v>266</v>
      </c>
      <c r="I32">
        <v>266</v>
      </c>
      <c r="J32">
        <v>800</v>
      </c>
      <c r="K32">
        <f>G32*$G$19+H32*$H$19+I32*$I$19+J32*$J$19</f>
        <v>46735.328000000001</v>
      </c>
      <c r="L32">
        <f t="shared" si="6"/>
        <v>1.2852095195496671</v>
      </c>
      <c r="N32">
        <v>700.79399999999998</v>
      </c>
      <c r="Q32">
        <f t="shared" si="7"/>
        <v>-2505.9469064240002</v>
      </c>
      <c r="V32">
        <v>700000</v>
      </c>
      <c r="W32">
        <v>1.38558</v>
      </c>
      <c r="X32">
        <v>0.85501000000000005</v>
      </c>
      <c r="Y32">
        <v>1732.99</v>
      </c>
      <c r="AC32">
        <v>700000</v>
      </c>
      <c r="AD32">
        <v>1.3859600000000001</v>
      </c>
      <c r="AE32">
        <v>0.86763400000000002</v>
      </c>
      <c r="AF32">
        <v>1758.38</v>
      </c>
      <c r="AJ32">
        <v>700000</v>
      </c>
      <c r="AK32">
        <v>1.38486</v>
      </c>
      <c r="AL32">
        <v>0.87117599999999995</v>
      </c>
      <c r="AM32">
        <v>1766.04</v>
      </c>
    </row>
    <row r="33" spans="2:40" x14ac:dyDescent="0.2">
      <c r="V33">
        <v>800000</v>
      </c>
      <c r="W33">
        <v>1.38598</v>
      </c>
      <c r="X33">
        <v>0.88384300000000005</v>
      </c>
      <c r="Y33">
        <v>1791.28</v>
      </c>
      <c r="AC33">
        <v>800000</v>
      </c>
      <c r="AD33">
        <v>1.38419</v>
      </c>
      <c r="AE33">
        <v>0.91553399999999996</v>
      </c>
      <c r="AF33">
        <v>1856.22</v>
      </c>
      <c r="AJ33">
        <v>800000</v>
      </c>
      <c r="AK33">
        <v>1.38561</v>
      </c>
      <c r="AL33">
        <v>0.90397000000000005</v>
      </c>
      <c r="AM33">
        <v>1832.15</v>
      </c>
    </row>
    <row r="34" spans="2:40" x14ac:dyDescent="0.2">
      <c r="B34" t="s">
        <v>62</v>
      </c>
      <c r="V34">
        <v>900000</v>
      </c>
      <c r="W34">
        <v>1.3857999999999999</v>
      </c>
      <c r="X34">
        <v>0.68993400000000005</v>
      </c>
      <c r="Y34">
        <v>1398.37</v>
      </c>
      <c r="AC34">
        <v>900000</v>
      </c>
      <c r="AD34">
        <v>1.38442</v>
      </c>
      <c r="AE34">
        <v>0.96691300000000002</v>
      </c>
      <c r="AF34">
        <v>1960.41</v>
      </c>
      <c r="AJ34">
        <v>900000</v>
      </c>
      <c r="AK34">
        <v>1.3859600000000001</v>
      </c>
      <c r="AL34">
        <v>0.878525</v>
      </c>
      <c r="AM34">
        <v>1780.48</v>
      </c>
    </row>
    <row r="35" spans="2:40" x14ac:dyDescent="0.2">
      <c r="V35">
        <v>1000000</v>
      </c>
      <c r="W35">
        <v>1.3854200000000001</v>
      </c>
      <c r="X35">
        <v>0.87032100000000001</v>
      </c>
      <c r="Y35">
        <v>1764.13</v>
      </c>
      <c r="Z35">
        <f>1000/AVERAGE(Y31:Y35)</f>
        <v>0.58232571573653724</v>
      </c>
      <c r="AC35">
        <v>1000000</v>
      </c>
      <c r="AD35">
        <v>1.3831</v>
      </c>
      <c r="AE35">
        <v>0.97435700000000003</v>
      </c>
      <c r="AF35">
        <v>1976.14</v>
      </c>
      <c r="AG35">
        <f>1000/AVERAGE(AF31:AF35)</f>
        <v>0.54371702356252105</v>
      </c>
      <c r="AJ35">
        <v>1000000</v>
      </c>
      <c r="AK35">
        <v>1.38541</v>
      </c>
      <c r="AL35">
        <v>0.87406899999999998</v>
      </c>
      <c r="AM35">
        <v>1771.7</v>
      </c>
      <c r="AN35">
        <f>1000/AVERAGE(AM31:AM35)</f>
        <v>0.55421865699518158</v>
      </c>
    </row>
    <row r="36" spans="2:40" x14ac:dyDescent="0.2">
      <c r="B36">
        <v>100000</v>
      </c>
      <c r="C36">
        <v>1199.71</v>
      </c>
      <c r="D36">
        <v>-2930.57</v>
      </c>
      <c r="E36">
        <v>53615.199999999997</v>
      </c>
      <c r="F36">
        <v>31.5609</v>
      </c>
      <c r="G36">
        <v>268</v>
      </c>
      <c r="H36">
        <v>266</v>
      </c>
      <c r="I36">
        <v>266</v>
      </c>
      <c r="J36">
        <v>800</v>
      </c>
      <c r="K36">
        <f>G36*$G$19+H36*$H$19+I36*$I$19+J36*$J$19</f>
        <v>46735.328000000001</v>
      </c>
      <c r="L36">
        <f>(K36*1.66E-24)/(E36*1E-24)</f>
        <v>1.4469897432071506</v>
      </c>
      <c r="N36">
        <v>467.84800000000001</v>
      </c>
      <c r="O36">
        <f>AVERAGE(N36:N39)</f>
        <v>482.40699999999998</v>
      </c>
      <c r="Q36">
        <f>D36+(1.5*(0.000086173)*C36*SUM(G36:J36))</f>
        <v>-2682.4517364080002</v>
      </c>
      <c r="R36" cm="1">
        <f t="array" ref="R36:S36">LINEST(Q36:Q39,C36:C39)</f>
        <v>0.57015572565283368</v>
      </c>
      <c r="S36">
        <v>-3365.9029254708753</v>
      </c>
    </row>
    <row r="37" spans="2:40" x14ac:dyDescent="0.2">
      <c r="B37">
        <v>100000</v>
      </c>
      <c r="C37">
        <v>1297.21</v>
      </c>
      <c r="D37">
        <v>-2893.74</v>
      </c>
      <c r="E37">
        <v>55546.6</v>
      </c>
      <c r="F37">
        <v>-47.743099999999998</v>
      </c>
      <c r="G37">
        <v>268</v>
      </c>
      <c r="H37">
        <v>266</v>
      </c>
      <c r="I37">
        <v>266</v>
      </c>
      <c r="J37">
        <v>800</v>
      </c>
      <c r="K37">
        <f t="shared" ref="K37:K39" si="8">G37*$G$19+H37*$H$19+I37*$I$19+J37*$J$19</f>
        <v>46735.328000000001</v>
      </c>
      <c r="L37">
        <f t="shared" ref="L37:L39" si="9">(K37*1.66E-24)/(E37*1E-24)</f>
        <v>1.3966767449312834</v>
      </c>
      <c r="N37">
        <v>477.08699999999999</v>
      </c>
      <c r="O37" t="s">
        <v>65</v>
      </c>
      <c r="Q37">
        <f t="shared" ref="Q37:Q39" si="10">D37+(1.5*(0.000086173)*C37*SUM(G37:J37))</f>
        <v>-2625.4572544079997</v>
      </c>
      <c r="R37">
        <f>R36/SUM(G36:I36)*(1.602E-19)*(6.022E+23)</f>
        <v>68.755392542124341</v>
      </c>
      <c r="S37" t="s">
        <v>66</v>
      </c>
      <c r="U37">
        <v>1500</v>
      </c>
      <c r="V37">
        <v>600000</v>
      </c>
      <c r="W37">
        <v>1.3419399999999999</v>
      </c>
      <c r="X37">
        <v>0.93457699999999999</v>
      </c>
      <c r="Y37">
        <v>1914.65</v>
      </c>
      <c r="AB37">
        <v>1500</v>
      </c>
      <c r="AC37">
        <v>600000</v>
      </c>
      <c r="AD37">
        <v>1.34093</v>
      </c>
      <c r="AE37">
        <v>1.03305</v>
      </c>
      <c r="AF37">
        <v>2116.84</v>
      </c>
      <c r="AI37">
        <v>1500</v>
      </c>
      <c r="AJ37">
        <v>600000</v>
      </c>
      <c r="AK37">
        <v>1.3413299999999999</v>
      </c>
      <c r="AL37">
        <v>1.05949</v>
      </c>
      <c r="AM37">
        <v>2170.79</v>
      </c>
    </row>
    <row r="38" spans="2:40" x14ac:dyDescent="0.2">
      <c r="B38">
        <v>100000</v>
      </c>
      <c r="C38">
        <v>1400.77</v>
      </c>
      <c r="D38">
        <v>-2856.93</v>
      </c>
      <c r="E38">
        <v>57397.7</v>
      </c>
      <c r="F38">
        <v>13.9192</v>
      </c>
      <c r="G38">
        <v>268</v>
      </c>
      <c r="H38">
        <v>266</v>
      </c>
      <c r="I38">
        <v>266</v>
      </c>
      <c r="J38">
        <v>800</v>
      </c>
      <c r="K38">
        <f t="shared" si="8"/>
        <v>46735.328000000001</v>
      </c>
      <c r="L38">
        <f t="shared" si="9"/>
        <v>1.351633331649178</v>
      </c>
      <c r="N38">
        <v>487.702</v>
      </c>
      <c r="Q38">
        <f t="shared" si="10"/>
        <v>-2567.2294722959996</v>
      </c>
      <c r="V38">
        <v>700000</v>
      </c>
      <c r="W38">
        <v>1.3405899999999999</v>
      </c>
      <c r="X38">
        <v>0.88179399999999997</v>
      </c>
      <c r="Y38">
        <v>1807.08</v>
      </c>
      <c r="AC38">
        <v>700000</v>
      </c>
      <c r="AD38">
        <v>1.3422499999999999</v>
      </c>
      <c r="AE38">
        <v>0.97532300000000005</v>
      </c>
      <c r="AF38">
        <v>1997.95</v>
      </c>
      <c r="AJ38">
        <v>700000</v>
      </c>
      <c r="AK38">
        <v>1.34053</v>
      </c>
      <c r="AL38">
        <v>1.0025599999999999</v>
      </c>
      <c r="AM38">
        <v>2054.5</v>
      </c>
    </row>
    <row r="39" spans="2:40" x14ac:dyDescent="0.2">
      <c r="B39">
        <v>100000</v>
      </c>
      <c r="C39">
        <v>1501.85</v>
      </c>
      <c r="D39">
        <v>-2820.5</v>
      </c>
      <c r="E39">
        <v>59661.8</v>
      </c>
      <c r="F39">
        <v>55.202199999999998</v>
      </c>
      <c r="G39">
        <v>268</v>
      </c>
      <c r="H39">
        <v>266</v>
      </c>
      <c r="I39">
        <v>266</v>
      </c>
      <c r="J39">
        <v>800</v>
      </c>
      <c r="K39">
        <f t="shared" si="8"/>
        <v>46735.328000000001</v>
      </c>
      <c r="L39">
        <f t="shared" si="9"/>
        <v>1.3003403263059448</v>
      </c>
      <c r="N39">
        <v>496.99099999999999</v>
      </c>
      <c r="Q39">
        <f t="shared" si="10"/>
        <v>-2509.89459188</v>
      </c>
      <c r="V39">
        <v>800000</v>
      </c>
      <c r="W39">
        <v>1.3432500000000001</v>
      </c>
      <c r="X39">
        <v>0.97180900000000003</v>
      </c>
      <c r="Y39">
        <v>1990.1</v>
      </c>
      <c r="AC39">
        <v>800000</v>
      </c>
      <c r="AD39">
        <v>1.3402400000000001</v>
      </c>
      <c r="AE39">
        <v>1.11494</v>
      </c>
      <c r="AF39">
        <v>2285</v>
      </c>
      <c r="AJ39">
        <v>800000</v>
      </c>
      <c r="AK39">
        <v>1.34226</v>
      </c>
      <c r="AL39">
        <v>1.0099400000000001</v>
      </c>
      <c r="AM39">
        <v>2068.79</v>
      </c>
    </row>
    <row r="40" spans="2:40" x14ac:dyDescent="0.2">
      <c r="V40">
        <v>900000</v>
      </c>
      <c r="W40">
        <v>1.3404100000000001</v>
      </c>
      <c r="X40">
        <v>0.99210200000000004</v>
      </c>
      <c r="Y40">
        <v>2033.18</v>
      </c>
      <c r="AC40">
        <v>900000</v>
      </c>
      <c r="AD40">
        <v>1.3409899999999999</v>
      </c>
      <c r="AE40">
        <v>0.99912900000000004</v>
      </c>
      <c r="AF40">
        <v>2047.26</v>
      </c>
      <c r="AJ40">
        <v>900000</v>
      </c>
      <c r="AK40">
        <v>1.3431500000000001</v>
      </c>
      <c r="AL40">
        <v>0.96774099999999996</v>
      </c>
      <c r="AM40">
        <v>1981.97</v>
      </c>
    </row>
    <row r="41" spans="2:40" x14ac:dyDescent="0.2">
      <c r="B41" t="s">
        <v>63</v>
      </c>
      <c r="V41">
        <v>1000000</v>
      </c>
      <c r="W41">
        <v>1.34057</v>
      </c>
      <c r="X41">
        <v>1.0477099999999999</v>
      </c>
      <c r="Y41">
        <v>2147.06</v>
      </c>
      <c r="Z41">
        <f>1000/AVERAGE(Y37:Y41)</f>
        <v>0.50545537991542722</v>
      </c>
      <c r="AC41">
        <v>1000000</v>
      </c>
      <c r="AD41">
        <v>1.3399099999999999</v>
      </c>
      <c r="AE41">
        <v>1.1496599999999999</v>
      </c>
      <c r="AF41">
        <v>2356.4</v>
      </c>
      <c r="AG41">
        <f>1000/AVERAGE(AF37:AF41)</f>
        <v>0.46281511924431556</v>
      </c>
      <c r="AJ41">
        <v>1000000</v>
      </c>
      <c r="AK41">
        <v>1.34287</v>
      </c>
      <c r="AL41">
        <v>0.863039</v>
      </c>
      <c r="AM41">
        <v>1767.62</v>
      </c>
      <c r="AN41">
        <f>1000/AVERAGE(AM37:AM41)</f>
        <v>0.49782599388470555</v>
      </c>
    </row>
    <row r="43" spans="2:40" x14ac:dyDescent="0.2">
      <c r="B43">
        <v>100000</v>
      </c>
      <c r="C43">
        <v>1200.46</v>
      </c>
      <c r="D43">
        <v>-2923.09</v>
      </c>
      <c r="E43">
        <v>54564.800000000003</v>
      </c>
      <c r="F43">
        <v>20.658200000000001</v>
      </c>
      <c r="G43">
        <v>268</v>
      </c>
      <c r="H43">
        <v>266</v>
      </c>
      <c r="I43">
        <v>266</v>
      </c>
      <c r="J43">
        <v>800</v>
      </c>
      <c r="K43">
        <f>G43*$G$19+H43*$H$19+I43*$I$19+J43*$J$19</f>
        <v>46735.328000000001</v>
      </c>
      <c r="L43">
        <f>(K43*1.66E-24)/(E43*1E-24)</f>
        <v>1.4218075477230747</v>
      </c>
      <c r="N43">
        <v>1.4350000000000001</v>
      </c>
      <c r="O43">
        <f>AVERAGE(N43:N46)*1000</f>
        <v>1477.75</v>
      </c>
      <c r="Q43">
        <f>D43+(1.5*(0.000086173)*C43*SUM(G43:J43))</f>
        <v>-2674.8166250080003</v>
      </c>
      <c r="R43" cm="1">
        <f t="array" ref="R43:S43">LINEST(Q43:Q46,C43:C46)</f>
        <v>0.55423655017684026</v>
      </c>
      <c r="S43">
        <v>-3339.8791453260205</v>
      </c>
      <c r="V43" t="s">
        <v>61</v>
      </c>
      <c r="AC43" t="s">
        <v>62</v>
      </c>
    </row>
    <row r="44" spans="2:40" x14ac:dyDescent="0.2">
      <c r="B44">
        <v>100000</v>
      </c>
      <c r="C44">
        <v>1302.1099999999999</v>
      </c>
      <c r="D44">
        <v>-2886.67</v>
      </c>
      <c r="E44">
        <v>56409.9</v>
      </c>
      <c r="F44">
        <v>11.6927</v>
      </c>
      <c r="G44">
        <v>268</v>
      </c>
      <c r="H44">
        <v>266</v>
      </c>
      <c r="I44">
        <v>266</v>
      </c>
      <c r="J44">
        <v>800</v>
      </c>
      <c r="K44">
        <f t="shared" ref="K44:K46" si="11">G44*$G$19+H44*$H$19+I44*$I$19+J44*$J$19</f>
        <v>46735.328000000001</v>
      </c>
      <c r="L44">
        <f t="shared" ref="L44:L46" si="12">(K44*1.66E-24)/(E44*1E-24)</f>
        <v>1.37530193246221</v>
      </c>
      <c r="N44">
        <v>1.4770000000000001</v>
      </c>
      <c r="O44" t="s">
        <v>65</v>
      </c>
      <c r="Q44">
        <f t="shared" ref="Q44:Q46" si="13">D44+(1.5*(0.000086173)*C44*SUM(G44:J44))</f>
        <v>-2617.373859928</v>
      </c>
      <c r="R44">
        <f>R43/SUM(G43:I43)*(1.602E-19)*(6.022E+23)</f>
        <v>66.835690415927758</v>
      </c>
      <c r="S44" t="s">
        <v>66</v>
      </c>
    </row>
    <row r="45" spans="2:40" x14ac:dyDescent="0.2">
      <c r="B45">
        <v>100000</v>
      </c>
      <c r="C45">
        <v>1402.2</v>
      </c>
      <c r="D45">
        <v>-2853.55</v>
      </c>
      <c r="E45">
        <v>58157.5</v>
      </c>
      <c r="F45">
        <v>24.378900000000002</v>
      </c>
      <c r="G45">
        <v>268</v>
      </c>
      <c r="H45">
        <v>266</v>
      </c>
      <c r="I45">
        <v>266</v>
      </c>
      <c r="J45">
        <v>800</v>
      </c>
      <c r="K45">
        <f t="shared" si="11"/>
        <v>46735.328000000001</v>
      </c>
      <c r="L45">
        <f t="shared" si="12"/>
        <v>1.3339748868159742</v>
      </c>
      <c r="N45">
        <v>1.496</v>
      </c>
      <c r="Q45">
        <f t="shared" si="13"/>
        <v>-2563.5537265600001</v>
      </c>
      <c r="U45">
        <v>1200</v>
      </c>
      <c r="V45">
        <v>600000</v>
      </c>
      <c r="W45">
        <v>1.4699800000000001</v>
      </c>
      <c r="X45">
        <v>0.69882599999999995</v>
      </c>
      <c r="Y45">
        <v>1388.8</v>
      </c>
      <c r="AB45">
        <v>1200</v>
      </c>
      <c r="AC45">
        <v>600000</v>
      </c>
      <c r="AD45">
        <v>1.47096</v>
      </c>
      <c r="AE45">
        <v>0.63085599999999997</v>
      </c>
      <c r="AF45">
        <v>1253.3900000000001</v>
      </c>
    </row>
    <row r="46" spans="2:40" x14ac:dyDescent="0.2">
      <c r="B46">
        <v>100000</v>
      </c>
      <c r="C46">
        <v>1501.71</v>
      </c>
      <c r="D46">
        <v>-2817.88</v>
      </c>
      <c r="E46">
        <v>60303.3</v>
      </c>
      <c r="F46">
        <v>-105.19499999999999</v>
      </c>
      <c r="G46">
        <v>268</v>
      </c>
      <c r="H46">
        <v>266</v>
      </c>
      <c r="I46">
        <v>266</v>
      </c>
      <c r="J46">
        <v>800</v>
      </c>
      <c r="K46">
        <f t="shared" si="11"/>
        <v>46735.328000000001</v>
      </c>
      <c r="L46">
        <f t="shared" si="12"/>
        <v>1.2865074461928288</v>
      </c>
      <c r="N46">
        <v>1.5029999999999999</v>
      </c>
      <c r="Q46">
        <f t="shared" si="13"/>
        <v>-2507.303546008</v>
      </c>
      <c r="V46">
        <v>700000</v>
      </c>
      <c r="W46">
        <v>1.47014</v>
      </c>
      <c r="X46">
        <v>0.77110999999999996</v>
      </c>
      <c r="Y46">
        <v>1532.36</v>
      </c>
      <c r="AC46">
        <v>700000</v>
      </c>
      <c r="AD46">
        <v>1.4699500000000001</v>
      </c>
      <c r="AE46">
        <v>0.58769199999999999</v>
      </c>
      <c r="AF46">
        <v>1167.92</v>
      </c>
    </row>
    <row r="47" spans="2:40" x14ac:dyDescent="0.2">
      <c r="V47">
        <v>800000</v>
      </c>
      <c r="W47">
        <v>1.47072</v>
      </c>
      <c r="X47">
        <v>0.66481299999999999</v>
      </c>
      <c r="Y47">
        <v>1320.95</v>
      </c>
      <c r="AC47">
        <v>800000</v>
      </c>
      <c r="AD47">
        <v>1.4705999999999999</v>
      </c>
      <c r="AE47">
        <v>0.68200400000000005</v>
      </c>
      <c r="AF47">
        <v>1355.13</v>
      </c>
    </row>
    <row r="48" spans="2:40" x14ac:dyDescent="0.2">
      <c r="B48" t="s">
        <v>72</v>
      </c>
      <c r="V48">
        <v>900000</v>
      </c>
      <c r="W48">
        <v>1.47227</v>
      </c>
      <c r="X48">
        <v>0.50766599999999995</v>
      </c>
      <c r="Y48">
        <v>1008.35</v>
      </c>
      <c r="AC48">
        <v>900000</v>
      </c>
      <c r="AD48">
        <v>1.4709000000000001</v>
      </c>
      <c r="AE48">
        <v>0.76884799999999998</v>
      </c>
      <c r="AF48">
        <v>1527.59</v>
      </c>
    </row>
    <row r="49" spans="2:33" x14ac:dyDescent="0.2">
      <c r="V49">
        <v>1000000</v>
      </c>
      <c r="W49">
        <v>1.47113</v>
      </c>
      <c r="X49">
        <v>0.61738599999999999</v>
      </c>
      <c r="Y49">
        <v>1226.6099999999999</v>
      </c>
      <c r="Z49">
        <f>1000/AVERAGE(Y45:Y49)</f>
        <v>0.77195398536684023</v>
      </c>
      <c r="AC49">
        <v>1000000</v>
      </c>
      <c r="AD49">
        <v>1.4709099999999999</v>
      </c>
      <c r="AE49">
        <v>0.66286699999999998</v>
      </c>
      <c r="AF49">
        <v>1316.99</v>
      </c>
      <c r="AG49">
        <f>1000/AVERAGE(AF45:AF49)</f>
        <v>0.7551706534642697</v>
      </c>
    </row>
    <row r="50" spans="2:33" x14ac:dyDescent="0.2">
      <c r="B50">
        <v>100000</v>
      </c>
      <c r="C50">
        <v>1201.48</v>
      </c>
      <c r="D50">
        <v>-2928.83</v>
      </c>
      <c r="E50">
        <v>53946.7</v>
      </c>
      <c r="F50">
        <v>-21.6539</v>
      </c>
      <c r="G50">
        <v>268</v>
      </c>
      <c r="H50">
        <v>266</v>
      </c>
      <c r="I50">
        <v>266</v>
      </c>
      <c r="J50">
        <v>800</v>
      </c>
      <c r="K50">
        <f>G50*$G$19+H50*$H$19+I50*$I$19+J50*$J$19</f>
        <v>46735.328000000001</v>
      </c>
      <c r="L50">
        <f>(K50*1.66E-24)/(E50*1E-24)</f>
        <v>1.4380980575271523</v>
      </c>
      <c r="N50">
        <v>2.323</v>
      </c>
      <c r="O50">
        <f>AVERAGE(N50:N53)*1000</f>
        <v>2360.5</v>
      </c>
      <c r="Q50">
        <f>D50+(1.5*(0.000086173)*C50*SUM(G50:J50))</f>
        <v>-2680.3456735039999</v>
      </c>
      <c r="R50" cm="1">
        <f t="array" ref="R50:S50">LINEST(Q50:Q53,C50:C53)</f>
        <v>0.55951581292907715</v>
      </c>
      <c r="S50">
        <v>-3352.0078835858026</v>
      </c>
    </row>
    <row r="51" spans="2:33" x14ac:dyDescent="0.2">
      <c r="B51">
        <v>100000</v>
      </c>
      <c r="C51">
        <v>1300.06</v>
      </c>
      <c r="D51">
        <v>-2892.71</v>
      </c>
      <c r="E51">
        <v>55663.9</v>
      </c>
      <c r="F51">
        <v>13.9526</v>
      </c>
      <c r="G51">
        <v>268</v>
      </c>
      <c r="H51">
        <v>266</v>
      </c>
      <c r="I51">
        <v>266</v>
      </c>
      <c r="J51">
        <v>800</v>
      </c>
      <c r="K51">
        <f t="shared" ref="K51:K53" si="14">G51*$G$19+H51*$H$19+I51*$I$19+J51*$J$19</f>
        <v>46735.328000000001</v>
      </c>
      <c r="L51">
        <f t="shared" ref="L51:L53" si="15">(K51*1.66E-24)/(E51*1E-24)</f>
        <v>1.3937335414873917</v>
      </c>
      <c r="N51">
        <v>2.3410000000000002</v>
      </c>
      <c r="O51" t="s">
        <v>65</v>
      </c>
      <c r="Q51">
        <f t="shared" ref="Q51:Q53" si="16">D51+(1.5*(0.000086173)*C51*SUM(G51:J51))</f>
        <v>-2623.8378310879998</v>
      </c>
      <c r="R51">
        <f>R50/SUM(G50:I50)*(1.602E-19)*(6.022E+23)</f>
        <v>67.472319614814538</v>
      </c>
      <c r="S51" t="s">
        <v>66</v>
      </c>
      <c r="U51">
        <v>1300</v>
      </c>
      <c r="V51">
        <v>600000</v>
      </c>
      <c r="W51">
        <v>1.42882</v>
      </c>
      <c r="X51">
        <v>0.75327500000000003</v>
      </c>
      <c r="Y51">
        <v>1511.21</v>
      </c>
      <c r="AB51">
        <v>1300</v>
      </c>
      <c r="AC51">
        <v>600000</v>
      </c>
      <c r="AD51">
        <v>1.4277299999999999</v>
      </c>
      <c r="AE51">
        <v>0.77840900000000002</v>
      </c>
      <c r="AF51">
        <v>1562.03</v>
      </c>
    </row>
    <row r="52" spans="2:33" x14ac:dyDescent="0.2">
      <c r="B52">
        <v>100000</v>
      </c>
      <c r="C52">
        <v>1400.77</v>
      </c>
      <c r="D52">
        <v>-2857.74</v>
      </c>
      <c r="E52">
        <v>57500.2</v>
      </c>
      <c r="F52">
        <v>-0.53051899999999996</v>
      </c>
      <c r="G52">
        <v>268</v>
      </c>
      <c r="H52">
        <v>266</v>
      </c>
      <c r="I52">
        <v>266</v>
      </c>
      <c r="J52">
        <v>800</v>
      </c>
      <c r="K52">
        <f t="shared" si="14"/>
        <v>46735.328000000001</v>
      </c>
      <c r="L52">
        <f t="shared" si="15"/>
        <v>1.3492239066994554</v>
      </c>
      <c r="N52">
        <v>2.3849999999999998</v>
      </c>
      <c r="Q52">
        <f t="shared" si="16"/>
        <v>-2568.039472296</v>
      </c>
      <c r="V52">
        <v>700000</v>
      </c>
      <c r="W52">
        <v>1.4287300000000001</v>
      </c>
      <c r="X52">
        <v>0.71347499999999997</v>
      </c>
      <c r="Y52">
        <v>1431.4</v>
      </c>
      <c r="AC52">
        <v>700000</v>
      </c>
      <c r="AD52">
        <v>1.43028</v>
      </c>
      <c r="AE52">
        <v>0.70914299999999997</v>
      </c>
      <c r="AF52">
        <v>1422.26</v>
      </c>
    </row>
    <row r="53" spans="2:33" x14ac:dyDescent="0.2">
      <c r="B53">
        <v>100000</v>
      </c>
      <c r="C53">
        <v>1500.18</v>
      </c>
      <c r="D53">
        <v>-2823.29</v>
      </c>
      <c r="E53">
        <v>59296.6</v>
      </c>
      <c r="F53">
        <v>9.8131599999999999</v>
      </c>
      <c r="G53">
        <v>268</v>
      </c>
      <c r="H53">
        <v>266</v>
      </c>
      <c r="I53">
        <v>266</v>
      </c>
      <c r="J53">
        <v>800</v>
      </c>
      <c r="K53">
        <f t="shared" si="14"/>
        <v>46735.328000000001</v>
      </c>
      <c r="L53">
        <f t="shared" si="15"/>
        <v>1.3083489522164848</v>
      </c>
      <c r="N53">
        <v>2.3929999999999998</v>
      </c>
      <c r="Q53">
        <f t="shared" si="16"/>
        <v>-2513.0299732640001</v>
      </c>
      <c r="V53">
        <v>800000</v>
      </c>
      <c r="W53">
        <v>1.42848</v>
      </c>
      <c r="X53">
        <v>0.92097099999999998</v>
      </c>
      <c r="Y53">
        <v>1847.83</v>
      </c>
      <c r="AC53">
        <v>800000</v>
      </c>
      <c r="AD53">
        <v>1.42754</v>
      </c>
      <c r="AE53">
        <v>0.78861199999999998</v>
      </c>
      <c r="AF53">
        <v>1582.59</v>
      </c>
    </row>
    <row r="54" spans="2:33" x14ac:dyDescent="0.2">
      <c r="V54">
        <v>900000</v>
      </c>
      <c r="W54">
        <v>1.4273499999999999</v>
      </c>
      <c r="X54">
        <v>0.82795200000000002</v>
      </c>
      <c r="Y54">
        <v>1661.64</v>
      </c>
      <c r="AC54">
        <v>900000</v>
      </c>
      <c r="AD54">
        <v>1.42726</v>
      </c>
      <c r="AE54">
        <v>0.67081100000000005</v>
      </c>
      <c r="AF54">
        <v>1346.24</v>
      </c>
    </row>
    <row r="55" spans="2:33" x14ac:dyDescent="0.2">
      <c r="V55">
        <v>1000000</v>
      </c>
      <c r="W55">
        <v>1.4275500000000001</v>
      </c>
      <c r="X55">
        <v>0.72652099999999997</v>
      </c>
      <c r="Y55">
        <v>1457.98</v>
      </c>
      <c r="Z55">
        <f>1000/AVERAGE(Y51:Y55)</f>
        <v>0.63210645684103528</v>
      </c>
      <c r="AC55">
        <v>1000000</v>
      </c>
      <c r="AD55">
        <v>1.42807</v>
      </c>
      <c r="AE55">
        <v>0.73236000000000001</v>
      </c>
      <c r="AF55">
        <v>1469.51</v>
      </c>
      <c r="AG55">
        <f>1000/AVERAGE(AF51:AF55)</f>
        <v>0.67726541896316084</v>
      </c>
    </row>
    <row r="57" spans="2:33" x14ac:dyDescent="0.2">
      <c r="U57">
        <v>1400</v>
      </c>
      <c r="V57">
        <v>600000</v>
      </c>
      <c r="W57">
        <v>1.38358</v>
      </c>
      <c r="X57">
        <v>0.93840599999999996</v>
      </c>
      <c r="Y57">
        <v>1902.95</v>
      </c>
      <c r="AB57">
        <v>1400</v>
      </c>
      <c r="AC57">
        <v>600000</v>
      </c>
      <c r="AD57">
        <v>1.38473</v>
      </c>
      <c r="AE57">
        <v>0.85072800000000004</v>
      </c>
      <c r="AF57">
        <v>1724.72</v>
      </c>
    </row>
    <row r="58" spans="2:33" x14ac:dyDescent="0.2">
      <c r="V58">
        <v>700000</v>
      </c>
      <c r="W58">
        <v>1.3832899999999999</v>
      </c>
      <c r="X58">
        <v>0.94225400000000004</v>
      </c>
      <c r="Y58">
        <v>1910.9</v>
      </c>
      <c r="AC58">
        <v>700000</v>
      </c>
      <c r="AD58">
        <v>1.3857200000000001</v>
      </c>
      <c r="AE58">
        <v>0.92573899999999998</v>
      </c>
      <c r="AF58">
        <v>1876.24</v>
      </c>
    </row>
    <row r="59" spans="2:33" x14ac:dyDescent="0.2">
      <c r="V59">
        <v>800000</v>
      </c>
      <c r="W59">
        <v>1.3843099999999999</v>
      </c>
      <c r="X59">
        <v>0.81150299999999997</v>
      </c>
      <c r="Y59">
        <v>1645.3</v>
      </c>
      <c r="AC59">
        <v>800000</v>
      </c>
      <c r="AD59">
        <v>1.38476</v>
      </c>
      <c r="AE59">
        <v>0.87014899999999995</v>
      </c>
      <c r="AF59">
        <v>1764.04</v>
      </c>
    </row>
    <row r="60" spans="2:33" x14ac:dyDescent="0.2">
      <c r="V60">
        <v>900000</v>
      </c>
      <c r="W60">
        <v>1.3872100000000001</v>
      </c>
      <c r="X60">
        <v>0.83642799999999995</v>
      </c>
      <c r="Y60">
        <v>1694.67</v>
      </c>
      <c r="AC60">
        <v>900000</v>
      </c>
      <c r="AD60">
        <v>1.3836299999999999</v>
      </c>
      <c r="AE60">
        <v>1.0150699999999999</v>
      </c>
      <c r="AF60">
        <v>2058.31</v>
      </c>
    </row>
    <row r="61" spans="2:33" x14ac:dyDescent="0.2">
      <c r="V61">
        <v>1000000</v>
      </c>
      <c r="W61">
        <v>1.3845000000000001</v>
      </c>
      <c r="X61">
        <v>1.0313600000000001</v>
      </c>
      <c r="Y61">
        <v>2090.98</v>
      </c>
      <c r="Z61">
        <f>1000/AVERAGE(Y57:Y61)</f>
        <v>0.54084458290065762</v>
      </c>
      <c r="AC61">
        <v>1000000</v>
      </c>
      <c r="AD61">
        <v>1.3860600000000001</v>
      </c>
      <c r="AE61">
        <v>0.932589</v>
      </c>
      <c r="AF61">
        <v>1889.96</v>
      </c>
      <c r="AG61">
        <f>1000/AVERAGE(AF57:AF61)</f>
        <v>0.53686836095163137</v>
      </c>
    </row>
    <row r="63" spans="2:33" x14ac:dyDescent="0.2">
      <c r="U63">
        <v>1500</v>
      </c>
      <c r="V63">
        <v>600000</v>
      </c>
      <c r="W63">
        <v>1.3413299999999999</v>
      </c>
      <c r="X63">
        <v>0.97601199999999999</v>
      </c>
      <c r="Y63">
        <v>1999.75</v>
      </c>
      <c r="AB63">
        <v>1500</v>
      </c>
      <c r="AC63">
        <v>600000</v>
      </c>
      <c r="AD63">
        <v>1.34097</v>
      </c>
      <c r="AE63">
        <v>0.895204</v>
      </c>
      <c r="AF63">
        <v>1834.28</v>
      </c>
    </row>
    <row r="64" spans="2:33" x14ac:dyDescent="0.2">
      <c r="V64">
        <v>700000</v>
      </c>
      <c r="W64">
        <v>1.34066</v>
      </c>
      <c r="X64">
        <v>1.0181800000000001</v>
      </c>
      <c r="Y64">
        <v>2086.58</v>
      </c>
      <c r="AC64">
        <v>700000</v>
      </c>
      <c r="AD64">
        <v>1.34155</v>
      </c>
      <c r="AE64">
        <v>1.02149</v>
      </c>
      <c r="AF64">
        <v>2092.87</v>
      </c>
    </row>
    <row r="65" spans="22:33" x14ac:dyDescent="0.2">
      <c r="V65">
        <v>800000</v>
      </c>
      <c r="W65">
        <v>1.34154</v>
      </c>
      <c r="X65">
        <v>0.91574</v>
      </c>
      <c r="Y65">
        <v>1876.15</v>
      </c>
      <c r="AC65">
        <v>800000</v>
      </c>
      <c r="AD65">
        <v>1.34016</v>
      </c>
      <c r="AE65">
        <v>0.93160799999999999</v>
      </c>
      <c r="AF65">
        <v>1909.35</v>
      </c>
    </row>
    <row r="66" spans="22:33" x14ac:dyDescent="0.2">
      <c r="V66">
        <v>900000</v>
      </c>
      <c r="W66">
        <v>1.3415900000000001</v>
      </c>
      <c r="X66">
        <v>0.98818099999999998</v>
      </c>
      <c r="Y66">
        <v>2024.58</v>
      </c>
      <c r="AC66">
        <v>900000</v>
      </c>
      <c r="AD66">
        <v>1.3408599999999999</v>
      </c>
      <c r="AE66">
        <v>0.89086299999999996</v>
      </c>
      <c r="AF66">
        <v>1825.45</v>
      </c>
    </row>
    <row r="67" spans="22:33" x14ac:dyDescent="0.2">
      <c r="V67">
        <v>1000000</v>
      </c>
      <c r="W67">
        <v>1.34124</v>
      </c>
      <c r="X67">
        <v>1.0420100000000001</v>
      </c>
      <c r="Y67">
        <v>2135.11</v>
      </c>
      <c r="Z67">
        <f>1000/AVERAGE(Y63:Y67)</f>
        <v>0.49396522682389249</v>
      </c>
      <c r="AC67">
        <v>1000000</v>
      </c>
      <c r="AD67">
        <v>1.3403400000000001</v>
      </c>
      <c r="AE67">
        <v>1.0783700000000001</v>
      </c>
      <c r="AF67">
        <v>2210.0500000000002</v>
      </c>
      <c r="AG67">
        <f>1000/AVERAGE(AF63:AF67)</f>
        <v>0.50648298217179899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33.33.33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Beeler</cp:lastModifiedBy>
  <dcterms:created xsi:type="dcterms:W3CDTF">2026-08-10T16:20:37Z</dcterms:created>
  <dcterms:modified xsi:type="dcterms:W3CDTF">2026-08-27T19:53:48Z</dcterms:modified>
</cp:coreProperties>
</file>