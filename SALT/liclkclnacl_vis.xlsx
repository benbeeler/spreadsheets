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8_{580682B8-CCF6-374B-AC19-942A0B199FBA}" xr6:coauthVersionLast="47" xr6:coauthVersionMax="47" xr10:uidLastSave="{00000000-0000-0000-0000-000000000000}"/>
  <bookViews>
    <workbookView xWindow="2000" yWindow="2480" windowWidth="27640" windowHeight="16940" xr2:uid="{E9E737BB-8E9C-4E47-8C91-DC92BD61A9A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" i="1" l="1"/>
  <c r="M10" i="1"/>
  <c r="R10" i="1"/>
  <c r="L11" i="1"/>
  <c r="M11" i="1"/>
  <c r="L12" i="1"/>
  <c r="M12" i="1"/>
  <c r="L13" i="1"/>
  <c r="M13" i="1"/>
</calcChain>
</file>

<file path=xl/sharedStrings.xml><?xml version="1.0" encoding="utf-8"?>
<sst xmlns="http://schemas.openxmlformats.org/spreadsheetml/2006/main" count="16" uniqueCount="16">
  <si>
    <t>comp_idx</t>
  </si>
  <si>
    <t>frac_Li</t>
  </si>
  <si>
    <t>frac_K</t>
  </si>
  <si>
    <t>frac_Na</t>
  </si>
  <si>
    <t>T_K</t>
  </si>
  <si>
    <t>v_rVis_mean</t>
  </si>
  <si>
    <t>v_rVis_std</t>
  </si>
  <si>
    <t>v_rVis_sem</t>
  </si>
  <si>
    <t>n_rep</t>
  </si>
  <si>
    <t>last_timestep</t>
  </si>
  <si>
    <t>viscosity (Pa-s)</t>
  </si>
  <si>
    <t>vis (cP)</t>
  </si>
  <si>
    <t>T</t>
  </si>
  <si>
    <t>Vis</t>
  </si>
  <si>
    <t>EXPT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</si>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</sst>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3176290463692035E-2"/>
                  <c:y val="-0.177330125400991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Sheet1!$F$10:$F$13</c:f>
              <c:numCache>
                <c:formatCode>General</c:formatCode>
                <c:ptCount val="4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</c:numCache>
            </c:numRef>
          </c:xVal>
          <c:yVal>
            <c:numRef>
              <c:f>Sheet1!$M$10:$M$13</c:f>
              <c:numCache>
                <c:formatCode>General</c:formatCode>
                <c:ptCount val="4"/>
                <c:pt idx="0">
                  <c:v>0.86710114214562439</c:v>
                </c:pt>
                <c:pt idx="1">
                  <c:v>0.77791995561499894</c:v>
                </c:pt>
                <c:pt idx="2">
                  <c:v>0.68033690283428361</c:v>
                </c:pt>
                <c:pt idx="3">
                  <c:v>0.62760900987963275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D-4D4F-9279-BE2343A27A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2.3823709536307962E-2"/>
                  <c:y val="8.10279965004374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Sheet1!$O$9:$O$13</c:f>
              <c:numCache>
                <c:formatCode>General</c:formatCode>
                <c:ptCount val="5"/>
                <c:pt idx="0">
                  <c:v>1100</c:v>
                </c:pt>
                <c:pt idx="1">
                  <c:v>1200</c:v>
                </c:pt>
                <c:pt idx="2">
                  <c:v>1300</c:v>
                </c:pt>
                <c:pt idx="3">
                  <c:v>1400</c:v>
                </c:pt>
                <c:pt idx="4">
                  <c:v>1500</c:v>
                </c:pt>
              </c:numCache>
            </c:numRef>
          </c:xVal>
          <c:yVal>
            <c:numRef>
              <c:f>Sheet1!$P$9:$P$13</c:f>
              <c:numCache>
                <c:formatCode>General</c:formatCode>
                <c:ptCount val="5"/>
                <c:pt idx="0">
                  <c:v>0.9853752711996876</c:v>
                </c:pt>
                <c:pt idx="1">
                  <c:v>0.80669592221134334</c:v>
                </c:pt>
                <c:pt idx="2">
                  <c:v>0.68106103333154533</c:v>
                </c:pt>
                <c:pt idx="3">
                  <c:v>0.58906824047027018</c:v>
                </c:pt>
                <c:pt idx="4">
                  <c:v>0.51945497159970466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D-4D4F-9279-BE2343A27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036512"/>
        <c:axId val="1154645776"/>
      </c:scatterChart>
      <c:valAx>
        <c:axId val="1356036512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645776"/>
        <c:crosses val="autoZero"/>
        <c:crossBetween val="midCat"/>
      </c:valAx>
      <c:valAx>
        <c:axId val="11546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539750</xdr:colOff>
      <xdr:row>16</xdr:row>
      <xdr:rowOff>76200</xdr:rowOff>
    </xdr:from>
    <xdr:to>
      <xdr:col>19</xdr:col>
      <xdr:colOff>158750</xdr:colOff>
      <xdr:row>29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28142-4B70-F886-ECF9-41B977879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DF9F-F889-5442-9D4B-6FA69862B07C}">
  <dimension ref="B5:R13"/>
  <sheetViews>
    <sheetView tabSelected="1" workbookViewId="0">
      <selection activeCell="R10" sqref="R10"/>
    </sheetView>
  </sheetViews>
  <sheetFormatPr baseColWidth="10" defaultRowHeight="16" x14ac:dyDescent="0.2"/>
  <sheetData>
    <row r="5" spans="2:18" x14ac:dyDescent="0.2">
      <c r="O5" t="s">
        <v>14</v>
      </c>
    </row>
    <row r="6" spans="2:18" x14ac:dyDescent="0.2">
      <c r="O6" t="s">
        <v>12</v>
      </c>
      <c r="P6" t="s">
        <v>13</v>
      </c>
    </row>
    <row r="8" spans="2:18" x14ac:dyDescent="0.2">
      <c r="R8" t="s">
        <v>15</v>
      </c>
    </row>
    <row r="9" spans="2:18" x14ac:dyDescent="0.2"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O9">
        <v>1100</v>
      </c>
      <c r="P9">
        <v>0.9853752711996876</v>
      </c>
    </row>
    <row r="10" spans="2:18" x14ac:dyDescent="0.2">
      <c r="B10">
        <v>0</v>
      </c>
      <c r="C10">
        <v>0</v>
      </c>
      <c r="D10">
        <v>0</v>
      </c>
      <c r="E10">
        <v>1</v>
      </c>
      <c r="F10">
        <v>1200</v>
      </c>
      <c r="G10">
        <v>1153.268</v>
      </c>
      <c r="H10">
        <v>64.424462000000005</v>
      </c>
      <c r="I10">
        <v>37.195481000000001</v>
      </c>
      <c r="J10">
        <v>3</v>
      </c>
      <c r="K10">
        <v>1000000</v>
      </c>
      <c r="L10">
        <f>1/G10</f>
        <v>8.6710114214562438E-4</v>
      </c>
      <c r="M10">
        <f>L10*1000</f>
        <v>0.86710114214562439</v>
      </c>
      <c r="O10">
        <v>1200</v>
      </c>
      <c r="P10">
        <v>0.80669592221134334</v>
      </c>
      <c r="R10">
        <f>ABS(M10-P10)/P10</f>
        <v>7.4879788370190506E-2</v>
      </c>
    </row>
    <row r="11" spans="2:18" x14ac:dyDescent="0.2">
      <c r="B11">
        <v>0</v>
      </c>
      <c r="C11">
        <v>0</v>
      </c>
      <c r="D11">
        <v>0</v>
      </c>
      <c r="E11">
        <v>1</v>
      </c>
      <c r="F11">
        <v>1300</v>
      </c>
      <c r="G11">
        <v>1285.4793</v>
      </c>
      <c r="H11">
        <v>22.149678999999999</v>
      </c>
      <c r="I11">
        <v>12.788123000000001</v>
      </c>
      <c r="J11">
        <v>3</v>
      </c>
      <c r="K11">
        <v>1000000</v>
      </c>
      <c r="L11">
        <f t="shared" ref="L11:L13" si="0">1/G11</f>
        <v>7.7791995561499899E-4</v>
      </c>
      <c r="M11">
        <f t="shared" ref="M11:M13" si="1">L11*1000</f>
        <v>0.77791995561499894</v>
      </c>
      <c r="O11">
        <v>1300</v>
      </c>
      <c r="P11">
        <v>0.68106103333154533</v>
      </c>
    </row>
    <row r="12" spans="2:18" x14ac:dyDescent="0.2">
      <c r="B12">
        <v>0</v>
      </c>
      <c r="C12">
        <v>0</v>
      </c>
      <c r="D12">
        <v>0</v>
      </c>
      <c r="E12">
        <v>1</v>
      </c>
      <c r="F12">
        <v>1400</v>
      </c>
      <c r="G12">
        <v>1469.86</v>
      </c>
      <c r="H12">
        <v>42.316726000000003</v>
      </c>
      <c r="I12">
        <v>24.431573</v>
      </c>
      <c r="J12">
        <v>3</v>
      </c>
      <c r="K12">
        <v>1000000</v>
      </c>
      <c r="L12">
        <f t="shared" si="0"/>
        <v>6.803369028342836E-4</v>
      </c>
      <c r="M12">
        <f t="shared" si="1"/>
        <v>0.68033690283428361</v>
      </c>
      <c r="O12">
        <v>1400</v>
      </c>
      <c r="P12">
        <v>0.58906824047027018</v>
      </c>
    </row>
    <row r="13" spans="2:18" x14ac:dyDescent="0.2">
      <c r="B13">
        <v>0</v>
      </c>
      <c r="C13">
        <v>0</v>
      </c>
      <c r="D13">
        <v>0</v>
      </c>
      <c r="E13">
        <v>1</v>
      </c>
      <c r="F13">
        <v>1500</v>
      </c>
      <c r="G13">
        <v>1593.3487</v>
      </c>
      <c r="H13">
        <v>70.183565999999999</v>
      </c>
      <c r="I13">
        <v>40.520501000000003</v>
      </c>
      <c r="J13">
        <v>3</v>
      </c>
      <c r="K13">
        <v>1000000</v>
      </c>
      <c r="L13">
        <f t="shared" si="0"/>
        <v>6.276090098796327E-4</v>
      </c>
      <c r="M13">
        <f t="shared" si="1"/>
        <v>0.62760900987963275</v>
      </c>
      <c r="O13">
        <v>1500</v>
      </c>
      <c r="P13">
        <v>0.51945497159970466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2026-08-13T14:21:19Z</dcterms:created>
  <dcterms:modified xsi:type="dcterms:W3CDTF">2026-08-18T01:59:35Z</dcterms:modified>
</cp:coreProperties>
</file>