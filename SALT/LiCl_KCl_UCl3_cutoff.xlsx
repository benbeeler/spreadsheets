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13_ncr:1_{0B7CB014-5738-D74D-9BA7-6F6A141BE12E}" xr6:coauthVersionLast="47" xr6:coauthVersionMax="47" xr10:uidLastSave="{00000000-0000-0000-0000-000000000000}"/>
  <bookViews>
    <workbookView xWindow="13180" yWindow="7400" windowWidth="26440" windowHeight="15440" xr2:uid="{BCFEE81F-ED32-9342-8402-86389BD5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 s="1"/>
  <c r="D28" i="1"/>
  <c r="E28" i="1" s="1"/>
  <c r="D27" i="1"/>
  <c r="E27" i="1" s="1"/>
  <c r="D26" i="1"/>
  <c r="E26" i="1"/>
  <c r="D25" i="1"/>
  <c r="E25" i="1" s="1"/>
  <c r="S6" i="1"/>
  <c r="S7" i="1"/>
  <c r="T7" i="1" s="1"/>
  <c r="D24" i="1"/>
  <c r="E24" i="1" s="1"/>
  <c r="D23" i="1"/>
  <c r="E23" i="1"/>
  <c r="T6" i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/>
  <c r="D6" i="1"/>
  <c r="D7" i="1"/>
  <c r="E7" i="1" s="1"/>
  <c r="D8" i="1"/>
  <c r="E8" i="1" s="1"/>
  <c r="D9" i="1"/>
  <c r="E9" i="1" s="1"/>
  <c r="D10" i="1"/>
  <c r="E10" i="1" s="1"/>
  <c r="D11" i="1"/>
  <c r="D12" i="1"/>
  <c r="D13" i="1"/>
  <c r="D14" i="1"/>
  <c r="D15" i="1"/>
  <c r="E15" i="1" s="1"/>
  <c r="E14" i="1"/>
  <c r="E13" i="1"/>
  <c r="E12" i="1"/>
  <c r="E11" i="1"/>
  <c r="E6" i="1"/>
</calcChain>
</file>

<file path=xl/sharedStrings.xml><?xml version="1.0" encoding="utf-8"?>
<sst xmlns="http://schemas.openxmlformats.org/spreadsheetml/2006/main" count="205" uniqueCount="44">
  <si>
    <t>energy cutoff for LiCl-KCl-30UCl3</t>
  </si>
  <si>
    <t>energy</t>
  </si>
  <si>
    <t>600_80_500</t>
  </si>
  <si>
    <t>----</t>
  </si>
  <si>
    <t>MULTIGRID</t>
  </si>
  <si>
    <t>INFO</t>
  </si>
  <si>
    <t>-------------------------------------------------------------------------------</t>
  </si>
  <si>
    <t>count</t>
  </si>
  <si>
    <t>for</t>
  </si>
  <si>
    <t>grid</t>
  </si>
  <si>
    <t>cutoff</t>
  </si>
  <si>
    <t>[a.u.]</t>
  </si>
  <si>
    <t>total</t>
  </si>
  <si>
    <t>gridlevel</t>
  </si>
  <si>
    <t>:</t>
  </si>
  <si>
    <t>400_80_500</t>
  </si>
  <si>
    <t>500_80_500</t>
  </si>
  <si>
    <t>800_80_500</t>
  </si>
  <si>
    <t>eV/at</t>
  </si>
  <si>
    <t>300_80_500</t>
  </si>
  <si>
    <t>Ha/at</t>
  </si>
  <si>
    <t>200_80_500</t>
  </si>
  <si>
    <t>300_80_300</t>
  </si>
  <si>
    <t>300_60_300</t>
  </si>
  <si>
    <t>300_40_300</t>
  </si>
  <si>
    <t>1000_80_600</t>
  </si>
  <si>
    <t>1000_80_500</t>
  </si>
  <si>
    <t>1000_80_400</t>
  </si>
  <si>
    <t>1000_80_300</t>
  </si>
  <si>
    <t>1000_80_200</t>
  </si>
  <si>
    <t>1000_40_300</t>
  </si>
  <si>
    <t>1000_60_300</t>
  </si>
  <si>
    <t>800_60_300</t>
  </si>
  <si>
    <t>NN50</t>
  </si>
  <si>
    <t>600_60_300</t>
  </si>
  <si>
    <t>400_60_300</t>
  </si>
  <si>
    <t>500_60_300</t>
  </si>
  <si>
    <t>400_80_300</t>
  </si>
  <si>
    <t>20step</t>
  </si>
  <si>
    <t>4grid</t>
  </si>
  <si>
    <t>5grid</t>
  </si>
  <si>
    <t>ngrid5</t>
  </si>
  <si>
    <t>500_80_300</t>
  </si>
  <si>
    <t>500_50_300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</si>
</sst>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7763-F311-6146-B259-652B019CC095}">
  <dimension ref="A2:T47"/>
  <sheetViews>
    <sheetView tabSelected="1" topLeftCell="A11" workbookViewId="0">
      <selection activeCell="B27" sqref="B27"/>
    </sheetView>
  </sheetViews>
  <sheetFormatPr baseColWidth="10" defaultRowHeight="16" x14ac:dyDescent="0.2"/>
  <cols>
    <col min="2" max="2" width="13.6640625" customWidth="1"/>
    <col min="4" max="4" width="12.1640625" bestFit="1" customWidth="1"/>
    <col min="5" max="5" width="12.83203125" bestFit="1" customWidth="1"/>
    <col min="17" max="17" width="12.33203125" customWidth="1"/>
  </cols>
  <sheetData>
    <row r="2" spans="2:20" x14ac:dyDescent="0.2">
      <c r="B2" t="s">
        <v>0</v>
      </c>
    </row>
    <row r="4" spans="2:20" x14ac:dyDescent="0.2">
      <c r="B4" t="s">
        <v>1</v>
      </c>
    </row>
    <row r="5" spans="2:20" x14ac:dyDescent="0.2">
      <c r="D5" t="s">
        <v>20</v>
      </c>
      <c r="E5" t="s">
        <v>18</v>
      </c>
      <c r="G5" t="s">
        <v>2</v>
      </c>
    </row>
    <row r="6" spans="2:20" x14ac:dyDescent="0.2">
      <c r="B6" t="s">
        <v>2</v>
      </c>
      <c r="C6">
        <v>-3327.3583491842401</v>
      </c>
      <c r="D6">
        <f t="shared" ref="D6:D14" si="0">(C6-$C$15)/172</f>
        <v>6.1855871535954066E-8</v>
      </c>
      <c r="E6">
        <f>D6*27.2113838565563</f>
        <v>1.6831838641466809E-6</v>
      </c>
      <c r="G6" t="s">
        <v>3</v>
      </c>
      <c r="H6" t="s">
        <v>4</v>
      </c>
      <c r="I6" t="s">
        <v>5</v>
      </c>
      <c r="J6" t="s">
        <v>3</v>
      </c>
      <c r="P6" t="s">
        <v>33</v>
      </c>
      <c r="Q6" t="s">
        <v>32</v>
      </c>
      <c r="R6">
        <v>-3326.8983915335798</v>
      </c>
      <c r="S6">
        <f>(R6-$R$7)/172</f>
        <v>2.0647994750127742E-4</v>
      </c>
      <c r="T6">
        <f t="shared" ref="T6:T7" si="1">S6*27.2113838565563</f>
        <v>5.6186051101388525E-3</v>
      </c>
    </row>
    <row r="7" spans="2:20" x14ac:dyDescent="0.2">
      <c r="B7" t="s">
        <v>15</v>
      </c>
      <c r="C7">
        <v>-3327.3583165599298</v>
      </c>
      <c r="D7">
        <f t="shared" si="0"/>
        <v>2.5153209408863618E-7</v>
      </c>
      <c r="E7">
        <f t="shared" ref="E7:E29" si="2">D7*27.2113838565563</f>
        <v>6.8445363644893145E-6</v>
      </c>
      <c r="G7" t="s">
        <v>6</v>
      </c>
      <c r="P7" t="s">
        <v>33</v>
      </c>
      <c r="Q7" t="s">
        <v>25</v>
      </c>
      <c r="R7">
        <v>-3326.93390608455</v>
      </c>
      <c r="S7">
        <f>(R7-$R$7)/172</f>
        <v>0</v>
      </c>
      <c r="T7">
        <f t="shared" si="1"/>
        <v>0</v>
      </c>
    </row>
    <row r="8" spans="2:20" x14ac:dyDescent="0.2">
      <c r="B8" t="s">
        <v>16</v>
      </c>
      <c r="C8">
        <v>-3327.35834252007</v>
      </c>
      <c r="D8">
        <f t="shared" si="0"/>
        <v>1.0060104645966676E-7</v>
      </c>
      <c r="E8">
        <f t="shared" si="2"/>
        <v>2.7374936915852465E-6</v>
      </c>
      <c r="G8" t="s">
        <v>7</v>
      </c>
      <c r="H8" t="s">
        <v>8</v>
      </c>
      <c r="I8" t="s">
        <v>9</v>
      </c>
      <c r="J8" s="1">
        <v>4.1666666666666664E-2</v>
      </c>
      <c r="K8">
        <v>2516275</v>
      </c>
      <c r="L8" t="s">
        <v>10</v>
      </c>
      <c r="M8" t="s">
        <v>11</v>
      </c>
      <c r="N8">
        <v>300</v>
      </c>
      <c r="P8" t="s">
        <v>33</v>
      </c>
    </row>
    <row r="9" spans="2:20" x14ac:dyDescent="0.2">
      <c r="B9" t="s">
        <v>17</v>
      </c>
      <c r="C9">
        <v>-3327.3583530727401</v>
      </c>
      <c r="D9">
        <f t="shared" si="0"/>
        <v>3.9248313209269368E-8</v>
      </c>
      <c r="E9">
        <f t="shared" si="2"/>
        <v>1.0680009164597779E-6</v>
      </c>
      <c r="G9" t="s">
        <v>7</v>
      </c>
      <c r="H9" t="s">
        <v>8</v>
      </c>
      <c r="I9" t="s">
        <v>9</v>
      </c>
      <c r="J9" s="1">
        <v>8.3333333333333329E-2</v>
      </c>
      <c r="K9">
        <v>2906181</v>
      </c>
      <c r="L9" t="s">
        <v>10</v>
      </c>
      <c r="M9" t="s">
        <v>11</v>
      </c>
      <c r="N9">
        <v>100</v>
      </c>
      <c r="P9" t="s">
        <v>33</v>
      </c>
    </row>
    <row r="10" spans="2:20" x14ac:dyDescent="0.2">
      <c r="B10" t="s">
        <v>19</v>
      </c>
      <c r="C10">
        <v>-3327.35833453742</v>
      </c>
      <c r="D10">
        <f t="shared" si="0"/>
        <v>1.4701180229759451E-7</v>
      </c>
      <c r="E10">
        <f t="shared" si="2"/>
        <v>4.0003945837640095E-6</v>
      </c>
      <c r="G10" t="s">
        <v>7</v>
      </c>
      <c r="H10" t="s">
        <v>8</v>
      </c>
      <c r="I10" t="s">
        <v>9</v>
      </c>
      <c r="J10" s="1">
        <v>0.125</v>
      </c>
      <c r="K10">
        <v>2023041</v>
      </c>
      <c r="L10" t="s">
        <v>10</v>
      </c>
      <c r="M10" t="s">
        <v>11</v>
      </c>
      <c r="N10">
        <v>33.33</v>
      </c>
      <c r="P10" t="s">
        <v>33</v>
      </c>
    </row>
    <row r="11" spans="2:20" x14ac:dyDescent="0.2">
      <c r="B11" t="s">
        <v>21</v>
      </c>
      <c r="C11">
        <v>-3327.35954661511</v>
      </c>
      <c r="D11">
        <f t="shared" si="0"/>
        <v>-6.8999515120637184E-6</v>
      </c>
      <c r="E11">
        <f t="shared" si="2"/>
        <v>-1.8775722918639188E-4</v>
      </c>
      <c r="G11" t="s">
        <v>7</v>
      </c>
      <c r="H11" t="s">
        <v>8</v>
      </c>
      <c r="I11" t="s">
        <v>9</v>
      </c>
      <c r="J11" s="1">
        <v>0.16666666666666666</v>
      </c>
      <c r="K11">
        <v>1237505</v>
      </c>
      <c r="L11" t="s">
        <v>10</v>
      </c>
      <c r="M11" t="s">
        <v>11</v>
      </c>
      <c r="N11">
        <v>11.11</v>
      </c>
      <c r="P11" t="s">
        <v>33</v>
      </c>
    </row>
    <row r="12" spans="2:20" x14ac:dyDescent="0.2">
      <c r="B12" t="s">
        <v>22</v>
      </c>
      <c r="C12">
        <v>-3327.3583333962201</v>
      </c>
      <c r="D12">
        <f t="shared" si="0"/>
        <v>1.5364668512162564E-7</v>
      </c>
      <c r="E12">
        <f t="shared" si="2"/>
        <v>4.1809389271319926E-6</v>
      </c>
      <c r="G12" t="s">
        <v>12</v>
      </c>
      <c r="H12" t="s">
        <v>13</v>
      </c>
      <c r="I12" t="s">
        <v>7</v>
      </c>
      <c r="J12" t="s">
        <v>14</v>
      </c>
      <c r="K12">
        <v>8683002</v>
      </c>
      <c r="P12" t="s">
        <v>33</v>
      </c>
    </row>
    <row r="13" spans="2:20" x14ac:dyDescent="0.2">
      <c r="B13" t="s">
        <v>23</v>
      </c>
      <c r="C13">
        <v>-3327.3583335571302</v>
      </c>
      <c r="D13">
        <f t="shared" si="0"/>
        <v>1.5271116142177434E-7</v>
      </c>
      <c r="E13">
        <f t="shared" si="2"/>
        <v>4.1554820326284335E-6</v>
      </c>
      <c r="P13" t="s">
        <v>33</v>
      </c>
    </row>
    <row r="14" spans="2:20" x14ac:dyDescent="0.2">
      <c r="B14" t="s">
        <v>24</v>
      </c>
      <c r="C14">
        <v>-3327.35852629177</v>
      </c>
      <c r="D14">
        <f t="shared" si="0"/>
        <v>-9.6783906978681592E-7</v>
      </c>
      <c r="E14">
        <f t="shared" si="2"/>
        <v>-2.6336240439341427E-5</v>
      </c>
      <c r="G14" t="s">
        <v>17</v>
      </c>
      <c r="P14" t="s">
        <v>33</v>
      </c>
    </row>
    <row r="15" spans="2:20" x14ac:dyDescent="0.2">
      <c r="B15" t="s">
        <v>25</v>
      </c>
      <c r="C15">
        <v>-3327.35835982345</v>
      </c>
      <c r="D15">
        <f>(C15-$C$15)/172</f>
        <v>0</v>
      </c>
      <c r="E15">
        <f t="shared" si="2"/>
        <v>0</v>
      </c>
      <c r="G15" t="s">
        <v>3</v>
      </c>
      <c r="H15" t="s">
        <v>4</v>
      </c>
      <c r="I15" t="s">
        <v>5</v>
      </c>
      <c r="J15" t="s">
        <v>3</v>
      </c>
      <c r="P15" t="s">
        <v>33</v>
      </c>
    </row>
    <row r="16" spans="2:20" x14ac:dyDescent="0.2">
      <c r="B16" t="s">
        <v>26</v>
      </c>
      <c r="C16">
        <v>-3327.3583559891699</v>
      </c>
      <c r="D16">
        <f>(C16-$C$15)/172</f>
        <v>2.2292325876722233E-8</v>
      </c>
      <c r="E16">
        <f t="shared" si="2"/>
        <v>6.066050364869316E-7</v>
      </c>
      <c r="G16" t="s">
        <v>6</v>
      </c>
    </row>
    <row r="17" spans="1:14" x14ac:dyDescent="0.2">
      <c r="B17" t="s">
        <v>27</v>
      </c>
      <c r="C17">
        <v>-3327.35834782948</v>
      </c>
      <c r="D17">
        <f>(C17-$C$15)/172</f>
        <v>6.9732383836221847E-8</v>
      </c>
      <c r="E17">
        <f t="shared" si="2"/>
        <v>1.8975146638001545E-6</v>
      </c>
      <c r="G17" t="s">
        <v>7</v>
      </c>
      <c r="H17" t="s">
        <v>8</v>
      </c>
      <c r="I17" t="s">
        <v>9</v>
      </c>
      <c r="J17" s="1">
        <v>4.1666666666666664E-2</v>
      </c>
      <c r="K17">
        <v>1588373</v>
      </c>
      <c r="L17" t="s">
        <v>10</v>
      </c>
      <c r="M17" t="s">
        <v>11</v>
      </c>
      <c r="N17">
        <v>400</v>
      </c>
    </row>
    <row r="18" spans="1:14" x14ac:dyDescent="0.2">
      <c r="B18" t="s">
        <v>28</v>
      </c>
      <c r="C18">
        <v>-3327.3583546241698</v>
      </c>
      <c r="D18">
        <f>(C18-$C$15)/172</f>
        <v>3.0228373065636882E-8</v>
      </c>
      <c r="E18">
        <f t="shared" si="2"/>
        <v>8.2255586284823272E-7</v>
      </c>
      <c r="G18" t="s">
        <v>7</v>
      </c>
      <c r="H18" t="s">
        <v>8</v>
      </c>
      <c r="I18" t="s">
        <v>9</v>
      </c>
      <c r="J18" s="1">
        <v>8.3333333333333329E-2</v>
      </c>
      <c r="K18">
        <v>3248940</v>
      </c>
      <c r="L18" t="s">
        <v>10</v>
      </c>
      <c r="M18" t="s">
        <v>11</v>
      </c>
      <c r="N18">
        <v>133.33000000000001</v>
      </c>
    </row>
    <row r="19" spans="1:14" x14ac:dyDescent="0.2">
      <c r="B19" t="s">
        <v>29</v>
      </c>
      <c r="C19">
        <v>-3327.3582997338799</v>
      </c>
      <c r="D19">
        <f>(C19-$C$15)/172</f>
        <v>3.4935796552311985E-7</v>
      </c>
      <c r="E19">
        <f t="shared" si="2"/>
        <v>9.5065137031951757E-6</v>
      </c>
      <c r="G19" t="s">
        <v>7</v>
      </c>
      <c r="H19" t="s">
        <v>8</v>
      </c>
      <c r="I19" t="s">
        <v>9</v>
      </c>
      <c r="J19" s="1">
        <v>0.125</v>
      </c>
      <c r="K19">
        <v>2219744</v>
      </c>
      <c r="L19" t="s">
        <v>10</v>
      </c>
      <c r="M19" t="s">
        <v>11</v>
      </c>
      <c r="N19">
        <v>44.44</v>
      </c>
    </row>
    <row r="20" spans="1:14" x14ac:dyDescent="0.2">
      <c r="B20" t="s">
        <v>30</v>
      </c>
      <c r="C20">
        <v>-3327.3584090440199</v>
      </c>
      <c r="D20">
        <f>(C20-$C$15)/172</f>
        <v>-2.8616610443562018E-7</v>
      </c>
      <c r="E20">
        <f t="shared" si="2"/>
        <v>-7.7869757145330386E-6</v>
      </c>
      <c r="G20" t="s">
        <v>7</v>
      </c>
      <c r="H20" t="s">
        <v>8</v>
      </c>
      <c r="I20" t="s">
        <v>9</v>
      </c>
      <c r="J20" s="1">
        <v>0.16666666666666666</v>
      </c>
      <c r="K20">
        <v>1625945</v>
      </c>
      <c r="L20" t="s">
        <v>10</v>
      </c>
      <c r="M20" t="s">
        <v>11</v>
      </c>
      <c r="N20">
        <v>14.81</v>
      </c>
    </row>
    <row r="21" spans="1:14" x14ac:dyDescent="0.2">
      <c r="B21" t="s">
        <v>31</v>
      </c>
      <c r="C21">
        <v>-3327.3583539019201</v>
      </c>
      <c r="D21">
        <f>(C21-$C$15)/172</f>
        <v>3.4427499528202703E-8</v>
      </c>
      <c r="E21">
        <f t="shared" si="2"/>
        <v>9.3681990488333463E-7</v>
      </c>
      <c r="G21" t="s">
        <v>12</v>
      </c>
      <c r="H21" t="s">
        <v>13</v>
      </c>
      <c r="I21" t="s">
        <v>7</v>
      </c>
      <c r="J21" t="s">
        <v>14</v>
      </c>
      <c r="K21">
        <v>8683002</v>
      </c>
    </row>
    <row r="22" spans="1:14" x14ac:dyDescent="0.2">
      <c r="B22" t="s">
        <v>32</v>
      </c>
      <c r="C22">
        <v>-3327.3583521312498</v>
      </c>
      <c r="D22">
        <f>(C22-$C$15)/172</f>
        <v>4.4722093852490005E-8</v>
      </c>
      <c r="E22">
        <f t="shared" si="2"/>
        <v>1.2169500626890423E-6</v>
      </c>
    </row>
    <row r="23" spans="1:14" x14ac:dyDescent="0.2">
      <c r="B23" t="s">
        <v>34</v>
      </c>
      <c r="C23">
        <v>-3327.3583492872099</v>
      </c>
      <c r="D23">
        <f>(C23-$C$15)/172</f>
        <v>6.1257209867911774E-8</v>
      </c>
      <c r="E23">
        <f t="shared" si="2"/>
        <v>1.6668934516973757E-6</v>
      </c>
      <c r="G23" t="s">
        <v>36</v>
      </c>
    </row>
    <row r="24" spans="1:14" x14ac:dyDescent="0.2">
      <c r="B24" s="3" t="s">
        <v>36</v>
      </c>
      <c r="C24" s="3">
        <v>-3327.35834121578</v>
      </c>
      <c r="D24" s="3">
        <f>(C24-$C$15)/172</f>
        <v>1.0818412774401517E-7</v>
      </c>
      <c r="E24" s="3">
        <f t="shared" si="2"/>
        <v>2.9438398272291188E-6</v>
      </c>
      <c r="G24" t="s">
        <v>3</v>
      </c>
      <c r="H24" t="s">
        <v>4</v>
      </c>
      <c r="I24" t="s">
        <v>5</v>
      </c>
      <c r="J24" t="s">
        <v>3</v>
      </c>
    </row>
    <row r="25" spans="1:14" x14ac:dyDescent="0.2">
      <c r="B25" s="3" t="s">
        <v>35</v>
      </c>
      <c r="C25" s="3">
        <v>-3327.3583149656201</v>
      </c>
      <c r="D25" s="3">
        <f>(C25-$C$15)/172</f>
        <v>2.6080133624799244E-7</v>
      </c>
      <c r="E25" s="3">
        <f t="shared" si="2"/>
        <v>7.0967652709469328E-6</v>
      </c>
      <c r="G25" t="s">
        <v>6</v>
      </c>
    </row>
    <row r="26" spans="1:14" x14ac:dyDescent="0.2">
      <c r="B26" s="3" t="s">
        <v>37</v>
      </c>
      <c r="C26" s="3">
        <v>-3327.3583153190798</v>
      </c>
      <c r="D26" s="3">
        <f>(C26-$C$15)/172</f>
        <v>2.5874633825709638E-7</v>
      </c>
      <c r="E26" s="3">
        <f t="shared" si="2"/>
        <v>7.0408459317922082E-6</v>
      </c>
      <c r="G26" t="s">
        <v>7</v>
      </c>
      <c r="H26" t="s">
        <v>8</v>
      </c>
      <c r="I26" t="s">
        <v>9</v>
      </c>
      <c r="J26" s="1">
        <v>4.1666666666666664E-2</v>
      </c>
      <c r="K26">
        <v>1955788</v>
      </c>
      <c r="L26" t="s">
        <v>10</v>
      </c>
      <c r="M26" t="s">
        <v>11</v>
      </c>
      <c r="N26">
        <v>250</v>
      </c>
    </row>
    <row r="27" spans="1:14" x14ac:dyDescent="0.2">
      <c r="A27" t="s">
        <v>41</v>
      </c>
      <c r="B27" s="3" t="s">
        <v>36</v>
      </c>
      <c r="C27" s="3">
        <v>-3327.3583412159601</v>
      </c>
      <c r="D27" s="3">
        <f>(C27-$C$15)/172</f>
        <v>1.0818308076755615E-7</v>
      </c>
      <c r="E27" s="3">
        <f t="shared" si="2"/>
        <v>2.9438113375508035E-6</v>
      </c>
      <c r="G27" t="s">
        <v>7</v>
      </c>
      <c r="H27" t="s">
        <v>8</v>
      </c>
      <c r="I27" t="s">
        <v>9</v>
      </c>
      <c r="J27" s="1">
        <v>8.3333333333333329E-2</v>
      </c>
      <c r="K27">
        <v>3191259</v>
      </c>
      <c r="L27" t="s">
        <v>10</v>
      </c>
      <c r="M27" t="s">
        <v>11</v>
      </c>
      <c r="N27">
        <v>83.33</v>
      </c>
    </row>
    <row r="28" spans="1:14" x14ac:dyDescent="0.2">
      <c r="A28" t="s">
        <v>41</v>
      </c>
      <c r="B28" s="3" t="s">
        <v>42</v>
      </c>
      <c r="C28" s="3">
        <v>-3327.3583411583299</v>
      </c>
      <c r="D28" s="3">
        <f>(C28-$C$15)/172</f>
        <v>1.0851813967324128E-7</v>
      </c>
      <c r="E28" s="3">
        <f t="shared" si="2"/>
        <v>2.9529287540479595E-6</v>
      </c>
      <c r="G28" t="s">
        <v>7</v>
      </c>
      <c r="H28" t="s">
        <v>8</v>
      </c>
      <c r="I28" t="s">
        <v>9</v>
      </c>
      <c r="J28" s="1">
        <v>0.125</v>
      </c>
      <c r="K28">
        <v>2138036</v>
      </c>
      <c r="L28" t="s">
        <v>10</v>
      </c>
      <c r="M28" t="s">
        <v>11</v>
      </c>
      <c r="N28">
        <v>27.78</v>
      </c>
    </row>
    <row r="29" spans="1:14" x14ac:dyDescent="0.2">
      <c r="B29" s="2" t="s">
        <v>43</v>
      </c>
      <c r="C29" s="2">
        <v>-3327.3583390143399</v>
      </c>
      <c r="D29" s="2">
        <f>(C29-$C$15)/172</f>
        <v>1.2098319815735055E-7</v>
      </c>
      <c r="E29" s="2">
        <f t="shared" si="2"/>
        <v>3.2921202452534808E-6</v>
      </c>
      <c r="G29" t="s">
        <v>7</v>
      </c>
      <c r="H29" t="s">
        <v>8</v>
      </c>
      <c r="I29" t="s">
        <v>9</v>
      </c>
      <c r="J29" s="1">
        <v>0.16666666666666666</v>
      </c>
      <c r="K29">
        <v>1397919</v>
      </c>
      <c r="L29" t="s">
        <v>10</v>
      </c>
      <c r="M29" t="s">
        <v>11</v>
      </c>
      <c r="N29">
        <v>9.26</v>
      </c>
    </row>
    <row r="30" spans="1:14" x14ac:dyDescent="0.2">
      <c r="G30" t="s">
        <v>12</v>
      </c>
      <c r="H30" t="s">
        <v>13</v>
      </c>
      <c r="I30" t="s">
        <v>7</v>
      </c>
      <c r="J30" t="s">
        <v>14</v>
      </c>
      <c r="K30">
        <v>8683002</v>
      </c>
    </row>
    <row r="31" spans="1:14" x14ac:dyDescent="0.2">
      <c r="G31" t="s">
        <v>3</v>
      </c>
      <c r="H31" t="s">
        <v>4</v>
      </c>
      <c r="I31" t="s">
        <v>5</v>
      </c>
      <c r="J31" t="s">
        <v>3</v>
      </c>
    </row>
    <row r="32" spans="1:14" x14ac:dyDescent="0.2">
      <c r="B32" t="s">
        <v>38</v>
      </c>
      <c r="C32" t="s">
        <v>39</v>
      </c>
      <c r="D32" t="s">
        <v>40</v>
      </c>
      <c r="G32" t="s">
        <v>6</v>
      </c>
    </row>
    <row r="33" spans="2:14" x14ac:dyDescent="0.2">
      <c r="B33" t="s">
        <v>36</v>
      </c>
      <c r="C33">
        <v>51.527999999999999</v>
      </c>
      <c r="D33">
        <v>52.640999999999998</v>
      </c>
      <c r="G33" t="s">
        <v>7</v>
      </c>
      <c r="H33" t="s">
        <v>8</v>
      </c>
      <c r="I33" t="s">
        <v>9</v>
      </c>
      <c r="J33" s="1">
        <v>4.1666666666666664E-2</v>
      </c>
      <c r="K33">
        <v>2444108</v>
      </c>
      <c r="L33" t="s">
        <v>10</v>
      </c>
      <c r="M33" t="s">
        <v>11</v>
      </c>
      <c r="N33">
        <v>250</v>
      </c>
    </row>
    <row r="34" spans="2:14" x14ac:dyDescent="0.2">
      <c r="G34" t="s">
        <v>7</v>
      </c>
      <c r="H34" t="s">
        <v>8</v>
      </c>
      <c r="I34" t="s">
        <v>9</v>
      </c>
      <c r="J34" s="1">
        <v>8.3333333333333329E-2</v>
      </c>
      <c r="K34">
        <v>3982875</v>
      </c>
      <c r="L34" t="s">
        <v>10</v>
      </c>
      <c r="M34" t="s">
        <v>11</v>
      </c>
      <c r="N34">
        <v>83.33</v>
      </c>
    </row>
    <row r="35" spans="2:14" x14ac:dyDescent="0.2">
      <c r="G35" t="s">
        <v>7</v>
      </c>
      <c r="H35" t="s">
        <v>8</v>
      </c>
      <c r="I35" t="s">
        <v>9</v>
      </c>
      <c r="J35" s="1">
        <v>0.125</v>
      </c>
      <c r="K35">
        <v>2666228</v>
      </c>
      <c r="L35" t="s">
        <v>10</v>
      </c>
      <c r="M35" t="s">
        <v>11</v>
      </c>
      <c r="N35">
        <v>27.78</v>
      </c>
    </row>
    <row r="36" spans="2:14" x14ac:dyDescent="0.2">
      <c r="G36" t="s">
        <v>7</v>
      </c>
      <c r="H36" t="s">
        <v>8</v>
      </c>
      <c r="I36" t="s">
        <v>9</v>
      </c>
      <c r="J36" s="1">
        <v>0.16666666666666666</v>
      </c>
      <c r="K36">
        <v>1510160</v>
      </c>
      <c r="L36" t="s">
        <v>10</v>
      </c>
      <c r="M36" t="s">
        <v>11</v>
      </c>
      <c r="N36">
        <v>9.26</v>
      </c>
    </row>
    <row r="37" spans="2:14" x14ac:dyDescent="0.2">
      <c r="G37" t="s">
        <v>7</v>
      </c>
      <c r="H37" t="s">
        <v>8</v>
      </c>
      <c r="I37" t="s">
        <v>9</v>
      </c>
      <c r="J37" s="1">
        <v>0.20833333333333334</v>
      </c>
      <c r="K37">
        <v>228015</v>
      </c>
      <c r="L37" t="s">
        <v>10</v>
      </c>
      <c r="M37" t="s">
        <v>11</v>
      </c>
      <c r="N37">
        <v>3.09</v>
      </c>
    </row>
    <row r="38" spans="2:14" x14ac:dyDescent="0.2">
      <c r="G38" t="s">
        <v>12</v>
      </c>
      <c r="H38" t="s">
        <v>13</v>
      </c>
      <c r="I38" t="s">
        <v>7</v>
      </c>
      <c r="J38" t="s">
        <v>14</v>
      </c>
      <c r="K38">
        <v>10831386</v>
      </c>
    </row>
    <row r="39" spans="2:14" x14ac:dyDescent="0.2">
      <c r="G39" s="3" t="s">
        <v>42</v>
      </c>
    </row>
    <row r="40" spans="2:14" x14ac:dyDescent="0.2">
      <c r="G40" t="s">
        <v>3</v>
      </c>
      <c r="H40" t="s">
        <v>4</v>
      </c>
      <c r="I40" t="s">
        <v>5</v>
      </c>
      <c r="J40" t="s">
        <v>3</v>
      </c>
    </row>
    <row r="41" spans="2:14" x14ac:dyDescent="0.2">
      <c r="G41" t="s">
        <v>6</v>
      </c>
    </row>
    <row r="42" spans="2:14" x14ac:dyDescent="0.2">
      <c r="G42" t="s">
        <v>7</v>
      </c>
      <c r="H42" t="s">
        <v>8</v>
      </c>
      <c r="I42" t="s">
        <v>9</v>
      </c>
      <c r="J42" s="1">
        <v>4.1666666666666664E-2</v>
      </c>
      <c r="K42">
        <v>4075202</v>
      </c>
      <c r="L42" t="s">
        <v>10</v>
      </c>
      <c r="M42" t="s">
        <v>11</v>
      </c>
      <c r="N42">
        <v>250</v>
      </c>
    </row>
    <row r="43" spans="2:14" x14ac:dyDescent="0.2">
      <c r="G43" t="s">
        <v>7</v>
      </c>
      <c r="H43" t="s">
        <v>8</v>
      </c>
      <c r="I43" t="s">
        <v>9</v>
      </c>
      <c r="J43" s="1">
        <v>8.3333333333333329E-2</v>
      </c>
      <c r="K43">
        <v>3406137</v>
      </c>
      <c r="L43" t="s">
        <v>10</v>
      </c>
      <c r="M43" t="s">
        <v>11</v>
      </c>
      <c r="N43">
        <v>83.33</v>
      </c>
    </row>
    <row r="44" spans="2:14" x14ac:dyDescent="0.2">
      <c r="G44" t="s">
        <v>7</v>
      </c>
      <c r="H44" t="s">
        <v>8</v>
      </c>
      <c r="I44" t="s">
        <v>9</v>
      </c>
      <c r="J44" s="1">
        <v>0.125</v>
      </c>
      <c r="K44">
        <v>2130717</v>
      </c>
      <c r="L44" t="s">
        <v>10</v>
      </c>
      <c r="M44" t="s">
        <v>11</v>
      </c>
      <c r="N44">
        <v>27.78</v>
      </c>
    </row>
    <row r="45" spans="2:14" x14ac:dyDescent="0.2">
      <c r="G45" t="s">
        <v>7</v>
      </c>
      <c r="H45" t="s">
        <v>8</v>
      </c>
      <c r="I45" t="s">
        <v>9</v>
      </c>
      <c r="J45" s="1">
        <v>0.16666666666666666</v>
      </c>
      <c r="K45">
        <v>1000014</v>
      </c>
      <c r="L45" t="s">
        <v>10</v>
      </c>
      <c r="M45" t="s">
        <v>11</v>
      </c>
      <c r="N45">
        <v>9.26</v>
      </c>
    </row>
    <row r="46" spans="2:14" x14ac:dyDescent="0.2">
      <c r="G46" t="s">
        <v>7</v>
      </c>
      <c r="H46" t="s">
        <v>8</v>
      </c>
      <c r="I46" t="s">
        <v>9</v>
      </c>
      <c r="J46" s="1">
        <v>0.20833333333333334</v>
      </c>
      <c r="K46">
        <v>219316</v>
      </c>
      <c r="L46" t="s">
        <v>10</v>
      </c>
      <c r="M46" t="s">
        <v>11</v>
      </c>
      <c r="N46">
        <v>3.09</v>
      </c>
    </row>
    <row r="47" spans="2:14" x14ac:dyDescent="0.2">
      <c r="G47" t="s">
        <v>12</v>
      </c>
      <c r="H47" t="s">
        <v>13</v>
      </c>
      <c r="I47" t="s">
        <v>7</v>
      </c>
      <c r="J47" t="s">
        <v>14</v>
      </c>
      <c r="K47">
        <v>10831386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2025-11-05T18:02:52Z</dcterms:created>
  <dcterms:modified xsi:type="dcterms:W3CDTF">2025-11-06T20:54:59Z</dcterms:modified>
</cp:coreProperties>
</file>