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aminbeeler/projects/spreadsheets/SALT/"/>
    </mc:Choice>
  </mc:AlternateContent>
  <xr:revisionPtr revIDLastSave="0" documentId="8_{EC08ABC4-4E2B-5745-9140-B9ADC71010A4}" xr6:coauthVersionLast="47" xr6:coauthVersionMax="47" xr10:uidLastSave="{00000000-0000-0000-0000-000000000000}"/>
  <bookViews>
    <workbookView xWindow="6860" yWindow="3020" windowWidth="27640" windowHeight="16940" xr2:uid="{C0E2DDD6-4EA3-EC44-9490-72AE2A4B21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21" i="1" l="1"/>
  <c r="O31" i="1"/>
  <c r="G121" i="1"/>
  <c r="N31" i="1"/>
  <c r="H7" i="1"/>
  <c r="G7" i="1"/>
  <c r="G16" i="1"/>
  <c r="H16" i="1" s="1"/>
  <c r="G15" i="1"/>
  <c r="H15" i="1" s="1"/>
  <c r="H14" i="1"/>
  <c r="G14" i="1"/>
  <c r="G13" i="1"/>
  <c r="H13" i="1" s="1"/>
  <c r="H12" i="1"/>
  <c r="G12" i="1"/>
  <c r="G11" i="1"/>
  <c r="H11" i="1" s="1"/>
  <c r="H10" i="1"/>
  <c r="G10" i="1"/>
  <c r="G9" i="1"/>
  <c r="H9" i="1" s="1"/>
  <c r="H8" i="1"/>
  <c r="G8" i="1"/>
</calcChain>
</file>

<file path=xl/sharedStrings.xml><?xml version="1.0" encoding="utf-8"?>
<sst xmlns="http://schemas.openxmlformats.org/spreadsheetml/2006/main" count="26" uniqueCount="11">
  <si>
    <t>TimeStep</t>
  </si>
  <si>
    <t>v_density</t>
  </si>
  <si>
    <t>v_VV</t>
  </si>
  <si>
    <t>v_rVis</t>
  </si>
  <si>
    <t>viscosity (Pa-s)</t>
  </si>
  <si>
    <t>vis (cP)</t>
  </si>
  <si>
    <t>#</t>
  </si>
  <si>
    <t>Time-averaged</t>
  </si>
  <si>
    <t>data</t>
  </si>
  <si>
    <t>for</t>
  </si>
  <si>
    <t>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</si>
</sst>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Sheet1!$B$7:$B$16</c:f>
              <c:numCache>
                <c:formatCode>General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300000</c:v>
                </c:pt>
                <c:pt idx="3">
                  <c:v>400000</c:v>
                </c:pt>
                <c:pt idx="4">
                  <c:v>500000</c:v>
                </c:pt>
                <c:pt idx="5">
                  <c:v>600000</c:v>
                </c:pt>
                <c:pt idx="6">
                  <c:v>700000</c:v>
                </c:pt>
                <c:pt idx="7">
                  <c:v>800000</c:v>
                </c:pt>
                <c:pt idx="8">
                  <c:v>900000</c:v>
                </c:pt>
                <c:pt idx="9">
                  <c:v>1000000</c:v>
                </c:pt>
              </c:numCache>
            </c:numRef>
          </c:xVal>
          <c:yVal>
            <c:numRef>
              <c:f>Sheet1!$H$7:$H$16</c:f>
              <c:numCache>
                <c:formatCode>General</c:formatCode>
                <c:ptCount val="10"/>
                <c:pt idx="0">
                  <c:v>0.7178802432178264</c:v>
                </c:pt>
                <c:pt idx="1">
                  <c:v>0.41225213340479039</c:v>
                </c:pt>
                <c:pt idx="2">
                  <c:v>0.43232213186689666</c:v>
                </c:pt>
                <c:pt idx="3">
                  <c:v>0.78557063851181497</c:v>
                </c:pt>
                <c:pt idx="4">
                  <c:v>0.44799655938642396</c:v>
                </c:pt>
                <c:pt idx="5">
                  <c:v>1.1028592729510529</c:v>
                </c:pt>
                <c:pt idx="6">
                  <c:v>0.78507108818703542</c:v>
                </c:pt>
                <c:pt idx="7">
                  <c:v>0.74604595643091609</c:v>
                </c:pt>
                <c:pt idx="8">
                  <c:v>0.91903317709769328</c:v>
                </c:pt>
                <c:pt idx="9">
                  <c:v>0.49691169382289069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43-F542-8102-1A3C1B94B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516224"/>
        <c:axId val="541476912"/>
      </c:scatterChart>
      <c:valAx>
        <c:axId val="52551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476912"/>
        <c:crosses val="autoZero"/>
        <c:crossBetween val="midCat"/>
      </c:valAx>
      <c:valAx>
        <c:axId val="54147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51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Sheet1!$B$22:$B$121</c:f>
              <c:numCache>
                <c:formatCode>General</c:formatCode>
                <c:ptCount val="10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140000</c:v>
                </c:pt>
                <c:pt idx="14">
                  <c:v>150000</c:v>
                </c:pt>
                <c:pt idx="15">
                  <c:v>160000</c:v>
                </c:pt>
                <c:pt idx="16">
                  <c:v>170000</c:v>
                </c:pt>
                <c:pt idx="17">
                  <c:v>180000</c:v>
                </c:pt>
                <c:pt idx="18">
                  <c:v>190000</c:v>
                </c:pt>
                <c:pt idx="19">
                  <c:v>200000</c:v>
                </c:pt>
                <c:pt idx="20">
                  <c:v>210000</c:v>
                </c:pt>
                <c:pt idx="21">
                  <c:v>220000</c:v>
                </c:pt>
                <c:pt idx="22">
                  <c:v>230000</c:v>
                </c:pt>
                <c:pt idx="23">
                  <c:v>240000</c:v>
                </c:pt>
                <c:pt idx="24">
                  <c:v>250000</c:v>
                </c:pt>
                <c:pt idx="25">
                  <c:v>260000</c:v>
                </c:pt>
                <c:pt idx="26">
                  <c:v>270000</c:v>
                </c:pt>
                <c:pt idx="27">
                  <c:v>280000</c:v>
                </c:pt>
                <c:pt idx="28">
                  <c:v>290000</c:v>
                </c:pt>
                <c:pt idx="29">
                  <c:v>300000</c:v>
                </c:pt>
                <c:pt idx="30">
                  <c:v>310000</c:v>
                </c:pt>
                <c:pt idx="31">
                  <c:v>320000</c:v>
                </c:pt>
                <c:pt idx="32">
                  <c:v>330000</c:v>
                </c:pt>
                <c:pt idx="33">
                  <c:v>340000</c:v>
                </c:pt>
                <c:pt idx="34">
                  <c:v>350000</c:v>
                </c:pt>
                <c:pt idx="35">
                  <c:v>360000</c:v>
                </c:pt>
                <c:pt idx="36">
                  <c:v>370000</c:v>
                </c:pt>
                <c:pt idx="37">
                  <c:v>380000</c:v>
                </c:pt>
                <c:pt idx="38">
                  <c:v>390000</c:v>
                </c:pt>
                <c:pt idx="39">
                  <c:v>400000</c:v>
                </c:pt>
                <c:pt idx="40">
                  <c:v>410000</c:v>
                </c:pt>
                <c:pt idx="41">
                  <c:v>420000</c:v>
                </c:pt>
                <c:pt idx="42">
                  <c:v>430000</c:v>
                </c:pt>
                <c:pt idx="43">
                  <c:v>440000</c:v>
                </c:pt>
                <c:pt idx="44">
                  <c:v>450000</c:v>
                </c:pt>
                <c:pt idx="45">
                  <c:v>460000</c:v>
                </c:pt>
                <c:pt idx="46">
                  <c:v>470000</c:v>
                </c:pt>
                <c:pt idx="47">
                  <c:v>480000</c:v>
                </c:pt>
                <c:pt idx="48">
                  <c:v>490000</c:v>
                </c:pt>
                <c:pt idx="49">
                  <c:v>500000</c:v>
                </c:pt>
                <c:pt idx="50">
                  <c:v>510000</c:v>
                </c:pt>
                <c:pt idx="51">
                  <c:v>520000</c:v>
                </c:pt>
                <c:pt idx="52">
                  <c:v>530000</c:v>
                </c:pt>
                <c:pt idx="53">
                  <c:v>540000</c:v>
                </c:pt>
                <c:pt idx="54">
                  <c:v>550000</c:v>
                </c:pt>
                <c:pt idx="55">
                  <c:v>560000</c:v>
                </c:pt>
                <c:pt idx="56">
                  <c:v>570000</c:v>
                </c:pt>
                <c:pt idx="57">
                  <c:v>580000</c:v>
                </c:pt>
                <c:pt idx="58">
                  <c:v>590000</c:v>
                </c:pt>
                <c:pt idx="59">
                  <c:v>600000</c:v>
                </c:pt>
                <c:pt idx="60">
                  <c:v>610000</c:v>
                </c:pt>
                <c:pt idx="61">
                  <c:v>620000</c:v>
                </c:pt>
                <c:pt idx="62">
                  <c:v>630000</c:v>
                </c:pt>
                <c:pt idx="63">
                  <c:v>640000</c:v>
                </c:pt>
                <c:pt idx="64">
                  <c:v>650000</c:v>
                </c:pt>
                <c:pt idx="65">
                  <c:v>660000</c:v>
                </c:pt>
                <c:pt idx="66">
                  <c:v>670000</c:v>
                </c:pt>
                <c:pt idx="67">
                  <c:v>680000</c:v>
                </c:pt>
                <c:pt idx="68">
                  <c:v>690000</c:v>
                </c:pt>
                <c:pt idx="69">
                  <c:v>700000</c:v>
                </c:pt>
                <c:pt idx="70">
                  <c:v>710000</c:v>
                </c:pt>
                <c:pt idx="71">
                  <c:v>720000</c:v>
                </c:pt>
                <c:pt idx="72">
                  <c:v>730000</c:v>
                </c:pt>
                <c:pt idx="73">
                  <c:v>740000</c:v>
                </c:pt>
                <c:pt idx="74">
                  <c:v>750000</c:v>
                </c:pt>
                <c:pt idx="75">
                  <c:v>760000</c:v>
                </c:pt>
                <c:pt idx="76">
                  <c:v>770000</c:v>
                </c:pt>
                <c:pt idx="77">
                  <c:v>780000</c:v>
                </c:pt>
                <c:pt idx="78">
                  <c:v>790000</c:v>
                </c:pt>
                <c:pt idx="79">
                  <c:v>800000</c:v>
                </c:pt>
                <c:pt idx="80">
                  <c:v>810000</c:v>
                </c:pt>
                <c:pt idx="81">
                  <c:v>820000</c:v>
                </c:pt>
                <c:pt idx="82">
                  <c:v>830000</c:v>
                </c:pt>
                <c:pt idx="83">
                  <c:v>840000</c:v>
                </c:pt>
                <c:pt idx="84">
                  <c:v>850000</c:v>
                </c:pt>
                <c:pt idx="85">
                  <c:v>860000</c:v>
                </c:pt>
                <c:pt idx="86">
                  <c:v>870000</c:v>
                </c:pt>
                <c:pt idx="87">
                  <c:v>880000</c:v>
                </c:pt>
                <c:pt idx="88">
                  <c:v>890000</c:v>
                </c:pt>
                <c:pt idx="89">
                  <c:v>900000</c:v>
                </c:pt>
                <c:pt idx="90">
                  <c:v>910000</c:v>
                </c:pt>
                <c:pt idx="91">
                  <c:v>920000</c:v>
                </c:pt>
                <c:pt idx="92">
                  <c:v>930000</c:v>
                </c:pt>
                <c:pt idx="93">
                  <c:v>940000</c:v>
                </c:pt>
                <c:pt idx="94">
                  <c:v>950000</c:v>
                </c:pt>
                <c:pt idx="95">
                  <c:v>960000</c:v>
                </c:pt>
                <c:pt idx="96">
                  <c:v>970000</c:v>
                </c:pt>
                <c:pt idx="97">
                  <c:v>980000</c:v>
                </c:pt>
                <c:pt idx="98">
                  <c:v>990000</c:v>
                </c:pt>
                <c:pt idx="99">
                  <c:v>1000000</c:v>
                </c:pt>
              </c:numCache>
            </c:numRef>
          </c:xVal>
          <c:yVal>
            <c:numRef>
              <c:f>Sheet1!$E$22:$E$121</c:f>
              <c:numCache>
                <c:formatCode>General</c:formatCode>
                <c:ptCount val="100"/>
                <c:pt idx="0">
                  <c:v>502.08699999999999</c:v>
                </c:pt>
                <c:pt idx="1">
                  <c:v>1370.6</c:v>
                </c:pt>
                <c:pt idx="2">
                  <c:v>955.25800000000004</c:v>
                </c:pt>
                <c:pt idx="3">
                  <c:v>1592.91</c:v>
                </c:pt>
                <c:pt idx="4">
                  <c:v>1333.39</c:v>
                </c:pt>
                <c:pt idx="5">
                  <c:v>1353.98</c:v>
                </c:pt>
                <c:pt idx="6">
                  <c:v>1504.98</c:v>
                </c:pt>
                <c:pt idx="7">
                  <c:v>1474.16</c:v>
                </c:pt>
                <c:pt idx="8">
                  <c:v>1696.39</c:v>
                </c:pt>
                <c:pt idx="9">
                  <c:v>1452.86</c:v>
                </c:pt>
                <c:pt idx="10">
                  <c:v>1164.3800000000001</c:v>
                </c:pt>
                <c:pt idx="11">
                  <c:v>1319.19</c:v>
                </c:pt>
                <c:pt idx="12">
                  <c:v>1556.96</c:v>
                </c:pt>
                <c:pt idx="13">
                  <c:v>1621.33</c:v>
                </c:pt>
                <c:pt idx="14">
                  <c:v>1109.48</c:v>
                </c:pt>
                <c:pt idx="15">
                  <c:v>1111.0899999999999</c:v>
                </c:pt>
                <c:pt idx="16">
                  <c:v>1896.17</c:v>
                </c:pt>
                <c:pt idx="17">
                  <c:v>1325.4</c:v>
                </c:pt>
                <c:pt idx="18">
                  <c:v>1337.73</c:v>
                </c:pt>
                <c:pt idx="19">
                  <c:v>756.66899999999998</c:v>
                </c:pt>
                <c:pt idx="20">
                  <c:v>761.79</c:v>
                </c:pt>
                <c:pt idx="21">
                  <c:v>864.96199999999999</c:v>
                </c:pt>
                <c:pt idx="22">
                  <c:v>1327.14</c:v>
                </c:pt>
                <c:pt idx="23">
                  <c:v>1531.31</c:v>
                </c:pt>
                <c:pt idx="24">
                  <c:v>1690.54</c:v>
                </c:pt>
                <c:pt idx="25">
                  <c:v>1236.46</c:v>
                </c:pt>
                <c:pt idx="26">
                  <c:v>1077.72</c:v>
                </c:pt>
                <c:pt idx="27">
                  <c:v>1269.71</c:v>
                </c:pt>
                <c:pt idx="28">
                  <c:v>1450.43</c:v>
                </c:pt>
                <c:pt idx="29">
                  <c:v>1531.57</c:v>
                </c:pt>
                <c:pt idx="30">
                  <c:v>1444.12</c:v>
                </c:pt>
                <c:pt idx="31">
                  <c:v>1499.43</c:v>
                </c:pt>
                <c:pt idx="32">
                  <c:v>904.16</c:v>
                </c:pt>
                <c:pt idx="33">
                  <c:v>980.048</c:v>
                </c:pt>
                <c:pt idx="34">
                  <c:v>886.44</c:v>
                </c:pt>
                <c:pt idx="35">
                  <c:v>1532.04</c:v>
                </c:pt>
                <c:pt idx="36">
                  <c:v>1840.69</c:v>
                </c:pt>
                <c:pt idx="37">
                  <c:v>1311.22</c:v>
                </c:pt>
                <c:pt idx="38">
                  <c:v>976.82299999999998</c:v>
                </c:pt>
                <c:pt idx="39">
                  <c:v>1147.33</c:v>
                </c:pt>
                <c:pt idx="40">
                  <c:v>1433.71</c:v>
                </c:pt>
                <c:pt idx="41">
                  <c:v>1403.83</c:v>
                </c:pt>
                <c:pt idx="42">
                  <c:v>1350.61</c:v>
                </c:pt>
                <c:pt idx="43">
                  <c:v>1562.62</c:v>
                </c:pt>
                <c:pt idx="44">
                  <c:v>947.86599999999999</c:v>
                </c:pt>
                <c:pt idx="45">
                  <c:v>1012.06</c:v>
                </c:pt>
                <c:pt idx="46">
                  <c:v>1248.6500000000001</c:v>
                </c:pt>
                <c:pt idx="47">
                  <c:v>1343.51</c:v>
                </c:pt>
                <c:pt idx="48">
                  <c:v>1568.54</c:v>
                </c:pt>
                <c:pt idx="49">
                  <c:v>1474.47</c:v>
                </c:pt>
                <c:pt idx="50">
                  <c:v>1406.54</c:v>
                </c:pt>
                <c:pt idx="51">
                  <c:v>1211.79</c:v>
                </c:pt>
                <c:pt idx="52">
                  <c:v>1495.53</c:v>
                </c:pt>
                <c:pt idx="53">
                  <c:v>1088.8</c:v>
                </c:pt>
                <c:pt idx="54">
                  <c:v>867.58399999999995</c:v>
                </c:pt>
                <c:pt idx="55">
                  <c:v>1349.81</c:v>
                </c:pt>
                <c:pt idx="56">
                  <c:v>1176.5899999999999</c:v>
                </c:pt>
                <c:pt idx="57">
                  <c:v>1376.37</c:v>
                </c:pt>
                <c:pt idx="58">
                  <c:v>1357.22</c:v>
                </c:pt>
                <c:pt idx="59">
                  <c:v>1089.46</c:v>
                </c:pt>
                <c:pt idx="60">
                  <c:v>1467.69</c:v>
                </c:pt>
                <c:pt idx="61">
                  <c:v>1222.57</c:v>
                </c:pt>
                <c:pt idx="62">
                  <c:v>911.78899999999999</c:v>
                </c:pt>
                <c:pt idx="63">
                  <c:v>1365.88</c:v>
                </c:pt>
                <c:pt idx="64">
                  <c:v>925.08500000000004</c:v>
                </c:pt>
                <c:pt idx="65">
                  <c:v>944.37699999999995</c:v>
                </c:pt>
                <c:pt idx="66">
                  <c:v>1369.6</c:v>
                </c:pt>
                <c:pt idx="67">
                  <c:v>1871.29</c:v>
                </c:pt>
                <c:pt idx="68">
                  <c:v>1459.18</c:v>
                </c:pt>
                <c:pt idx="69">
                  <c:v>1510.22</c:v>
                </c:pt>
                <c:pt idx="70">
                  <c:v>1637.09</c:v>
                </c:pt>
                <c:pt idx="71">
                  <c:v>1136.4100000000001</c:v>
                </c:pt>
                <c:pt idx="72">
                  <c:v>1211.68</c:v>
                </c:pt>
                <c:pt idx="73">
                  <c:v>962.97199999999998</c:v>
                </c:pt>
                <c:pt idx="74">
                  <c:v>1322.99</c:v>
                </c:pt>
                <c:pt idx="75">
                  <c:v>1000.58</c:v>
                </c:pt>
                <c:pt idx="76">
                  <c:v>835.82500000000005</c:v>
                </c:pt>
                <c:pt idx="77">
                  <c:v>1002.16</c:v>
                </c:pt>
                <c:pt idx="78">
                  <c:v>1102.07</c:v>
                </c:pt>
                <c:pt idx="79">
                  <c:v>1320.05</c:v>
                </c:pt>
                <c:pt idx="80">
                  <c:v>1661.18</c:v>
                </c:pt>
                <c:pt idx="81">
                  <c:v>1620.34</c:v>
                </c:pt>
                <c:pt idx="82">
                  <c:v>1082.5999999999999</c:v>
                </c:pt>
                <c:pt idx="83">
                  <c:v>695.16</c:v>
                </c:pt>
                <c:pt idx="84">
                  <c:v>1321.45</c:v>
                </c:pt>
                <c:pt idx="85">
                  <c:v>1339.94</c:v>
                </c:pt>
                <c:pt idx="86">
                  <c:v>1129.3399999999999</c:v>
                </c:pt>
                <c:pt idx="87">
                  <c:v>1271.24</c:v>
                </c:pt>
                <c:pt idx="88">
                  <c:v>1565.18</c:v>
                </c:pt>
                <c:pt idx="89">
                  <c:v>1171.51</c:v>
                </c:pt>
                <c:pt idx="90">
                  <c:v>1285.99</c:v>
                </c:pt>
                <c:pt idx="91">
                  <c:v>1603.54</c:v>
                </c:pt>
                <c:pt idx="92">
                  <c:v>1684.76</c:v>
                </c:pt>
                <c:pt idx="93">
                  <c:v>1297.72</c:v>
                </c:pt>
                <c:pt idx="94">
                  <c:v>951.44299999999998</c:v>
                </c:pt>
                <c:pt idx="95">
                  <c:v>785.83100000000002</c:v>
                </c:pt>
                <c:pt idx="96">
                  <c:v>1141.08</c:v>
                </c:pt>
                <c:pt idx="97">
                  <c:v>1432.74</c:v>
                </c:pt>
                <c:pt idx="98">
                  <c:v>903.45699999999999</c:v>
                </c:pt>
                <c:pt idx="99">
                  <c:v>1608.15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26-8E40-B6EB-1EA32143D3C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Sheet1!$I$22:$I$31</c:f>
              <c:numCache>
                <c:formatCode>General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300000</c:v>
                </c:pt>
                <c:pt idx="3">
                  <c:v>400000</c:v>
                </c:pt>
                <c:pt idx="4">
                  <c:v>500000</c:v>
                </c:pt>
                <c:pt idx="5">
                  <c:v>600000</c:v>
                </c:pt>
                <c:pt idx="6">
                  <c:v>700000</c:v>
                </c:pt>
                <c:pt idx="7">
                  <c:v>800000</c:v>
                </c:pt>
                <c:pt idx="8">
                  <c:v>900000</c:v>
                </c:pt>
                <c:pt idx="9">
                  <c:v>1000000</c:v>
                </c:pt>
              </c:numCache>
            </c:numRef>
          </c:xVal>
          <c:yVal>
            <c:numRef>
              <c:f>Sheet1!$L$22:$L$31</c:f>
              <c:numCache>
                <c:formatCode>General</c:formatCode>
                <c:ptCount val="10"/>
                <c:pt idx="0">
                  <c:v>1462.12</c:v>
                </c:pt>
                <c:pt idx="1">
                  <c:v>1294.8900000000001</c:v>
                </c:pt>
                <c:pt idx="2">
                  <c:v>1300.1199999999999</c:v>
                </c:pt>
                <c:pt idx="3">
                  <c:v>1392.91</c:v>
                </c:pt>
                <c:pt idx="4">
                  <c:v>1269.68</c:v>
                </c:pt>
                <c:pt idx="5">
                  <c:v>1269.45</c:v>
                </c:pt>
                <c:pt idx="6">
                  <c:v>1413.27</c:v>
                </c:pt>
                <c:pt idx="7">
                  <c:v>1020.47</c:v>
                </c:pt>
                <c:pt idx="8">
                  <c:v>1320.75</c:v>
                </c:pt>
                <c:pt idx="9">
                  <c:v>1159.7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26-8E40-B6EB-1EA32143D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067520"/>
        <c:axId val="201618752"/>
      </c:scatterChart>
      <c:valAx>
        <c:axId val="58006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18752"/>
        <c:crosses val="autoZero"/>
        <c:crossBetween val="midCat"/>
      </c:valAx>
      <c:valAx>
        <c:axId val="20161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67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146050</xdr:colOff>
      <xdr:row>3</xdr:row>
      <xdr:rowOff>190500</xdr:rowOff>
    </xdr:from>
    <xdr:to>
      <xdr:col>14</xdr:col>
      <xdr:colOff>590550</xdr:colOff>
      <xdr:row>17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D2058D-985B-C3F0-9CD4-A0791BE7AF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19050</xdr:colOff>
      <xdr:row>31</xdr:row>
      <xdr:rowOff>196850</xdr:rowOff>
    </xdr:from>
    <xdr:to>
      <xdr:col>13</xdr:col>
      <xdr:colOff>463550</xdr:colOff>
      <xdr:row>45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3903D5-CD91-6DE0-A7B3-1A5CF8B869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5751E-02AB-9446-940B-40E2C54112A1}">
  <dimension ref="B6:O121"/>
  <sheetViews>
    <sheetView tabSelected="1" workbookViewId="0">
      <selection activeCell="G22" sqref="G22"/>
    </sheetView>
  </sheetViews>
  <sheetFormatPr baseColWidth="10" defaultRowHeight="16" x14ac:dyDescent="0.2"/>
  <sheetData>
    <row r="6" spans="2:8" x14ac:dyDescent="0.2">
      <c r="B6" t="s">
        <v>0</v>
      </c>
      <c r="C6" t="s">
        <v>1</v>
      </c>
      <c r="D6" t="s">
        <v>2</v>
      </c>
      <c r="E6" t="s">
        <v>3</v>
      </c>
      <c r="G6" t="s">
        <v>4</v>
      </c>
      <c r="H6" t="s">
        <v>5</v>
      </c>
    </row>
    <row r="7" spans="2:8" x14ac:dyDescent="0.2">
      <c r="B7">
        <v>100000</v>
      </c>
      <c r="C7">
        <v>1.4112100000000001</v>
      </c>
      <c r="D7">
        <v>0.20985200000000001</v>
      </c>
      <c r="E7">
        <v>1392.99</v>
      </c>
      <c r="G7">
        <f>1/E7</f>
        <v>7.1788024321782636E-4</v>
      </c>
      <c r="H7">
        <f>G7*1000</f>
        <v>0.7178802432178264</v>
      </c>
    </row>
    <row r="8" spans="2:8" x14ac:dyDescent="0.2">
      <c r="B8">
        <v>200000</v>
      </c>
      <c r="C8">
        <v>1.41137</v>
      </c>
      <c r="D8">
        <v>0.36539300000000002</v>
      </c>
      <c r="E8">
        <v>2425.6999999999998</v>
      </c>
      <c r="G8">
        <f t="shared" ref="G8:G16" si="0">1/E8</f>
        <v>4.1225213340479041E-4</v>
      </c>
      <c r="H8">
        <f t="shared" ref="H8:H16" si="1">G8*1000</f>
        <v>0.41225213340479039</v>
      </c>
    </row>
    <row r="9" spans="2:8" x14ac:dyDescent="0.2">
      <c r="B9">
        <v>300000</v>
      </c>
      <c r="C9">
        <v>1.4109499999999999</v>
      </c>
      <c r="D9">
        <v>0.34841100000000003</v>
      </c>
      <c r="E9">
        <v>2313.09</v>
      </c>
      <c r="G9">
        <f t="shared" si="0"/>
        <v>4.3232213186689665E-4</v>
      </c>
      <c r="H9">
        <f t="shared" si="1"/>
        <v>0.43232213186689666</v>
      </c>
    </row>
    <row r="10" spans="2:8" x14ac:dyDescent="0.2">
      <c r="B10">
        <v>400000</v>
      </c>
      <c r="C10">
        <v>1.41147</v>
      </c>
      <c r="D10">
        <v>0.19177</v>
      </c>
      <c r="E10">
        <v>1272.96</v>
      </c>
      <c r="G10">
        <f t="shared" si="0"/>
        <v>7.8557063851181501E-4</v>
      </c>
      <c r="H10">
        <f t="shared" si="1"/>
        <v>0.78557063851181497</v>
      </c>
    </row>
    <row r="11" spans="2:8" x14ac:dyDescent="0.2">
      <c r="B11">
        <v>500000</v>
      </c>
      <c r="C11">
        <v>1.41124</v>
      </c>
      <c r="D11">
        <v>0.336254</v>
      </c>
      <c r="E11">
        <v>2232.16</v>
      </c>
      <c r="G11">
        <f t="shared" si="0"/>
        <v>4.4799655938642394E-4</v>
      </c>
      <c r="H11">
        <f t="shared" si="1"/>
        <v>0.44799655938642396</v>
      </c>
    </row>
    <row r="12" spans="2:8" x14ac:dyDescent="0.2">
      <c r="B12">
        <v>600000</v>
      </c>
      <c r="C12">
        <v>1.41167</v>
      </c>
      <c r="D12">
        <v>0.136577</v>
      </c>
      <c r="E12">
        <v>906.73400000000004</v>
      </c>
      <c r="G12">
        <f t="shared" si="0"/>
        <v>1.1028592729510529E-3</v>
      </c>
      <c r="H12">
        <f t="shared" si="1"/>
        <v>1.1028592729510529</v>
      </c>
    </row>
    <row r="13" spans="2:8" x14ac:dyDescent="0.2">
      <c r="B13">
        <v>700000</v>
      </c>
      <c r="C13">
        <v>1.4121600000000001</v>
      </c>
      <c r="D13">
        <v>0.19192999999999999</v>
      </c>
      <c r="E13">
        <v>1273.77</v>
      </c>
      <c r="G13">
        <f t="shared" si="0"/>
        <v>7.850710881870354E-4</v>
      </c>
      <c r="H13">
        <f t="shared" si="1"/>
        <v>0.78507108818703542</v>
      </c>
    </row>
    <row r="14" spans="2:8" x14ac:dyDescent="0.2">
      <c r="B14">
        <v>800000</v>
      </c>
      <c r="C14">
        <v>1.41154</v>
      </c>
      <c r="D14">
        <v>0.20193800000000001</v>
      </c>
      <c r="E14">
        <v>1340.4</v>
      </c>
      <c r="G14">
        <f t="shared" si="0"/>
        <v>7.460459564309161E-4</v>
      </c>
      <c r="H14">
        <f t="shared" si="1"/>
        <v>0.74604595643091609</v>
      </c>
    </row>
    <row r="15" spans="2:8" x14ac:dyDescent="0.2">
      <c r="B15">
        <v>900000</v>
      </c>
      <c r="C15">
        <v>1.41171</v>
      </c>
      <c r="D15">
        <v>0.16392699999999999</v>
      </c>
      <c r="E15">
        <v>1088.0999999999999</v>
      </c>
      <c r="G15">
        <f t="shared" si="0"/>
        <v>9.1903317709769326E-4</v>
      </c>
      <c r="H15">
        <f t="shared" si="1"/>
        <v>0.91903317709769328</v>
      </c>
    </row>
    <row r="16" spans="2:8" x14ac:dyDescent="0.2">
      <c r="B16">
        <v>1000000</v>
      </c>
      <c r="C16">
        <v>1.4112899999999999</v>
      </c>
      <c r="D16">
        <v>0.30315599999999998</v>
      </c>
      <c r="E16">
        <v>2012.43</v>
      </c>
      <c r="G16">
        <f t="shared" si="0"/>
        <v>4.9691169382289069E-4</v>
      </c>
      <c r="H16">
        <f t="shared" si="1"/>
        <v>0.49691169382289069</v>
      </c>
    </row>
    <row r="20" spans="2:15" x14ac:dyDescent="0.2">
      <c r="B20" t="s">
        <v>6</v>
      </c>
      <c r="C20" t="s">
        <v>7</v>
      </c>
      <c r="D20" t="s">
        <v>8</v>
      </c>
      <c r="E20" t="s">
        <v>9</v>
      </c>
      <c r="F20" t="s">
        <v>10</v>
      </c>
      <c r="G20">
        <v>55</v>
      </c>
      <c r="I20" t="s">
        <v>6</v>
      </c>
      <c r="J20" t="s">
        <v>7</v>
      </c>
      <c r="K20" t="s">
        <v>8</v>
      </c>
      <c r="L20" t="s">
        <v>9</v>
      </c>
      <c r="M20" t="s">
        <v>10</v>
      </c>
      <c r="N20">
        <v>66</v>
      </c>
    </row>
    <row r="21" spans="2:15" x14ac:dyDescent="0.2">
      <c r="B21" t="s">
        <v>6</v>
      </c>
      <c r="C21" t="s">
        <v>0</v>
      </c>
      <c r="D21" t="s">
        <v>1</v>
      </c>
      <c r="E21" t="s">
        <v>2</v>
      </c>
      <c r="F21" t="s">
        <v>3</v>
      </c>
      <c r="I21" t="s">
        <v>6</v>
      </c>
      <c r="J21" t="s">
        <v>0</v>
      </c>
      <c r="K21" t="s">
        <v>1</v>
      </c>
      <c r="L21" t="s">
        <v>2</v>
      </c>
      <c r="M21" t="s">
        <v>3</v>
      </c>
    </row>
    <row r="22" spans="2:15" x14ac:dyDescent="0.2">
      <c r="B22">
        <v>10000</v>
      </c>
      <c r="C22">
        <v>1.44617</v>
      </c>
      <c r="D22">
        <v>0.21410599999999999</v>
      </c>
      <c r="E22">
        <v>502.08699999999999</v>
      </c>
      <c r="I22">
        <v>100000</v>
      </c>
      <c r="J22">
        <v>1.4493400000000001</v>
      </c>
      <c r="K22">
        <v>0.623915</v>
      </c>
      <c r="L22">
        <v>1462.12</v>
      </c>
    </row>
    <row r="23" spans="2:15" x14ac:dyDescent="0.2">
      <c r="B23">
        <v>20000</v>
      </c>
      <c r="C23">
        <v>1.45055</v>
      </c>
      <c r="D23">
        <v>0.58501700000000001</v>
      </c>
      <c r="E23">
        <v>1370.6</v>
      </c>
      <c r="I23">
        <v>200000</v>
      </c>
      <c r="J23">
        <v>1.4491000000000001</v>
      </c>
      <c r="K23">
        <v>0.55249199999999998</v>
      </c>
      <c r="L23">
        <v>1294.8900000000001</v>
      </c>
    </row>
    <row r="24" spans="2:15" x14ac:dyDescent="0.2">
      <c r="B24">
        <v>30000</v>
      </c>
      <c r="C24">
        <v>1.4502299999999999</v>
      </c>
      <c r="D24">
        <v>0.407692</v>
      </c>
      <c r="E24">
        <v>955.25800000000004</v>
      </c>
      <c r="I24">
        <v>300000</v>
      </c>
      <c r="J24">
        <v>1.4493499999999999</v>
      </c>
      <c r="K24">
        <v>0.55478300000000003</v>
      </c>
      <c r="L24">
        <v>1300.1199999999999</v>
      </c>
    </row>
    <row r="25" spans="2:15" x14ac:dyDescent="0.2">
      <c r="B25">
        <v>40000</v>
      </c>
      <c r="C25">
        <v>1.4489399999999999</v>
      </c>
      <c r="D25">
        <v>0.67963099999999999</v>
      </c>
      <c r="E25">
        <v>1592.91</v>
      </c>
      <c r="I25">
        <v>400000</v>
      </c>
      <c r="J25">
        <v>1.4502600000000001</v>
      </c>
      <c r="K25">
        <v>0.59445400000000004</v>
      </c>
      <c r="L25">
        <v>1392.91</v>
      </c>
    </row>
    <row r="26" spans="2:15" x14ac:dyDescent="0.2">
      <c r="B26">
        <v>50000</v>
      </c>
      <c r="C26">
        <v>1.4481200000000001</v>
      </c>
      <c r="D26">
        <v>0.56880299999999995</v>
      </c>
      <c r="E26">
        <v>1333.39</v>
      </c>
      <c r="I26">
        <v>500000</v>
      </c>
      <c r="J26">
        <v>1.44858</v>
      </c>
      <c r="K26">
        <v>0.54168700000000003</v>
      </c>
      <c r="L26">
        <v>1269.68</v>
      </c>
    </row>
    <row r="27" spans="2:15" x14ac:dyDescent="0.2">
      <c r="B27">
        <v>60000</v>
      </c>
      <c r="C27">
        <v>1.44665</v>
      </c>
      <c r="D27">
        <v>0.57739099999999999</v>
      </c>
      <c r="E27">
        <v>1353.98</v>
      </c>
      <c r="I27">
        <v>600000</v>
      </c>
      <c r="J27">
        <v>1.4495199999999999</v>
      </c>
      <c r="K27">
        <v>0.54171000000000002</v>
      </c>
      <c r="L27">
        <v>1269.45</v>
      </c>
    </row>
    <row r="28" spans="2:15" x14ac:dyDescent="0.2">
      <c r="B28">
        <v>70000</v>
      </c>
      <c r="C28">
        <v>1.4462299999999999</v>
      </c>
      <c r="D28">
        <v>0.64173800000000003</v>
      </c>
      <c r="E28">
        <v>1504.98</v>
      </c>
      <c r="I28">
        <v>700000</v>
      </c>
      <c r="J28">
        <v>1.4484399999999999</v>
      </c>
      <c r="K28">
        <v>0.60291799999999995</v>
      </c>
      <c r="L28">
        <v>1413.27</v>
      </c>
    </row>
    <row r="29" spans="2:15" x14ac:dyDescent="0.2">
      <c r="B29">
        <v>80000</v>
      </c>
      <c r="C29">
        <v>1.4506300000000001</v>
      </c>
      <c r="D29">
        <v>0.62922999999999996</v>
      </c>
      <c r="E29">
        <v>1474.16</v>
      </c>
      <c r="I29">
        <v>800000</v>
      </c>
      <c r="J29">
        <v>1.44991</v>
      </c>
      <c r="K29">
        <v>0.43547000000000002</v>
      </c>
      <c r="L29">
        <v>1020.47</v>
      </c>
    </row>
    <row r="30" spans="2:15" x14ac:dyDescent="0.2">
      <c r="B30">
        <v>90000</v>
      </c>
      <c r="C30">
        <v>1.44994</v>
      </c>
      <c r="D30">
        <v>0.723943</v>
      </c>
      <c r="E30">
        <v>1696.39</v>
      </c>
      <c r="I30">
        <v>900000</v>
      </c>
      <c r="J30">
        <v>1.4505300000000001</v>
      </c>
      <c r="K30">
        <v>0.56372999999999995</v>
      </c>
      <c r="L30">
        <v>1320.75</v>
      </c>
    </row>
    <row r="31" spans="2:15" x14ac:dyDescent="0.2">
      <c r="B31">
        <v>100000</v>
      </c>
      <c r="C31">
        <v>1.45133</v>
      </c>
      <c r="D31">
        <v>0.62023099999999998</v>
      </c>
      <c r="E31">
        <v>1452.86</v>
      </c>
      <c r="I31">
        <v>1000000</v>
      </c>
      <c r="J31">
        <v>1.4495</v>
      </c>
      <c r="K31">
        <v>0.49489100000000003</v>
      </c>
      <c r="L31">
        <v>1159.7</v>
      </c>
      <c r="N31">
        <f>AVERAGE(L27:L31)</f>
        <v>1236.7280000000001</v>
      </c>
      <c r="O31">
        <f>STDEV(L27:L31)</f>
        <v>151.65613973723481</v>
      </c>
    </row>
    <row r="32" spans="2:15" x14ac:dyDescent="0.2">
      <c r="B32">
        <v>110000</v>
      </c>
      <c r="C32">
        <v>1.4486600000000001</v>
      </c>
      <c r="D32">
        <v>0.49680299999999999</v>
      </c>
      <c r="E32">
        <v>1164.3800000000001</v>
      </c>
    </row>
    <row r="33" spans="2:5" x14ac:dyDescent="0.2">
      <c r="B33">
        <v>120000</v>
      </c>
      <c r="C33">
        <v>1.44821</v>
      </c>
      <c r="D33">
        <v>0.56277200000000005</v>
      </c>
      <c r="E33">
        <v>1319.19</v>
      </c>
    </row>
    <row r="34" spans="2:5" x14ac:dyDescent="0.2">
      <c r="B34">
        <v>130000</v>
      </c>
      <c r="C34">
        <v>1.4499299999999999</v>
      </c>
      <c r="D34">
        <v>0.66444599999999998</v>
      </c>
      <c r="E34">
        <v>1556.96</v>
      </c>
    </row>
    <row r="35" spans="2:5" x14ac:dyDescent="0.2">
      <c r="B35">
        <v>140000</v>
      </c>
      <c r="C35">
        <v>1.45153</v>
      </c>
      <c r="D35">
        <v>0.69215400000000005</v>
      </c>
      <c r="E35">
        <v>1621.33</v>
      </c>
    </row>
    <row r="36" spans="2:5" x14ac:dyDescent="0.2">
      <c r="B36">
        <v>150000</v>
      </c>
      <c r="C36">
        <v>1.45103</v>
      </c>
      <c r="D36">
        <v>0.47360999999999998</v>
      </c>
      <c r="E36">
        <v>1109.48</v>
      </c>
    </row>
    <row r="37" spans="2:5" x14ac:dyDescent="0.2">
      <c r="B37">
        <v>160000</v>
      </c>
      <c r="C37">
        <v>1.44818</v>
      </c>
      <c r="D37">
        <v>0.47397800000000001</v>
      </c>
      <c r="E37">
        <v>1111.0899999999999</v>
      </c>
    </row>
    <row r="38" spans="2:5" x14ac:dyDescent="0.2">
      <c r="B38">
        <v>170000</v>
      </c>
      <c r="C38">
        <v>1.4497199999999999</v>
      </c>
      <c r="D38">
        <v>0.80920000000000003</v>
      </c>
      <c r="E38">
        <v>1896.17</v>
      </c>
    </row>
    <row r="39" spans="2:5" x14ac:dyDescent="0.2">
      <c r="B39">
        <v>180000</v>
      </c>
      <c r="C39">
        <v>1.4490499999999999</v>
      </c>
      <c r="D39">
        <v>0.56552000000000002</v>
      </c>
      <c r="E39">
        <v>1325.4</v>
      </c>
    </row>
    <row r="40" spans="2:5" x14ac:dyDescent="0.2">
      <c r="B40">
        <v>190000</v>
      </c>
      <c r="C40">
        <v>1.44726</v>
      </c>
      <c r="D40">
        <v>0.57054800000000006</v>
      </c>
      <c r="E40">
        <v>1337.73</v>
      </c>
    </row>
    <row r="41" spans="2:5" x14ac:dyDescent="0.2">
      <c r="B41">
        <v>200000</v>
      </c>
      <c r="C41">
        <v>1.45068</v>
      </c>
      <c r="D41">
        <v>0.32295200000000002</v>
      </c>
      <c r="E41">
        <v>756.66899999999998</v>
      </c>
    </row>
    <row r="42" spans="2:5" x14ac:dyDescent="0.2">
      <c r="B42">
        <v>210000</v>
      </c>
      <c r="C42">
        <v>1.4515899999999999</v>
      </c>
      <c r="D42">
        <v>0.325241</v>
      </c>
      <c r="E42">
        <v>761.79</v>
      </c>
    </row>
    <row r="43" spans="2:5" x14ac:dyDescent="0.2">
      <c r="B43">
        <v>220000</v>
      </c>
      <c r="C43">
        <v>1.44699</v>
      </c>
      <c r="D43">
        <v>0.36888500000000002</v>
      </c>
      <c r="E43">
        <v>864.96199999999999</v>
      </c>
    </row>
    <row r="44" spans="2:5" x14ac:dyDescent="0.2">
      <c r="B44">
        <v>230000</v>
      </c>
      <c r="C44">
        <v>1.44615</v>
      </c>
      <c r="D44">
        <v>0.56587399999999999</v>
      </c>
      <c r="E44">
        <v>1327.14</v>
      </c>
    </row>
    <row r="45" spans="2:5" x14ac:dyDescent="0.2">
      <c r="B45">
        <v>240000</v>
      </c>
      <c r="C45">
        <v>1.4502900000000001</v>
      </c>
      <c r="D45">
        <v>0.65356599999999998</v>
      </c>
      <c r="E45">
        <v>1531.31</v>
      </c>
    </row>
    <row r="46" spans="2:5" x14ac:dyDescent="0.2">
      <c r="B46">
        <v>250000</v>
      </c>
      <c r="C46">
        <v>1.45031</v>
      </c>
      <c r="D46">
        <v>0.72152499999999997</v>
      </c>
      <c r="E46">
        <v>1690.54</v>
      </c>
    </row>
    <row r="47" spans="2:5" x14ac:dyDescent="0.2">
      <c r="B47">
        <v>260000</v>
      </c>
      <c r="C47">
        <v>1.4473800000000001</v>
      </c>
      <c r="D47">
        <v>0.52738200000000002</v>
      </c>
      <c r="E47">
        <v>1236.46</v>
      </c>
    </row>
    <row r="48" spans="2:5" x14ac:dyDescent="0.2">
      <c r="B48">
        <v>270000</v>
      </c>
      <c r="C48">
        <v>1.4490099999999999</v>
      </c>
      <c r="D48">
        <v>0.45982499999999998</v>
      </c>
      <c r="E48">
        <v>1077.72</v>
      </c>
    </row>
    <row r="49" spans="2:5" x14ac:dyDescent="0.2">
      <c r="B49">
        <v>280000</v>
      </c>
      <c r="C49">
        <v>1.44923</v>
      </c>
      <c r="D49">
        <v>0.54180300000000003</v>
      </c>
      <c r="E49">
        <v>1269.71</v>
      </c>
    </row>
    <row r="50" spans="2:5" x14ac:dyDescent="0.2">
      <c r="B50">
        <v>290000</v>
      </c>
      <c r="C50">
        <v>1.44973</v>
      </c>
      <c r="D50">
        <v>0.61895500000000003</v>
      </c>
      <c r="E50">
        <v>1450.43</v>
      </c>
    </row>
    <row r="51" spans="2:5" x14ac:dyDescent="0.2">
      <c r="B51">
        <v>300000</v>
      </c>
      <c r="C51">
        <v>1.4482600000000001</v>
      </c>
      <c r="D51">
        <v>0.65337699999999999</v>
      </c>
      <c r="E51">
        <v>1531.57</v>
      </c>
    </row>
    <row r="52" spans="2:5" x14ac:dyDescent="0.2">
      <c r="B52">
        <v>310000</v>
      </c>
      <c r="C52">
        <v>1.4506300000000001</v>
      </c>
      <c r="D52">
        <v>0.61642399999999997</v>
      </c>
      <c r="E52">
        <v>1444.12</v>
      </c>
    </row>
    <row r="53" spans="2:5" x14ac:dyDescent="0.2">
      <c r="B53">
        <v>320000</v>
      </c>
      <c r="C53">
        <v>1.4482699999999999</v>
      </c>
      <c r="D53">
        <v>0.63966199999999995</v>
      </c>
      <c r="E53">
        <v>1499.43</v>
      </c>
    </row>
    <row r="54" spans="2:5" x14ac:dyDescent="0.2">
      <c r="B54">
        <v>330000</v>
      </c>
      <c r="C54">
        <v>1.4517500000000001</v>
      </c>
      <c r="D54">
        <v>0.38603999999999999</v>
      </c>
      <c r="E54">
        <v>904.16</v>
      </c>
    </row>
    <row r="55" spans="2:5" x14ac:dyDescent="0.2">
      <c r="B55">
        <v>340000</v>
      </c>
      <c r="C55">
        <v>1.44848</v>
      </c>
      <c r="D55">
        <v>0.41814299999999999</v>
      </c>
      <c r="E55">
        <v>980.048</v>
      </c>
    </row>
    <row r="56" spans="2:5" x14ac:dyDescent="0.2">
      <c r="B56">
        <v>350000</v>
      </c>
      <c r="C56">
        <v>1.4501299999999999</v>
      </c>
      <c r="D56">
        <v>0.37833499999999998</v>
      </c>
      <c r="E56">
        <v>886.44</v>
      </c>
    </row>
    <row r="57" spans="2:5" x14ac:dyDescent="0.2">
      <c r="B57">
        <v>360000</v>
      </c>
      <c r="C57">
        <v>1.44936</v>
      </c>
      <c r="D57">
        <v>0.65374299999999996</v>
      </c>
      <c r="E57">
        <v>1532.04</v>
      </c>
    </row>
    <row r="58" spans="2:5" x14ac:dyDescent="0.2">
      <c r="B58">
        <v>370000</v>
      </c>
      <c r="C58">
        <v>1.44686</v>
      </c>
      <c r="D58">
        <v>0.78500099999999995</v>
      </c>
      <c r="E58">
        <v>1840.69</v>
      </c>
    </row>
    <row r="59" spans="2:5" x14ac:dyDescent="0.2">
      <c r="B59">
        <v>380000</v>
      </c>
      <c r="C59">
        <v>1.4512499999999999</v>
      </c>
      <c r="D59">
        <v>0.55970900000000001</v>
      </c>
      <c r="E59">
        <v>1311.22</v>
      </c>
    </row>
    <row r="60" spans="2:5" x14ac:dyDescent="0.2">
      <c r="B60">
        <v>390000</v>
      </c>
      <c r="C60">
        <v>1.4501900000000001</v>
      </c>
      <c r="D60">
        <v>0.41689199999999998</v>
      </c>
      <c r="E60">
        <v>976.82299999999998</v>
      </c>
    </row>
    <row r="61" spans="2:5" x14ac:dyDescent="0.2">
      <c r="B61">
        <v>400000</v>
      </c>
      <c r="C61">
        <v>1.4518200000000001</v>
      </c>
      <c r="D61">
        <v>0.489867</v>
      </c>
      <c r="E61">
        <v>1147.33</v>
      </c>
    </row>
    <row r="62" spans="2:5" x14ac:dyDescent="0.2">
      <c r="B62">
        <v>410000</v>
      </c>
      <c r="C62">
        <v>1.4512</v>
      </c>
      <c r="D62">
        <v>0.612043</v>
      </c>
      <c r="E62">
        <v>1433.71</v>
      </c>
    </row>
    <row r="63" spans="2:5" x14ac:dyDescent="0.2">
      <c r="B63">
        <v>420000</v>
      </c>
      <c r="C63">
        <v>1.4496199999999999</v>
      </c>
      <c r="D63">
        <v>0.59906899999999996</v>
      </c>
      <c r="E63">
        <v>1403.83</v>
      </c>
    </row>
    <row r="64" spans="2:5" x14ac:dyDescent="0.2">
      <c r="B64">
        <v>430000</v>
      </c>
      <c r="C64">
        <v>1.4482999999999999</v>
      </c>
      <c r="D64">
        <v>0.57616999999999996</v>
      </c>
      <c r="E64">
        <v>1350.61</v>
      </c>
    </row>
    <row r="65" spans="2:5" x14ac:dyDescent="0.2">
      <c r="B65">
        <v>440000</v>
      </c>
      <c r="C65">
        <v>1.44983</v>
      </c>
      <c r="D65">
        <v>0.66686400000000001</v>
      </c>
      <c r="E65">
        <v>1562.62</v>
      </c>
    </row>
    <row r="66" spans="2:5" x14ac:dyDescent="0.2">
      <c r="B66">
        <v>450000</v>
      </c>
      <c r="C66">
        <v>1.44716</v>
      </c>
      <c r="D66">
        <v>0.40426699999999999</v>
      </c>
      <c r="E66">
        <v>947.86599999999999</v>
      </c>
    </row>
    <row r="67" spans="2:5" x14ac:dyDescent="0.2">
      <c r="B67">
        <v>460000</v>
      </c>
      <c r="C67">
        <v>1.44794</v>
      </c>
      <c r="D67">
        <v>0.43175400000000003</v>
      </c>
      <c r="E67">
        <v>1012.06</v>
      </c>
    </row>
    <row r="68" spans="2:5" x14ac:dyDescent="0.2">
      <c r="B68">
        <v>470000</v>
      </c>
      <c r="C68">
        <v>1.45038</v>
      </c>
      <c r="D68">
        <v>0.53291900000000003</v>
      </c>
      <c r="E68">
        <v>1248.6500000000001</v>
      </c>
    </row>
    <row r="69" spans="2:5" x14ac:dyDescent="0.2">
      <c r="B69">
        <v>480000</v>
      </c>
      <c r="C69">
        <v>1.44726</v>
      </c>
      <c r="D69">
        <v>0.57300099999999998</v>
      </c>
      <c r="E69">
        <v>1343.51</v>
      </c>
    </row>
    <row r="70" spans="2:5" x14ac:dyDescent="0.2">
      <c r="B70">
        <v>490000</v>
      </c>
      <c r="C70">
        <v>1.4467099999999999</v>
      </c>
      <c r="D70">
        <v>0.66889100000000001</v>
      </c>
      <c r="E70">
        <v>1568.54</v>
      </c>
    </row>
    <row r="71" spans="2:5" x14ac:dyDescent="0.2">
      <c r="B71">
        <v>500000</v>
      </c>
      <c r="C71">
        <v>1.4484900000000001</v>
      </c>
      <c r="D71">
        <v>0.62904199999999999</v>
      </c>
      <c r="E71">
        <v>1474.47</v>
      </c>
    </row>
    <row r="72" spans="2:5" x14ac:dyDescent="0.2">
      <c r="B72">
        <v>510000</v>
      </c>
      <c r="C72">
        <v>1.4485300000000001</v>
      </c>
      <c r="D72">
        <v>0.60008099999999998</v>
      </c>
      <c r="E72">
        <v>1406.54</v>
      </c>
    </row>
    <row r="73" spans="2:5" x14ac:dyDescent="0.2">
      <c r="B73">
        <v>520000</v>
      </c>
      <c r="C73">
        <v>1.44661</v>
      </c>
      <c r="D73">
        <v>0.51675499999999996</v>
      </c>
      <c r="E73">
        <v>1211.79</v>
      </c>
    </row>
    <row r="74" spans="2:5" x14ac:dyDescent="0.2">
      <c r="B74">
        <v>530000</v>
      </c>
      <c r="C74">
        <v>1.44797</v>
      </c>
      <c r="D74">
        <v>0.63794399999999996</v>
      </c>
      <c r="E74">
        <v>1495.53</v>
      </c>
    </row>
    <row r="75" spans="2:5" x14ac:dyDescent="0.2">
      <c r="B75">
        <v>540000</v>
      </c>
      <c r="C75">
        <v>1.4477500000000001</v>
      </c>
      <c r="D75">
        <v>0.46445399999999998</v>
      </c>
      <c r="E75">
        <v>1088.8</v>
      </c>
    </row>
    <row r="76" spans="2:5" x14ac:dyDescent="0.2">
      <c r="B76">
        <v>550000</v>
      </c>
      <c r="C76">
        <v>1.44998</v>
      </c>
      <c r="D76">
        <v>0.37027399999999999</v>
      </c>
      <c r="E76">
        <v>867.58399999999995</v>
      </c>
    </row>
    <row r="77" spans="2:5" x14ac:dyDescent="0.2">
      <c r="B77">
        <v>560000</v>
      </c>
      <c r="C77">
        <v>1.4534100000000001</v>
      </c>
      <c r="D77">
        <v>0.57650500000000005</v>
      </c>
      <c r="E77">
        <v>1349.81</v>
      </c>
    </row>
    <row r="78" spans="2:5" x14ac:dyDescent="0.2">
      <c r="B78">
        <v>570000</v>
      </c>
      <c r="C78">
        <v>1.4490799999999999</v>
      </c>
      <c r="D78">
        <v>0.50205699999999998</v>
      </c>
      <c r="E78">
        <v>1176.5899999999999</v>
      </c>
    </row>
    <row r="79" spans="2:5" x14ac:dyDescent="0.2">
      <c r="B79">
        <v>580000</v>
      </c>
      <c r="C79">
        <v>1.44767</v>
      </c>
      <c r="D79">
        <v>0.58708800000000005</v>
      </c>
      <c r="E79">
        <v>1376.37</v>
      </c>
    </row>
    <row r="80" spans="2:5" x14ac:dyDescent="0.2">
      <c r="B80">
        <v>590000</v>
      </c>
      <c r="C80">
        <v>1.4483699999999999</v>
      </c>
      <c r="D80">
        <v>0.57899900000000004</v>
      </c>
      <c r="E80">
        <v>1357.22</v>
      </c>
    </row>
    <row r="81" spans="2:5" x14ac:dyDescent="0.2">
      <c r="B81">
        <v>600000</v>
      </c>
      <c r="C81">
        <v>1.4495100000000001</v>
      </c>
      <c r="D81">
        <v>0.46489599999999998</v>
      </c>
      <c r="E81">
        <v>1089.46</v>
      </c>
    </row>
    <row r="82" spans="2:5" x14ac:dyDescent="0.2">
      <c r="B82">
        <v>610000</v>
      </c>
      <c r="C82">
        <v>1.4500999999999999</v>
      </c>
      <c r="D82">
        <v>0.62638099999999997</v>
      </c>
      <c r="E82">
        <v>1467.69</v>
      </c>
    </row>
    <row r="83" spans="2:5" x14ac:dyDescent="0.2">
      <c r="B83">
        <v>620000</v>
      </c>
      <c r="C83">
        <v>1.45364</v>
      </c>
      <c r="D83">
        <v>0.52218699999999996</v>
      </c>
      <c r="E83">
        <v>1222.57</v>
      </c>
    </row>
    <row r="84" spans="2:5" x14ac:dyDescent="0.2">
      <c r="B84">
        <v>630000</v>
      </c>
      <c r="C84">
        <v>1.45001</v>
      </c>
      <c r="D84">
        <v>0.389129</v>
      </c>
      <c r="E84">
        <v>911.78899999999999</v>
      </c>
    </row>
    <row r="85" spans="2:5" x14ac:dyDescent="0.2">
      <c r="B85">
        <v>640000</v>
      </c>
      <c r="C85">
        <v>1.44838</v>
      </c>
      <c r="D85">
        <v>0.58271399999999995</v>
      </c>
      <c r="E85">
        <v>1365.88</v>
      </c>
    </row>
    <row r="86" spans="2:5" x14ac:dyDescent="0.2">
      <c r="B86">
        <v>650000</v>
      </c>
      <c r="C86">
        <v>1.44716</v>
      </c>
      <c r="D86">
        <v>0.394513</v>
      </c>
      <c r="E86">
        <v>925.08500000000004</v>
      </c>
    </row>
    <row r="87" spans="2:5" x14ac:dyDescent="0.2">
      <c r="B87">
        <v>660000</v>
      </c>
      <c r="C87">
        <v>1.4490400000000001</v>
      </c>
      <c r="D87">
        <v>0.40295599999999998</v>
      </c>
      <c r="E87">
        <v>944.37699999999995</v>
      </c>
    </row>
    <row r="88" spans="2:5" x14ac:dyDescent="0.2">
      <c r="B88">
        <v>670000</v>
      </c>
      <c r="C88">
        <v>1.4461299999999999</v>
      </c>
      <c r="D88">
        <v>0.58398899999999998</v>
      </c>
      <c r="E88">
        <v>1369.6</v>
      </c>
    </row>
    <row r="89" spans="2:5" x14ac:dyDescent="0.2">
      <c r="B89">
        <v>680000</v>
      </c>
      <c r="C89">
        <v>1.4493499999999999</v>
      </c>
      <c r="D89">
        <v>0.79850500000000002</v>
      </c>
      <c r="E89">
        <v>1871.29</v>
      </c>
    </row>
    <row r="90" spans="2:5" x14ac:dyDescent="0.2">
      <c r="B90">
        <v>690000</v>
      </c>
      <c r="C90">
        <v>1.4483999999999999</v>
      </c>
      <c r="D90">
        <v>0.62251199999999995</v>
      </c>
      <c r="E90">
        <v>1459.18</v>
      </c>
    </row>
    <row r="91" spans="2:5" x14ac:dyDescent="0.2">
      <c r="B91">
        <v>700000</v>
      </c>
      <c r="C91">
        <v>1.44747</v>
      </c>
      <c r="D91">
        <v>0.64413399999999998</v>
      </c>
      <c r="E91">
        <v>1510.22</v>
      </c>
    </row>
    <row r="92" spans="2:5" x14ac:dyDescent="0.2">
      <c r="B92">
        <v>710000</v>
      </c>
      <c r="C92">
        <v>1.4502299999999999</v>
      </c>
      <c r="D92">
        <v>0.69869800000000004</v>
      </c>
      <c r="E92">
        <v>1637.09</v>
      </c>
    </row>
    <row r="93" spans="2:5" x14ac:dyDescent="0.2">
      <c r="B93">
        <v>720000</v>
      </c>
      <c r="C93">
        <v>1.4496800000000001</v>
      </c>
      <c r="D93">
        <v>0.48497299999999999</v>
      </c>
      <c r="E93">
        <v>1136.4100000000001</v>
      </c>
    </row>
    <row r="94" spans="2:5" x14ac:dyDescent="0.2">
      <c r="B94">
        <v>730000</v>
      </c>
      <c r="C94">
        <v>1.4476199999999999</v>
      </c>
      <c r="D94">
        <v>0.51681600000000005</v>
      </c>
      <c r="E94">
        <v>1211.68</v>
      </c>
    </row>
    <row r="95" spans="2:5" x14ac:dyDescent="0.2">
      <c r="B95">
        <v>740000</v>
      </c>
      <c r="C95">
        <v>1.4497800000000001</v>
      </c>
      <c r="D95">
        <v>0.41095500000000001</v>
      </c>
      <c r="E95">
        <v>962.97199999999998</v>
      </c>
    </row>
    <row r="96" spans="2:5" x14ac:dyDescent="0.2">
      <c r="B96">
        <v>750000</v>
      </c>
      <c r="C96">
        <v>1.4500900000000001</v>
      </c>
      <c r="D96">
        <v>0.56462199999999996</v>
      </c>
      <c r="E96">
        <v>1322.99</v>
      </c>
    </row>
    <row r="97" spans="2:5" x14ac:dyDescent="0.2">
      <c r="B97">
        <v>760000</v>
      </c>
      <c r="C97">
        <v>1.4508099999999999</v>
      </c>
      <c r="D97">
        <v>0.427089</v>
      </c>
      <c r="E97">
        <v>1000.58</v>
      </c>
    </row>
    <row r="98" spans="2:5" x14ac:dyDescent="0.2">
      <c r="B98">
        <v>770000</v>
      </c>
      <c r="C98">
        <v>1.4508099999999999</v>
      </c>
      <c r="D98">
        <v>0.35672100000000001</v>
      </c>
      <c r="E98">
        <v>835.82500000000005</v>
      </c>
    </row>
    <row r="99" spans="2:5" x14ac:dyDescent="0.2">
      <c r="B99">
        <v>780000</v>
      </c>
      <c r="C99">
        <v>1.4505399999999999</v>
      </c>
      <c r="D99">
        <v>0.42774699999999999</v>
      </c>
      <c r="E99">
        <v>1002.16</v>
      </c>
    </row>
    <row r="100" spans="2:5" x14ac:dyDescent="0.2">
      <c r="B100">
        <v>790000</v>
      </c>
      <c r="C100">
        <v>1.4479599999999999</v>
      </c>
      <c r="D100">
        <v>0.47006900000000001</v>
      </c>
      <c r="E100">
        <v>1102.07</v>
      </c>
    </row>
    <row r="101" spans="2:5" x14ac:dyDescent="0.2">
      <c r="B101">
        <v>800000</v>
      </c>
      <c r="C101">
        <v>1.4487000000000001</v>
      </c>
      <c r="D101">
        <v>0.56318500000000005</v>
      </c>
      <c r="E101">
        <v>1320.05</v>
      </c>
    </row>
    <row r="102" spans="2:5" x14ac:dyDescent="0.2">
      <c r="B102">
        <v>810000</v>
      </c>
      <c r="C102">
        <v>1.4499899999999999</v>
      </c>
      <c r="D102">
        <v>0.70893600000000001</v>
      </c>
      <c r="E102">
        <v>1661.18</v>
      </c>
    </row>
    <row r="103" spans="2:5" x14ac:dyDescent="0.2">
      <c r="B103">
        <v>820000</v>
      </c>
      <c r="C103">
        <v>1.44939</v>
      </c>
      <c r="D103">
        <v>0.69142700000000001</v>
      </c>
      <c r="E103">
        <v>1620.34</v>
      </c>
    </row>
    <row r="104" spans="2:5" x14ac:dyDescent="0.2">
      <c r="B104">
        <v>830000</v>
      </c>
      <c r="C104">
        <v>1.4528099999999999</v>
      </c>
      <c r="D104">
        <v>0.462364</v>
      </c>
      <c r="E104">
        <v>1082.5999999999999</v>
      </c>
    </row>
    <row r="105" spans="2:5" x14ac:dyDescent="0.2">
      <c r="B105">
        <v>840000</v>
      </c>
      <c r="C105">
        <v>1.44994</v>
      </c>
      <c r="D105">
        <v>0.29666700000000001</v>
      </c>
      <c r="E105">
        <v>695.16</v>
      </c>
    </row>
    <row r="106" spans="2:5" x14ac:dyDescent="0.2">
      <c r="B106">
        <v>850000</v>
      </c>
      <c r="C106">
        <v>1.4455800000000001</v>
      </c>
      <c r="D106">
        <v>0.56339600000000001</v>
      </c>
      <c r="E106">
        <v>1321.45</v>
      </c>
    </row>
    <row r="107" spans="2:5" x14ac:dyDescent="0.2">
      <c r="B107">
        <v>860000</v>
      </c>
      <c r="C107">
        <v>1.4498899999999999</v>
      </c>
      <c r="D107">
        <v>0.57183300000000004</v>
      </c>
      <c r="E107">
        <v>1339.94</v>
      </c>
    </row>
    <row r="108" spans="2:5" x14ac:dyDescent="0.2">
      <c r="B108">
        <v>870000</v>
      </c>
      <c r="C108">
        <v>1.4494899999999999</v>
      </c>
      <c r="D108">
        <v>0.48192499999999999</v>
      </c>
      <c r="E108">
        <v>1129.3399999999999</v>
      </c>
    </row>
    <row r="109" spans="2:5" x14ac:dyDescent="0.2">
      <c r="B109">
        <v>880000</v>
      </c>
      <c r="C109">
        <v>1.4512499999999999</v>
      </c>
      <c r="D109">
        <v>0.54269400000000001</v>
      </c>
      <c r="E109">
        <v>1271.24</v>
      </c>
    </row>
    <row r="110" spans="2:5" x14ac:dyDescent="0.2">
      <c r="B110">
        <v>890000</v>
      </c>
      <c r="C110">
        <v>1.4500999999999999</v>
      </c>
      <c r="D110">
        <v>0.66802099999999998</v>
      </c>
      <c r="E110">
        <v>1565.18</v>
      </c>
    </row>
    <row r="111" spans="2:5" x14ac:dyDescent="0.2">
      <c r="B111">
        <v>900000</v>
      </c>
      <c r="C111">
        <v>1.45313</v>
      </c>
      <c r="D111">
        <v>0.50032299999999996</v>
      </c>
      <c r="E111">
        <v>1171.51</v>
      </c>
    </row>
    <row r="112" spans="2:5" x14ac:dyDescent="0.2">
      <c r="B112">
        <v>910000</v>
      </c>
      <c r="C112">
        <v>1.4516199999999999</v>
      </c>
      <c r="D112">
        <v>0.54903500000000005</v>
      </c>
      <c r="E112">
        <v>1285.99</v>
      </c>
    </row>
    <row r="113" spans="2:8" x14ac:dyDescent="0.2">
      <c r="B113">
        <v>920000</v>
      </c>
      <c r="C113">
        <v>1.45112</v>
      </c>
      <c r="D113">
        <v>0.68455200000000005</v>
      </c>
      <c r="E113">
        <v>1603.54</v>
      </c>
    </row>
    <row r="114" spans="2:8" x14ac:dyDescent="0.2">
      <c r="B114">
        <v>930000</v>
      </c>
      <c r="C114">
        <v>1.4478599999999999</v>
      </c>
      <c r="D114">
        <v>0.718642</v>
      </c>
      <c r="E114">
        <v>1684.76</v>
      </c>
    </row>
    <row r="115" spans="2:8" x14ac:dyDescent="0.2">
      <c r="B115">
        <v>940000</v>
      </c>
      <c r="C115">
        <v>1.4525399999999999</v>
      </c>
      <c r="D115">
        <v>0.55411200000000005</v>
      </c>
      <c r="E115">
        <v>1297.72</v>
      </c>
    </row>
    <row r="116" spans="2:8" x14ac:dyDescent="0.2">
      <c r="B116">
        <v>950000</v>
      </c>
      <c r="C116">
        <v>1.44906</v>
      </c>
      <c r="D116">
        <v>0.405976</v>
      </c>
      <c r="E116">
        <v>951.44299999999998</v>
      </c>
    </row>
    <row r="117" spans="2:8" x14ac:dyDescent="0.2">
      <c r="B117">
        <v>960000</v>
      </c>
      <c r="C117">
        <v>1.45062</v>
      </c>
      <c r="D117">
        <v>0.33542100000000002</v>
      </c>
      <c r="E117">
        <v>785.83100000000002</v>
      </c>
    </row>
    <row r="118" spans="2:8" x14ac:dyDescent="0.2">
      <c r="B118">
        <v>970000</v>
      </c>
      <c r="C118">
        <v>1.4448799999999999</v>
      </c>
      <c r="D118">
        <v>0.48640299999999997</v>
      </c>
      <c r="E118">
        <v>1141.08</v>
      </c>
    </row>
    <row r="119" spans="2:8" x14ac:dyDescent="0.2">
      <c r="B119">
        <v>980000</v>
      </c>
      <c r="C119">
        <v>1.4504600000000001</v>
      </c>
      <c r="D119">
        <v>0.61151800000000001</v>
      </c>
      <c r="E119">
        <v>1432.74</v>
      </c>
    </row>
    <row r="120" spans="2:8" x14ac:dyDescent="0.2">
      <c r="B120">
        <v>990000</v>
      </c>
      <c r="C120">
        <v>1.4508399999999999</v>
      </c>
      <c r="D120">
        <v>0.38568200000000002</v>
      </c>
      <c r="E120">
        <v>903.45699999999999</v>
      </c>
    </row>
    <row r="121" spans="2:8" x14ac:dyDescent="0.2">
      <c r="B121">
        <v>1000000</v>
      </c>
      <c r="C121">
        <v>1.4523900000000001</v>
      </c>
      <c r="D121">
        <v>0.68668600000000002</v>
      </c>
      <c r="E121">
        <v>1608.15</v>
      </c>
      <c r="G121">
        <f>AVERAGE(E72:E121)</f>
        <v>1251.0370600000001</v>
      </c>
      <c r="H121">
        <f>STDEV(E72:E121)</f>
        <v>266.4656370627194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W. Beeler</dc:creator>
  <cp:lastModifiedBy>Benjamin W. Beeler</cp:lastModifiedBy>
  <dcterms:created xsi:type="dcterms:W3CDTF">2026-07-03T13:43:02Z</dcterms:created>
  <dcterms:modified xsi:type="dcterms:W3CDTF">2026-07-27T15:39:17Z</dcterms:modified>
</cp:coreProperties>
</file>