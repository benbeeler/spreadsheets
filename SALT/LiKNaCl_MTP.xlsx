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DD303F5F-CC44-4147-9D64-74C0B97B0BF8}" xr6:coauthVersionLast="47" xr6:coauthVersionMax="47" xr10:uidLastSave="{00000000-0000-0000-0000-000000000000}"/>
  <bookViews>
    <workbookView minimized="1" xWindow="4060" yWindow="1180" windowWidth="26860" windowHeight="19440" activeTab="7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rdfs" sheetId="9" r:id="rId6"/>
    <sheet name="viscosity" sheetId="7" r:id="rId7"/>
    <sheet name="therm cond" sheetId="8" r:id="rId8"/>
    <sheet name="dimer EvsR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6" l="1"/>
  <c r="H47" i="3"/>
  <c r="H46" i="3"/>
  <c r="G70" i="8"/>
  <c r="X35" i="8"/>
  <c r="X34" i="8"/>
  <c r="K34" i="8"/>
  <c r="X38" i="8"/>
  <c r="X30" i="8"/>
  <c r="X29" i="8"/>
  <c r="X31" i="8" s="1"/>
  <c r="X28" i="8"/>
  <c r="K37" i="8"/>
  <c r="K65" i="8"/>
  <c r="G72" i="8"/>
  <c r="G71" i="8"/>
  <c r="G73" i="8" s="1"/>
  <c r="K61" i="8" s="1"/>
  <c r="K62" i="8" s="1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 s="1"/>
  <c r="R77" i="7"/>
  <c r="S77" i="7" s="1"/>
  <c r="R76" i="7"/>
  <c r="S76" i="7" s="1"/>
  <c r="R75" i="7"/>
  <c r="S75" i="7" s="1"/>
  <c r="R74" i="7"/>
  <c r="S74" i="7" s="1"/>
  <c r="R73" i="7"/>
  <c r="S73" i="7" s="1"/>
  <c r="S81" i="7" s="1"/>
  <c r="R72" i="7"/>
  <c r="S72" i="7" s="1"/>
  <c r="R71" i="7"/>
  <c r="S71" i="7" s="1"/>
  <c r="R70" i="7"/>
  <c r="S70" i="7" s="1"/>
  <c r="R69" i="7"/>
  <c r="S69" i="7" s="1"/>
  <c r="R68" i="7"/>
  <c r="S68" i="7" s="1"/>
  <c r="R61" i="7"/>
  <c r="S61" i="7" s="1"/>
  <c r="R58" i="7"/>
  <c r="S58" i="7" s="1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J61" i="7"/>
  <c r="K61" i="7" s="1"/>
  <c r="J58" i="7"/>
  <c r="K58" i="7" s="1"/>
  <c r="J57" i="7"/>
  <c r="K57" i="7" s="1"/>
  <c r="J56" i="7"/>
  <c r="K56" i="7" s="1"/>
  <c r="J55" i="7"/>
  <c r="K55" i="7" s="1"/>
  <c r="J54" i="7"/>
  <c r="K54" i="7" s="1"/>
  <c r="K62" i="7" s="1"/>
  <c r="J53" i="7"/>
  <c r="K53" i="7" s="1"/>
  <c r="J52" i="7"/>
  <c r="K52" i="7" s="1"/>
  <c r="J51" i="7"/>
  <c r="K51" i="7" s="1"/>
  <c r="J50" i="7"/>
  <c r="K50" i="7" s="1"/>
  <c r="J49" i="7"/>
  <c r="K49" i="7" s="1"/>
  <c r="B53" i="7"/>
  <c r="B52" i="7"/>
  <c r="B51" i="7"/>
  <c r="B50" i="7"/>
  <c r="B49" i="7"/>
  <c r="B48" i="7"/>
  <c r="S40" i="7"/>
  <c r="T40" i="7" s="1"/>
  <c r="S37" i="7"/>
  <c r="T37" i="7" s="1"/>
  <c r="S36" i="7"/>
  <c r="T36" i="7" s="1"/>
  <c r="S35" i="7"/>
  <c r="T35" i="7" s="1"/>
  <c r="S34" i="7"/>
  <c r="T34" i="7" s="1"/>
  <c r="S33" i="7"/>
  <c r="T33" i="7" s="1"/>
  <c r="T41" i="7" s="1"/>
  <c r="S32" i="7"/>
  <c r="T32" i="7" s="1"/>
  <c r="S31" i="7"/>
  <c r="T31" i="7" s="1"/>
  <c r="S30" i="7"/>
  <c r="T30" i="7" s="1"/>
  <c r="S29" i="7"/>
  <c r="T29" i="7" s="1"/>
  <c r="S28" i="7"/>
  <c r="T28" i="7" s="1"/>
  <c r="K21" i="7"/>
  <c r="K66" i="8" l="1"/>
  <c r="K67" i="8" s="1"/>
  <c r="X39" i="8"/>
  <c r="X40" i="8" s="1"/>
  <c r="H31" i="8"/>
  <c r="K38" i="8"/>
  <c r="K39" i="8" s="1"/>
  <c r="S62" i="7"/>
  <c r="F46" i="6" a="1"/>
  <c r="F46" i="6" s="1"/>
  <c r="H46" i="6" s="1"/>
  <c r="F47" i="6" a="1"/>
  <c r="F47" i="6" s="1"/>
  <c r="H47" i="6" s="1"/>
  <c r="F48" i="6" a="1"/>
  <c r="F48" i="6" s="1"/>
  <c r="H48" i="6" s="1"/>
  <c r="F49" i="6" a="1"/>
  <c r="F49" i="6" s="1"/>
  <c r="H49" i="6" s="1"/>
  <c r="F50" i="6" a="1"/>
  <c r="F50" i="6" s="1"/>
  <c r="H50" i="6" s="1"/>
  <c r="F51" i="6" a="1"/>
  <c r="F51" i="6" s="1"/>
  <c r="H51" i="6" s="1"/>
  <c r="F52" i="6" a="1"/>
  <c r="F52" i="6" s="1"/>
  <c r="H52" i="6" s="1"/>
  <c r="F53" i="6" a="1"/>
  <c r="F53" i="6" s="1"/>
  <c r="H53" i="6" s="1"/>
  <c r="F54" i="6" a="1"/>
  <c r="F54" i="6" s="1"/>
  <c r="H54" i="6" s="1"/>
  <c r="F55" i="6" a="1"/>
  <c r="F55" i="6" s="1"/>
  <c r="H55" i="6" s="1"/>
  <c r="F56" i="6" a="1"/>
  <c r="F56" i="6" s="1"/>
  <c r="H56" i="6" s="1"/>
  <c r="F57" i="6" a="1"/>
  <c r="F57" i="6" s="1"/>
  <c r="H57" i="6" s="1"/>
  <c r="F45" i="6" a="1"/>
  <c r="F45" i="6" s="1"/>
  <c r="H45" i="6" s="1"/>
  <c r="O30" i="6"/>
  <c r="O33" i="6"/>
  <c r="F49" i="5" a="1"/>
  <c r="F49" i="5" s="1"/>
  <c r="H49" i="5" s="1"/>
  <c r="F39" i="5" a="1"/>
  <c r="F39" i="5" s="1"/>
  <c r="H39" i="5" s="1"/>
  <c r="F48" i="5" a="1"/>
  <c r="F48" i="5" s="1"/>
  <c r="H48" i="5" s="1"/>
  <c r="F47" i="5" a="1"/>
  <c r="F47" i="5" s="1"/>
  <c r="H47" i="5" s="1"/>
  <c r="F46" i="5" a="1"/>
  <c r="F46" i="5" s="1"/>
  <c r="H46" i="5" s="1"/>
  <c r="F45" i="5" a="1"/>
  <c r="F45" i="5" s="1"/>
  <c r="H45" i="5" s="1"/>
  <c r="F44" i="5" a="1"/>
  <c r="F44" i="5" s="1"/>
  <c r="H44" i="5" s="1"/>
  <c r="F43" i="5" a="1"/>
  <c r="F43" i="5" s="1"/>
  <c r="H43" i="5" s="1"/>
  <c r="F42" i="5" a="1"/>
  <c r="F42" i="5" s="1"/>
  <c r="H42" i="5" s="1"/>
  <c r="F41" i="5" a="1"/>
  <c r="F41" i="5" s="1"/>
  <c r="H41" i="5" s="1"/>
  <c r="F40" i="5" a="1"/>
  <c r="F40" i="5" s="1"/>
  <c r="H40" i="5" s="1"/>
  <c r="O24" i="5"/>
  <c r="O34" i="5"/>
  <c r="M34" i="5"/>
  <c r="N34" i="5" s="1"/>
  <c r="C34" i="5"/>
  <c r="B34" i="5"/>
  <c r="A34" i="5"/>
  <c r="O33" i="5"/>
  <c r="M33" i="5"/>
  <c r="N33" i="5" s="1"/>
  <c r="C33" i="5"/>
  <c r="B33" i="5"/>
  <c r="A33" i="5"/>
  <c r="O32" i="5"/>
  <c r="M32" i="5"/>
  <c r="N32" i="5" s="1"/>
  <c r="C32" i="5"/>
  <c r="B32" i="5"/>
  <c r="A32" i="5"/>
  <c r="O31" i="5"/>
  <c r="M31" i="5"/>
  <c r="N31" i="5" s="1"/>
  <c r="C31" i="5"/>
  <c r="B31" i="5"/>
  <c r="A31" i="5"/>
  <c r="O30" i="5"/>
  <c r="M30" i="5"/>
  <c r="N30" i="5" s="1"/>
  <c r="C30" i="5"/>
  <c r="B30" i="5"/>
  <c r="A30" i="5"/>
  <c r="O29" i="5"/>
  <c r="M29" i="5"/>
  <c r="N29" i="5" s="1"/>
  <c r="C29" i="5"/>
  <c r="B29" i="5"/>
  <c r="A29" i="5"/>
  <c r="O28" i="5"/>
  <c r="M28" i="5"/>
  <c r="N28" i="5" s="1"/>
  <c r="C28" i="5"/>
  <c r="B28" i="5"/>
  <c r="A28" i="5"/>
  <c r="O27" i="5"/>
  <c r="M27" i="5"/>
  <c r="N27" i="5" s="1"/>
  <c r="C27" i="5"/>
  <c r="B27" i="5"/>
  <c r="A27" i="5"/>
  <c r="O26" i="5"/>
  <c r="M26" i="5"/>
  <c r="N26" i="5" s="1"/>
  <c r="C26" i="5"/>
  <c r="B26" i="5"/>
  <c r="A26" i="5"/>
  <c r="O25" i="5"/>
  <c r="M25" i="5"/>
  <c r="N25" i="5" s="1"/>
  <c r="C25" i="5"/>
  <c r="B25" i="5"/>
  <c r="A25" i="5"/>
  <c r="M24" i="5"/>
  <c r="N24" i="5" s="1"/>
  <c r="C24" i="5"/>
  <c r="B24" i="5"/>
  <c r="A24" i="5"/>
  <c r="F40" i="4" a="1"/>
  <c r="F40" i="4" s="1"/>
  <c r="H40" i="4" s="1"/>
  <c r="F41" i="4" a="1"/>
  <c r="F41" i="4" s="1"/>
  <c r="H41" i="4" s="1"/>
  <c r="F42" i="4" a="1"/>
  <c r="F42" i="4" s="1"/>
  <c r="H42" i="4" s="1"/>
  <c r="F43" i="4" a="1"/>
  <c r="F43" i="4" s="1"/>
  <c r="H43" i="4" s="1"/>
  <c r="F44" i="4" a="1"/>
  <c r="F44" i="4" s="1"/>
  <c r="H44" i="4" s="1"/>
  <c r="F45" i="4" a="1"/>
  <c r="F45" i="4" s="1"/>
  <c r="H45" i="4" s="1"/>
  <c r="F46" i="4" a="1"/>
  <c r="F46" i="4" s="1"/>
  <c r="H46" i="4" s="1"/>
  <c r="F47" i="4" a="1"/>
  <c r="F47" i="4" s="1"/>
  <c r="H47" i="4" s="1"/>
  <c r="F48" i="4" a="1"/>
  <c r="F48" i="4" s="1"/>
  <c r="H48" i="4" s="1"/>
  <c r="F49" i="4" a="1"/>
  <c r="F49" i="4" s="1"/>
  <c r="H49" i="4" s="1"/>
  <c r="F39" i="4" a="1"/>
  <c r="F39" i="4" s="1"/>
  <c r="H39" i="4" s="1"/>
  <c r="O34" i="4"/>
  <c r="M34" i="4"/>
  <c r="N34" i="4" s="1"/>
  <c r="C34" i="4"/>
  <c r="B34" i="4"/>
  <c r="A34" i="4"/>
  <c r="O33" i="4"/>
  <c r="M33" i="4"/>
  <c r="N33" i="4" s="1"/>
  <c r="C33" i="4"/>
  <c r="B33" i="4"/>
  <c r="A33" i="4"/>
  <c r="O32" i="4"/>
  <c r="M32" i="4"/>
  <c r="N32" i="4" s="1"/>
  <c r="C32" i="4"/>
  <c r="B32" i="4"/>
  <c r="A32" i="4"/>
  <c r="O31" i="4"/>
  <c r="M31" i="4"/>
  <c r="N31" i="4" s="1"/>
  <c r="C31" i="4"/>
  <c r="B31" i="4"/>
  <c r="A31" i="4"/>
  <c r="O30" i="4"/>
  <c r="M30" i="4"/>
  <c r="N30" i="4" s="1"/>
  <c r="C30" i="4"/>
  <c r="B30" i="4"/>
  <c r="A30" i="4"/>
  <c r="O29" i="4"/>
  <c r="M29" i="4"/>
  <c r="N29" i="4" s="1"/>
  <c r="C29" i="4"/>
  <c r="B29" i="4"/>
  <c r="A29" i="4"/>
  <c r="O28" i="4"/>
  <c r="M28" i="4"/>
  <c r="N28" i="4" s="1"/>
  <c r="C28" i="4"/>
  <c r="B28" i="4"/>
  <c r="A28" i="4"/>
  <c r="O27" i="4"/>
  <c r="M27" i="4"/>
  <c r="N27" i="4" s="1"/>
  <c r="C27" i="4"/>
  <c r="B27" i="4"/>
  <c r="A27" i="4"/>
  <c r="O26" i="4"/>
  <c r="M26" i="4"/>
  <c r="N26" i="4" s="1"/>
  <c r="C26" i="4"/>
  <c r="B26" i="4"/>
  <c r="A26" i="4"/>
  <c r="O25" i="4"/>
  <c r="M25" i="4"/>
  <c r="N25" i="4" s="1"/>
  <c r="C25" i="4"/>
  <c r="B25" i="4"/>
  <c r="A25" i="4"/>
  <c r="O24" i="4"/>
  <c r="M24" i="4"/>
  <c r="N24" i="4" s="1"/>
  <c r="C24" i="4"/>
  <c r="B24" i="4"/>
  <c r="A24" i="4"/>
  <c r="F41" i="3" a="1"/>
  <c r="F41" i="3" s="1"/>
  <c r="H41" i="3" s="1"/>
  <c r="F42" i="3" a="1"/>
  <c r="F42" i="3" s="1"/>
  <c r="H42" i="3" s="1"/>
  <c r="F43" i="3" a="1"/>
  <c r="F43" i="3" s="1"/>
  <c r="H43" i="3" s="1"/>
  <c r="F44" i="3" a="1"/>
  <c r="F44" i="3" s="1"/>
  <c r="H44" i="3" s="1"/>
  <c r="F45" i="3" a="1"/>
  <c r="F45" i="3" s="1"/>
  <c r="H45" i="3" s="1"/>
  <c r="F46" i="3" a="1"/>
  <c r="F46" i="3" s="1"/>
  <c r="F47" i="3" a="1"/>
  <c r="F47" i="3" s="1"/>
  <c r="F48" i="3" a="1"/>
  <c r="F48" i="3" s="1"/>
  <c r="H48" i="3" s="1"/>
  <c r="F49" i="3" a="1"/>
  <c r="F49" i="3" s="1"/>
  <c r="H49" i="3" s="1"/>
  <c r="F50" i="3" a="1"/>
  <c r="F50" i="3" s="1"/>
  <c r="H50" i="3" s="1"/>
  <c r="F40" i="3" a="1"/>
  <c r="F40" i="3" s="1"/>
  <c r="H40" i="3" s="1"/>
  <c r="K33" i="8" l="1"/>
  <c r="O35" i="3"/>
  <c r="M35" i="3"/>
  <c r="N35" i="3" s="1"/>
  <c r="C35" i="3"/>
  <c r="B35" i="3"/>
  <c r="A35" i="3"/>
  <c r="O34" i="3"/>
  <c r="M34" i="3"/>
  <c r="N34" i="3" s="1"/>
  <c r="C34" i="3"/>
  <c r="B34" i="3"/>
  <c r="A34" i="3"/>
  <c r="O33" i="3"/>
  <c r="M33" i="3"/>
  <c r="N33" i="3" s="1"/>
  <c r="C33" i="3"/>
  <c r="B33" i="3"/>
  <c r="A33" i="3"/>
  <c r="O32" i="3"/>
  <c r="M32" i="3"/>
  <c r="N32" i="3" s="1"/>
  <c r="C32" i="3"/>
  <c r="B32" i="3"/>
  <c r="A32" i="3"/>
  <c r="O31" i="3"/>
  <c r="M31" i="3"/>
  <c r="N31" i="3" s="1"/>
  <c r="C31" i="3"/>
  <c r="B31" i="3"/>
  <c r="A31" i="3"/>
  <c r="O30" i="3"/>
  <c r="M30" i="3"/>
  <c r="N30" i="3" s="1"/>
  <c r="C30" i="3"/>
  <c r="B30" i="3"/>
  <c r="A30" i="3"/>
  <c r="O29" i="3"/>
  <c r="M29" i="3"/>
  <c r="N29" i="3" s="1"/>
  <c r="C29" i="3"/>
  <c r="B29" i="3"/>
  <c r="A29" i="3"/>
  <c r="O28" i="3"/>
  <c r="M28" i="3"/>
  <c r="N28" i="3" s="1"/>
  <c r="C28" i="3"/>
  <c r="B28" i="3"/>
  <c r="A28" i="3"/>
  <c r="O27" i="3"/>
  <c r="M27" i="3"/>
  <c r="N27" i="3" s="1"/>
  <c r="C27" i="3"/>
  <c r="B27" i="3"/>
  <c r="A27" i="3"/>
  <c r="O26" i="3"/>
  <c r="M26" i="3"/>
  <c r="N26" i="3" s="1"/>
  <c r="C26" i="3"/>
  <c r="B26" i="3"/>
  <c r="A26" i="3"/>
  <c r="O25" i="3"/>
  <c r="M25" i="3"/>
  <c r="N25" i="3" s="1"/>
  <c r="C25" i="3"/>
  <c r="B25" i="3"/>
  <c r="A25" i="3"/>
  <c r="S20" i="7"/>
  <c r="T20" i="7" s="1"/>
  <c r="S17" i="7"/>
  <c r="T17" i="7" s="1"/>
  <c r="S16" i="7"/>
  <c r="T16" i="7" s="1"/>
  <c r="S15" i="7"/>
  <c r="T15" i="7" s="1"/>
  <c r="S14" i="7"/>
  <c r="T14" i="7" s="1"/>
  <c r="S13" i="7"/>
  <c r="T13" i="7" s="1"/>
  <c r="T21" i="7" s="1"/>
  <c r="S12" i="7"/>
  <c r="T12" i="7" s="1"/>
  <c r="S11" i="7"/>
  <c r="T11" i="7" s="1"/>
  <c r="S10" i="7"/>
  <c r="T10" i="7" s="1"/>
  <c r="S9" i="7"/>
  <c r="T9" i="7" s="1"/>
  <c r="S8" i="7"/>
  <c r="T8" i="7" s="1"/>
  <c r="B13" i="7"/>
  <c r="B9" i="7"/>
  <c r="B10" i="7"/>
  <c r="B11" i="7"/>
  <c r="B12" i="7"/>
  <c r="B8" i="7"/>
  <c r="O39" i="6"/>
  <c r="M39" i="6"/>
  <c r="N39" i="6" s="1"/>
  <c r="C39" i="6"/>
  <c r="B39" i="6"/>
  <c r="A39" i="6"/>
  <c r="O38" i="6"/>
  <c r="M38" i="6"/>
  <c r="N38" i="6" s="1"/>
  <c r="C38" i="6"/>
  <c r="B38" i="6"/>
  <c r="A38" i="6"/>
  <c r="O37" i="6"/>
  <c r="M37" i="6"/>
  <c r="N37" i="6" s="1"/>
  <c r="C37" i="6"/>
  <c r="B37" i="6"/>
  <c r="A37" i="6"/>
  <c r="O36" i="6"/>
  <c r="M36" i="6"/>
  <c r="N36" i="6" s="1"/>
  <c r="C36" i="6"/>
  <c r="B36" i="6"/>
  <c r="A36" i="6"/>
  <c r="O35" i="6"/>
  <c r="M35" i="6"/>
  <c r="N35" i="6" s="1"/>
  <c r="C35" i="6"/>
  <c r="B35" i="6"/>
  <c r="A35" i="6"/>
  <c r="O34" i="6"/>
  <c r="M34" i="6"/>
  <c r="N34" i="6" s="1"/>
  <c r="C34" i="6"/>
  <c r="B34" i="6"/>
  <c r="A34" i="6"/>
  <c r="M33" i="6"/>
  <c r="N33" i="6" s="1"/>
  <c r="C33" i="6"/>
  <c r="B33" i="6"/>
  <c r="A33" i="6"/>
  <c r="O32" i="6"/>
  <c r="M32" i="6"/>
  <c r="N32" i="6" s="1"/>
  <c r="C32" i="6"/>
  <c r="B32" i="6"/>
  <c r="A32" i="6"/>
  <c r="O31" i="6"/>
  <c r="M31" i="6"/>
  <c r="N31" i="6" s="1"/>
  <c r="C31" i="6"/>
  <c r="B31" i="6"/>
  <c r="A31" i="6"/>
  <c r="M30" i="6"/>
  <c r="N30" i="6" s="1"/>
  <c r="C30" i="6"/>
  <c r="B30" i="6"/>
  <c r="A30" i="6"/>
  <c r="O29" i="6"/>
  <c r="M29" i="6"/>
  <c r="N29" i="6" s="1"/>
  <c r="C29" i="6"/>
  <c r="B29" i="6"/>
  <c r="A29" i="6"/>
  <c r="O28" i="6"/>
  <c r="M28" i="6"/>
  <c r="N28" i="6" s="1"/>
  <c r="C28" i="6"/>
  <c r="B28" i="6"/>
  <c r="A28" i="6"/>
  <c r="O27" i="6"/>
  <c r="M27" i="6"/>
  <c r="N27" i="6" s="1"/>
  <c r="C27" i="6"/>
  <c r="B27" i="6"/>
  <c r="A27" i="6"/>
  <c r="J20" i="7"/>
  <c r="K20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/>
  <c r="J16" i="7"/>
  <c r="K16" i="7"/>
  <c r="J17" i="7"/>
  <c r="K17" i="7" s="1"/>
  <c r="J8" i="7"/>
  <c r="K8" i="7" s="1"/>
  <c r="C9" i="3" l="1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 l="1"/>
  <c r="N20" i="6" s="1"/>
  <c r="O20" i="6"/>
  <c r="A20" i="6"/>
  <c r="B20" i="6"/>
  <c r="C20" i="6"/>
  <c r="M19" i="6"/>
  <c r="N19" i="6" s="1"/>
  <c r="A14" i="6"/>
  <c r="B14" i="6"/>
  <c r="C14" i="6"/>
  <c r="M14" i="6"/>
  <c r="N14" i="6" s="1"/>
  <c r="A9" i="6" l="1"/>
  <c r="A10" i="6"/>
  <c r="A11" i="6"/>
  <c r="A12" i="6"/>
  <c r="A13" i="6"/>
  <c r="A15" i="6"/>
  <c r="A16" i="6"/>
  <c r="A17" i="6"/>
  <c r="A18" i="6"/>
  <c r="A19" i="6"/>
  <c r="A8" i="6"/>
  <c r="K17" i="1"/>
  <c r="L17" i="1" s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C9" i="4" l="1"/>
  <c r="C10" i="4"/>
  <c r="C11" i="4"/>
  <c r="C12" i="4"/>
  <c r="C13" i="4"/>
  <c r="C14" i="4"/>
  <c r="C15" i="4"/>
  <c r="C16" i="4"/>
  <c r="C17" i="4"/>
  <c r="C18" i="4"/>
  <c r="O18" i="5"/>
  <c r="M18" i="5"/>
  <c r="N18" i="5" s="1"/>
  <c r="O17" i="5"/>
  <c r="M17" i="5"/>
  <c r="N17" i="5" s="1"/>
  <c r="O16" i="5"/>
  <c r="M16" i="5"/>
  <c r="N16" i="5" s="1"/>
  <c r="O15" i="5"/>
  <c r="M15" i="5"/>
  <c r="N15" i="5" s="1"/>
  <c r="O14" i="5"/>
  <c r="M14" i="5"/>
  <c r="N14" i="5" s="1"/>
  <c r="O13" i="5"/>
  <c r="M13" i="5"/>
  <c r="N13" i="5" s="1"/>
  <c r="O12" i="5"/>
  <c r="M12" i="5"/>
  <c r="N12" i="5" s="1"/>
  <c r="O11" i="5"/>
  <c r="M11" i="5"/>
  <c r="N11" i="5" s="1"/>
  <c r="O10" i="5"/>
  <c r="M10" i="5"/>
  <c r="N10" i="5" s="1"/>
  <c r="O9" i="5"/>
  <c r="M9" i="5"/>
  <c r="N9" i="5" s="1"/>
  <c r="O8" i="5"/>
  <c r="M8" i="5"/>
  <c r="N8" i="5" s="1"/>
  <c r="O18" i="4"/>
  <c r="M18" i="4"/>
  <c r="N18" i="4" s="1"/>
  <c r="O17" i="4"/>
  <c r="M17" i="4"/>
  <c r="N17" i="4" s="1"/>
  <c r="O16" i="4"/>
  <c r="M16" i="4"/>
  <c r="N16" i="4" s="1"/>
  <c r="O15" i="4"/>
  <c r="M15" i="4"/>
  <c r="N15" i="4" s="1"/>
  <c r="O14" i="4"/>
  <c r="M14" i="4"/>
  <c r="N14" i="4" s="1"/>
  <c r="O13" i="4"/>
  <c r="M13" i="4"/>
  <c r="N13" i="4" s="1"/>
  <c r="O12" i="4"/>
  <c r="M12" i="4"/>
  <c r="N12" i="4" s="1"/>
  <c r="O11" i="4"/>
  <c r="M11" i="4"/>
  <c r="N11" i="4" s="1"/>
  <c r="O10" i="4"/>
  <c r="M10" i="4"/>
  <c r="N10" i="4" s="1"/>
  <c r="O9" i="4"/>
  <c r="M9" i="4"/>
  <c r="N9" i="4" s="1"/>
  <c r="O8" i="4"/>
  <c r="M8" i="4"/>
  <c r="N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O18" i="3"/>
  <c r="M18" i="3"/>
  <c r="N18" i="3" s="1"/>
  <c r="B15" i="3"/>
  <c r="B16" i="3"/>
  <c r="B17" i="3"/>
  <c r="B18" i="3"/>
  <c r="B14" i="3"/>
  <c r="B8" i="3"/>
  <c r="M9" i="3"/>
  <c r="N9" i="3" s="1"/>
  <c r="O9" i="3" l="1"/>
  <c r="M10" i="3"/>
  <c r="N10" i="3" s="1"/>
  <c r="O10" i="3"/>
  <c r="M11" i="3"/>
  <c r="O11" i="3"/>
  <c r="M12" i="3"/>
  <c r="N12" i="3" s="1"/>
  <c r="O12" i="3"/>
  <c r="M13" i="3"/>
  <c r="N13" i="3" s="1"/>
  <c r="O13" i="3"/>
  <c r="M14" i="3"/>
  <c r="N14" i="3" s="1"/>
  <c r="O14" i="3"/>
  <c r="M15" i="3"/>
  <c r="N15" i="3" s="1"/>
  <c r="O15" i="3"/>
  <c r="M16" i="3"/>
  <c r="N16" i="3" s="1"/>
  <c r="O16" i="3"/>
  <c r="M17" i="3"/>
  <c r="N17" i="3" s="1"/>
  <c r="O17" i="3"/>
  <c r="O8" i="3"/>
  <c r="M8" i="3"/>
  <c r="N8" i="3" s="1"/>
  <c r="N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G22" i="1" a="1"/>
  <c r="G22" i="1" s="1"/>
  <c r="G23" i="1" s="1"/>
  <c r="M6" i="1"/>
  <c r="K9" i="1"/>
  <c r="L9" i="1" s="1"/>
  <c r="S9" i="1" s="1"/>
  <c r="L20" i="1"/>
  <c r="R20" i="1" s="1"/>
  <c r="M20" i="1"/>
  <c r="M19" i="1"/>
  <c r="K19" i="1"/>
  <c r="L19" i="1" s="1"/>
  <c r="M18" i="1"/>
  <c r="K18" i="1"/>
  <c r="L18" i="1" s="1"/>
  <c r="M17" i="1"/>
  <c r="L22" i="1" s="1" a="1"/>
  <c r="L22" i="1" s="1"/>
  <c r="L23" i="1" s="1"/>
  <c r="R28" i="1" l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L11" i="1" s="1" a="1"/>
  <c r="L11" i="1" s="1"/>
  <c r="L12" i="1" s="1"/>
  <c r="K8" i="1"/>
  <c r="L8" i="1" s="1"/>
  <c r="K6" i="1"/>
  <c r="L6" i="1" s="1"/>
  <c r="R6" i="1" s="1"/>
  <c r="K7" i="1"/>
  <c r="L7" i="1" s="1"/>
  <c r="R7" i="1" l="1"/>
  <c r="S7" i="1"/>
  <c r="S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<sst xmlns="http://schemas.openxmlformats.org/spreadsheetml/2006/main" count="543" uniqueCount="93">
  <si>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</si>
  <si>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</si>
  <si>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</si>
  <si>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</si>
  <si>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</si>
  <si>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</si>
  <si>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</si>
  <si>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</si>
  <si>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</si>
  <si>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</si>
  <si>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</si>
  <si>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</si>
  <si>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</si>
  <si>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</si>
  <si>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</si>
  <si>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</si>
  <si>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</si>
  <si>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</si>
  <si>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</si>
  <si>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</si>
  <si>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</si>
  <si>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</si>
  <si>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</si>
  <si>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</si>
  <si>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</si>
  <si>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</si>
  <si>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</si>
  <si>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</si>
  <si>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</si>
  <si>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</si>
  <si>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</si>
  <si>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</si>
  <si>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</si>
  <si>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</si>
  <si>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</si>
  <si>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</si>
  <si>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</si>
  <si>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</si>
  <si>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</si>
  <si>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</si>
  <si>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</si>
  <si>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</si>
  <si>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</si>
  <si>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</si>
  <si>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</si>
  <si>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</si>
  <si>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</si>
  <si>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</si>
  <si>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</si>
  <si>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</si>
  <si>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</si>
  <si>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</si>
  <si>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</si>
  <si>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</si>
  <si>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</si>
  <si>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</si>
  <si>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</si>
  <si>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</si>
  <si>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</si>
  <si>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</si>
  <si>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</si>
  <si>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</si>
  <si>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</si>
  <si>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</si>
  <si>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</si>
  <si>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</si>
  <si>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</si>
  <si>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</si>
  <si>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</si>
  <si>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</si>
  <si>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</si>
  <si>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</si>
  <si>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</si>
  <si>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</si>
  <si>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</si>
  <si>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</si>
  <si>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</si>
  <si>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</si>
  <si>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</si>
  <si>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</si>
  <si>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</si>
  <si>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</si>
  <si>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</si>
  <si>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</si>
  <si>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</si>
  <si>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</si>
  <si>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</si>
  <si>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</si>
  <si>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</si>
  <si>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</si>
  <si>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</si>
  <si>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</si>
  <si>
    <t>333_1500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</si>
</sst>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1498.58</c:v>
                </c:pt>
                <c:pt idx="1">
                  <c:v>1398.7</c:v>
                </c:pt>
                <c:pt idx="2">
                  <c:v>1301.18</c:v>
                </c:pt>
                <c:pt idx="3">
                  <c:v>1199.31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1.362561942692883</c:v>
                </c:pt>
                <c:pt idx="1">
                  <c:v>1.3874074539089045</c:v>
                </c:pt>
                <c:pt idx="2">
                  <c:v>1.4185048850958353</c:v>
                </c:pt>
                <c:pt idx="3">
                  <c:v>1.4479055563840566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-4133.18</c:v>
                </c:pt>
                <c:pt idx="1">
                  <c:v>-4144.75</c:v>
                </c:pt>
                <c:pt idx="2">
                  <c:v>-4140.93</c:v>
                </c:pt>
                <c:pt idx="3">
                  <c:v>-4154.13</c:v>
                </c:pt>
                <c:pt idx="4">
                  <c:v>-4145.66</c:v>
                </c:pt>
                <c:pt idx="5">
                  <c:v>-4140.12</c:v>
                </c:pt>
                <c:pt idx="6">
                  <c:v>-4138.3999999999996</c:v>
                </c:pt>
                <c:pt idx="7">
                  <c:v>-4135.2700000000004</c:v>
                </c:pt>
                <c:pt idx="8">
                  <c:v>-4149.5</c:v>
                </c:pt>
                <c:pt idx="9">
                  <c:v>-4143.37</c:v>
                </c:pt>
                <c:pt idx="10">
                  <c:v>-4149.6899999999996</c:v>
                </c:pt>
                <c:pt idx="11">
                  <c:v>-4139.59</c:v>
                </c:pt>
                <c:pt idx="12">
                  <c:v>-4143.34</c:v>
                </c:pt>
                <c:pt idx="13">
                  <c:v>-4143.1099999999997</c:v>
                </c:pt>
                <c:pt idx="14">
                  <c:v>-4141.08</c:v>
                </c:pt>
                <c:pt idx="15">
                  <c:v>-4145.76</c:v>
                </c:pt>
                <c:pt idx="16">
                  <c:v>-4138.4399999999996</c:v>
                </c:pt>
                <c:pt idx="17">
                  <c:v>-4142.2299999999996</c:v>
                </c:pt>
                <c:pt idx="18">
                  <c:v>-4147.3</c:v>
                </c:pt>
                <c:pt idx="19">
                  <c:v>-4147.66</c:v>
                </c:pt>
                <c:pt idx="20">
                  <c:v>-4146.62</c:v>
                </c:pt>
                <c:pt idx="21">
                  <c:v>-4139.58</c:v>
                </c:pt>
                <c:pt idx="22">
                  <c:v>-4136.3100000000004</c:v>
                </c:pt>
                <c:pt idx="23">
                  <c:v>-4140.04</c:v>
                </c:pt>
                <c:pt idx="24">
                  <c:v>-4147.25</c:v>
                </c:pt>
                <c:pt idx="25">
                  <c:v>-4140.5200000000004</c:v>
                </c:pt>
                <c:pt idx="26">
                  <c:v>-4147.04</c:v>
                </c:pt>
                <c:pt idx="27">
                  <c:v>-4147.46</c:v>
                </c:pt>
                <c:pt idx="28">
                  <c:v>-4148.99</c:v>
                </c:pt>
                <c:pt idx="29">
                  <c:v>-4146.47</c:v>
                </c:pt>
                <c:pt idx="30">
                  <c:v>-4136.47</c:v>
                </c:pt>
                <c:pt idx="31">
                  <c:v>-4132.16</c:v>
                </c:pt>
                <c:pt idx="32">
                  <c:v>-4143.08</c:v>
                </c:pt>
                <c:pt idx="33">
                  <c:v>-4143.8100000000004</c:v>
                </c:pt>
                <c:pt idx="34">
                  <c:v>-4145.16</c:v>
                </c:pt>
                <c:pt idx="35">
                  <c:v>-4139.57</c:v>
                </c:pt>
                <c:pt idx="36">
                  <c:v>-4146.66</c:v>
                </c:pt>
                <c:pt idx="37">
                  <c:v>-4136.8999999999996</c:v>
                </c:pt>
                <c:pt idx="38">
                  <c:v>-4142.78</c:v>
                </c:pt>
                <c:pt idx="39">
                  <c:v>-4155.8999999999996</c:v>
                </c:pt>
                <c:pt idx="40">
                  <c:v>-4152.7299999999996</c:v>
                </c:pt>
                <c:pt idx="41">
                  <c:v>-4144.92</c:v>
                </c:pt>
                <c:pt idx="42">
                  <c:v>-4144.99</c:v>
                </c:pt>
                <c:pt idx="43">
                  <c:v>-4145.57</c:v>
                </c:pt>
                <c:pt idx="44">
                  <c:v>-4142.24</c:v>
                </c:pt>
                <c:pt idx="45">
                  <c:v>-4141.71</c:v>
                </c:pt>
                <c:pt idx="46">
                  <c:v>-4153.3999999999996</c:v>
                </c:pt>
                <c:pt idx="47">
                  <c:v>-4137.07</c:v>
                </c:pt>
                <c:pt idx="48">
                  <c:v>-4144.6899999999996</c:v>
                </c:pt>
                <c:pt idx="49">
                  <c:v>-4154.8100000000004</c:v>
                </c:pt>
                <c:pt idx="50">
                  <c:v>-4139.4799999999996</c:v>
                </c:pt>
                <c:pt idx="51">
                  <c:v>-4147.24</c:v>
                </c:pt>
                <c:pt idx="52">
                  <c:v>-4144.63</c:v>
                </c:pt>
                <c:pt idx="53">
                  <c:v>-4138.82</c:v>
                </c:pt>
                <c:pt idx="54">
                  <c:v>-4141.95</c:v>
                </c:pt>
                <c:pt idx="55">
                  <c:v>-4141.84</c:v>
                </c:pt>
                <c:pt idx="56">
                  <c:v>-4144.63</c:v>
                </c:pt>
                <c:pt idx="57">
                  <c:v>-4145.76</c:v>
                </c:pt>
                <c:pt idx="58">
                  <c:v>-4146.26</c:v>
                </c:pt>
                <c:pt idx="59">
                  <c:v>-4150.26</c:v>
                </c:pt>
                <c:pt idx="60">
                  <c:v>-4140.1899999999996</c:v>
                </c:pt>
                <c:pt idx="61">
                  <c:v>-4143.1000000000004</c:v>
                </c:pt>
                <c:pt idx="62">
                  <c:v>-4142.96</c:v>
                </c:pt>
                <c:pt idx="63">
                  <c:v>-4139.54</c:v>
                </c:pt>
                <c:pt idx="64">
                  <c:v>-4138.1000000000004</c:v>
                </c:pt>
                <c:pt idx="65">
                  <c:v>-4137.99</c:v>
                </c:pt>
                <c:pt idx="66">
                  <c:v>-4153.1499999999996</c:v>
                </c:pt>
                <c:pt idx="67">
                  <c:v>-4143.12</c:v>
                </c:pt>
                <c:pt idx="68">
                  <c:v>-4149.17</c:v>
                </c:pt>
                <c:pt idx="69">
                  <c:v>-4150.6000000000004</c:v>
                </c:pt>
                <c:pt idx="70">
                  <c:v>-4142.9399999999996</c:v>
                </c:pt>
                <c:pt idx="71">
                  <c:v>-4144.34</c:v>
                </c:pt>
                <c:pt idx="72">
                  <c:v>-4146.01</c:v>
                </c:pt>
                <c:pt idx="73">
                  <c:v>-4135.42</c:v>
                </c:pt>
                <c:pt idx="74">
                  <c:v>-4142.3100000000004</c:v>
                </c:pt>
                <c:pt idx="75">
                  <c:v>-4146.1400000000003</c:v>
                </c:pt>
                <c:pt idx="76">
                  <c:v>-4141.99</c:v>
                </c:pt>
                <c:pt idx="77">
                  <c:v>-4144.04</c:v>
                </c:pt>
                <c:pt idx="78">
                  <c:v>-4147.0600000000004</c:v>
                </c:pt>
                <c:pt idx="79">
                  <c:v>-4138.45</c:v>
                </c:pt>
                <c:pt idx="80">
                  <c:v>-4141.4799999999996</c:v>
                </c:pt>
                <c:pt idx="81">
                  <c:v>-4147.8999999999996</c:v>
                </c:pt>
                <c:pt idx="82">
                  <c:v>-4142.8599999999997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39452.9</c:v>
                </c:pt>
                <c:pt idx="1">
                  <c:v>38862.800000000003</c:v>
                </c:pt>
                <c:pt idx="2">
                  <c:v>38424.800000000003</c:v>
                </c:pt>
                <c:pt idx="3">
                  <c:v>38637.599999999999</c:v>
                </c:pt>
                <c:pt idx="4">
                  <c:v>38749.699999999997</c:v>
                </c:pt>
                <c:pt idx="5">
                  <c:v>39130.699999999997</c:v>
                </c:pt>
                <c:pt idx="6">
                  <c:v>39018.6</c:v>
                </c:pt>
                <c:pt idx="7">
                  <c:v>38783.1</c:v>
                </c:pt>
                <c:pt idx="8">
                  <c:v>39284.9</c:v>
                </c:pt>
                <c:pt idx="9">
                  <c:v>38713</c:v>
                </c:pt>
                <c:pt idx="10">
                  <c:v>38520.300000000003</c:v>
                </c:pt>
                <c:pt idx="11">
                  <c:v>39369.199999999997</c:v>
                </c:pt>
                <c:pt idx="12">
                  <c:v>39076.800000000003</c:v>
                </c:pt>
                <c:pt idx="13">
                  <c:v>39256.199999999997</c:v>
                </c:pt>
                <c:pt idx="14">
                  <c:v>38873.800000000003</c:v>
                </c:pt>
                <c:pt idx="15">
                  <c:v>38828.800000000003</c:v>
                </c:pt>
                <c:pt idx="16">
                  <c:v>38904.400000000001</c:v>
                </c:pt>
                <c:pt idx="17">
                  <c:v>39098.6</c:v>
                </c:pt>
                <c:pt idx="18">
                  <c:v>38307.699999999997</c:v>
                </c:pt>
                <c:pt idx="19">
                  <c:v>38812.6</c:v>
                </c:pt>
                <c:pt idx="20">
                  <c:v>38656.1</c:v>
                </c:pt>
                <c:pt idx="21">
                  <c:v>39286.699999999997</c:v>
                </c:pt>
                <c:pt idx="22">
                  <c:v>39714.300000000003</c:v>
                </c:pt>
                <c:pt idx="23">
                  <c:v>38722.400000000001</c:v>
                </c:pt>
                <c:pt idx="24">
                  <c:v>38495.1</c:v>
                </c:pt>
                <c:pt idx="25">
                  <c:v>38802.699999999997</c:v>
                </c:pt>
                <c:pt idx="26">
                  <c:v>38444.5</c:v>
                </c:pt>
                <c:pt idx="27">
                  <c:v>38396.199999999997</c:v>
                </c:pt>
                <c:pt idx="28">
                  <c:v>38635.300000000003</c:v>
                </c:pt>
                <c:pt idx="29">
                  <c:v>38745.1</c:v>
                </c:pt>
                <c:pt idx="30">
                  <c:v>39130.1</c:v>
                </c:pt>
                <c:pt idx="31">
                  <c:v>39522.1</c:v>
                </c:pt>
                <c:pt idx="32">
                  <c:v>39131.300000000003</c:v>
                </c:pt>
                <c:pt idx="33">
                  <c:v>39018</c:v>
                </c:pt>
                <c:pt idx="34">
                  <c:v>38801.199999999997</c:v>
                </c:pt>
                <c:pt idx="35">
                  <c:v>38672.6</c:v>
                </c:pt>
                <c:pt idx="36">
                  <c:v>38859</c:v>
                </c:pt>
                <c:pt idx="37">
                  <c:v>39101.4</c:v>
                </c:pt>
                <c:pt idx="38">
                  <c:v>38784.800000000003</c:v>
                </c:pt>
                <c:pt idx="39">
                  <c:v>38779.699999999997</c:v>
                </c:pt>
                <c:pt idx="40">
                  <c:v>38954.800000000003</c:v>
                </c:pt>
                <c:pt idx="41">
                  <c:v>39013.199999999997</c:v>
                </c:pt>
                <c:pt idx="42">
                  <c:v>38826.199999999997</c:v>
                </c:pt>
                <c:pt idx="43">
                  <c:v>38911.1</c:v>
                </c:pt>
                <c:pt idx="44">
                  <c:v>38712.800000000003</c:v>
                </c:pt>
                <c:pt idx="45">
                  <c:v>38959.599999999999</c:v>
                </c:pt>
                <c:pt idx="46">
                  <c:v>38284.6</c:v>
                </c:pt>
                <c:pt idx="47">
                  <c:v>39274.300000000003</c:v>
                </c:pt>
                <c:pt idx="48">
                  <c:v>39148.5</c:v>
                </c:pt>
                <c:pt idx="49">
                  <c:v>38465.199999999997</c:v>
                </c:pt>
                <c:pt idx="50">
                  <c:v>39108.9</c:v>
                </c:pt>
                <c:pt idx="51">
                  <c:v>38840.6</c:v>
                </c:pt>
                <c:pt idx="52">
                  <c:v>39083.1</c:v>
                </c:pt>
                <c:pt idx="53">
                  <c:v>39173.1</c:v>
                </c:pt>
                <c:pt idx="54">
                  <c:v>39011.699999999997</c:v>
                </c:pt>
                <c:pt idx="55">
                  <c:v>38761.699999999997</c:v>
                </c:pt>
                <c:pt idx="56">
                  <c:v>38389.9</c:v>
                </c:pt>
                <c:pt idx="57">
                  <c:v>38825.800000000003</c:v>
                </c:pt>
                <c:pt idx="58">
                  <c:v>38839.9</c:v>
                </c:pt>
                <c:pt idx="59">
                  <c:v>38923.599999999999</c:v>
                </c:pt>
                <c:pt idx="60">
                  <c:v>39030.699999999997</c:v>
                </c:pt>
                <c:pt idx="61">
                  <c:v>38819</c:v>
                </c:pt>
                <c:pt idx="62">
                  <c:v>39221</c:v>
                </c:pt>
                <c:pt idx="63">
                  <c:v>38615.300000000003</c:v>
                </c:pt>
                <c:pt idx="64">
                  <c:v>38670.6</c:v>
                </c:pt>
                <c:pt idx="65">
                  <c:v>39429.5</c:v>
                </c:pt>
                <c:pt idx="66">
                  <c:v>38401.9</c:v>
                </c:pt>
                <c:pt idx="67">
                  <c:v>38850.9</c:v>
                </c:pt>
                <c:pt idx="68">
                  <c:v>38610.699999999997</c:v>
                </c:pt>
                <c:pt idx="69">
                  <c:v>38341.9</c:v>
                </c:pt>
                <c:pt idx="70">
                  <c:v>38557.699999999997</c:v>
                </c:pt>
                <c:pt idx="71">
                  <c:v>39070.199999999997</c:v>
                </c:pt>
                <c:pt idx="72">
                  <c:v>38837</c:v>
                </c:pt>
                <c:pt idx="73">
                  <c:v>39279.699999999997</c:v>
                </c:pt>
                <c:pt idx="74">
                  <c:v>38711.800000000003</c:v>
                </c:pt>
                <c:pt idx="75">
                  <c:v>38579.5</c:v>
                </c:pt>
                <c:pt idx="76">
                  <c:v>38771.5</c:v>
                </c:pt>
                <c:pt idx="77">
                  <c:v>38899.800000000003</c:v>
                </c:pt>
                <c:pt idx="78">
                  <c:v>38580.300000000003</c:v>
                </c:pt>
                <c:pt idx="79">
                  <c:v>38862.6</c:v>
                </c:pt>
                <c:pt idx="80">
                  <c:v>38815.599999999999</c:v>
                </c:pt>
                <c:pt idx="81">
                  <c:v>38705.199999999997</c:v>
                </c:pt>
                <c:pt idx="82">
                  <c:v>39008.5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1.3669906204867397</c:v>
                </c:pt>
                <c:pt idx="2">
                  <c:v>1.3728673521783861</c:v>
                </c:pt>
                <c:pt idx="3">
                  <c:v>1.3742323506265024</c:v>
                </c:pt>
                <c:pt idx="4">
                  <c:v>1.3752345573475628</c:v>
                </c:pt>
                <c:pt idx="5">
                  <c:v>1.3781103453610897</c:v>
                </c:pt>
                <c:pt idx="6">
                  <c:v>1.3765494608238731</c:v>
                </c:pt>
                <c:pt idx="7">
                  <c:v>1.3749861866571405</c:v>
                </c:pt>
                <c:pt idx="8">
                  <c:v>1.3702559838878938</c:v>
                </c:pt>
                <c:pt idx="9">
                  <c:v>1.3691461922295589</c:v>
                </c:pt>
                <c:pt idx="10">
                  <c:v>1.3683038469541575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56895.5</c:v>
                </c:pt>
                <c:pt idx="1">
                  <c:v>56601.1</c:v>
                </c:pt>
                <c:pt idx="2">
                  <c:v>56399.5</c:v>
                </c:pt>
                <c:pt idx="3">
                  <c:v>56149.1</c:v>
                </c:pt>
                <c:pt idx="4">
                  <c:v>57698.8</c:v>
                </c:pt>
                <c:pt idx="5">
                  <c:v>56430.3</c:v>
                </c:pt>
                <c:pt idx="6">
                  <c:v>56880.1</c:v>
                </c:pt>
                <c:pt idx="7">
                  <c:v>55978.5</c:v>
                </c:pt>
                <c:pt idx="8">
                  <c:v>55749</c:v>
                </c:pt>
                <c:pt idx="9">
                  <c:v>56462.3</c:v>
                </c:pt>
                <c:pt idx="10">
                  <c:v>56382.2</c:v>
                </c:pt>
                <c:pt idx="11">
                  <c:v>56343.7</c:v>
                </c:pt>
                <c:pt idx="12">
                  <c:v>57793.3</c:v>
                </c:pt>
                <c:pt idx="13">
                  <c:v>56593</c:v>
                </c:pt>
                <c:pt idx="14">
                  <c:v>55801.8</c:v>
                </c:pt>
                <c:pt idx="15">
                  <c:v>56615.6</c:v>
                </c:pt>
                <c:pt idx="16">
                  <c:v>56194.400000000001</c:v>
                </c:pt>
                <c:pt idx="17">
                  <c:v>55695.5</c:v>
                </c:pt>
                <c:pt idx="18">
                  <c:v>56295.6</c:v>
                </c:pt>
                <c:pt idx="19">
                  <c:v>56898.7</c:v>
                </c:pt>
                <c:pt idx="20">
                  <c:v>56066.9</c:v>
                </c:pt>
                <c:pt idx="21">
                  <c:v>57575.5</c:v>
                </c:pt>
                <c:pt idx="22">
                  <c:v>56254.8</c:v>
                </c:pt>
                <c:pt idx="23">
                  <c:v>55942.1</c:v>
                </c:pt>
                <c:pt idx="24">
                  <c:v>55757.7</c:v>
                </c:pt>
                <c:pt idx="25">
                  <c:v>56528.7</c:v>
                </c:pt>
                <c:pt idx="26">
                  <c:v>56282.9</c:v>
                </c:pt>
                <c:pt idx="27">
                  <c:v>55669.7</c:v>
                </c:pt>
                <c:pt idx="28">
                  <c:v>56721.9</c:v>
                </c:pt>
                <c:pt idx="29">
                  <c:v>55654.2</c:v>
                </c:pt>
                <c:pt idx="30">
                  <c:v>56682.5</c:v>
                </c:pt>
                <c:pt idx="31">
                  <c:v>58000.2</c:v>
                </c:pt>
                <c:pt idx="32">
                  <c:v>56794.3</c:v>
                </c:pt>
                <c:pt idx="33">
                  <c:v>55742.6</c:v>
                </c:pt>
                <c:pt idx="34">
                  <c:v>56517.599999999999</c:v>
                </c:pt>
                <c:pt idx="35">
                  <c:v>56989.2</c:v>
                </c:pt>
                <c:pt idx="36">
                  <c:v>55837.5</c:v>
                </c:pt>
                <c:pt idx="37">
                  <c:v>56265.599999999999</c:v>
                </c:pt>
                <c:pt idx="38">
                  <c:v>56268.7</c:v>
                </c:pt>
                <c:pt idx="39">
                  <c:v>56386.9</c:v>
                </c:pt>
                <c:pt idx="40">
                  <c:v>55999.5</c:v>
                </c:pt>
                <c:pt idx="41">
                  <c:v>57095.4</c:v>
                </c:pt>
                <c:pt idx="42">
                  <c:v>57515.8</c:v>
                </c:pt>
                <c:pt idx="43">
                  <c:v>56936.800000000003</c:v>
                </c:pt>
                <c:pt idx="44">
                  <c:v>56840.800000000003</c:v>
                </c:pt>
                <c:pt idx="45">
                  <c:v>55642.3</c:v>
                </c:pt>
                <c:pt idx="46">
                  <c:v>57179.4</c:v>
                </c:pt>
                <c:pt idx="47">
                  <c:v>56107.4</c:v>
                </c:pt>
                <c:pt idx="48">
                  <c:v>56215.8</c:v>
                </c:pt>
                <c:pt idx="49">
                  <c:v>56571</c:v>
                </c:pt>
                <c:pt idx="50">
                  <c:v>56388</c:v>
                </c:pt>
                <c:pt idx="51">
                  <c:v>56506.2</c:v>
                </c:pt>
                <c:pt idx="52">
                  <c:v>57082.5</c:v>
                </c:pt>
                <c:pt idx="53">
                  <c:v>56670.8</c:v>
                </c:pt>
                <c:pt idx="54">
                  <c:v>56480.6</c:v>
                </c:pt>
                <c:pt idx="55">
                  <c:v>56856.9</c:v>
                </c:pt>
                <c:pt idx="56">
                  <c:v>55770.2</c:v>
                </c:pt>
                <c:pt idx="57">
                  <c:v>56428</c:v>
                </c:pt>
                <c:pt idx="58">
                  <c:v>56809.8</c:v>
                </c:pt>
                <c:pt idx="59">
                  <c:v>56821.9</c:v>
                </c:pt>
                <c:pt idx="60">
                  <c:v>56845.8</c:v>
                </c:pt>
                <c:pt idx="61">
                  <c:v>55485.1</c:v>
                </c:pt>
                <c:pt idx="62">
                  <c:v>56585.1</c:v>
                </c:pt>
                <c:pt idx="63">
                  <c:v>56299.1</c:v>
                </c:pt>
                <c:pt idx="64">
                  <c:v>56417.2</c:v>
                </c:pt>
                <c:pt idx="65">
                  <c:v>55315.9</c:v>
                </c:pt>
                <c:pt idx="66">
                  <c:v>55677.5</c:v>
                </c:pt>
                <c:pt idx="67">
                  <c:v>55455</c:v>
                </c:pt>
                <c:pt idx="68">
                  <c:v>55916.5</c:v>
                </c:pt>
                <c:pt idx="69">
                  <c:v>55674</c:v>
                </c:pt>
                <c:pt idx="70">
                  <c:v>56827.6</c:v>
                </c:pt>
                <c:pt idx="71">
                  <c:v>57116</c:v>
                </c:pt>
                <c:pt idx="72">
                  <c:v>57832.1</c:v>
                </c:pt>
                <c:pt idx="73">
                  <c:v>56531.3</c:v>
                </c:pt>
                <c:pt idx="74">
                  <c:v>56830.6</c:v>
                </c:pt>
                <c:pt idx="75">
                  <c:v>56730</c:v>
                </c:pt>
                <c:pt idx="76">
                  <c:v>56397.2</c:v>
                </c:pt>
                <c:pt idx="77">
                  <c:v>56902.2</c:v>
                </c:pt>
                <c:pt idx="78">
                  <c:v>56674.9</c:v>
                </c:pt>
                <c:pt idx="79">
                  <c:v>57505.599999999999</c:v>
                </c:pt>
                <c:pt idx="80">
                  <c:v>56534.5</c:v>
                </c:pt>
                <c:pt idx="81">
                  <c:v>55511.4</c:v>
                </c:pt>
                <c:pt idx="82">
                  <c:v>56809.1</c:v>
                </c:pt>
                <c:pt idx="83">
                  <c:v>56593.599999999999</c:v>
                </c:pt>
                <c:pt idx="84">
                  <c:v>56730.5</c:v>
                </c:pt>
                <c:pt idx="85">
                  <c:v>56563.3</c:v>
                </c:pt>
                <c:pt idx="86">
                  <c:v>57235.4</c:v>
                </c:pt>
                <c:pt idx="87">
                  <c:v>57176.9</c:v>
                </c:pt>
                <c:pt idx="88">
                  <c:v>56750.400000000001</c:v>
                </c:pt>
                <c:pt idx="89">
                  <c:v>56043.1</c:v>
                </c:pt>
                <c:pt idx="90">
                  <c:v>57000.7</c:v>
                </c:pt>
                <c:pt idx="91">
                  <c:v>56527.7</c:v>
                </c:pt>
                <c:pt idx="92">
                  <c:v>57365.8</c:v>
                </c:pt>
                <c:pt idx="93">
                  <c:v>55578.2</c:v>
                </c:pt>
                <c:pt idx="94">
                  <c:v>55577.5</c:v>
                </c:pt>
                <c:pt idx="95">
                  <c:v>55922</c:v>
                </c:pt>
                <c:pt idx="96" formatCode="0.00E+00">
                  <c:v>56757.599999999999</c:v>
                </c:pt>
                <c:pt idx="97" formatCode="0.00E+00">
                  <c:v>55555.199999999997</c:v>
                </c:pt>
                <c:pt idx="98" formatCode="0.00E+00">
                  <c:v>56170.7</c:v>
                </c:pt>
                <c:pt idx="99" formatCode="0.00E+00">
                  <c:v>57178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-3203.62</c:v>
                </c:pt>
                <c:pt idx="1">
                  <c:v>-3198.03</c:v>
                </c:pt>
                <c:pt idx="2">
                  <c:v>-3196.19</c:v>
                </c:pt>
                <c:pt idx="3">
                  <c:v>-3201.95</c:v>
                </c:pt>
                <c:pt idx="4">
                  <c:v>-3184.84</c:v>
                </c:pt>
                <c:pt idx="5">
                  <c:v>-3199.41</c:v>
                </c:pt>
                <c:pt idx="6">
                  <c:v>-3193.17</c:v>
                </c:pt>
                <c:pt idx="7">
                  <c:v>-3201.7</c:v>
                </c:pt>
                <c:pt idx="8">
                  <c:v>-3200.15</c:v>
                </c:pt>
                <c:pt idx="9">
                  <c:v>-3197.44</c:v>
                </c:pt>
                <c:pt idx="10">
                  <c:v>-3199.06</c:v>
                </c:pt>
                <c:pt idx="11">
                  <c:v>-3194.6</c:v>
                </c:pt>
                <c:pt idx="12">
                  <c:v>-3187.86</c:v>
                </c:pt>
                <c:pt idx="13">
                  <c:v>-3206.52</c:v>
                </c:pt>
                <c:pt idx="14">
                  <c:v>-3190.16</c:v>
                </c:pt>
                <c:pt idx="15">
                  <c:v>-3201.82</c:v>
                </c:pt>
                <c:pt idx="16">
                  <c:v>-3198.81</c:v>
                </c:pt>
                <c:pt idx="17">
                  <c:v>-3202</c:v>
                </c:pt>
                <c:pt idx="18">
                  <c:v>-3201.54</c:v>
                </c:pt>
                <c:pt idx="19">
                  <c:v>-3200.29</c:v>
                </c:pt>
                <c:pt idx="20">
                  <c:v>-3193.61</c:v>
                </c:pt>
                <c:pt idx="21">
                  <c:v>-3190.56</c:v>
                </c:pt>
                <c:pt idx="22">
                  <c:v>-3196.35</c:v>
                </c:pt>
                <c:pt idx="23">
                  <c:v>-3207.23</c:v>
                </c:pt>
                <c:pt idx="24">
                  <c:v>-3205.97</c:v>
                </c:pt>
                <c:pt idx="25">
                  <c:v>-3190.69</c:v>
                </c:pt>
                <c:pt idx="26">
                  <c:v>-3195.82</c:v>
                </c:pt>
                <c:pt idx="27">
                  <c:v>-3200.24</c:v>
                </c:pt>
                <c:pt idx="28">
                  <c:v>-3192.9</c:v>
                </c:pt>
                <c:pt idx="29">
                  <c:v>-3202.99</c:v>
                </c:pt>
                <c:pt idx="30">
                  <c:v>-3197.87</c:v>
                </c:pt>
                <c:pt idx="31">
                  <c:v>-3191.89</c:v>
                </c:pt>
                <c:pt idx="32">
                  <c:v>-3190.84</c:v>
                </c:pt>
                <c:pt idx="33">
                  <c:v>-3200.68</c:v>
                </c:pt>
                <c:pt idx="34">
                  <c:v>-3206.32</c:v>
                </c:pt>
                <c:pt idx="35">
                  <c:v>-3191.43</c:v>
                </c:pt>
                <c:pt idx="36">
                  <c:v>-3209.55</c:v>
                </c:pt>
                <c:pt idx="37">
                  <c:v>-3202.14</c:v>
                </c:pt>
                <c:pt idx="38">
                  <c:v>-3206.73</c:v>
                </c:pt>
                <c:pt idx="39">
                  <c:v>-3201.04</c:v>
                </c:pt>
                <c:pt idx="40">
                  <c:v>-3208.84</c:v>
                </c:pt>
                <c:pt idx="41">
                  <c:v>-3191.61</c:v>
                </c:pt>
                <c:pt idx="42">
                  <c:v>-3187.46</c:v>
                </c:pt>
                <c:pt idx="43">
                  <c:v>-3187.26</c:v>
                </c:pt>
                <c:pt idx="44">
                  <c:v>-3191.13</c:v>
                </c:pt>
                <c:pt idx="45">
                  <c:v>-3216.17</c:v>
                </c:pt>
                <c:pt idx="46">
                  <c:v>-3190.57</c:v>
                </c:pt>
                <c:pt idx="47">
                  <c:v>-3204.96</c:v>
                </c:pt>
                <c:pt idx="48">
                  <c:v>-3200.33</c:v>
                </c:pt>
                <c:pt idx="49">
                  <c:v>-3201.57</c:v>
                </c:pt>
                <c:pt idx="50">
                  <c:v>-3197.97</c:v>
                </c:pt>
                <c:pt idx="51">
                  <c:v>-3198.07</c:v>
                </c:pt>
                <c:pt idx="52">
                  <c:v>-3192.19</c:v>
                </c:pt>
                <c:pt idx="53">
                  <c:v>-3186.69</c:v>
                </c:pt>
                <c:pt idx="54">
                  <c:v>-3201.24</c:v>
                </c:pt>
                <c:pt idx="55">
                  <c:v>-3191.17</c:v>
                </c:pt>
                <c:pt idx="56">
                  <c:v>-3196.83</c:v>
                </c:pt>
                <c:pt idx="57">
                  <c:v>-3201.12</c:v>
                </c:pt>
                <c:pt idx="58">
                  <c:v>-3201.27</c:v>
                </c:pt>
                <c:pt idx="59">
                  <c:v>-3183.75</c:v>
                </c:pt>
                <c:pt idx="60">
                  <c:v>-3197.65</c:v>
                </c:pt>
                <c:pt idx="61">
                  <c:v>-3207.75</c:v>
                </c:pt>
                <c:pt idx="62">
                  <c:v>-3197.74</c:v>
                </c:pt>
                <c:pt idx="63">
                  <c:v>-3201.24</c:v>
                </c:pt>
                <c:pt idx="64">
                  <c:v>-3187.5</c:v>
                </c:pt>
                <c:pt idx="65">
                  <c:v>-3197.01</c:v>
                </c:pt>
                <c:pt idx="66">
                  <c:v>-3194.29</c:v>
                </c:pt>
                <c:pt idx="67">
                  <c:v>-3209.27</c:v>
                </c:pt>
                <c:pt idx="68">
                  <c:v>-3206.06</c:v>
                </c:pt>
                <c:pt idx="69">
                  <c:v>-3202.87</c:v>
                </c:pt>
                <c:pt idx="70">
                  <c:v>-3197.07</c:v>
                </c:pt>
                <c:pt idx="71">
                  <c:v>-3195.77</c:v>
                </c:pt>
                <c:pt idx="72">
                  <c:v>-3193.06</c:v>
                </c:pt>
                <c:pt idx="73">
                  <c:v>-3203.68</c:v>
                </c:pt>
                <c:pt idx="74">
                  <c:v>-3192.21</c:v>
                </c:pt>
                <c:pt idx="75">
                  <c:v>-3197.62</c:v>
                </c:pt>
                <c:pt idx="76">
                  <c:v>-3207.51</c:v>
                </c:pt>
                <c:pt idx="77">
                  <c:v>-3190.3</c:v>
                </c:pt>
                <c:pt idx="78">
                  <c:v>-3198.64</c:v>
                </c:pt>
                <c:pt idx="79">
                  <c:v>-3199.26</c:v>
                </c:pt>
                <c:pt idx="80">
                  <c:v>-3188.59</c:v>
                </c:pt>
                <c:pt idx="81">
                  <c:v>-3203.52</c:v>
                </c:pt>
                <c:pt idx="82">
                  <c:v>-3193.38</c:v>
                </c:pt>
                <c:pt idx="83">
                  <c:v>-3194.84</c:v>
                </c:pt>
                <c:pt idx="84">
                  <c:v>-3205.13</c:v>
                </c:pt>
                <c:pt idx="85">
                  <c:v>-3192.07</c:v>
                </c:pt>
                <c:pt idx="86">
                  <c:v>-3183.55</c:v>
                </c:pt>
                <c:pt idx="87">
                  <c:v>-3195.72</c:v>
                </c:pt>
                <c:pt idx="88">
                  <c:v>-3197.92</c:v>
                </c:pt>
                <c:pt idx="89">
                  <c:v>-3211.49</c:v>
                </c:pt>
                <c:pt idx="90">
                  <c:v>-3194.74</c:v>
                </c:pt>
                <c:pt idx="91">
                  <c:v>-3191.44</c:v>
                </c:pt>
                <c:pt idx="92">
                  <c:v>-3202.4</c:v>
                </c:pt>
                <c:pt idx="93">
                  <c:v>-3198.53</c:v>
                </c:pt>
                <c:pt idx="94">
                  <c:v>-3195.82</c:v>
                </c:pt>
                <c:pt idx="95">
                  <c:v>-3202.31</c:v>
                </c:pt>
                <c:pt idx="96">
                  <c:v>-3196.41</c:v>
                </c:pt>
                <c:pt idx="97">
                  <c:v>-3211.99</c:v>
                </c:pt>
                <c:pt idx="98">
                  <c:v>-3195.85</c:v>
                </c:pt>
                <c:pt idx="99">
                  <c:v>-3191.11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1.3729648054876904</c:v>
                </c:pt>
                <c:pt idx="2">
                  <c:v>1.3875234596179395</c:v>
                </c:pt>
                <c:pt idx="3">
                  <c:v>1.3999368789053868</c:v>
                </c:pt>
                <c:pt idx="4">
                  <c:v>1.4098852996623188</c:v>
                </c:pt>
                <c:pt idx="5">
                  <c:v>1.4231203869053943</c:v>
                </c:pt>
                <c:pt idx="6">
                  <c:v>1.4306068072050961</c:v>
                </c:pt>
                <c:pt idx="7">
                  <c:v>1.4407471392224833</c:v>
                </c:pt>
                <c:pt idx="8">
                  <c:v>1.4490697456154211</c:v>
                </c:pt>
                <c:pt idx="9">
                  <c:v>1.4581195967555041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1.3683038469541575</c:v>
                </c:pt>
                <c:pt idx="1">
                  <c:v>1.3737579588803175</c:v>
                </c:pt>
                <c:pt idx="2">
                  <c:v>1.3819113556815978</c:v>
                </c:pt>
                <c:pt idx="3">
                  <c:v>1.3951542815272329</c:v>
                </c:pt>
                <c:pt idx="4">
                  <c:v>1.4024780329224871</c:v>
                </c:pt>
                <c:pt idx="5">
                  <c:v>1.4135050471740382</c:v>
                </c:pt>
                <c:pt idx="6">
                  <c:v>1.4218115753943705</c:v>
                </c:pt>
                <c:pt idx="7">
                  <c:v>1.4312583693073169</c:v>
                </c:pt>
                <c:pt idx="8">
                  <c:v>1.442878854958632</c:v>
                </c:pt>
                <c:pt idx="9">
                  <c:v>1.4530410073696292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90882910469524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438150</xdr:colOff>
      <xdr:row>52</xdr:row>
      <xdr:rowOff>196850</xdr:rowOff>
    </xdr:from>
    <xdr:to>
      <xdr:col>25</xdr:col>
      <xdr:colOff>57150</xdr:colOff>
      <xdr:row>66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22"/>
  <sheetViews>
    <sheetView workbookViewId="0">
      <selection activeCell="I23" sqref="I23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1498.58</v>
      </c>
      <c r="D6">
        <v>-4063.87</v>
      </c>
      <c r="E6">
        <v>41328.199999999997</v>
      </c>
      <c r="F6">
        <v>15.065200000000001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1.362561942692883</v>
      </c>
      <c r="M6">
        <f>D6+SUM(G6:J6)*1.5*(0.000086173)*C6</f>
        <v>-3753.9408775839997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5.1457163386516673E-2</v>
      </c>
      <c r="S6">
        <f>ABS(Q6-L6)/Q6</f>
        <v>0.1073238055204251</v>
      </c>
    </row>
    <row r="7" spans="2:19" x14ac:dyDescent="0.2">
      <c r="B7">
        <v>100000</v>
      </c>
      <c r="C7">
        <v>1398.7</v>
      </c>
      <c r="D7">
        <v>-4089.5</v>
      </c>
      <c r="E7">
        <v>40588.1</v>
      </c>
      <c r="F7">
        <v>-6.9218299999999999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1.3874074539089045</v>
      </c>
      <c r="M7">
        <f t="shared" ref="M7:M9" si="0">D7+SUM(G7:J7)*1.5*(0.000086173)*C7</f>
        <v>-3800.22757976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3.7648106448154826E-2</v>
      </c>
      <c r="S7">
        <f>ABS(Q7-L7)/Q7</f>
        <v>8.9187826902892509E-2</v>
      </c>
    </row>
    <row r="8" spans="2:19" x14ac:dyDescent="0.2">
      <c r="B8">
        <v>100000</v>
      </c>
      <c r="C8">
        <v>1301.18</v>
      </c>
      <c r="D8">
        <v>-4115.37</v>
      </c>
      <c r="E8">
        <v>39698.300000000003</v>
      </c>
      <c r="F8">
        <v>-3.24681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1.4185048850958353</v>
      </c>
      <c r="M8">
        <f t="shared" si="0"/>
        <v>-3846.266198064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2.3892198959768501E-2</v>
      </c>
      <c r="S8">
        <f>ABS(Q8-L8)/Q8</f>
        <v>7.699102960734594E-2</v>
      </c>
    </row>
    <row r="9" spans="2:19" x14ac:dyDescent="0.2">
      <c r="B9">
        <v>100000</v>
      </c>
      <c r="C9">
        <v>1199.31</v>
      </c>
      <c r="D9">
        <v>-4143.1899999999996</v>
      </c>
      <c r="E9">
        <v>38892.199999999997</v>
      </c>
      <c r="F9">
        <v>3.6297999999999999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1.4479055563840566</v>
      </c>
      <c r="M9">
        <f t="shared" si="0"/>
        <v>-3895.1544624879998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3.3935031315945288E-2</v>
      </c>
      <c r="S9">
        <f>ABS(Q9-L9)/Q9</f>
        <v>6.4323402222917367E-2</v>
      </c>
    </row>
    <row r="11" spans="2:19" x14ac:dyDescent="0.2">
      <c r="F11" t="s">
        <v>20</v>
      </c>
      <c r="G11" cm="1">
        <f t="array" ref="G11:H11">LINEST(E6:E9,C6:C9)</f>
        <v>8.2348065429989639</v>
      </c>
      <c r="H11">
        <v>29014.302071599115</v>
      </c>
      <c r="K11" t="s">
        <v>22</v>
      </c>
      <c r="L11" cm="1">
        <f t="array" ref="L11:M11">LINEST(M6:M9,C6:C9)</f>
        <v>0.47189929881970116</v>
      </c>
      <c r="M11">
        <v>-4460.698249021505</v>
      </c>
      <c r="O11" t="s">
        <v>42</v>
      </c>
      <c r="P11" t="s">
        <v>43</v>
      </c>
    </row>
    <row r="12" spans="2:19" x14ac:dyDescent="0.2">
      <c r="G12" s="2">
        <f>G11/E9</f>
        <v>2.1173414059885953E-4</v>
      </c>
      <c r="L12">
        <f>L11/SUM(G6:I6)*(1.602E-19)*(6.022E+23)</f>
        <v>56.906595989282124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1499.12</v>
      </c>
      <c r="D17">
        <v>-2280.77</v>
      </c>
      <c r="E17">
        <v>72354.399999999994</v>
      </c>
      <c r="F17">
        <v>-5.8073100000000002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1.3687066541357542</v>
      </c>
      <c r="M17">
        <f>D17+SUM(G17:J17)*1.5*(0.000086173)*C17</f>
        <v>-1970.729197376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0.10692896777148331</v>
      </c>
      <c r="S17">
        <f>ABS(Q17-L17)/Q17</f>
        <v>8.1554053050773526E-2</v>
      </c>
    </row>
    <row r="18" spans="2:19" x14ac:dyDescent="0.2">
      <c r="B18">
        <v>100000</v>
      </c>
      <c r="C18">
        <v>1398.04</v>
      </c>
      <c r="D18">
        <v>-2312.9</v>
      </c>
      <c r="E18">
        <v>70363</v>
      </c>
      <c r="F18">
        <v>-3.83379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1.407443524807072</v>
      </c>
      <c r="M18">
        <f t="shared" ref="M18:M20" si="2">D18+SUM(G18:J18)*1.5*(0.000086173)*C18</f>
        <v>-2023.7640777920001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6.5336201698982022E-2</v>
      </c>
      <c r="S18">
        <f>ABS(Q18-L18)/Q18</f>
        <v>6.3184412152191935E-2</v>
      </c>
    </row>
    <row r="19" spans="2:19" x14ac:dyDescent="0.2">
      <c r="B19">
        <v>100000</v>
      </c>
      <c r="C19">
        <v>1301.72</v>
      </c>
      <c r="D19">
        <v>-2345.19</v>
      </c>
      <c r="E19">
        <v>68473.399999999994</v>
      </c>
      <c r="F19">
        <v>-3.0697199999999998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1.4462835018561955</v>
      </c>
      <c r="M19">
        <f t="shared" si="2"/>
        <v>-2075.9745178560001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7.9156030140047601E-2</v>
      </c>
      <c r="S19">
        <f>ABS(Q19-L19)/Q19</f>
        <v>4.643911573416911E-2</v>
      </c>
    </row>
    <row r="20" spans="2:19" x14ac:dyDescent="0.2">
      <c r="B20">
        <v>100000</v>
      </c>
      <c r="C20">
        <v>1199.49</v>
      </c>
      <c r="D20">
        <v>-2381.5100000000002</v>
      </c>
      <c r="E20">
        <v>66235.100000000006</v>
      </c>
      <c r="F20">
        <v>2.1695799999999998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1.4951581372414324</v>
      </c>
      <c r="M20">
        <f t="shared" si="2"/>
        <v>-2133.4372357520001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3.1105360999023057E-2</v>
      </c>
      <c r="S20">
        <f>ABS(Q20-L20)/Q20</f>
        <v>3.8015924216490068E-2</v>
      </c>
    </row>
    <row r="22" spans="2:19" x14ac:dyDescent="0.2">
      <c r="F22" t="s">
        <v>20</v>
      </c>
      <c r="G22" cm="1">
        <f t="array" ref="G22:H22">LINEST(E17:E20,C17:C20)</f>
        <v>20.34876401962941</v>
      </c>
      <c r="H22">
        <v>41893.935694838307</v>
      </c>
      <c r="K22" t="s">
        <v>22</v>
      </c>
      <c r="L22" cm="1">
        <f t="array" ref="L22:M22">LINEST(M17:M20,C17:C20)</f>
        <v>0.54296034795438874</v>
      </c>
      <c r="M22">
        <v>-2783.7514705906333</v>
      </c>
      <c r="O22" t="s">
        <v>42</v>
      </c>
      <c r="P22" t="s">
        <v>43</v>
      </c>
    </row>
    <row r="23" spans="2:19" x14ac:dyDescent="0.2">
      <c r="G23" s="2">
        <f>G22/E20</f>
        <v>3.0722025058661356E-4</v>
      </c>
      <c r="L23">
        <f>L22/SUM(G17:I17)*(1.602E-19)*(6.022E+23)</f>
        <v>65.475886988011112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1500.99</v>
      </c>
      <c r="D28">
        <v>-2166.94</v>
      </c>
      <c r="E28">
        <v>53044.800000000003</v>
      </c>
      <c r="F28">
        <v>3.1406700000000001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1.4635471541037011</v>
      </c>
      <c r="M28">
        <f>D28+SUM(G28:J28)*1.5*(0.000086173)*C28</f>
        <v>-1856.5124529520001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8.990387478076832E-2</v>
      </c>
      <c r="S28">
        <f>ABS(Q28-L28)/Q28</f>
        <v>0.10414723055729984</v>
      </c>
    </row>
    <row r="29" spans="2:19" x14ac:dyDescent="0.2">
      <c r="B29">
        <v>100000</v>
      </c>
      <c r="C29">
        <v>1400.34</v>
      </c>
      <c r="D29">
        <v>-2196.52</v>
      </c>
      <c r="E29">
        <v>51670.400000000001</v>
      </c>
      <c r="F29">
        <v>6.8230300000000002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1.5024765838855516</v>
      </c>
      <c r="M29">
        <f t="shared" ref="M29:M31" si="4">D29+SUM(G29:J29)*1.5*(0.000086173)*C29</f>
        <v>-1906.9084028319999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6.821360206367455E-2</v>
      </c>
      <c r="S29">
        <f>ABS(Q29-L29)/Q29</f>
        <v>8.8908960635999026E-2</v>
      </c>
    </row>
    <row r="30" spans="2:19" x14ac:dyDescent="0.2">
      <c r="B30">
        <v>100000</v>
      </c>
      <c r="C30">
        <v>1300.19</v>
      </c>
      <c r="D30">
        <v>-2226.69</v>
      </c>
      <c r="E30">
        <v>50569.1</v>
      </c>
      <c r="F30">
        <v>-8.6141799999999993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1.5351977013630855</v>
      </c>
      <c r="M30">
        <f t="shared" si="4"/>
        <v>-1957.7909451119999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5.7122365062727699E-2</v>
      </c>
      <c r="S30">
        <f>ABS(Q30-L30)/Q30</f>
        <v>7.049557308631571E-2</v>
      </c>
    </row>
    <row r="31" spans="2:19" x14ac:dyDescent="0.2">
      <c r="B31">
        <v>100000</v>
      </c>
      <c r="C31">
        <v>1199.32</v>
      </c>
      <c r="D31">
        <v>-2258.0500000000002</v>
      </c>
      <c r="E31">
        <v>49312.6</v>
      </c>
      <c r="F31">
        <v>-0.42398000000000002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1.5743150042788252</v>
      </c>
      <c r="M31">
        <f t="shared" si="4"/>
        <v>-2010.0123943360002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6.5389731132443979E-2</v>
      </c>
      <c r="S31">
        <f>ABS(Q31-L31)/Q31</f>
        <v>5.7723061192438203E-2</v>
      </c>
    </row>
    <row r="33" spans="2:16" x14ac:dyDescent="0.2">
      <c r="F33" t="s">
        <v>20</v>
      </c>
      <c r="G33" cm="1">
        <f t="array" ref="G33:H33">LINEST(E28:E31,C28:C31)</f>
        <v>12.235136452283211</v>
      </c>
      <c r="H33">
        <v>34629.221410762693</v>
      </c>
      <c r="K33" t="s">
        <v>22</v>
      </c>
      <c r="L33" cm="1">
        <f t="array" ref="L33:M33">LINEST(M28:M31,C28:C31)</f>
        <v>0.50875932470544005</v>
      </c>
      <c r="M33">
        <v>-2619.7379766185322</v>
      </c>
      <c r="O33" t="s">
        <v>42</v>
      </c>
      <c r="P33" t="s">
        <v>43</v>
      </c>
    </row>
    <row r="34" spans="2:16" x14ac:dyDescent="0.2">
      <c r="G34" s="2">
        <f>G33/E31</f>
        <v>2.4811379753416393E-4</v>
      </c>
      <c r="L34">
        <f>L33/SUM(G28:I28)*(1.602E-19)*(6.022E+23)</f>
        <v>61.351566783857606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1216.8699999999999</v>
      </c>
      <c r="D40">
        <v>-4133.18</v>
      </c>
      <c r="E40">
        <v>39452.9</v>
      </c>
      <c r="F40">
        <v>13.342700000000001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1178.1500000000001</v>
      </c>
      <c r="D41">
        <v>-4144.75</v>
      </c>
      <c r="E41">
        <v>38862.800000000003</v>
      </c>
      <c r="F41">
        <v>-279.649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1201.51</v>
      </c>
      <c r="D42">
        <v>-4140.93</v>
      </c>
      <c r="E42">
        <v>38424.800000000003</v>
      </c>
      <c r="F42">
        <v>621.61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1192.08</v>
      </c>
      <c r="D43">
        <v>-4154.13</v>
      </c>
      <c r="E43">
        <v>38637.599999999999</v>
      </c>
      <c r="F43">
        <v>146.214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1186.55</v>
      </c>
      <c r="D44">
        <v>-4145.66</v>
      </c>
      <c r="E44">
        <v>38749.699999999997</v>
      </c>
      <c r="F44">
        <v>3463.18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1177.9100000000001</v>
      </c>
      <c r="D45">
        <v>-4140.12</v>
      </c>
      <c r="E45">
        <v>39130.699999999997</v>
      </c>
      <c r="F45">
        <v>-606.91800000000001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1211.67</v>
      </c>
      <c r="D46">
        <v>-4138.3999999999996</v>
      </c>
      <c r="E46">
        <v>39018.6</v>
      </c>
      <c r="F46">
        <v>278.86900000000003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1221.8</v>
      </c>
      <c r="D47">
        <v>-4135.2700000000004</v>
      </c>
      <c r="E47">
        <v>38783.1</v>
      </c>
      <c r="F47">
        <v>2304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1155.96</v>
      </c>
      <c r="D48">
        <v>-4149.5</v>
      </c>
      <c r="E48">
        <v>39284.9</v>
      </c>
      <c r="F48">
        <v>-1171.6099999999999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1196.46</v>
      </c>
      <c r="D49">
        <v>-4143.37</v>
      </c>
      <c r="E49">
        <v>38713</v>
      </c>
      <c r="F49">
        <v>192.809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1158.8900000000001</v>
      </c>
      <c r="D50">
        <v>-4149.6899999999996</v>
      </c>
      <c r="E50">
        <v>38520.300000000003</v>
      </c>
      <c r="F50">
        <v>-886.423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1179.8499999999999</v>
      </c>
      <c r="D51">
        <v>-4139.59</v>
      </c>
      <c r="E51">
        <v>39369.199999999997</v>
      </c>
      <c r="F51">
        <v>-1524.51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1195.31</v>
      </c>
      <c r="D52">
        <v>-4143.34</v>
      </c>
      <c r="E52">
        <v>39076.800000000003</v>
      </c>
      <c r="F52">
        <v>-124.95699999999999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1215.0899999999999</v>
      </c>
      <c r="D53">
        <v>-4143.1099999999997</v>
      </c>
      <c r="E53">
        <v>39256.199999999997</v>
      </c>
      <c r="F53">
        <v>-309.69499999999999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1200.75</v>
      </c>
      <c r="D54">
        <v>-4141.08</v>
      </c>
      <c r="E54">
        <v>38873.800000000003</v>
      </c>
      <c r="F54">
        <v>-523.85400000000004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1181.9100000000001</v>
      </c>
      <c r="D55">
        <v>-4145.76</v>
      </c>
      <c r="E55">
        <v>38828.800000000003</v>
      </c>
      <c r="F55">
        <v>-1933.12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1213.78</v>
      </c>
      <c r="D56">
        <v>-4138.4399999999996</v>
      </c>
      <c r="E56">
        <v>38904.400000000001</v>
      </c>
      <c r="F56">
        <v>-247.04499999999999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1213.6199999999999</v>
      </c>
      <c r="D57">
        <v>-4142.2299999999996</v>
      </c>
      <c r="E57">
        <v>39098.6</v>
      </c>
      <c r="F57">
        <v>-1499.42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1164.31</v>
      </c>
      <c r="D58">
        <v>-4147.3</v>
      </c>
      <c r="E58">
        <v>38307.699999999997</v>
      </c>
      <c r="F58">
        <v>3094.57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1206.6500000000001</v>
      </c>
      <c r="D59">
        <v>-4147.66</v>
      </c>
      <c r="E59">
        <v>38812.6</v>
      </c>
      <c r="F59">
        <v>-1136.47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1180.08</v>
      </c>
      <c r="D60">
        <v>-4146.62</v>
      </c>
      <c r="E60">
        <v>38656.1</v>
      </c>
      <c r="F60">
        <v>-445.27800000000002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1192.81</v>
      </c>
      <c r="D61">
        <v>-4139.58</v>
      </c>
      <c r="E61">
        <v>39286.699999999997</v>
      </c>
      <c r="F61">
        <v>-1229.1099999999999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1220.9000000000001</v>
      </c>
      <c r="D62">
        <v>-4136.3100000000004</v>
      </c>
      <c r="E62">
        <v>39714.300000000003</v>
      </c>
      <c r="F62">
        <v>-1976.66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1212.82</v>
      </c>
      <c r="D63">
        <v>-4140.04</v>
      </c>
      <c r="E63">
        <v>38722.400000000001</v>
      </c>
      <c r="F63">
        <v>-337.01299999999998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1199.3599999999999</v>
      </c>
      <c r="D64">
        <v>-4147.25</v>
      </c>
      <c r="E64">
        <v>38495.1</v>
      </c>
      <c r="F64">
        <v>-759.37400000000002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1191.56</v>
      </c>
      <c r="D65">
        <v>-4140.5200000000004</v>
      </c>
      <c r="E65">
        <v>38802.699999999997</v>
      </c>
      <c r="F65">
        <v>-505.51799999999997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1203.0899999999999</v>
      </c>
      <c r="D66">
        <v>-4147.04</v>
      </c>
      <c r="E66">
        <v>38444.5</v>
      </c>
      <c r="F66">
        <v>-970.55100000000004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1176.07</v>
      </c>
      <c r="D67">
        <v>-4147.46</v>
      </c>
      <c r="E67">
        <v>38396.199999999997</v>
      </c>
      <c r="F67">
        <v>2239.5500000000002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1179.3900000000001</v>
      </c>
      <c r="D68">
        <v>-4148.99</v>
      </c>
      <c r="E68">
        <v>38635.300000000003</v>
      </c>
      <c r="F68">
        <v>309.07100000000003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1209.29</v>
      </c>
      <c r="D69">
        <v>-4146.47</v>
      </c>
      <c r="E69">
        <v>38745.1</v>
      </c>
      <c r="F69">
        <v>62.260100000000001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1215.8499999999999</v>
      </c>
      <c r="D70">
        <v>-4136.47</v>
      </c>
      <c r="E70">
        <v>39130.1</v>
      </c>
      <c r="F70">
        <v>1153.28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1233.22</v>
      </c>
      <c r="D71">
        <v>-4132.16</v>
      </c>
      <c r="E71">
        <v>39522.1</v>
      </c>
      <c r="F71">
        <v>-2498.98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1204.8599999999999</v>
      </c>
      <c r="D72">
        <v>-4143.08</v>
      </c>
      <c r="E72">
        <v>39131.300000000003</v>
      </c>
      <c r="F72">
        <v>1387.9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1190.6400000000001</v>
      </c>
      <c r="D73">
        <v>-4143.8100000000004</v>
      </c>
      <c r="E73">
        <v>39018</v>
      </c>
      <c r="F73">
        <v>-399.22800000000001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1195.1199999999999</v>
      </c>
      <c r="D74">
        <v>-4145.16</v>
      </c>
      <c r="E74">
        <v>38801.199999999997</v>
      </c>
      <c r="F74">
        <v>162.71700000000001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1204.81</v>
      </c>
      <c r="D75">
        <v>-4139.57</v>
      </c>
      <c r="E75">
        <v>38672.6</v>
      </c>
      <c r="F75">
        <v>119.59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1179.93</v>
      </c>
      <c r="D76">
        <v>-4146.66</v>
      </c>
      <c r="E76">
        <v>38859</v>
      </c>
      <c r="F76">
        <v>865.43100000000004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1207.02</v>
      </c>
      <c r="D77">
        <v>-4136.8999999999996</v>
      </c>
      <c r="E77">
        <v>39101.4</v>
      </c>
      <c r="F77">
        <v>-40.06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1194.46</v>
      </c>
      <c r="D78">
        <v>-4142.78</v>
      </c>
      <c r="E78">
        <v>38784.800000000003</v>
      </c>
      <c r="F78">
        <v>-423.56400000000002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1205.71</v>
      </c>
      <c r="D79">
        <v>-4155.8999999999996</v>
      </c>
      <c r="E79">
        <v>38779.699999999997</v>
      </c>
      <c r="F79">
        <v>-736.71100000000001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1190.7</v>
      </c>
      <c r="D80">
        <v>-4152.7299999999996</v>
      </c>
      <c r="E80">
        <v>38954.800000000003</v>
      </c>
      <c r="F80">
        <v>-293.49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1205.4100000000001</v>
      </c>
      <c r="D81">
        <v>-4144.92</v>
      </c>
      <c r="E81">
        <v>39013.199999999997</v>
      </c>
      <c r="F81">
        <v>-250.32400000000001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1212.3900000000001</v>
      </c>
      <c r="D82">
        <v>-4144.99</v>
      </c>
      <c r="E82">
        <v>38826.199999999997</v>
      </c>
      <c r="F82">
        <v>1301.3499999999999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1175.03</v>
      </c>
      <c r="D83">
        <v>-4145.57</v>
      </c>
      <c r="E83">
        <v>38911.1</v>
      </c>
      <c r="F83">
        <v>759.60299999999995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1201.95</v>
      </c>
      <c r="D84">
        <v>-4142.24</v>
      </c>
      <c r="E84">
        <v>38712.800000000003</v>
      </c>
      <c r="F84">
        <v>252.81299999999999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1176.83</v>
      </c>
      <c r="D85">
        <v>-4141.71</v>
      </c>
      <c r="E85">
        <v>38959.599999999999</v>
      </c>
      <c r="F85">
        <v>153.75700000000001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1165.55</v>
      </c>
      <c r="D86">
        <v>-4153.3999999999996</v>
      </c>
      <c r="E86">
        <v>38284.6</v>
      </c>
      <c r="F86">
        <v>478.08300000000003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1172.0999999999999</v>
      </c>
      <c r="D87">
        <v>-4137.07</v>
      </c>
      <c r="E87">
        <v>39274.300000000003</v>
      </c>
      <c r="F87">
        <v>-3551.03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1210.46</v>
      </c>
      <c r="D88">
        <v>-4144.6899999999996</v>
      </c>
      <c r="E88">
        <v>39148.5</v>
      </c>
      <c r="F88">
        <v>-1524.16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1166.23</v>
      </c>
      <c r="D89">
        <v>-4154.8100000000004</v>
      </c>
      <c r="E89">
        <v>38465.199999999997</v>
      </c>
      <c r="F89">
        <v>143.94800000000001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1191.6199999999999</v>
      </c>
      <c r="D90">
        <v>-4139.4799999999996</v>
      </c>
      <c r="E90">
        <v>39108.9</v>
      </c>
      <c r="F90">
        <v>-594.74199999999996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1166.52</v>
      </c>
      <c r="D91">
        <v>-4147.24</v>
      </c>
      <c r="E91">
        <v>38840.6</v>
      </c>
      <c r="F91">
        <v>-1332.46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1200.71</v>
      </c>
      <c r="D92">
        <v>-4144.63</v>
      </c>
      <c r="E92">
        <v>39083.1</v>
      </c>
      <c r="F92">
        <v>-673.81299999999999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1224.44</v>
      </c>
      <c r="D93">
        <v>-4138.82</v>
      </c>
      <c r="E93">
        <v>39173.1</v>
      </c>
      <c r="F93">
        <v>-1339.04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1205.2</v>
      </c>
      <c r="D94">
        <v>-4141.95</v>
      </c>
      <c r="E94">
        <v>39011.699999999997</v>
      </c>
      <c r="F94">
        <v>-241.91300000000001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1222.6400000000001</v>
      </c>
      <c r="D95">
        <v>-4141.84</v>
      </c>
      <c r="E95">
        <v>38761.699999999997</v>
      </c>
      <c r="F95">
        <v>611.91099999999994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1201.6199999999999</v>
      </c>
      <c r="D96">
        <v>-4144.63</v>
      </c>
      <c r="E96">
        <v>38389.9</v>
      </c>
      <c r="F96">
        <v>122.61799999999999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1194.48</v>
      </c>
      <c r="D97">
        <v>-4145.76</v>
      </c>
      <c r="E97">
        <v>38825.800000000003</v>
      </c>
      <c r="F97">
        <v>-48.737200000000001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1206.69</v>
      </c>
      <c r="D98">
        <v>-4146.26</v>
      </c>
      <c r="E98">
        <v>38839.9</v>
      </c>
      <c r="F98">
        <v>-2258.5500000000002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1182.1300000000001</v>
      </c>
      <c r="D99">
        <v>-4150.26</v>
      </c>
      <c r="E99">
        <v>38923.599999999999</v>
      </c>
      <c r="F99">
        <v>-314.44600000000003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1215.31</v>
      </c>
      <c r="D100">
        <v>-4140.1899999999996</v>
      </c>
      <c r="E100">
        <v>39030.699999999997</v>
      </c>
      <c r="F100">
        <v>885.14300000000003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1206.98</v>
      </c>
      <c r="D101">
        <v>-4143.1000000000004</v>
      </c>
      <c r="E101">
        <v>38819</v>
      </c>
      <c r="F101">
        <v>1280.1199999999999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1203.05</v>
      </c>
      <c r="D102">
        <v>-4142.96</v>
      </c>
      <c r="E102">
        <v>39221</v>
      </c>
      <c r="F102">
        <v>-1293.5899999999999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1218.1600000000001</v>
      </c>
      <c r="D103">
        <v>-4139.54</v>
      </c>
      <c r="E103">
        <v>38615.300000000003</v>
      </c>
      <c r="F103">
        <v>640.27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1213.68</v>
      </c>
      <c r="D104">
        <v>-4138.1000000000004</v>
      </c>
      <c r="E104">
        <v>38670.6</v>
      </c>
      <c r="F104">
        <v>451.38600000000002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1187.6300000000001</v>
      </c>
      <c r="D105">
        <v>-4137.99</v>
      </c>
      <c r="E105">
        <v>39429.5</v>
      </c>
      <c r="F105">
        <v>-132.24700000000001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1164.6600000000001</v>
      </c>
      <c r="D106">
        <v>-4153.1499999999996</v>
      </c>
      <c r="E106">
        <v>38401.9</v>
      </c>
      <c r="F106">
        <v>1255.94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1185.93</v>
      </c>
      <c r="D107">
        <v>-4143.12</v>
      </c>
      <c r="E107">
        <v>38850.9</v>
      </c>
      <c r="F107">
        <v>195.40100000000001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1204.21</v>
      </c>
      <c r="D108">
        <v>-4149.17</v>
      </c>
      <c r="E108">
        <v>38610.699999999997</v>
      </c>
      <c r="F108">
        <v>-471.23200000000003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1203.6300000000001</v>
      </c>
      <c r="D109">
        <v>-4150.6000000000004</v>
      </c>
      <c r="E109">
        <v>38341.9</v>
      </c>
      <c r="F109">
        <v>1659.74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1215.92</v>
      </c>
      <c r="D110">
        <v>-4142.9399999999996</v>
      </c>
      <c r="E110">
        <v>38557.699999999997</v>
      </c>
      <c r="F110">
        <v>1045.1199999999999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1188.22</v>
      </c>
      <c r="D111">
        <v>-4144.34</v>
      </c>
      <c r="E111">
        <v>39070.199999999997</v>
      </c>
      <c r="F111">
        <v>-2729.21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1192.8699999999999</v>
      </c>
      <c r="D112">
        <v>-4146.01</v>
      </c>
      <c r="E112">
        <v>38837</v>
      </c>
      <c r="F112">
        <v>33.126100000000001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1211.17</v>
      </c>
      <c r="D113">
        <v>-4135.42</v>
      </c>
      <c r="E113">
        <v>39279.699999999997</v>
      </c>
      <c r="F113">
        <v>-799.16700000000003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1218.04</v>
      </c>
      <c r="D114">
        <v>-4142.3100000000004</v>
      </c>
      <c r="E114">
        <v>38711.800000000003</v>
      </c>
      <c r="F114">
        <v>2649.06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1204.8599999999999</v>
      </c>
      <c r="D115">
        <v>-4146.1400000000003</v>
      </c>
      <c r="E115">
        <v>38579.5</v>
      </c>
      <c r="F115">
        <v>2381.09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1230.8</v>
      </c>
      <c r="D116">
        <v>-4141.99</v>
      </c>
      <c r="E116">
        <v>38771.5</v>
      </c>
      <c r="F116">
        <v>-404.09899999999999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1211.51</v>
      </c>
      <c r="D117">
        <v>-4144.04</v>
      </c>
      <c r="E117">
        <v>38899.800000000003</v>
      </c>
      <c r="F117">
        <v>-178.46100000000001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1181.19</v>
      </c>
      <c r="D118">
        <v>-4147.0600000000004</v>
      </c>
      <c r="E118">
        <v>38580.300000000003</v>
      </c>
      <c r="F118">
        <v>2329.9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1209.3599999999999</v>
      </c>
      <c r="D119">
        <v>-4138.45</v>
      </c>
      <c r="E119">
        <v>38862.6</v>
      </c>
      <c r="F119">
        <v>-1139.02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1230.94</v>
      </c>
      <c r="D120">
        <v>-4141.4799999999996</v>
      </c>
      <c r="E120">
        <v>38815.599999999999</v>
      </c>
      <c r="F120">
        <v>1188.52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1193.78</v>
      </c>
      <c r="D121">
        <v>-4147.8999999999996</v>
      </c>
      <c r="E121">
        <v>38705.199999999997</v>
      </c>
      <c r="F121">
        <v>1770.83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1201.44</v>
      </c>
      <c r="D122">
        <v>-4142.8599999999997</v>
      </c>
      <c r="E122">
        <v>39008.5</v>
      </c>
      <c r="F122">
        <v>-790.73900000000003</v>
      </c>
      <c r="G122">
        <v>800</v>
      </c>
      <c r="H122">
        <v>0</v>
      </c>
      <c r="I122">
        <v>0</v>
      </c>
      <c r="J122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topLeftCell="D10" workbookViewId="0">
      <selection activeCell="J40" sqref="J40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1.3607181600707519</v>
      </c>
      <c r="O8">
        <f t="shared" ref="O8" si="3">F8+SUM(I8:L8)*1.5*(0.000086173)*E8</f>
        <v>-3753.1734516400002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1500.78</v>
      </c>
      <c r="F9">
        <v>-3895.3</v>
      </c>
      <c r="G9">
        <v>44319.4</v>
      </c>
      <c r="H9">
        <v>0.65565499999999999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1.3669906204867397</v>
      </c>
      <c r="O9">
        <f t="shared" ref="O9:O17" si="6">F9+SUM(I9:L9)*1.5*(0.000086173)*E9</f>
        <v>-3584.9158841440003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1500.05</v>
      </c>
      <c r="F10">
        <v>-3725.6</v>
      </c>
      <c r="G10">
        <v>47241.4</v>
      </c>
      <c r="H10">
        <v>7.0256299999999996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1.3728673521783861</v>
      </c>
      <c r="O10">
        <f t="shared" si="6"/>
        <v>-3415.3668592399999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1500.28</v>
      </c>
      <c r="F11">
        <v>-3551.64</v>
      </c>
      <c r="G11">
        <v>50303.1</v>
      </c>
      <c r="H11">
        <v>4.9855299999999998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1.3742323506265024</v>
      </c>
      <c r="O11">
        <f t="shared" si="6"/>
        <v>-3241.3592917440001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1499.68</v>
      </c>
      <c r="F12">
        <v>-3376.41</v>
      </c>
      <c r="G12">
        <v>53372.800000000003</v>
      </c>
      <c r="H12">
        <v>7.2435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1.3752345573475628</v>
      </c>
      <c r="O12">
        <f t="shared" si="6"/>
        <v>-3066.2533808640001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1500.43</v>
      </c>
      <c r="F13">
        <v>-3199.14</v>
      </c>
      <c r="G13" s="3">
        <v>56361.3</v>
      </c>
      <c r="H13" s="3">
        <v>3.3488700000000003E-2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1.3781103453610897</v>
      </c>
      <c r="O13">
        <f t="shared" si="6"/>
        <v>-2888.8282694639997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1501.4</v>
      </c>
      <c r="F14">
        <v>-3018.75</v>
      </c>
      <c r="G14">
        <v>59528.6</v>
      </c>
      <c r="H14">
        <v>5.9656200000000004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1.3765494608238731</v>
      </c>
      <c r="O14">
        <f t="shared" si="6"/>
        <v>-2708.2376587200001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1499.82</v>
      </c>
      <c r="F15">
        <v>-2836.36</v>
      </c>
      <c r="G15">
        <v>62703.199999999997</v>
      </c>
      <c r="H15">
        <v>-1.64811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1.3749861866571405</v>
      </c>
      <c r="O15">
        <f t="shared" si="6"/>
        <v>-2526.174426736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1500.92</v>
      </c>
      <c r="F16">
        <v>-2651.63</v>
      </c>
      <c r="G16">
        <v>66037.3</v>
      </c>
      <c r="H16">
        <v>1.6835100000000001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1.3702559838878938</v>
      </c>
      <c r="O16">
        <f t="shared" si="6"/>
        <v>-2341.2169300160003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1498.9</v>
      </c>
      <c r="F17">
        <v>-2467</v>
      </c>
      <c r="G17">
        <v>69211</v>
      </c>
      <c r="H17">
        <v>-5.3415100000000004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1.3691461922295589</v>
      </c>
      <c r="O17">
        <f t="shared" si="6"/>
        <v>-2157.0046967200001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1501.18</v>
      </c>
      <c r="F18">
        <v>-2280.29</v>
      </c>
      <c r="G18">
        <v>72375.7</v>
      </c>
      <c r="H18">
        <v>-0.54600099999999996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1.3683038469541575</v>
      </c>
      <c r="O18">
        <f>F18+SUM(I18:L18)*1.5*(0.000086173)*E18</f>
        <v>-1969.8231580639999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0.5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1199.21</v>
      </c>
      <c r="F25">
        <v>-4143.99</v>
      </c>
      <c r="G25">
        <v>38874.300000000003</v>
      </c>
      <c r="H25">
        <v>2.8257599999999998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1.4485722567351693</v>
      </c>
      <c r="O25">
        <f t="shared" ref="O25" si="12">F25+SUM(I25:L25)*1.5*(0.000086173)*E25</f>
        <v>-3895.9751440079999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1199.76</v>
      </c>
      <c r="F26">
        <v>-3978.74</v>
      </c>
      <c r="G26">
        <v>41564.5</v>
      </c>
      <c r="H26">
        <v>-0.69139799999999996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1.4575949212813823</v>
      </c>
      <c r="O26">
        <f t="shared" ref="O26:O34" si="15">F26+SUM(I26:L26)*1.5*(0.000086173)*E26</f>
        <v>-3730.6113956479999</v>
      </c>
      <c r="R26">
        <v>1000</v>
      </c>
      <c r="S26">
        <v>1473.43</v>
      </c>
      <c r="T26">
        <v>-3203.62</v>
      </c>
      <c r="U26">
        <v>56895.5</v>
      </c>
      <c r="V26">
        <v>-1972.2</v>
      </c>
      <c r="W26">
        <v>400</v>
      </c>
      <c r="X26">
        <v>400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1200.72</v>
      </c>
      <c r="F27">
        <v>-3810.83</v>
      </c>
      <c r="G27">
        <v>44230.3</v>
      </c>
      <c r="H27">
        <v>3.77996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1.466329094109694</v>
      </c>
      <c r="O27">
        <f t="shared" si="15"/>
        <v>-3562.5028530559998</v>
      </c>
      <c r="R27">
        <v>2000</v>
      </c>
      <c r="S27">
        <v>1473.09</v>
      </c>
      <c r="T27">
        <v>-3198.03</v>
      </c>
      <c r="U27">
        <v>56601.1</v>
      </c>
      <c r="V27">
        <v>309.012</v>
      </c>
      <c r="W27">
        <v>400</v>
      </c>
      <c r="X27">
        <v>400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1199</v>
      </c>
      <c r="F28">
        <v>-3641.68</v>
      </c>
      <c r="G28">
        <v>46819</v>
      </c>
      <c r="H28">
        <v>-1.83988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1.4764977329033087</v>
      </c>
      <c r="O28">
        <f t="shared" si="15"/>
        <v>-3393.7085751999998</v>
      </c>
      <c r="R28">
        <v>3000</v>
      </c>
      <c r="S28">
        <v>1498.99</v>
      </c>
      <c r="T28">
        <v>-3196.19</v>
      </c>
      <c r="U28">
        <v>56399.5</v>
      </c>
      <c r="V28">
        <v>-91.041700000000006</v>
      </c>
      <c r="W28">
        <v>400</v>
      </c>
      <c r="X28">
        <v>400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1199.56</v>
      </c>
      <c r="F29">
        <v>-3467.73</v>
      </c>
      <c r="G29">
        <v>49608.800000000003</v>
      </c>
      <c r="H29">
        <v>1.97126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1.4795786026350166</v>
      </c>
      <c r="O29">
        <f t="shared" si="15"/>
        <v>-3219.642758688</v>
      </c>
      <c r="R29">
        <v>4000</v>
      </c>
      <c r="S29">
        <v>1493.67</v>
      </c>
      <c r="T29">
        <v>-3201.95</v>
      </c>
      <c r="U29">
        <v>56149.1</v>
      </c>
      <c r="V29">
        <v>-654.56500000000005</v>
      </c>
      <c r="W29">
        <v>400</v>
      </c>
      <c r="X29">
        <v>400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1200.3599999999999</v>
      </c>
      <c r="F30">
        <v>-3291.82</v>
      </c>
      <c r="G30" s="3">
        <v>52299.1</v>
      </c>
      <c r="H30" s="3">
        <v>8.3335299999999997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1.4851515725509614</v>
      </c>
      <c r="O30">
        <f t="shared" si="15"/>
        <v>-3043.5673065280002</v>
      </c>
      <c r="R30">
        <v>5000</v>
      </c>
      <c r="S30">
        <v>1500.21</v>
      </c>
      <c r="T30">
        <v>-3184.84</v>
      </c>
      <c r="U30">
        <v>57698.8</v>
      </c>
      <c r="V30">
        <v>-1339.16</v>
      </c>
      <c r="W30">
        <v>400</v>
      </c>
      <c r="X30">
        <v>400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1200.1300000000001</v>
      </c>
      <c r="F31">
        <v>-3114.37</v>
      </c>
      <c r="G31">
        <v>55055.7</v>
      </c>
      <c r="H31">
        <v>8.3948900000000002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1.4883847128199261</v>
      </c>
      <c r="O31">
        <f t="shared" si="15"/>
        <v>-2866.1648740239998</v>
      </c>
      <c r="R31">
        <v>6000</v>
      </c>
      <c r="S31">
        <v>1482.7</v>
      </c>
      <c r="T31">
        <v>-3199.41</v>
      </c>
      <c r="U31">
        <v>56430.3</v>
      </c>
      <c r="V31">
        <v>-1411.48</v>
      </c>
      <c r="W31">
        <v>400</v>
      </c>
      <c r="X31">
        <v>400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1200.3</v>
      </c>
      <c r="F32">
        <v>-2932.4</v>
      </c>
      <c r="G32">
        <v>57933.9</v>
      </c>
      <c r="H32">
        <v>-1.21455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1.4881793536979215</v>
      </c>
      <c r="O32">
        <f t="shared" si="15"/>
        <v>-2684.1597154400001</v>
      </c>
      <c r="R32">
        <v>7000</v>
      </c>
      <c r="S32">
        <v>1519.53</v>
      </c>
      <c r="T32">
        <v>-3193.17</v>
      </c>
      <c r="U32">
        <v>56880.1</v>
      </c>
      <c r="V32">
        <v>1182.8499999999999</v>
      </c>
      <c r="W32">
        <v>400</v>
      </c>
      <c r="X32">
        <v>400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1198.98</v>
      </c>
      <c r="F33">
        <v>-2750.95</v>
      </c>
      <c r="G33">
        <v>60725.3</v>
      </c>
      <c r="H33">
        <v>2.20811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1.4901203532102767</v>
      </c>
      <c r="O33">
        <f t="shared" si="15"/>
        <v>-2502.9827115039998</v>
      </c>
      <c r="R33">
        <v>8000</v>
      </c>
      <c r="S33">
        <v>1501.49</v>
      </c>
      <c r="T33">
        <v>-3201.7</v>
      </c>
      <c r="U33">
        <v>55978.5</v>
      </c>
      <c r="V33">
        <v>814.58</v>
      </c>
      <c r="W33">
        <v>400</v>
      </c>
      <c r="X33">
        <v>400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1200.9100000000001</v>
      </c>
      <c r="F34">
        <v>-2565.33</v>
      </c>
      <c r="G34">
        <v>63549.8</v>
      </c>
      <c r="H34">
        <v>0.38298300000000002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1.4911136952500244</v>
      </c>
      <c r="O34">
        <f t="shared" si="15"/>
        <v>-2316.963558168</v>
      </c>
      <c r="R34">
        <v>9000</v>
      </c>
      <c r="S34">
        <v>1493.66</v>
      </c>
      <c r="T34">
        <v>-3200.15</v>
      </c>
      <c r="U34">
        <v>55749</v>
      </c>
      <c r="V34">
        <v>1313.92</v>
      </c>
      <c r="W34">
        <v>400</v>
      </c>
      <c r="X34">
        <v>400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1200.07</v>
      </c>
      <c r="F35">
        <v>-2379.2800000000002</v>
      </c>
      <c r="G35">
        <v>66494.7</v>
      </c>
      <c r="H35">
        <v>4.3596899999999996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1.4893209343902598</v>
      </c>
      <c r="O35">
        <f>F35+SUM(I35:L35)*1.5*(0.000086173)*E35</f>
        <v>-2131.0872829360001</v>
      </c>
      <c r="R35">
        <v>10000</v>
      </c>
      <c r="S35">
        <v>1476.23</v>
      </c>
      <c r="T35">
        <v>-3197.44</v>
      </c>
      <c r="U35">
        <v>56462.3</v>
      </c>
      <c r="V35">
        <v>-467.32499999999999</v>
      </c>
      <c r="W35">
        <v>400</v>
      </c>
      <c r="X35">
        <v>400</v>
      </c>
      <c r="Y35">
        <v>0</v>
      </c>
      <c r="Z35">
        <v>800</v>
      </c>
    </row>
    <row r="36" spans="1:26" x14ac:dyDescent="0.2">
      <c r="R36">
        <v>11000</v>
      </c>
      <c r="S36">
        <v>1499.43</v>
      </c>
      <c r="T36">
        <v>-3199.06</v>
      </c>
      <c r="U36">
        <v>56382.2</v>
      </c>
      <c r="V36">
        <v>26.623200000000001</v>
      </c>
      <c r="W36">
        <v>400</v>
      </c>
      <c r="X36">
        <v>400</v>
      </c>
      <c r="Y36">
        <v>0</v>
      </c>
      <c r="Z36">
        <v>800</v>
      </c>
    </row>
    <row r="37" spans="1:26" x14ac:dyDescent="0.2">
      <c r="R37">
        <v>12000</v>
      </c>
      <c r="S37">
        <v>1493.21</v>
      </c>
      <c r="T37">
        <v>-3194.6</v>
      </c>
      <c r="U37">
        <v>56343.7</v>
      </c>
      <c r="V37">
        <v>-428.85199999999998</v>
      </c>
      <c r="W37">
        <v>400</v>
      </c>
      <c r="X37">
        <v>400</v>
      </c>
      <c r="Y37">
        <v>0</v>
      </c>
      <c r="Z37">
        <v>800</v>
      </c>
    </row>
    <row r="38" spans="1:26" x14ac:dyDescent="0.2">
      <c r="R38">
        <v>13000</v>
      </c>
      <c r="S38">
        <v>1484.19</v>
      </c>
      <c r="T38">
        <v>-3187.86</v>
      </c>
      <c r="U38">
        <v>57793.3</v>
      </c>
      <c r="V38">
        <v>-1545.77</v>
      </c>
      <c r="W38">
        <v>400</v>
      </c>
      <c r="X38">
        <v>400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1515.69</v>
      </c>
      <c r="T39">
        <v>-3206.52</v>
      </c>
      <c r="U39">
        <v>56593</v>
      </c>
      <c r="V39">
        <v>-618.05700000000002</v>
      </c>
      <c r="W39">
        <v>400</v>
      </c>
      <c r="X39">
        <v>400</v>
      </c>
      <c r="Y39">
        <v>0</v>
      </c>
      <c r="Z39">
        <v>800</v>
      </c>
    </row>
    <row r="40" spans="1:26" x14ac:dyDescent="0.2">
      <c r="D40">
        <v>-3753.1734516400002</v>
      </c>
      <c r="E40">
        <v>-3895.9751440079999</v>
      </c>
      <c r="F40" cm="1">
        <f t="array" ref="F40:G40">LINEST(D40:E40,$D$39:$E$39)</f>
        <v>0.47600564122666578</v>
      </c>
      <c r="G40">
        <v>-4467.1819134799989</v>
      </c>
      <c r="H40">
        <f>F40/SUM(I25:K25)*(1.602E-19)*(6.022E+23)</f>
        <v>57.401782078626297</v>
      </c>
      <c r="R40">
        <v>15000</v>
      </c>
      <c r="S40">
        <v>1523.86</v>
      </c>
      <c r="T40">
        <v>-3190.16</v>
      </c>
      <c r="U40">
        <v>55801.8</v>
      </c>
      <c r="V40">
        <v>866.63400000000001</v>
      </c>
      <c r="W40">
        <v>400</v>
      </c>
      <c r="X40">
        <v>400</v>
      </c>
      <c r="Y40">
        <v>0</v>
      </c>
      <c r="Z40">
        <v>800</v>
      </c>
    </row>
    <row r="41" spans="1:26" x14ac:dyDescent="0.2">
      <c r="D41">
        <v>-3584.9158841440003</v>
      </c>
      <c r="E41">
        <v>-3730.6113956479999</v>
      </c>
      <c r="F41" cm="1">
        <f t="array" ref="F41:G41">LINEST(D41:E41,$D$39:$E$39)</f>
        <v>0.48565170501333182</v>
      </c>
      <c r="G41">
        <v>-4313.3934416639986</v>
      </c>
      <c r="H41">
        <f t="shared" ref="H41:H50" si="18">F41/SUM(I26:K26)*(1.602E-19)*(6.022E+23)</f>
        <v>58.565006215995439</v>
      </c>
      <c r="R41">
        <v>16000</v>
      </c>
      <c r="S41">
        <v>1486.91</v>
      </c>
      <c r="T41">
        <v>-3201.82</v>
      </c>
      <c r="U41">
        <v>56615.6</v>
      </c>
      <c r="V41">
        <v>-1467.63</v>
      </c>
      <c r="W41">
        <v>400</v>
      </c>
      <c r="X41">
        <v>400</v>
      </c>
      <c r="Y41">
        <v>0</v>
      </c>
      <c r="Z41">
        <v>800</v>
      </c>
    </row>
    <row r="42" spans="1:26" x14ac:dyDescent="0.2">
      <c r="D42">
        <v>-3415.3668592399999</v>
      </c>
      <c r="E42">
        <v>-3562.5028530559998</v>
      </c>
      <c r="F42" cm="1">
        <f t="array" ref="F42:G42">LINEST(D42:E42,$D$39:$E$39)</f>
        <v>0.49045331271999965</v>
      </c>
      <c r="G42">
        <v>-4151.0468283199998</v>
      </c>
      <c r="H42">
        <f t="shared" si="18"/>
        <v>59.14403473022675</v>
      </c>
      <c r="R42">
        <v>17000</v>
      </c>
      <c r="S42">
        <v>1472.65</v>
      </c>
      <c r="T42">
        <v>-3198.81</v>
      </c>
      <c r="U42">
        <v>56194.400000000001</v>
      </c>
      <c r="V42">
        <v>122.866</v>
      </c>
      <c r="W42">
        <v>400</v>
      </c>
      <c r="X42">
        <v>400</v>
      </c>
      <c r="Y42">
        <v>0</v>
      </c>
      <c r="Z42">
        <v>800</v>
      </c>
    </row>
    <row r="43" spans="1:26" x14ac:dyDescent="0.2">
      <c r="D43">
        <v>-3241.3592917440001</v>
      </c>
      <c r="E43">
        <v>-3393.7085751999998</v>
      </c>
      <c r="F43" cm="1">
        <f t="array" ref="F43:G43">LINEST(D43:E43,$D$39:$E$39)</f>
        <v>0.50783094485333269</v>
      </c>
      <c r="G43">
        <v>-4003.1057090239992</v>
      </c>
      <c r="H43">
        <f t="shared" si="18"/>
        <v>61.239612946883064</v>
      </c>
      <c r="R43">
        <v>18000</v>
      </c>
      <c r="S43">
        <v>1537.21</v>
      </c>
      <c r="T43">
        <v>-3202</v>
      </c>
      <c r="U43">
        <v>55695.5</v>
      </c>
      <c r="V43">
        <v>463.517</v>
      </c>
      <c r="W43">
        <v>400</v>
      </c>
      <c r="X43">
        <v>400</v>
      </c>
      <c r="Y43">
        <v>0</v>
      </c>
      <c r="Z43">
        <v>800</v>
      </c>
    </row>
    <row r="44" spans="1:26" x14ac:dyDescent="0.2">
      <c r="D44">
        <v>-3066.2533808640001</v>
      </c>
      <c r="E44">
        <v>-3219.642758688</v>
      </c>
      <c r="F44" cm="1">
        <f t="array" ref="F44:G44">LINEST(D44:E44,$D$39:$E$39)</f>
        <v>0.5112979260799998</v>
      </c>
      <c r="G44">
        <v>-3833.2002699839995</v>
      </c>
      <c r="H44">
        <f t="shared" si="18"/>
        <v>61.657698119846522</v>
      </c>
      <c r="R44">
        <v>19000</v>
      </c>
      <c r="S44">
        <v>1475.33</v>
      </c>
      <c r="T44">
        <v>-3201.54</v>
      </c>
      <c r="U44">
        <v>56295.6</v>
      </c>
      <c r="V44">
        <v>-963.10799999999995</v>
      </c>
      <c r="W44">
        <v>400</v>
      </c>
      <c r="X44">
        <v>400</v>
      </c>
      <c r="Y44">
        <v>0</v>
      </c>
      <c r="Z44">
        <v>800</v>
      </c>
    </row>
    <row r="45" spans="1:26" x14ac:dyDescent="0.2">
      <c r="D45">
        <v>-2888.8282694639997</v>
      </c>
      <c r="E45">
        <v>-3043.5673065280002</v>
      </c>
      <c r="F45" cm="1">
        <f t="array" ref="F45:G45">LINEST(D45:E45,$D$39:$E$39)</f>
        <v>0.51579679021333513</v>
      </c>
      <c r="G45">
        <v>-3662.5234547840023</v>
      </c>
      <c r="H45">
        <f t="shared" si="18"/>
        <v>62.200218620060703</v>
      </c>
      <c r="R45">
        <v>20000</v>
      </c>
      <c r="S45">
        <v>1522.92</v>
      </c>
      <c r="T45">
        <v>-3200.29</v>
      </c>
      <c r="U45">
        <v>56898.7</v>
      </c>
      <c r="V45">
        <v>-342.32900000000001</v>
      </c>
      <c r="W45">
        <v>400</v>
      </c>
      <c r="X45">
        <v>400</v>
      </c>
      <c r="Y45">
        <v>0</v>
      </c>
      <c r="Z45">
        <v>800</v>
      </c>
    </row>
    <row r="46" spans="1:26" x14ac:dyDescent="0.2">
      <c r="D46">
        <v>-2708.2376587200001</v>
      </c>
      <c r="E46">
        <v>-2866.1648740239998</v>
      </c>
      <c r="F46" cm="1">
        <f t="array" ref="F46:G46">LINEST(D46:E46,$D$39:$E$39)</f>
        <v>0.52642405101333245</v>
      </c>
      <c r="G46">
        <v>-3497.8737352399985</v>
      </c>
      <c r="H46">
        <f>F46/SUM(I31:K31)*(1.602E-19)*(6.022E+23)</f>
        <v>63.481765844925825</v>
      </c>
      <c r="R46">
        <v>21000</v>
      </c>
      <c r="S46">
        <v>1545.99</v>
      </c>
      <c r="T46">
        <v>-3193.61</v>
      </c>
      <c r="U46">
        <v>56066.9</v>
      </c>
      <c r="V46">
        <v>2633.64</v>
      </c>
      <c r="W46">
        <v>400</v>
      </c>
      <c r="X46">
        <v>400</v>
      </c>
      <c r="Y46">
        <v>0</v>
      </c>
      <c r="Z46">
        <v>800</v>
      </c>
    </row>
    <row r="47" spans="1:26" x14ac:dyDescent="0.2">
      <c r="D47">
        <v>-2526.174426736</v>
      </c>
      <c r="E47">
        <v>-2684.1597154400001</v>
      </c>
      <c r="F47" cm="1">
        <f t="array" ref="F47:G47">LINEST(D47:E47,$D$39:$E$39)</f>
        <v>0.52661762901333398</v>
      </c>
      <c r="G47">
        <v>-3316.1008702560007</v>
      </c>
      <c r="H47">
        <f>F47/SUM(I32:K32)*(1.602E-19)*(6.022E+23)</f>
        <v>63.50510952241391</v>
      </c>
      <c r="R47">
        <v>22000</v>
      </c>
      <c r="S47">
        <v>1516.18</v>
      </c>
      <c r="T47">
        <v>-3190.56</v>
      </c>
      <c r="U47">
        <v>57575.5</v>
      </c>
      <c r="V47">
        <v>14.0024</v>
      </c>
      <c r="W47">
        <v>400</v>
      </c>
      <c r="X47">
        <v>400</v>
      </c>
      <c r="Y47">
        <v>0</v>
      </c>
      <c r="Z47">
        <v>800</v>
      </c>
    </row>
    <row r="48" spans="1:26" x14ac:dyDescent="0.2">
      <c r="D48">
        <v>-2341.2169300160003</v>
      </c>
      <c r="E48">
        <v>-2502.9827115039998</v>
      </c>
      <c r="F48" cm="1">
        <f t="array" ref="F48:G48">LINEST(D48:E48,$D$39:$E$39)</f>
        <v>0.53921927162666494</v>
      </c>
      <c r="G48">
        <v>-3150.0458374559976</v>
      </c>
      <c r="H48">
        <f t="shared" si="18"/>
        <v>65.024748536058922</v>
      </c>
      <c r="R48">
        <v>23000</v>
      </c>
      <c r="S48">
        <v>1505.52</v>
      </c>
      <c r="T48">
        <v>-3196.35</v>
      </c>
      <c r="U48">
        <v>56254.8</v>
      </c>
      <c r="V48">
        <v>119.79</v>
      </c>
      <c r="W48">
        <v>400</v>
      </c>
      <c r="X48">
        <v>400</v>
      </c>
      <c r="Y48">
        <v>0</v>
      </c>
      <c r="Z48">
        <v>800</v>
      </c>
    </row>
    <row r="49" spans="4:26" x14ac:dyDescent="0.2">
      <c r="D49">
        <v>-2157.0046967200001</v>
      </c>
      <c r="E49">
        <v>-2316.963558168</v>
      </c>
      <c r="F49" cm="1">
        <f t="array" ref="F49:G49">LINEST(D49:E49,$D$39:$E$39)</f>
        <v>0.53319620482666641</v>
      </c>
      <c r="G49">
        <v>-2956.7990039599999</v>
      </c>
      <c r="H49">
        <f t="shared" si="18"/>
        <v>64.298423597960365</v>
      </c>
      <c r="R49">
        <v>24000</v>
      </c>
      <c r="S49">
        <v>1456.85</v>
      </c>
      <c r="T49">
        <v>-3207.23</v>
      </c>
      <c r="U49">
        <v>55942.1</v>
      </c>
      <c r="V49">
        <v>-232.40299999999999</v>
      </c>
      <c r="W49">
        <v>400</v>
      </c>
      <c r="X49">
        <v>400</v>
      </c>
      <c r="Y49">
        <v>0</v>
      </c>
      <c r="Z49">
        <v>800</v>
      </c>
    </row>
    <row r="50" spans="4:26" x14ac:dyDescent="0.2">
      <c r="D50">
        <v>-1969.8231580639999</v>
      </c>
      <c r="E50">
        <v>-2131.0872829360001</v>
      </c>
      <c r="F50" cm="1">
        <f t="array" ref="F50:G50">LINEST(D50:E50,$D$39:$E$39)</f>
        <v>0.5375470829066672</v>
      </c>
      <c r="G50">
        <v>-2776.1437824240006</v>
      </c>
      <c r="H50">
        <f t="shared" si="18"/>
        <v>64.823098378610595</v>
      </c>
      <c r="R50">
        <v>25000</v>
      </c>
      <c r="S50">
        <v>1505.92</v>
      </c>
      <c r="T50">
        <v>-3205.97</v>
      </c>
      <c r="U50">
        <v>55757.7</v>
      </c>
      <c r="V50">
        <v>1332.36</v>
      </c>
      <c r="W50">
        <v>400</v>
      </c>
      <c r="X50">
        <v>400</v>
      </c>
      <c r="Y50">
        <v>0</v>
      </c>
      <c r="Z50">
        <v>800</v>
      </c>
    </row>
    <row r="51" spans="4:26" x14ac:dyDescent="0.2">
      <c r="R51">
        <v>26000</v>
      </c>
      <c r="S51">
        <v>1496.34</v>
      </c>
      <c r="T51">
        <v>-3190.69</v>
      </c>
      <c r="U51">
        <v>56528.7</v>
      </c>
      <c r="V51">
        <v>865.49400000000003</v>
      </c>
      <c r="W51">
        <v>400</v>
      </c>
      <c r="X51">
        <v>400</v>
      </c>
      <c r="Y51">
        <v>0</v>
      </c>
      <c r="Z51">
        <v>800</v>
      </c>
    </row>
    <row r="52" spans="4:26" x14ac:dyDescent="0.2">
      <c r="R52">
        <v>27000</v>
      </c>
      <c r="S52">
        <v>1514.12</v>
      </c>
      <c r="T52">
        <v>-3195.82</v>
      </c>
      <c r="U52">
        <v>56282.9</v>
      </c>
      <c r="V52">
        <v>-114.267</v>
      </c>
      <c r="W52">
        <v>400</v>
      </c>
      <c r="X52">
        <v>400</v>
      </c>
      <c r="Y52">
        <v>0</v>
      </c>
      <c r="Z52">
        <v>800</v>
      </c>
    </row>
    <row r="53" spans="4:26" x14ac:dyDescent="0.2">
      <c r="R53">
        <v>28000</v>
      </c>
      <c r="S53">
        <v>1521.83</v>
      </c>
      <c r="T53">
        <v>-3200.24</v>
      </c>
      <c r="U53">
        <v>55669.7</v>
      </c>
      <c r="V53">
        <v>2336.5100000000002</v>
      </c>
      <c r="W53">
        <v>400</v>
      </c>
      <c r="X53">
        <v>400</v>
      </c>
      <c r="Y53">
        <v>0</v>
      </c>
      <c r="Z53">
        <v>800</v>
      </c>
    </row>
    <row r="54" spans="4:26" x14ac:dyDescent="0.2">
      <c r="R54">
        <v>29000</v>
      </c>
      <c r="S54">
        <v>1496.69</v>
      </c>
      <c r="T54">
        <v>-3192.9</v>
      </c>
      <c r="U54">
        <v>56721.9</v>
      </c>
      <c r="V54">
        <v>-510.48200000000003</v>
      </c>
      <c r="W54">
        <v>400</v>
      </c>
      <c r="X54">
        <v>400</v>
      </c>
      <c r="Y54">
        <v>0</v>
      </c>
      <c r="Z54">
        <v>800</v>
      </c>
    </row>
    <row r="55" spans="4:26" x14ac:dyDescent="0.2">
      <c r="R55">
        <v>30000</v>
      </c>
      <c r="S55">
        <v>1472.23</v>
      </c>
      <c r="T55">
        <v>-3202.99</v>
      </c>
      <c r="U55">
        <v>55654.2</v>
      </c>
      <c r="V55">
        <v>1224.73</v>
      </c>
      <c r="W55">
        <v>400</v>
      </c>
      <c r="X55">
        <v>400</v>
      </c>
      <c r="Y55">
        <v>0</v>
      </c>
      <c r="Z55">
        <v>800</v>
      </c>
    </row>
    <row r="56" spans="4:26" x14ac:dyDescent="0.2">
      <c r="R56">
        <v>31000</v>
      </c>
      <c r="S56">
        <v>1453.57</v>
      </c>
      <c r="T56">
        <v>-3197.87</v>
      </c>
      <c r="U56">
        <v>56682.5</v>
      </c>
      <c r="V56">
        <v>851.19799999999998</v>
      </c>
      <c r="W56">
        <v>400</v>
      </c>
      <c r="X56">
        <v>400</v>
      </c>
      <c r="Y56">
        <v>0</v>
      </c>
      <c r="Z56">
        <v>800</v>
      </c>
    </row>
    <row r="57" spans="4:26" x14ac:dyDescent="0.2">
      <c r="R57">
        <v>32000</v>
      </c>
      <c r="S57">
        <v>1495.45</v>
      </c>
      <c r="T57">
        <v>-3191.89</v>
      </c>
      <c r="U57">
        <v>58000.2</v>
      </c>
      <c r="V57">
        <v>-1658.66</v>
      </c>
      <c r="W57">
        <v>400</v>
      </c>
      <c r="X57">
        <v>400</v>
      </c>
      <c r="Y57">
        <v>0</v>
      </c>
      <c r="Z57">
        <v>800</v>
      </c>
    </row>
    <row r="58" spans="4:26" x14ac:dyDescent="0.2">
      <c r="R58">
        <v>33000</v>
      </c>
      <c r="S58">
        <v>1511.04</v>
      </c>
      <c r="T58">
        <v>-3190.84</v>
      </c>
      <c r="U58">
        <v>56794.3</v>
      </c>
      <c r="V58">
        <v>41.790500000000002</v>
      </c>
      <c r="W58">
        <v>400</v>
      </c>
      <c r="X58">
        <v>400</v>
      </c>
      <c r="Y58">
        <v>0</v>
      </c>
      <c r="Z58">
        <v>800</v>
      </c>
    </row>
    <row r="59" spans="4:26" x14ac:dyDescent="0.2">
      <c r="R59">
        <v>34000</v>
      </c>
      <c r="S59">
        <v>1515.55</v>
      </c>
      <c r="T59">
        <v>-3200.68</v>
      </c>
      <c r="U59">
        <v>55742.6</v>
      </c>
      <c r="V59">
        <v>1061.98</v>
      </c>
      <c r="W59">
        <v>400</v>
      </c>
      <c r="X59">
        <v>400</v>
      </c>
      <c r="Y59">
        <v>0</v>
      </c>
      <c r="Z59">
        <v>800</v>
      </c>
    </row>
    <row r="60" spans="4:26" x14ac:dyDescent="0.2">
      <c r="R60">
        <v>35000</v>
      </c>
      <c r="S60">
        <v>1515.88</v>
      </c>
      <c r="T60">
        <v>-3206.32</v>
      </c>
      <c r="U60">
        <v>56517.599999999999</v>
      </c>
      <c r="V60">
        <v>557.35500000000002</v>
      </c>
      <c r="W60">
        <v>400</v>
      </c>
      <c r="X60">
        <v>400</v>
      </c>
      <c r="Y60">
        <v>0</v>
      </c>
      <c r="Z60">
        <v>800</v>
      </c>
    </row>
    <row r="61" spans="4:26" x14ac:dyDescent="0.2">
      <c r="R61">
        <v>36000</v>
      </c>
      <c r="S61">
        <v>1478.01</v>
      </c>
      <c r="T61">
        <v>-3191.43</v>
      </c>
      <c r="U61">
        <v>56989.2</v>
      </c>
      <c r="V61">
        <v>-663.52800000000002</v>
      </c>
      <c r="W61">
        <v>400</v>
      </c>
      <c r="X61">
        <v>400</v>
      </c>
      <c r="Y61">
        <v>0</v>
      </c>
      <c r="Z61">
        <v>800</v>
      </c>
    </row>
    <row r="62" spans="4:26" x14ac:dyDescent="0.2">
      <c r="R62">
        <v>37000</v>
      </c>
      <c r="S62">
        <v>1518.97</v>
      </c>
      <c r="T62">
        <v>-3209.55</v>
      </c>
      <c r="U62">
        <v>55837.5</v>
      </c>
      <c r="V62">
        <v>1402.74</v>
      </c>
      <c r="W62">
        <v>400</v>
      </c>
      <c r="X62">
        <v>400</v>
      </c>
      <c r="Y62">
        <v>0</v>
      </c>
      <c r="Z62">
        <v>800</v>
      </c>
    </row>
    <row r="63" spans="4:26" x14ac:dyDescent="0.2">
      <c r="R63">
        <v>38000</v>
      </c>
      <c r="S63">
        <v>1488.72</v>
      </c>
      <c r="T63">
        <v>-3202.14</v>
      </c>
      <c r="U63">
        <v>56265.599999999999</v>
      </c>
      <c r="V63">
        <v>-916.03800000000001</v>
      </c>
      <c r="W63">
        <v>400</v>
      </c>
      <c r="X63">
        <v>400</v>
      </c>
      <c r="Y63">
        <v>0</v>
      </c>
      <c r="Z63">
        <v>800</v>
      </c>
    </row>
    <row r="64" spans="4:26" x14ac:dyDescent="0.2">
      <c r="R64">
        <v>39000</v>
      </c>
      <c r="S64">
        <v>1502.64</v>
      </c>
      <c r="T64">
        <v>-3206.73</v>
      </c>
      <c r="U64">
        <v>56268.7</v>
      </c>
      <c r="V64">
        <v>451.76299999999998</v>
      </c>
      <c r="W64">
        <v>400</v>
      </c>
      <c r="X64">
        <v>400</v>
      </c>
      <c r="Y64">
        <v>0</v>
      </c>
      <c r="Z64">
        <v>800</v>
      </c>
    </row>
    <row r="65" spans="18:26" x14ac:dyDescent="0.2">
      <c r="R65">
        <v>40000</v>
      </c>
      <c r="S65">
        <v>1510.73</v>
      </c>
      <c r="T65">
        <v>-3201.04</v>
      </c>
      <c r="U65">
        <v>56386.9</v>
      </c>
      <c r="V65">
        <v>-307.09300000000002</v>
      </c>
      <c r="W65">
        <v>400</v>
      </c>
      <c r="X65">
        <v>400</v>
      </c>
      <c r="Y65">
        <v>0</v>
      </c>
      <c r="Z65">
        <v>800</v>
      </c>
    </row>
    <row r="66" spans="18:26" x14ac:dyDescent="0.2">
      <c r="R66">
        <v>41000</v>
      </c>
      <c r="S66">
        <v>1462.92</v>
      </c>
      <c r="T66">
        <v>-3208.84</v>
      </c>
      <c r="U66">
        <v>55999.5</v>
      </c>
      <c r="V66">
        <v>-209.142</v>
      </c>
      <c r="W66">
        <v>400</v>
      </c>
      <c r="X66">
        <v>400</v>
      </c>
      <c r="Y66">
        <v>0</v>
      </c>
      <c r="Z66">
        <v>800</v>
      </c>
    </row>
    <row r="67" spans="18:26" x14ac:dyDescent="0.2">
      <c r="R67">
        <v>42000</v>
      </c>
      <c r="S67">
        <v>1524.48</v>
      </c>
      <c r="T67">
        <v>-3191.61</v>
      </c>
      <c r="U67">
        <v>57095.4</v>
      </c>
      <c r="V67">
        <v>-1086.49</v>
      </c>
      <c r="W67">
        <v>400</v>
      </c>
      <c r="X67">
        <v>400</v>
      </c>
      <c r="Y67">
        <v>0</v>
      </c>
      <c r="Z67">
        <v>800</v>
      </c>
    </row>
    <row r="68" spans="18:26" x14ac:dyDescent="0.2">
      <c r="R68">
        <v>43000</v>
      </c>
      <c r="S68">
        <v>1464.55</v>
      </c>
      <c r="T68">
        <v>-3187.46</v>
      </c>
      <c r="U68">
        <v>57515.8</v>
      </c>
      <c r="V68">
        <v>-757.40200000000004</v>
      </c>
      <c r="W68">
        <v>400</v>
      </c>
      <c r="X68">
        <v>400</v>
      </c>
      <c r="Y68">
        <v>0</v>
      </c>
      <c r="Z68">
        <v>800</v>
      </c>
    </row>
    <row r="69" spans="18:26" x14ac:dyDescent="0.2">
      <c r="R69">
        <v>44000</v>
      </c>
      <c r="S69">
        <v>1511.01</v>
      </c>
      <c r="T69">
        <v>-3187.26</v>
      </c>
      <c r="U69">
        <v>56936.800000000003</v>
      </c>
      <c r="V69">
        <v>-682.58900000000006</v>
      </c>
      <c r="W69">
        <v>400</v>
      </c>
      <c r="X69">
        <v>400</v>
      </c>
      <c r="Y69">
        <v>0</v>
      </c>
      <c r="Z69">
        <v>800</v>
      </c>
    </row>
    <row r="70" spans="18:26" x14ac:dyDescent="0.2">
      <c r="R70">
        <v>45000</v>
      </c>
      <c r="S70">
        <v>1538.15</v>
      </c>
      <c r="T70">
        <v>-3191.13</v>
      </c>
      <c r="U70">
        <v>56840.800000000003</v>
      </c>
      <c r="V70">
        <v>9.1332799999999992</v>
      </c>
      <c r="W70">
        <v>400</v>
      </c>
      <c r="X70">
        <v>400</v>
      </c>
      <c r="Y70">
        <v>0</v>
      </c>
      <c r="Z70">
        <v>800</v>
      </c>
    </row>
    <row r="71" spans="18:26" x14ac:dyDescent="0.2">
      <c r="R71">
        <v>46000</v>
      </c>
      <c r="S71">
        <v>1484.54</v>
      </c>
      <c r="T71">
        <v>-3216.17</v>
      </c>
      <c r="U71">
        <v>55642.3</v>
      </c>
      <c r="V71">
        <v>-641.98400000000004</v>
      </c>
      <c r="W71">
        <v>400</v>
      </c>
      <c r="X71">
        <v>400</v>
      </c>
      <c r="Y71">
        <v>0</v>
      </c>
      <c r="Z71">
        <v>800</v>
      </c>
    </row>
    <row r="72" spans="18:26" x14ac:dyDescent="0.2">
      <c r="R72">
        <v>47000</v>
      </c>
      <c r="S72">
        <v>1514.42</v>
      </c>
      <c r="T72">
        <v>-3190.57</v>
      </c>
      <c r="U72">
        <v>57179.4</v>
      </c>
      <c r="V72">
        <v>643.41600000000005</v>
      </c>
      <c r="W72">
        <v>400</v>
      </c>
      <c r="X72">
        <v>400</v>
      </c>
      <c r="Y72">
        <v>0</v>
      </c>
      <c r="Z72">
        <v>800</v>
      </c>
    </row>
    <row r="73" spans="18:26" x14ac:dyDescent="0.2">
      <c r="R73">
        <v>48000</v>
      </c>
      <c r="S73">
        <v>1528.89</v>
      </c>
      <c r="T73">
        <v>-3204.96</v>
      </c>
      <c r="U73">
        <v>56107.4</v>
      </c>
      <c r="V73">
        <v>-918.50800000000004</v>
      </c>
      <c r="W73">
        <v>400</v>
      </c>
      <c r="X73">
        <v>400</v>
      </c>
      <c r="Y73">
        <v>0</v>
      </c>
      <c r="Z73">
        <v>800</v>
      </c>
    </row>
    <row r="74" spans="18:26" x14ac:dyDescent="0.2">
      <c r="R74">
        <v>49000</v>
      </c>
      <c r="S74">
        <v>1479.69</v>
      </c>
      <c r="T74">
        <v>-3200.33</v>
      </c>
      <c r="U74">
        <v>56215.8</v>
      </c>
      <c r="V74">
        <v>-21.984200000000001</v>
      </c>
      <c r="W74">
        <v>400</v>
      </c>
      <c r="X74">
        <v>400</v>
      </c>
      <c r="Y74">
        <v>0</v>
      </c>
      <c r="Z74">
        <v>800</v>
      </c>
    </row>
    <row r="75" spans="18:26" x14ac:dyDescent="0.2">
      <c r="R75">
        <v>50000</v>
      </c>
      <c r="S75">
        <v>1485.66</v>
      </c>
      <c r="T75">
        <v>-3201.57</v>
      </c>
      <c r="U75">
        <v>56571</v>
      </c>
      <c r="V75">
        <v>485.57299999999998</v>
      </c>
      <c r="W75">
        <v>400</v>
      </c>
      <c r="X75">
        <v>400</v>
      </c>
      <c r="Y75">
        <v>0</v>
      </c>
      <c r="Z75">
        <v>800</v>
      </c>
    </row>
    <row r="76" spans="18:26" x14ac:dyDescent="0.2">
      <c r="R76">
        <v>51000</v>
      </c>
      <c r="S76">
        <v>1486.35</v>
      </c>
      <c r="T76">
        <v>-3197.97</v>
      </c>
      <c r="U76">
        <v>56388</v>
      </c>
      <c r="V76">
        <v>-234.61</v>
      </c>
      <c r="W76">
        <v>400</v>
      </c>
      <c r="X76">
        <v>400</v>
      </c>
      <c r="Y76">
        <v>0</v>
      </c>
      <c r="Z76">
        <v>800</v>
      </c>
    </row>
    <row r="77" spans="18:26" x14ac:dyDescent="0.2">
      <c r="R77">
        <v>52000</v>
      </c>
      <c r="S77">
        <v>1503.81</v>
      </c>
      <c r="T77">
        <v>-3198.07</v>
      </c>
      <c r="U77">
        <v>56506.2</v>
      </c>
      <c r="V77">
        <v>-245.41200000000001</v>
      </c>
      <c r="W77">
        <v>400</v>
      </c>
      <c r="X77">
        <v>400</v>
      </c>
      <c r="Y77">
        <v>0</v>
      </c>
      <c r="Z77">
        <v>800</v>
      </c>
    </row>
    <row r="78" spans="18:26" x14ac:dyDescent="0.2">
      <c r="R78">
        <v>53000</v>
      </c>
      <c r="S78">
        <v>1481.94</v>
      </c>
      <c r="T78">
        <v>-3192.19</v>
      </c>
      <c r="U78">
        <v>57082.5</v>
      </c>
      <c r="V78">
        <v>-2461.16</v>
      </c>
      <c r="W78">
        <v>400</v>
      </c>
      <c r="X78">
        <v>400</v>
      </c>
      <c r="Y78">
        <v>0</v>
      </c>
      <c r="Z78">
        <v>800</v>
      </c>
    </row>
    <row r="79" spans="18:26" x14ac:dyDescent="0.2">
      <c r="R79">
        <v>54000</v>
      </c>
      <c r="S79">
        <v>1505.59</v>
      </c>
      <c r="T79">
        <v>-3186.69</v>
      </c>
      <c r="U79">
        <v>56670.8</v>
      </c>
      <c r="V79">
        <v>615.97699999999998</v>
      </c>
      <c r="W79">
        <v>400</v>
      </c>
      <c r="X79">
        <v>400</v>
      </c>
      <c r="Y79">
        <v>0</v>
      </c>
      <c r="Z79">
        <v>800</v>
      </c>
    </row>
    <row r="80" spans="18:26" x14ac:dyDescent="0.2">
      <c r="R80">
        <v>55000</v>
      </c>
      <c r="S80">
        <v>1488.78</v>
      </c>
      <c r="T80">
        <v>-3201.24</v>
      </c>
      <c r="U80">
        <v>56480.6</v>
      </c>
      <c r="V80">
        <v>1353.27</v>
      </c>
      <c r="W80">
        <v>400</v>
      </c>
      <c r="X80">
        <v>400</v>
      </c>
      <c r="Y80">
        <v>0</v>
      </c>
      <c r="Z80">
        <v>800</v>
      </c>
    </row>
    <row r="81" spans="18:26" x14ac:dyDescent="0.2">
      <c r="R81">
        <v>56000</v>
      </c>
      <c r="S81">
        <v>1544.08</v>
      </c>
      <c r="T81">
        <v>-3191.17</v>
      </c>
      <c r="U81">
        <v>56856.9</v>
      </c>
      <c r="V81">
        <v>52.701099999999997</v>
      </c>
      <c r="W81">
        <v>400</v>
      </c>
      <c r="X81">
        <v>400</v>
      </c>
      <c r="Y81">
        <v>0</v>
      </c>
      <c r="Z81">
        <v>800</v>
      </c>
    </row>
    <row r="82" spans="18:26" x14ac:dyDescent="0.2">
      <c r="R82">
        <v>57000</v>
      </c>
      <c r="S82">
        <v>1499.09</v>
      </c>
      <c r="T82">
        <v>-3196.83</v>
      </c>
      <c r="U82">
        <v>55770.2</v>
      </c>
      <c r="V82">
        <v>2710.05</v>
      </c>
      <c r="W82">
        <v>400</v>
      </c>
      <c r="X82">
        <v>400</v>
      </c>
      <c r="Y82">
        <v>0</v>
      </c>
      <c r="Z82">
        <v>800</v>
      </c>
    </row>
    <row r="83" spans="18:26" x14ac:dyDescent="0.2">
      <c r="R83">
        <v>58000</v>
      </c>
      <c r="S83">
        <v>1493.23</v>
      </c>
      <c r="T83">
        <v>-3201.12</v>
      </c>
      <c r="U83">
        <v>56428</v>
      </c>
      <c r="V83">
        <v>605.279</v>
      </c>
      <c r="W83">
        <v>400</v>
      </c>
      <c r="X83">
        <v>400</v>
      </c>
      <c r="Y83">
        <v>0</v>
      </c>
      <c r="Z83">
        <v>800</v>
      </c>
    </row>
    <row r="84" spans="18:26" x14ac:dyDescent="0.2">
      <c r="R84">
        <v>59000</v>
      </c>
      <c r="S84">
        <v>1509.73</v>
      </c>
      <c r="T84">
        <v>-3201.27</v>
      </c>
      <c r="U84">
        <v>56809.8</v>
      </c>
      <c r="V84">
        <v>49.338799999999999</v>
      </c>
      <c r="W84">
        <v>400</v>
      </c>
      <c r="X84">
        <v>400</v>
      </c>
      <c r="Y84">
        <v>0</v>
      </c>
      <c r="Z84">
        <v>800</v>
      </c>
    </row>
    <row r="85" spans="18:26" x14ac:dyDescent="0.2">
      <c r="R85">
        <v>60000</v>
      </c>
      <c r="S85">
        <v>1561.9</v>
      </c>
      <c r="T85">
        <v>-3183.75</v>
      </c>
      <c r="U85">
        <v>56821.9</v>
      </c>
      <c r="V85">
        <v>-174.89500000000001</v>
      </c>
      <c r="W85">
        <v>400</v>
      </c>
      <c r="X85">
        <v>400</v>
      </c>
      <c r="Y85">
        <v>0</v>
      </c>
      <c r="Z85">
        <v>800</v>
      </c>
    </row>
    <row r="86" spans="18:26" x14ac:dyDescent="0.2">
      <c r="R86">
        <v>61000</v>
      </c>
      <c r="S86">
        <v>1493.94</v>
      </c>
      <c r="T86">
        <v>-3197.65</v>
      </c>
      <c r="U86">
        <v>56845.8</v>
      </c>
      <c r="V86">
        <v>-338.721</v>
      </c>
      <c r="W86">
        <v>400</v>
      </c>
      <c r="X86">
        <v>400</v>
      </c>
      <c r="Y86">
        <v>0</v>
      </c>
      <c r="Z86">
        <v>800</v>
      </c>
    </row>
    <row r="87" spans="18:26" x14ac:dyDescent="0.2">
      <c r="R87">
        <v>62000</v>
      </c>
      <c r="S87">
        <v>1495.46</v>
      </c>
      <c r="T87">
        <v>-3207.75</v>
      </c>
      <c r="U87">
        <v>55485.1</v>
      </c>
      <c r="V87">
        <v>2006.51</v>
      </c>
      <c r="W87">
        <v>400</v>
      </c>
      <c r="X87">
        <v>400</v>
      </c>
      <c r="Y87">
        <v>0</v>
      </c>
      <c r="Z87">
        <v>800</v>
      </c>
    </row>
    <row r="88" spans="18:26" x14ac:dyDescent="0.2">
      <c r="R88">
        <v>63000</v>
      </c>
      <c r="S88">
        <v>1501.72</v>
      </c>
      <c r="T88">
        <v>-3197.74</v>
      </c>
      <c r="U88">
        <v>56585.1</v>
      </c>
      <c r="V88">
        <v>-661.00599999999997</v>
      </c>
      <c r="W88">
        <v>400</v>
      </c>
      <c r="X88">
        <v>400</v>
      </c>
      <c r="Y88">
        <v>0</v>
      </c>
      <c r="Z88">
        <v>800</v>
      </c>
    </row>
    <row r="89" spans="18:26" x14ac:dyDescent="0.2">
      <c r="R89">
        <v>64000</v>
      </c>
      <c r="S89">
        <v>1457.79</v>
      </c>
      <c r="T89">
        <v>-3201.24</v>
      </c>
      <c r="U89">
        <v>56299.1</v>
      </c>
      <c r="V89">
        <v>-695.92100000000005</v>
      </c>
      <c r="W89">
        <v>400</v>
      </c>
      <c r="X89">
        <v>400</v>
      </c>
      <c r="Y89">
        <v>0</v>
      </c>
      <c r="Z89">
        <v>800</v>
      </c>
    </row>
    <row r="90" spans="18:26" x14ac:dyDescent="0.2">
      <c r="R90">
        <v>65000</v>
      </c>
      <c r="S90">
        <v>1534.67</v>
      </c>
      <c r="T90">
        <v>-3187.5</v>
      </c>
      <c r="U90">
        <v>56417.2</v>
      </c>
      <c r="V90">
        <v>-816.327</v>
      </c>
      <c r="W90">
        <v>400</v>
      </c>
      <c r="X90">
        <v>400</v>
      </c>
      <c r="Y90">
        <v>0</v>
      </c>
      <c r="Z90">
        <v>800</v>
      </c>
    </row>
    <row r="91" spans="18:26" x14ac:dyDescent="0.2">
      <c r="R91">
        <v>66000</v>
      </c>
      <c r="S91">
        <v>1556.64</v>
      </c>
      <c r="T91">
        <v>-3197.01</v>
      </c>
      <c r="U91">
        <v>55315.9</v>
      </c>
      <c r="V91">
        <v>1099.3699999999999</v>
      </c>
      <c r="W91">
        <v>400</v>
      </c>
      <c r="X91">
        <v>400</v>
      </c>
      <c r="Y91">
        <v>0</v>
      </c>
      <c r="Z91">
        <v>800</v>
      </c>
    </row>
    <row r="92" spans="18:26" x14ac:dyDescent="0.2">
      <c r="R92">
        <v>67000</v>
      </c>
      <c r="S92">
        <v>1534.9</v>
      </c>
      <c r="T92">
        <v>-3194.29</v>
      </c>
      <c r="U92">
        <v>55677.5</v>
      </c>
      <c r="V92">
        <v>1179.4100000000001</v>
      </c>
      <c r="W92">
        <v>400</v>
      </c>
      <c r="X92">
        <v>400</v>
      </c>
      <c r="Y92">
        <v>0</v>
      </c>
      <c r="Z92">
        <v>800</v>
      </c>
    </row>
    <row r="93" spans="18:26" x14ac:dyDescent="0.2">
      <c r="R93">
        <v>68000</v>
      </c>
      <c r="S93">
        <v>1506.92</v>
      </c>
      <c r="T93">
        <v>-3209.27</v>
      </c>
      <c r="U93">
        <v>55455</v>
      </c>
      <c r="V93">
        <v>952.30399999999997</v>
      </c>
      <c r="W93">
        <v>400</v>
      </c>
      <c r="X93">
        <v>400</v>
      </c>
      <c r="Y93">
        <v>0</v>
      </c>
      <c r="Z93">
        <v>800</v>
      </c>
    </row>
    <row r="94" spans="18:26" x14ac:dyDescent="0.2">
      <c r="R94">
        <v>69000</v>
      </c>
      <c r="S94">
        <v>1462.74</v>
      </c>
      <c r="T94">
        <v>-3206.06</v>
      </c>
      <c r="U94">
        <v>55916.5</v>
      </c>
      <c r="V94">
        <v>-531.399</v>
      </c>
      <c r="W94">
        <v>400</v>
      </c>
      <c r="X94">
        <v>400</v>
      </c>
      <c r="Y94">
        <v>0</v>
      </c>
      <c r="Z94">
        <v>800</v>
      </c>
    </row>
    <row r="95" spans="18:26" x14ac:dyDescent="0.2">
      <c r="R95">
        <v>70000</v>
      </c>
      <c r="S95">
        <v>1504.01</v>
      </c>
      <c r="T95">
        <v>-3202.87</v>
      </c>
      <c r="U95">
        <v>55674</v>
      </c>
      <c r="V95">
        <v>-177.184</v>
      </c>
      <c r="W95">
        <v>400</v>
      </c>
      <c r="X95">
        <v>400</v>
      </c>
      <c r="Y95">
        <v>0</v>
      </c>
      <c r="Z95">
        <v>800</v>
      </c>
    </row>
    <row r="96" spans="18:26" x14ac:dyDescent="0.2">
      <c r="R96">
        <v>71000</v>
      </c>
      <c r="S96">
        <v>1499.54</v>
      </c>
      <c r="T96">
        <v>-3197.07</v>
      </c>
      <c r="U96">
        <v>56827.6</v>
      </c>
      <c r="V96">
        <v>-1045.1300000000001</v>
      </c>
      <c r="W96">
        <v>400</v>
      </c>
      <c r="X96">
        <v>400</v>
      </c>
      <c r="Y96">
        <v>0</v>
      </c>
      <c r="Z96">
        <v>800</v>
      </c>
    </row>
    <row r="97" spans="18:26" x14ac:dyDescent="0.2">
      <c r="R97">
        <v>72000</v>
      </c>
      <c r="S97">
        <v>1498.07</v>
      </c>
      <c r="T97">
        <v>-3195.77</v>
      </c>
      <c r="U97">
        <v>57116</v>
      </c>
      <c r="V97">
        <v>-1388.82</v>
      </c>
      <c r="W97">
        <v>400</v>
      </c>
      <c r="X97">
        <v>400</v>
      </c>
      <c r="Y97">
        <v>0</v>
      </c>
      <c r="Z97">
        <v>800</v>
      </c>
    </row>
    <row r="98" spans="18:26" x14ac:dyDescent="0.2">
      <c r="R98">
        <v>73000</v>
      </c>
      <c r="S98">
        <v>1461.86</v>
      </c>
      <c r="T98">
        <v>-3193.06</v>
      </c>
      <c r="U98">
        <v>57832.1</v>
      </c>
      <c r="V98">
        <v>-1162.5899999999999</v>
      </c>
      <c r="W98">
        <v>400</v>
      </c>
      <c r="X98">
        <v>400</v>
      </c>
      <c r="Y98">
        <v>0</v>
      </c>
      <c r="Z98">
        <v>800</v>
      </c>
    </row>
    <row r="99" spans="18:26" x14ac:dyDescent="0.2">
      <c r="R99">
        <v>74000</v>
      </c>
      <c r="S99">
        <v>1498.32</v>
      </c>
      <c r="T99">
        <v>-3203.68</v>
      </c>
      <c r="U99">
        <v>56531.3</v>
      </c>
      <c r="V99">
        <v>779.04</v>
      </c>
      <c r="W99">
        <v>400</v>
      </c>
      <c r="X99">
        <v>400</v>
      </c>
      <c r="Y99">
        <v>0</v>
      </c>
      <c r="Z99">
        <v>800</v>
      </c>
    </row>
    <row r="100" spans="18:26" x14ac:dyDescent="0.2">
      <c r="R100">
        <v>75000</v>
      </c>
      <c r="S100">
        <v>1505.47</v>
      </c>
      <c r="T100">
        <v>-3192.21</v>
      </c>
      <c r="U100">
        <v>56830.6</v>
      </c>
      <c r="V100">
        <v>719.94200000000001</v>
      </c>
      <c r="W100">
        <v>400</v>
      </c>
      <c r="X100">
        <v>400</v>
      </c>
      <c r="Y100">
        <v>0</v>
      </c>
      <c r="Z100">
        <v>800</v>
      </c>
    </row>
    <row r="101" spans="18:26" x14ac:dyDescent="0.2">
      <c r="R101">
        <v>76000</v>
      </c>
      <c r="S101">
        <v>1511.66</v>
      </c>
      <c r="T101">
        <v>-3197.62</v>
      </c>
      <c r="U101">
        <v>56730</v>
      </c>
      <c r="V101">
        <v>-575.94500000000005</v>
      </c>
      <c r="W101">
        <v>400</v>
      </c>
      <c r="X101">
        <v>400</v>
      </c>
      <c r="Y101">
        <v>0</v>
      </c>
      <c r="Z101">
        <v>800</v>
      </c>
    </row>
    <row r="102" spans="18:26" x14ac:dyDescent="0.2">
      <c r="R102">
        <v>77000</v>
      </c>
      <c r="S102">
        <v>1496.11</v>
      </c>
      <c r="T102">
        <v>-3207.51</v>
      </c>
      <c r="U102">
        <v>56397.2</v>
      </c>
      <c r="V102">
        <v>-1811.43</v>
      </c>
      <c r="W102">
        <v>400</v>
      </c>
      <c r="X102">
        <v>400</v>
      </c>
      <c r="Y102">
        <v>0</v>
      </c>
      <c r="Z102">
        <v>800</v>
      </c>
    </row>
    <row r="103" spans="18:26" x14ac:dyDescent="0.2">
      <c r="R103">
        <v>78000</v>
      </c>
      <c r="S103">
        <v>1533.95</v>
      </c>
      <c r="T103">
        <v>-3190.3</v>
      </c>
      <c r="U103">
        <v>56902.2</v>
      </c>
      <c r="V103">
        <v>-759.22299999999996</v>
      </c>
      <c r="W103">
        <v>400</v>
      </c>
      <c r="X103">
        <v>400</v>
      </c>
      <c r="Y103">
        <v>0</v>
      </c>
      <c r="Z103">
        <v>800</v>
      </c>
    </row>
    <row r="104" spans="18:26" x14ac:dyDescent="0.2">
      <c r="R104">
        <v>79000</v>
      </c>
      <c r="S104">
        <v>1473.79</v>
      </c>
      <c r="T104">
        <v>-3198.64</v>
      </c>
      <c r="U104">
        <v>56674.9</v>
      </c>
      <c r="V104">
        <v>114.7</v>
      </c>
      <c r="W104">
        <v>400</v>
      </c>
      <c r="X104">
        <v>400</v>
      </c>
      <c r="Y104">
        <v>0</v>
      </c>
      <c r="Z104">
        <v>800</v>
      </c>
    </row>
    <row r="105" spans="18:26" x14ac:dyDescent="0.2">
      <c r="R105">
        <v>80000</v>
      </c>
      <c r="S105">
        <v>1493.52</v>
      </c>
      <c r="T105">
        <v>-3199.26</v>
      </c>
      <c r="U105">
        <v>57505.599999999999</v>
      </c>
      <c r="V105">
        <v>-1613.71</v>
      </c>
      <c r="W105">
        <v>400</v>
      </c>
      <c r="X105">
        <v>400</v>
      </c>
      <c r="Y105">
        <v>0</v>
      </c>
      <c r="Z105">
        <v>800</v>
      </c>
    </row>
    <row r="106" spans="18:26" x14ac:dyDescent="0.2">
      <c r="R106">
        <v>81000</v>
      </c>
      <c r="S106">
        <v>1494.03</v>
      </c>
      <c r="T106">
        <v>-3188.59</v>
      </c>
      <c r="U106">
        <v>56534.5</v>
      </c>
      <c r="V106">
        <v>366.21899999999999</v>
      </c>
      <c r="W106">
        <v>400</v>
      </c>
      <c r="X106">
        <v>400</v>
      </c>
      <c r="Y106">
        <v>0</v>
      </c>
      <c r="Z106">
        <v>800</v>
      </c>
    </row>
    <row r="107" spans="18:26" x14ac:dyDescent="0.2">
      <c r="R107">
        <v>82000</v>
      </c>
      <c r="S107">
        <v>1465.41</v>
      </c>
      <c r="T107">
        <v>-3203.52</v>
      </c>
      <c r="U107">
        <v>55511.4</v>
      </c>
      <c r="V107">
        <v>1649.02</v>
      </c>
      <c r="W107">
        <v>400</v>
      </c>
      <c r="X107">
        <v>400</v>
      </c>
      <c r="Y107">
        <v>0</v>
      </c>
      <c r="Z107">
        <v>800</v>
      </c>
    </row>
    <row r="108" spans="18:26" x14ac:dyDescent="0.2">
      <c r="R108">
        <v>83000</v>
      </c>
      <c r="S108">
        <v>1517.25</v>
      </c>
      <c r="T108">
        <v>-3193.38</v>
      </c>
      <c r="U108">
        <v>56809.1</v>
      </c>
      <c r="V108">
        <v>-1905.23</v>
      </c>
      <c r="W108">
        <v>400</v>
      </c>
      <c r="X108">
        <v>400</v>
      </c>
      <c r="Y108">
        <v>0</v>
      </c>
      <c r="Z108">
        <v>800</v>
      </c>
    </row>
    <row r="109" spans="18:26" x14ac:dyDescent="0.2">
      <c r="R109">
        <v>84000</v>
      </c>
      <c r="S109">
        <v>1506.78</v>
      </c>
      <c r="T109">
        <v>-3194.84</v>
      </c>
      <c r="U109">
        <v>56593.599999999999</v>
      </c>
      <c r="V109">
        <v>-1543.22</v>
      </c>
      <c r="W109">
        <v>400</v>
      </c>
      <c r="X109">
        <v>400</v>
      </c>
      <c r="Y109">
        <v>0</v>
      </c>
      <c r="Z109">
        <v>800</v>
      </c>
    </row>
    <row r="110" spans="18:26" x14ac:dyDescent="0.2">
      <c r="R110">
        <v>85000</v>
      </c>
      <c r="S110">
        <v>1467.88</v>
      </c>
      <c r="T110">
        <v>-3205.13</v>
      </c>
      <c r="U110">
        <v>56730.5</v>
      </c>
      <c r="V110">
        <v>-1389.48</v>
      </c>
      <c r="W110">
        <v>400</v>
      </c>
      <c r="X110">
        <v>400</v>
      </c>
      <c r="Y110">
        <v>0</v>
      </c>
      <c r="Z110">
        <v>800</v>
      </c>
    </row>
    <row r="111" spans="18:26" x14ac:dyDescent="0.2">
      <c r="R111">
        <v>86000</v>
      </c>
      <c r="S111">
        <v>1462.62</v>
      </c>
      <c r="T111">
        <v>-3192.07</v>
      </c>
      <c r="U111">
        <v>56563.3</v>
      </c>
      <c r="V111">
        <v>-85.485200000000006</v>
      </c>
      <c r="W111">
        <v>400</v>
      </c>
      <c r="X111">
        <v>400</v>
      </c>
      <c r="Y111">
        <v>0</v>
      </c>
      <c r="Z111">
        <v>800</v>
      </c>
    </row>
    <row r="112" spans="18:26" x14ac:dyDescent="0.2">
      <c r="R112">
        <v>87000</v>
      </c>
      <c r="S112">
        <v>1522.87</v>
      </c>
      <c r="T112">
        <v>-3183.55</v>
      </c>
      <c r="U112">
        <v>57235.4</v>
      </c>
      <c r="V112">
        <v>-144.04499999999999</v>
      </c>
      <c r="W112">
        <v>400</v>
      </c>
      <c r="X112">
        <v>400</v>
      </c>
      <c r="Y112">
        <v>0</v>
      </c>
      <c r="Z112">
        <v>800</v>
      </c>
    </row>
    <row r="113" spans="18:26" x14ac:dyDescent="0.2">
      <c r="R113">
        <v>88000</v>
      </c>
      <c r="S113">
        <v>1505.84</v>
      </c>
      <c r="T113">
        <v>-3195.72</v>
      </c>
      <c r="U113">
        <v>57176.9</v>
      </c>
      <c r="V113">
        <v>-461.04399999999998</v>
      </c>
      <c r="W113">
        <v>400</v>
      </c>
      <c r="X113">
        <v>400</v>
      </c>
      <c r="Y113">
        <v>0</v>
      </c>
      <c r="Z113">
        <v>800</v>
      </c>
    </row>
    <row r="114" spans="18:26" x14ac:dyDescent="0.2">
      <c r="R114">
        <v>89000</v>
      </c>
      <c r="S114">
        <v>1477.07</v>
      </c>
      <c r="T114">
        <v>-3197.92</v>
      </c>
      <c r="U114">
        <v>56750.400000000001</v>
      </c>
      <c r="V114">
        <v>-1692.82</v>
      </c>
      <c r="W114">
        <v>400</v>
      </c>
      <c r="X114">
        <v>400</v>
      </c>
      <c r="Y114">
        <v>0</v>
      </c>
      <c r="Z114">
        <v>800</v>
      </c>
    </row>
    <row r="115" spans="18:26" x14ac:dyDescent="0.2">
      <c r="R115">
        <v>90000</v>
      </c>
      <c r="S115">
        <v>1470.7</v>
      </c>
      <c r="T115">
        <v>-3211.49</v>
      </c>
      <c r="U115">
        <v>56043.1</v>
      </c>
      <c r="V115">
        <v>-16.981999999999999</v>
      </c>
      <c r="W115">
        <v>400</v>
      </c>
      <c r="X115">
        <v>400</v>
      </c>
      <c r="Y115">
        <v>0</v>
      </c>
      <c r="Z115">
        <v>800</v>
      </c>
    </row>
    <row r="116" spans="18:26" x14ac:dyDescent="0.2">
      <c r="R116">
        <v>91000</v>
      </c>
      <c r="S116">
        <v>1505.72</v>
      </c>
      <c r="T116">
        <v>-3194.74</v>
      </c>
      <c r="U116">
        <v>57000.7</v>
      </c>
      <c r="V116">
        <v>-245.18100000000001</v>
      </c>
      <c r="W116">
        <v>400</v>
      </c>
      <c r="X116">
        <v>400</v>
      </c>
      <c r="Y116">
        <v>0</v>
      </c>
      <c r="Z116">
        <v>800</v>
      </c>
    </row>
    <row r="117" spans="18:26" x14ac:dyDescent="0.2">
      <c r="R117">
        <v>92000</v>
      </c>
      <c r="S117">
        <v>1512.33</v>
      </c>
      <c r="T117">
        <v>-3191.44</v>
      </c>
      <c r="U117">
        <v>56527.7</v>
      </c>
      <c r="V117">
        <v>-57.593000000000004</v>
      </c>
      <c r="W117">
        <v>400</v>
      </c>
      <c r="X117">
        <v>400</v>
      </c>
      <c r="Y117">
        <v>0</v>
      </c>
      <c r="Z117">
        <v>800</v>
      </c>
    </row>
    <row r="118" spans="18:26" x14ac:dyDescent="0.2">
      <c r="R118">
        <v>93000</v>
      </c>
      <c r="S118">
        <v>1509.41</v>
      </c>
      <c r="T118">
        <v>-3202.4</v>
      </c>
      <c r="U118">
        <v>57365.8</v>
      </c>
      <c r="V118">
        <v>-1821.23</v>
      </c>
      <c r="W118">
        <v>400</v>
      </c>
      <c r="X118">
        <v>400</v>
      </c>
      <c r="Y118">
        <v>0</v>
      </c>
      <c r="Z118">
        <v>800</v>
      </c>
    </row>
    <row r="119" spans="18:26" x14ac:dyDescent="0.2">
      <c r="R119">
        <v>94000</v>
      </c>
      <c r="S119">
        <v>1520.75</v>
      </c>
      <c r="T119">
        <v>-3198.53</v>
      </c>
      <c r="U119">
        <v>55578.2</v>
      </c>
      <c r="V119">
        <v>-384.78100000000001</v>
      </c>
      <c r="W119">
        <v>400</v>
      </c>
      <c r="X119">
        <v>400</v>
      </c>
      <c r="Y119">
        <v>0</v>
      </c>
      <c r="Z119">
        <v>800</v>
      </c>
    </row>
    <row r="120" spans="18:26" x14ac:dyDescent="0.2">
      <c r="R120">
        <v>95000</v>
      </c>
      <c r="S120">
        <v>1554.97</v>
      </c>
      <c r="T120">
        <v>-3195.82</v>
      </c>
      <c r="U120">
        <v>55577.5</v>
      </c>
      <c r="V120">
        <v>3263.64</v>
      </c>
      <c r="W120">
        <v>400</v>
      </c>
      <c r="X120">
        <v>400</v>
      </c>
      <c r="Y120">
        <v>0</v>
      </c>
      <c r="Z120">
        <v>800</v>
      </c>
    </row>
    <row r="121" spans="18:26" x14ac:dyDescent="0.2">
      <c r="R121">
        <v>96000</v>
      </c>
      <c r="S121">
        <v>1546.12</v>
      </c>
      <c r="T121">
        <v>-3202.31</v>
      </c>
      <c r="U121">
        <v>55922</v>
      </c>
      <c r="V121">
        <v>844.11599999999999</v>
      </c>
      <c r="W121">
        <v>400</v>
      </c>
      <c r="X121">
        <v>400</v>
      </c>
      <c r="Y121">
        <v>0</v>
      </c>
      <c r="Z121">
        <v>800</v>
      </c>
    </row>
    <row r="122" spans="18:26" x14ac:dyDescent="0.2">
      <c r="R122">
        <v>97000</v>
      </c>
      <c r="S122" s="3">
        <v>1507.61</v>
      </c>
      <c r="T122">
        <v>-3196.41</v>
      </c>
      <c r="U122" s="3">
        <v>56757.599999999999</v>
      </c>
      <c r="V122" s="3">
        <v>-1567.11</v>
      </c>
      <c r="W122">
        <v>400</v>
      </c>
      <c r="X122">
        <v>400</v>
      </c>
      <c r="Y122">
        <v>0</v>
      </c>
      <c r="Z122">
        <v>800</v>
      </c>
    </row>
    <row r="123" spans="18:26" x14ac:dyDescent="0.2">
      <c r="R123">
        <v>98000</v>
      </c>
      <c r="S123" s="3">
        <v>1469.99</v>
      </c>
      <c r="T123">
        <v>-3211.99</v>
      </c>
      <c r="U123" s="3">
        <v>55555.199999999997</v>
      </c>
      <c r="V123" s="3">
        <v>894.92200000000003</v>
      </c>
      <c r="W123">
        <v>400</v>
      </c>
      <c r="X123">
        <v>400</v>
      </c>
      <c r="Y123">
        <v>0</v>
      </c>
      <c r="Z123">
        <v>800</v>
      </c>
    </row>
    <row r="124" spans="18:26" x14ac:dyDescent="0.2">
      <c r="R124">
        <v>99000</v>
      </c>
      <c r="S124" s="3">
        <v>1487.45</v>
      </c>
      <c r="T124">
        <v>-3195.85</v>
      </c>
      <c r="U124" s="3">
        <v>56170.7</v>
      </c>
      <c r="V124" s="3">
        <v>-982.52599999999995</v>
      </c>
      <c r="W124">
        <v>400</v>
      </c>
      <c r="X124">
        <v>400</v>
      </c>
      <c r="Y124">
        <v>0</v>
      </c>
      <c r="Z124">
        <v>800</v>
      </c>
    </row>
    <row r="125" spans="18:26" x14ac:dyDescent="0.2">
      <c r="R125">
        <v>100000</v>
      </c>
      <c r="S125" s="3">
        <v>1497.91</v>
      </c>
      <c r="T125">
        <v>-3191.11</v>
      </c>
      <c r="U125" s="3">
        <v>57178</v>
      </c>
      <c r="V125" s="3">
        <v>-1719.98</v>
      </c>
      <c r="W125">
        <v>400</v>
      </c>
      <c r="X125">
        <v>400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workbookViewId="0">
      <selection activeCell="J37" sqref="J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1.3607181600707519</v>
      </c>
      <c r="O8">
        <f t="shared" ref="O8" si="2">F8+SUM(I8:L8)*1.5*(0.000086173)*E8</f>
        <v>-3753.1734516400002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1500.85</v>
      </c>
      <c r="F9">
        <v>-3875.92</v>
      </c>
      <c r="G9">
        <v>42568</v>
      </c>
      <c r="H9">
        <v>3.6545399999999999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1.3729648054876904</v>
      </c>
      <c r="O9">
        <f t="shared" ref="O9:O17" si="6">F9+SUM(I9:L9)*1.5*(0.000086173)*E9</f>
        <v>-3565.5214070800002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1500.02</v>
      </c>
      <c r="F10">
        <v>-3689.38</v>
      </c>
      <c r="G10">
        <v>43658</v>
      </c>
      <c r="H10">
        <v>3.8772500000000001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1.3875234596179395</v>
      </c>
      <c r="O10">
        <f t="shared" si="6"/>
        <v>-3379.1530636960001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1499.87</v>
      </c>
      <c r="F11">
        <v>-3501.77</v>
      </c>
      <c r="G11">
        <v>44793.9</v>
      </c>
      <c r="H11">
        <v>9.0091199999999994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1.3999368789053868</v>
      </c>
      <c r="O11">
        <f t="shared" si="6"/>
        <v>-3191.5740859759999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1497.77</v>
      </c>
      <c r="F12">
        <v>-3313.14</v>
      </c>
      <c r="G12">
        <v>45990.1</v>
      </c>
      <c r="H12">
        <v>1.9111800000000001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1.4098852996623188</v>
      </c>
      <c r="O12">
        <f t="shared" si="6"/>
        <v>-3003.378397896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1499.46</v>
      </c>
      <c r="F13">
        <v>-3124.1</v>
      </c>
      <c r="G13" s="3">
        <v>47060.6</v>
      </c>
      <c r="H13" s="3">
        <v>12.236800000000001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1.4231203869053943</v>
      </c>
      <c r="O13">
        <f t="shared" si="6"/>
        <v>-2813.988880208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1501.73</v>
      </c>
      <c r="F14">
        <v>-2933.51</v>
      </c>
      <c r="G14">
        <v>48304.7</v>
      </c>
      <c r="H14">
        <v>3.11869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1.4306068072050961</v>
      </c>
      <c r="O14">
        <f t="shared" si="6"/>
        <v>-2622.9294097040001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1499.48</v>
      </c>
      <c r="F15">
        <v>-2743.31</v>
      </c>
      <c r="G15">
        <v>49444.6</v>
      </c>
      <c r="H15">
        <v>-6.5408600000000003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1.4407471392224833</v>
      </c>
      <c r="O15">
        <f t="shared" si="6"/>
        <v>-2433.194743904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1499.02</v>
      </c>
      <c r="F16">
        <v>-2551.61</v>
      </c>
      <c r="G16">
        <v>50632</v>
      </c>
      <c r="H16">
        <v>8.3697999999999997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1.4490697456154211</v>
      </c>
      <c r="O16">
        <f t="shared" si="6"/>
        <v>-2241.5898788960003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1500.76</v>
      </c>
      <c r="F17">
        <v>-2360.4</v>
      </c>
      <c r="G17">
        <v>51780</v>
      </c>
      <c r="H17">
        <v>2.58318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1.4581195967555041</v>
      </c>
      <c r="O17">
        <f t="shared" si="6"/>
        <v>-2050.0200204480002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1199.21</v>
      </c>
      <c r="F24">
        <v>-4143.99</v>
      </c>
      <c r="G24">
        <v>38874.300000000003</v>
      </c>
      <c r="H24">
        <v>2.8257599999999998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1.4485722567351693</v>
      </c>
      <c r="O24">
        <f t="shared" ref="O24" si="11">F24+SUM(I24:L24)*1.5*(0.000086173)*E24</f>
        <v>-3895.9751440079999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1199.6300000000001</v>
      </c>
      <c r="F25">
        <v>-3957.94</v>
      </c>
      <c r="G25">
        <v>39908.1</v>
      </c>
      <c r="H25">
        <v>0.104292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1.4644737744969067</v>
      </c>
      <c r="O25">
        <f t="shared" ref="O25:O33" si="15">F25+SUM(I25:L25)*1.5*(0.000086173)*E25</f>
        <v>-3709.838281624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1199.46</v>
      </c>
      <c r="F26">
        <v>-3771.28</v>
      </c>
      <c r="G26">
        <v>40980.9</v>
      </c>
      <c r="H26">
        <v>1.57287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1.4781641984436653</v>
      </c>
      <c r="O26">
        <f t="shared" si="15"/>
        <v>-3523.2134402080001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1199.55</v>
      </c>
      <c r="F27">
        <v>-3584.82</v>
      </c>
      <c r="G27">
        <v>41964.9</v>
      </c>
      <c r="H27">
        <v>5.8657500000000002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1.4943114974657394</v>
      </c>
      <c r="O27">
        <f t="shared" si="15"/>
        <v>-3336.7348268400001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1201.55</v>
      </c>
      <c r="F28">
        <v>-3396.5</v>
      </c>
      <c r="G28">
        <v>43049</v>
      </c>
      <c r="H28">
        <v>2.6920600000000001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1.5062084118097983</v>
      </c>
      <c r="O28">
        <f t="shared" si="15"/>
        <v>-3148.0011964400001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1200.06</v>
      </c>
      <c r="F29">
        <v>-3208.26</v>
      </c>
      <c r="G29" s="3">
        <v>44103.199999999997</v>
      </c>
      <c r="H29" s="3">
        <v>2.8780100000000002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1.5185496580746976</v>
      </c>
      <c r="O29">
        <f t="shared" si="15"/>
        <v>-2960.0693510880001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1199.25</v>
      </c>
      <c r="F30">
        <v>-3020.4</v>
      </c>
      <c r="G30">
        <v>45131.8</v>
      </c>
      <c r="H30">
        <v>11.125299999999999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1.5311827279213326</v>
      </c>
      <c r="O30">
        <f t="shared" si="15"/>
        <v>-2772.3768714000003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1198.9100000000001</v>
      </c>
      <c r="F31">
        <v>-2830.63</v>
      </c>
      <c r="G31">
        <v>46166.1</v>
      </c>
      <c r="H31">
        <v>1.4695499999999999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1.5430622469734285</v>
      </c>
      <c r="O31">
        <f t="shared" si="15"/>
        <v>-2582.677188568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1199.6400000000001</v>
      </c>
      <c r="F32">
        <v>-2640.24</v>
      </c>
      <c r="G32">
        <v>47227.7</v>
      </c>
      <c r="H32">
        <v>0.37171100000000001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1.5535226013547137</v>
      </c>
      <c r="O32">
        <f t="shared" si="15"/>
        <v>-2392.1362134719998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1198.1400000000001</v>
      </c>
      <c r="F33">
        <v>-2449.86</v>
      </c>
      <c r="G33">
        <v>48267.5</v>
      </c>
      <c r="H33">
        <v>-0.44730999999999999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1.564229196042886</v>
      </c>
      <c r="O33">
        <f t="shared" si="15"/>
        <v>-2202.0664362719999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-3753.1734516400002</v>
      </c>
      <c r="E39">
        <v>-3895.9751440079999</v>
      </c>
      <c r="F39" cm="1">
        <f t="array" ref="F39:G39">LINEST(D39:E39,$D$38:$E$38)</f>
        <v>0.47600564122666578</v>
      </c>
      <c r="G39">
        <v>-4467.1819134799989</v>
      </c>
      <c r="H39">
        <f>F39/SUM(I24:K24)*(1.602E-19)*(6.022E+23)</f>
        <v>57.401782078626297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-3565.5214070800002</v>
      </c>
      <c r="E40">
        <v>-3709.838281624</v>
      </c>
      <c r="F40" cm="1">
        <f t="array" ref="F40:G40">LINEST(D40:E40,$D$38:$E$38)</f>
        <v>0.48105624847999945</v>
      </c>
      <c r="G40">
        <v>-4287.1057797999993</v>
      </c>
      <c r="H40">
        <f t="shared" ref="H40:H48" si="18">F40/SUM(I25:K25)*(1.602E-19)*(6.022E+23)</f>
        <v>58.010837585139797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-3379.1530636960001</v>
      </c>
      <c r="E41">
        <v>-3523.2134402080001</v>
      </c>
      <c r="F41" cm="1">
        <f t="array" ref="F41:G41">LINEST(D41:E41,$D$38:$E$38)</f>
        <v>0.48020125503999977</v>
      </c>
      <c r="G41">
        <v>-4099.4549462559999</v>
      </c>
      <c r="H41">
        <f t="shared" si="18"/>
        <v>57.907733455963843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-3191.5740859759999</v>
      </c>
      <c r="E42">
        <v>-3336.7348268400001</v>
      </c>
      <c r="F42" cm="1">
        <f t="array" ref="F42:G42">LINEST(D42:E42,$D$38:$E$38)</f>
        <v>0.48386913621333399</v>
      </c>
      <c r="G42">
        <v>-3917.377790296001</v>
      </c>
      <c r="H42">
        <f t="shared" si="18"/>
        <v>58.350045263990864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-3003.378397896</v>
      </c>
      <c r="E43">
        <v>-3148.0011964400001</v>
      </c>
      <c r="F43" cm="1">
        <f t="array" ref="F43:G43">LINEST(D43:E43,$D$38:$E$38)</f>
        <v>0.48207599514666677</v>
      </c>
      <c r="G43">
        <v>-3726.4923906160002</v>
      </c>
      <c r="H43">
        <f t="shared" si="18"/>
        <v>58.133809396533877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-2813.988880208</v>
      </c>
      <c r="E44">
        <v>-2960.0693510880001</v>
      </c>
      <c r="F44" cm="1">
        <f t="array" ref="F44:G44">LINEST(D44:E44,$D$38:$E$38)</f>
        <v>0.48693490293333369</v>
      </c>
      <c r="G44">
        <v>-3544.3912346080001</v>
      </c>
      <c r="H44">
        <f t="shared" si="18"/>
        <v>58.719747758927333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-2622.9294097040001</v>
      </c>
      <c r="E45">
        <v>-2772.3768714000003</v>
      </c>
      <c r="F45" cm="1">
        <f t="array" ref="F45:G45">LINEST(D45:E45,$D$38:$E$38)</f>
        <v>0.4981582056533338</v>
      </c>
      <c r="G45">
        <v>-3370.1667181840007</v>
      </c>
      <c r="H45">
        <f t="shared" si="18"/>
        <v>60.073172006748635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-2433.194743904</v>
      </c>
      <c r="E46">
        <v>-2582.677188568</v>
      </c>
      <c r="F46" cm="1">
        <f t="array" ref="F46:G46">LINEST(D46:E46,$D$38:$E$38)</f>
        <v>0.4982748155466668</v>
      </c>
      <c r="G46">
        <v>-3180.6069672240005</v>
      </c>
      <c r="H46">
        <f t="shared" si="18"/>
        <v>60.087234057921101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-2241.5898788960003</v>
      </c>
      <c r="E47">
        <v>-2392.1362134719998</v>
      </c>
      <c r="F47" cm="1">
        <f t="array" ref="F47:G47">LINEST(D47:E47,$D$38:$E$38)</f>
        <v>0.50182111525333173</v>
      </c>
      <c r="G47">
        <v>-2994.3215517759982</v>
      </c>
      <c r="H47">
        <f t="shared" si="18"/>
        <v>60.514884290012667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-2050.0200204480002</v>
      </c>
      <c r="E48">
        <v>-2202.0664362719999</v>
      </c>
      <c r="F48" cm="1">
        <f t="array" ref="F48:G48">LINEST(D48:E48,$D$38:$E$38)</f>
        <v>0.50682138607999916</v>
      </c>
      <c r="G48">
        <v>-2810.2520995679993</v>
      </c>
      <c r="H48">
        <f t="shared" si="18"/>
        <v>61.117869699149445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workbookViewId="0">
      <selection activeCell="J41" sqref="J41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1501.18</v>
      </c>
      <c r="F8">
        <v>-2280.29</v>
      </c>
      <c r="G8">
        <v>72375.7</v>
      </c>
      <c r="H8">
        <v>-0.54600099999999996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1.3683038469541575</v>
      </c>
      <c r="O8">
        <f t="shared" ref="O8" si="2">F8+SUM(I8:L8)*1.5*(0.000086173)*E8</f>
        <v>-1969.8231580639999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1501.53</v>
      </c>
      <c r="F9">
        <v>-2269.77</v>
      </c>
      <c r="G9">
        <v>70530.7</v>
      </c>
      <c r="H9">
        <v>3.0581499999999999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1.3737579588803175</v>
      </c>
      <c r="O9">
        <f t="shared" ref="O9:O17" si="6">F9+SUM(I9:L9)*1.5*(0.000086173)*E9</f>
        <v>-1959.230772744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1500.2</v>
      </c>
      <c r="F10">
        <v>-2259.5</v>
      </c>
      <c r="G10">
        <v>68566.100000000006</v>
      </c>
      <c r="H10">
        <v>1.39086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1.3819113556815978</v>
      </c>
      <c r="O10">
        <f t="shared" si="6"/>
        <v>-1949.2358369599999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1498.94</v>
      </c>
      <c r="F11">
        <v>-2250.7399999999998</v>
      </c>
      <c r="G11">
        <v>66381.5</v>
      </c>
      <c r="H11">
        <v>7.5982500000000002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1.3951542815272329</v>
      </c>
      <c r="O11">
        <f t="shared" si="6"/>
        <v>-1940.7364241119999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1501.46</v>
      </c>
      <c r="F12">
        <v>-2239.88</v>
      </c>
      <c r="G12">
        <v>64509.1</v>
      </c>
      <c r="H12">
        <v>3.7416700000000001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1.4024780329224871</v>
      </c>
      <c r="O12">
        <f t="shared" si="6"/>
        <v>-1929.3552498080001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1499.75</v>
      </c>
      <c r="F13">
        <v>-2229.1999999999998</v>
      </c>
      <c r="G13" s="3">
        <v>62492</v>
      </c>
      <c r="H13" s="3">
        <v>5.97973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1.4135050471740382</v>
      </c>
      <c r="O13">
        <f t="shared" si="6"/>
        <v>-1919.0289037999999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1500.53</v>
      </c>
      <c r="F14">
        <v>-2216.9299999999998</v>
      </c>
      <c r="G14">
        <v>60621.9</v>
      </c>
      <c r="H14">
        <v>3.3103099999999999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1.4218115753943705</v>
      </c>
      <c r="O14">
        <f t="shared" si="6"/>
        <v>-1906.5975879439998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</v>
      </c>
      <c r="F15">
        <v>-2205.41</v>
      </c>
      <c r="G15">
        <v>58726.7</v>
      </c>
      <c r="H15">
        <v>1.3724099999999999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1.4312583693073169</v>
      </c>
      <c r="O15">
        <f t="shared" si="6"/>
        <v>-1895.3940151999998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1499.14</v>
      </c>
      <c r="F16">
        <v>-2193.89</v>
      </c>
      <c r="G16">
        <v>56770.7</v>
      </c>
      <c r="H16">
        <v>-0.150282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1.442878854958632</v>
      </c>
      <c r="O16">
        <f t="shared" si="6"/>
        <v>-1883.8450610719999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1498.4</v>
      </c>
      <c r="F17">
        <v>-2181.16</v>
      </c>
      <c r="G17">
        <v>54901</v>
      </c>
      <c r="H17">
        <v>0.17544100000000001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1.4530410073696292</v>
      </c>
      <c r="O17">
        <f t="shared" si="6"/>
        <v>-1871.2681043199998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1200.07</v>
      </c>
      <c r="F24">
        <v>-2379.2800000000002</v>
      </c>
      <c r="G24">
        <v>66494.7</v>
      </c>
      <c r="H24">
        <v>4.3596899999999996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1.4893209343902598</v>
      </c>
      <c r="O24">
        <f>F24+SUM(I24:L24)*1.5*(0.000086173)*E24</f>
        <v>-2131.0872829360001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1199</v>
      </c>
      <c r="F25">
        <v>-2369.16</v>
      </c>
      <c r="G25">
        <v>64682</v>
      </c>
      <c r="H25">
        <v>6.8219500000000002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1.4979764149284192</v>
      </c>
      <c r="O25">
        <f t="shared" ref="O25:O33" si="14">F25+SUM(I25:L25)*1.5*(0.000086173)*E25</f>
        <v>-2121.1885751999998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1202.1099999999999</v>
      </c>
      <c r="F26">
        <v>-2357.1</v>
      </c>
      <c r="G26">
        <v>63083.199999999997</v>
      </c>
      <c r="H26">
        <v>3.4145500000000002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1.5020206997235399</v>
      </c>
      <c r="O26">
        <f t="shared" si="14"/>
        <v>-2108.4853799279999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1200.1500000000001</v>
      </c>
      <c r="F27">
        <v>-2346.73</v>
      </c>
      <c r="G27">
        <v>61287.9</v>
      </c>
      <c r="H27">
        <v>8.5874000000000006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1.5111047031991633</v>
      </c>
      <c r="O27">
        <f t="shared" si="14"/>
        <v>-2098.5207377199999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1200.1600000000001</v>
      </c>
      <c r="F28">
        <v>-2334.79</v>
      </c>
      <c r="G28">
        <v>59624.1</v>
      </c>
      <c r="H28">
        <v>0.16036300000000001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1.5173829990490424</v>
      </c>
      <c r="O28">
        <f t="shared" si="14"/>
        <v>-2086.5786695679999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1201.24</v>
      </c>
      <c r="F29">
        <v>-2323.35</v>
      </c>
      <c r="G29" s="3">
        <v>57821.599999999999</v>
      </c>
      <c r="H29" s="3">
        <v>3.56691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1.5276775012797985</v>
      </c>
      <c r="O29">
        <f t="shared" si="14"/>
        <v>-2074.9153091519997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1198.32</v>
      </c>
      <c r="F30">
        <v>-2312.42</v>
      </c>
      <c r="G30">
        <v>56049.3</v>
      </c>
      <c r="H30">
        <v>3.7084199999999998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1.5378054523856675</v>
      </c>
      <c r="O30">
        <f t="shared" si="14"/>
        <v>-2064.589209536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1200.93</v>
      </c>
      <c r="F31">
        <v>-2297.9899999999998</v>
      </c>
      <c r="G31">
        <v>54371.7</v>
      </c>
      <c r="H31">
        <v>4.7849399999999997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1.5458976062326542</v>
      </c>
      <c r="O31">
        <f t="shared" si="14"/>
        <v>-2049.6194218639998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1200.51</v>
      </c>
      <c r="F32">
        <v>-2284.62</v>
      </c>
      <c r="G32">
        <v>52732.2</v>
      </c>
      <c r="H32">
        <v>-1.7662000000000001E-3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1.5533818541839712</v>
      </c>
      <c r="O32">
        <f t="shared" si="14"/>
        <v>-2036.3362842479999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1199.1400000000001</v>
      </c>
      <c r="F33">
        <v>-2271.7399999999998</v>
      </c>
      <c r="G33">
        <v>51023.8</v>
      </c>
      <c r="H33">
        <v>4.55124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1.5634547866995403</v>
      </c>
      <c r="O33">
        <f t="shared" si="14"/>
        <v>-2023.7396210719999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-1969.8231580639999</v>
      </c>
      <c r="E39">
        <v>-2131.0872829360001</v>
      </c>
      <c r="F39" cm="1">
        <f t="array" ref="F39:G39">LINEST(D39:E39,$D$38:$E$38)</f>
        <v>0.5375470829066672</v>
      </c>
      <c r="G39">
        <v>-2776.1437824240006</v>
      </c>
      <c r="H39">
        <f>F39/SUM(I24:K24)*(1.602E-19)*(6.022E+23)</f>
        <v>64.823098378610595</v>
      </c>
    </row>
    <row r="40" spans="1:15" x14ac:dyDescent="0.2">
      <c r="D40">
        <v>-1959.230772744</v>
      </c>
      <c r="E40">
        <v>-2121.1885751999998</v>
      </c>
      <c r="F40" cm="1">
        <f t="array" ref="F40:G40">LINEST(D40:E40,$D$38:$E$38)</f>
        <v>0.53985934151999959</v>
      </c>
      <c r="G40">
        <v>-2769.0197850239992</v>
      </c>
      <c r="H40">
        <f t="shared" ref="H40:H48" si="17">F40/SUM(I25:K25)*(1.602E-19)*(6.022E+23)</f>
        <v>65.101934916534589</v>
      </c>
    </row>
    <row r="41" spans="1:15" x14ac:dyDescent="0.2">
      <c r="D41">
        <v>-1949.2358369599999</v>
      </c>
      <c r="E41">
        <v>-2108.4853799279999</v>
      </c>
      <c r="F41" cm="1">
        <f t="array" ref="F41:G41">LINEST(D41:E41,$D$38:$E$38)</f>
        <v>0.53083180989333356</v>
      </c>
      <c r="G41">
        <v>-2745.4835518</v>
      </c>
      <c r="H41">
        <f t="shared" si="17"/>
        <v>64.013299912532545</v>
      </c>
    </row>
    <row r="42" spans="1:15" x14ac:dyDescent="0.2">
      <c r="D42">
        <v>-1940.7364241119999</v>
      </c>
      <c r="E42">
        <v>-2098.5207377199999</v>
      </c>
      <c r="F42" cm="1">
        <f t="array" ref="F42:G42">LINEST(D42:E42,$D$38:$E$38)</f>
        <v>0.5259477120266669</v>
      </c>
      <c r="G42">
        <v>-2729.6579921520001</v>
      </c>
      <c r="H42">
        <f t="shared" si="17"/>
        <v>63.424323864537385</v>
      </c>
    </row>
    <row r="43" spans="1:15" x14ac:dyDescent="0.2">
      <c r="D43">
        <v>-1929.3552498080001</v>
      </c>
      <c r="E43">
        <v>-2086.5786695679999</v>
      </c>
      <c r="F43" cm="1">
        <f t="array" ref="F43:G43">LINEST(D43:E43,$D$38:$E$38)</f>
        <v>0.52407806586666628</v>
      </c>
      <c r="G43">
        <v>-2715.4723486079993</v>
      </c>
      <c r="H43">
        <f t="shared" si="17"/>
        <v>63.198862205797511</v>
      </c>
    </row>
    <row r="44" spans="1:15" x14ac:dyDescent="0.2">
      <c r="D44">
        <v>-1919.0289037999999</v>
      </c>
      <c r="E44">
        <v>-2074.9153091519997</v>
      </c>
      <c r="F44" cm="1">
        <f t="array" ref="F44:G44">LINEST(D44:E44,$D$38:$E$38)</f>
        <v>0.51962135117333308</v>
      </c>
      <c r="G44">
        <v>-2698.4609305599993</v>
      </c>
      <c r="H44">
        <f t="shared" si="17"/>
        <v>62.661424529735385</v>
      </c>
    </row>
    <row r="45" spans="1:15" x14ac:dyDescent="0.2">
      <c r="D45">
        <v>-1906.5975879439998</v>
      </c>
      <c r="E45">
        <v>-2064.589209536</v>
      </c>
      <c r="F45" cm="1">
        <f t="array" ref="F45:G45">LINEST(D45:E45,$D$38:$E$38)</f>
        <v>0.52663873864000088</v>
      </c>
      <c r="G45">
        <v>-2696.5556959040009</v>
      </c>
      <c r="H45">
        <f t="shared" si="17"/>
        <v>63.50765514390396</v>
      </c>
    </row>
    <row r="46" spans="1:15" x14ac:dyDescent="0.2">
      <c r="D46">
        <v>-1895.3940151999998</v>
      </c>
      <c r="E46">
        <v>-2049.6194218639998</v>
      </c>
      <c r="F46" cm="1">
        <f t="array" ref="F46:G46">LINEST(D46:E46,$D$38:$E$38)</f>
        <v>0.51408468888000025</v>
      </c>
      <c r="G46">
        <v>-2666.5210485200005</v>
      </c>
      <c r="H46">
        <f t="shared" si="17"/>
        <v>61.993755378618118</v>
      </c>
    </row>
    <row r="47" spans="1:15" x14ac:dyDescent="0.2">
      <c r="D47">
        <v>-1883.8450610719999</v>
      </c>
      <c r="E47">
        <v>-2036.3362842479999</v>
      </c>
      <c r="F47" cm="1">
        <f t="array" ref="F47:G47">LINEST(D47:E47,$D$38:$E$38)</f>
        <v>0.50830407725333326</v>
      </c>
      <c r="G47">
        <v>-2646.3011769519999</v>
      </c>
      <c r="H47">
        <f t="shared" si="17"/>
        <v>61.296668243221951</v>
      </c>
    </row>
    <row r="48" spans="1:15" x14ac:dyDescent="0.2">
      <c r="D48">
        <v>-1871.2681043199998</v>
      </c>
      <c r="E48">
        <v>-2023.7396210719999</v>
      </c>
      <c r="F48" cm="1">
        <f t="array" ref="F48:G48">LINEST(D48:E48,$D$38:$E$38)</f>
        <v>0.50823838917333353</v>
      </c>
      <c r="G48">
        <v>-2633.6256880800001</v>
      </c>
      <c r="H48">
        <f t="shared" si="17"/>
        <v>61.288746881526329</v>
      </c>
    </row>
    <row r="49" spans="4:8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topLeftCell="B1" workbookViewId="0">
      <selection activeCell="J45" sqref="J45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1500.64</v>
      </c>
      <c r="F8">
        <v>-3707.58</v>
      </c>
      <c r="G8">
        <v>45476.5</v>
      </c>
      <c r="H8">
        <v>13.932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1.3790933221685926</v>
      </c>
      <c r="O8">
        <f t="shared" ref="O8" si="2">F8+SUM(I8:L8)*1.5*(0.000086173)*E8</f>
        <v>-3397.2248382719999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1498.39</v>
      </c>
      <c r="F9">
        <v>-3345.85</v>
      </c>
      <c r="G9">
        <v>49539.4</v>
      </c>
      <c r="H9">
        <v>3.15985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1.3952620025918767</v>
      </c>
      <c r="O9">
        <f t="shared" ref="O9:O18" si="5">F9+SUM(I9:L9)*1.5*(0.000086173)*E9</f>
        <v>-3035.9601724720001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1499.82</v>
      </c>
      <c r="F10">
        <v>-2979.25</v>
      </c>
      <c r="G10">
        <v>53835.199999999997</v>
      </c>
      <c r="H10">
        <v>-2.2502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1.4028841248253932</v>
      </c>
      <c r="O10">
        <f t="shared" si="5"/>
        <v>-2669.0644267359999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1499.78</v>
      </c>
      <c r="F11">
        <v>-2606.62</v>
      </c>
      <c r="G11">
        <v>58087.5</v>
      </c>
      <c r="H11">
        <v>4.2971599999999999E-2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1.4104351611344952</v>
      </c>
      <c r="O11">
        <f t="shared" si="5"/>
        <v>-2296.4426993439997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1499.86</v>
      </c>
      <c r="F12">
        <v>-2456.85</v>
      </c>
      <c r="G12">
        <v>67224.600000000006</v>
      </c>
      <c r="H12">
        <v>0.399563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1.3777715128807015</v>
      </c>
      <c r="O12">
        <f t="shared" si="5"/>
        <v>-2146.6561541279998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1500.4</v>
      </c>
      <c r="F13">
        <v>-2629.18</v>
      </c>
      <c r="G13" s="3">
        <v>62130.9</v>
      </c>
      <c r="H13" s="3">
        <v>1.03284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1.3875274453387931</v>
      </c>
      <c r="O13">
        <f t="shared" si="5"/>
        <v>-2318.8744739199997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1501.15</v>
      </c>
      <c r="F14">
        <v>-2798.88</v>
      </c>
      <c r="G14" s="3">
        <v>56956.1</v>
      </c>
      <c r="H14" s="3">
        <v>3.1358700000000002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1.40101796054154</v>
      </c>
      <c r="O14" s="3">
        <f>F14+SUM(I14:L14)*1.5*(0.000086173)*E14</f>
        <v>-2488.41936252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1500.61</v>
      </c>
      <c r="F15">
        <v>-2963.53</v>
      </c>
      <c r="G15">
        <v>52039.5</v>
      </c>
      <c r="H15">
        <v>8.5515000000000008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1.4101732178671971</v>
      </c>
      <c r="O15">
        <f t="shared" si="5"/>
        <v>-2653.1810427280002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1501.09</v>
      </c>
      <c r="F16">
        <v>-2373.9299999999998</v>
      </c>
      <c r="G16">
        <v>53625</v>
      </c>
      <c r="H16">
        <v>0.69751300000000005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1.447855869195338</v>
      </c>
      <c r="O16">
        <f t="shared" si="5"/>
        <v>-2063.4817714319997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1499.34</v>
      </c>
      <c r="F17">
        <v>-2579.84</v>
      </c>
      <c r="G17">
        <v>54386</v>
      </c>
      <c r="H17">
        <v>3.8522799999999999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1.4277383130070238</v>
      </c>
      <c r="O17">
        <f t="shared" si="5"/>
        <v>-2269.7536980320001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1500.49</v>
      </c>
      <c r="F18">
        <v>-2785.74</v>
      </c>
      <c r="G18">
        <v>55064.5</v>
      </c>
      <c r="H18">
        <v>5.7401299999999997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1.4102857702657792</v>
      </c>
      <c r="O18">
        <f t="shared" si="5"/>
        <v>-2475.4158605519997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1501.61</v>
      </c>
      <c r="F19">
        <v>-2991.47</v>
      </c>
      <c r="G19">
        <v>55774</v>
      </c>
      <c r="H19">
        <v>2.25021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1.3924836967475884</v>
      </c>
      <c r="O19">
        <f>F19+SUM(I19:L19)*1.5*(0.000086173)*E19</f>
        <v>-2680.9142275279996</v>
      </c>
    </row>
    <row r="20" spans="1:15" x14ac:dyDescent="0.2">
      <c r="A20">
        <f t="shared" ref="A20" si="14">I20/SUM(I20:K20)</f>
        <v>0.33250000000000002</v>
      </c>
      <c r="B20">
        <f t="shared" ref="B20" si="15">J20/SUM(I20:K20)</f>
        <v>0.33250000000000002</v>
      </c>
      <c r="C20">
        <f t="shared" ref="C20" si="16">K20/SUM(I20:K20)</f>
        <v>0.33500000000000002</v>
      </c>
      <c r="D20">
        <v>200000</v>
      </c>
      <c r="E20">
        <v>1500.55</v>
      </c>
      <c r="F20">
        <v>-2853.14</v>
      </c>
      <c r="G20">
        <v>55259</v>
      </c>
      <c r="H20">
        <v>7.7256499999999999</v>
      </c>
      <c r="I20">
        <v>266</v>
      </c>
      <c r="J20">
        <v>266</v>
      </c>
      <c r="K20">
        <v>268</v>
      </c>
      <c r="L20">
        <v>800</v>
      </c>
      <c r="M20">
        <f>I20*I$2+J20*J$2+K20*K$2+L20*L$2</f>
        <v>46767.428</v>
      </c>
      <c r="N20">
        <f>M20*(1.66054E-24)/(G20)/(1E-24)</f>
        <v>1.4053671780365189</v>
      </c>
      <c r="O20">
        <f>F20+SUM(I20:L20)*1.5*(0.000086173)*E20</f>
        <v>-2542.8034516399998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1199.71</v>
      </c>
      <c r="F27">
        <v>-3791.59</v>
      </c>
      <c r="G27">
        <v>42589.7</v>
      </c>
      <c r="H27">
        <v>3.3506300000000002</v>
      </c>
      <c r="I27">
        <v>640</v>
      </c>
      <c r="J27">
        <v>80</v>
      </c>
      <c r="K27">
        <v>80</v>
      </c>
      <c r="L27">
        <v>800</v>
      </c>
      <c r="M27">
        <f t="shared" ref="M27" si="17">I27*I$2+J27*J$2+K27*K$2+L27*L$2</f>
        <v>37768.639999999999</v>
      </c>
      <c r="N27">
        <f t="shared" ref="N27" si="18">M27*(1.66054E-24)/(G27)/(1E-24)</f>
        <v>1.472570538548053</v>
      </c>
      <c r="O27">
        <f t="shared" ref="O27" si="19">F27+SUM(I27:L27)*1.5*(0.000086173)*E27</f>
        <v>-3543.4717364080002</v>
      </c>
    </row>
    <row r="28" spans="1:15" x14ac:dyDescent="0.2">
      <c r="A28">
        <f t="shared" ref="A28:A32" si="20">I28/SUM(I28:K28)</f>
        <v>0.6</v>
      </c>
      <c r="B28">
        <f t="shared" ref="B28:B32" si="21">J28/SUM(I28:K28)</f>
        <v>0.2</v>
      </c>
      <c r="C28">
        <f>K28/SUM(I28:K28)</f>
        <v>0.2</v>
      </c>
      <c r="D28">
        <v>200000</v>
      </c>
      <c r="E28" s="4">
        <v>1201</v>
      </c>
      <c r="F28">
        <v>-3433.86</v>
      </c>
      <c r="G28">
        <v>46251.1</v>
      </c>
      <c r="H28">
        <v>3.9040599999999999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1.4944605090732981</v>
      </c>
      <c r="O28">
        <f t="shared" ref="O28:O32" si="22">F28+SUM(I28:L28)*1.5*(0.000086173)*E28</f>
        <v>-3185.4749448000002</v>
      </c>
    </row>
    <row r="29" spans="1:15" x14ac:dyDescent="0.2">
      <c r="A29">
        <f t="shared" si="20"/>
        <v>0.4</v>
      </c>
      <c r="B29">
        <f t="shared" si="21"/>
        <v>0.3</v>
      </c>
      <c r="C29">
        <f t="shared" ref="C29:C32" si="23">K29/SUM(I29:K29)</f>
        <v>0.3</v>
      </c>
      <c r="D29">
        <v>200000</v>
      </c>
      <c r="E29">
        <v>1200.1099999999999</v>
      </c>
      <c r="F29">
        <v>-3069.05</v>
      </c>
      <c r="G29">
        <v>50086.9</v>
      </c>
      <c r="H29">
        <v>9.4287299999999998</v>
      </c>
      <c r="I29">
        <v>320</v>
      </c>
      <c r="J29">
        <v>240</v>
      </c>
      <c r="K29">
        <v>240</v>
      </c>
      <c r="L29">
        <v>800</v>
      </c>
      <c r="M29">
        <f t="shared" ref="M29:M37" si="24">I29*I$2+J29*J$2+K29*K$2+L29*L$2</f>
        <v>45481.919999999998</v>
      </c>
      <c r="N29">
        <f t="shared" ref="N29:N37" si="25">M29*(1.66054E-24)/(G29)/(1E-24)</f>
        <v>1.5078702702063813</v>
      </c>
      <c r="O29">
        <f t="shared" si="22"/>
        <v>-2820.8490103280001</v>
      </c>
    </row>
    <row r="30" spans="1:15" x14ac:dyDescent="0.2">
      <c r="A30">
        <f t="shared" si="20"/>
        <v>0.2</v>
      </c>
      <c r="B30">
        <f t="shared" si="21"/>
        <v>0.4</v>
      </c>
      <c r="C30">
        <f t="shared" si="23"/>
        <v>0.4</v>
      </c>
      <c r="D30">
        <v>200000</v>
      </c>
      <c r="E30">
        <v>1200.69</v>
      </c>
      <c r="F30">
        <v>-2698.21</v>
      </c>
      <c r="G30">
        <v>53982.400000000001</v>
      </c>
      <c r="H30">
        <v>4.74587</v>
      </c>
      <c r="I30">
        <v>160</v>
      </c>
      <c r="J30">
        <v>320</v>
      </c>
      <c r="K30">
        <v>320</v>
      </c>
      <c r="L30">
        <v>800</v>
      </c>
      <c r="M30">
        <f t="shared" si="24"/>
        <v>49338.559999999998</v>
      </c>
      <c r="N30">
        <f t="shared" si="25"/>
        <v>1.5176919222265033</v>
      </c>
      <c r="O30">
        <f>F30+SUM(I30:L30)*1.5*(0.000086173)*E30</f>
        <v>-2449.8890575119999</v>
      </c>
    </row>
    <row r="31" spans="1:15" x14ac:dyDescent="0.2">
      <c r="A31">
        <f t="shared" si="20"/>
        <v>0.1</v>
      </c>
      <c r="B31">
        <f t="shared" si="21"/>
        <v>0.8</v>
      </c>
      <c r="C31">
        <f t="shared" si="23"/>
        <v>0.1</v>
      </c>
      <c r="D31">
        <v>200000</v>
      </c>
      <c r="E31">
        <v>1199.73</v>
      </c>
      <c r="F31">
        <v>-2554.9</v>
      </c>
      <c r="G31">
        <v>61864.1</v>
      </c>
      <c r="H31">
        <v>-1.8698699999999999</v>
      </c>
      <c r="I31">
        <v>80</v>
      </c>
      <c r="J31">
        <v>640</v>
      </c>
      <c r="K31">
        <v>80</v>
      </c>
      <c r="L31">
        <v>800</v>
      </c>
      <c r="M31">
        <f t="shared" si="24"/>
        <v>55777.12000000001</v>
      </c>
      <c r="N31">
        <f t="shared" si="25"/>
        <v>1.4971548740675129</v>
      </c>
      <c r="O31">
        <f t="shared" si="22"/>
        <v>-2306.7776001040002</v>
      </c>
    </row>
    <row r="32" spans="1:15" x14ac:dyDescent="0.2">
      <c r="A32">
        <f t="shared" si="20"/>
        <v>0.2</v>
      </c>
      <c r="B32">
        <f t="shared" si="21"/>
        <v>0.6</v>
      </c>
      <c r="C32">
        <f t="shared" si="23"/>
        <v>0.2</v>
      </c>
      <c r="D32">
        <v>200000</v>
      </c>
      <c r="E32" s="3">
        <v>1200.24</v>
      </c>
      <c r="F32">
        <v>-2725.38</v>
      </c>
      <c r="G32" s="3">
        <v>57305.4</v>
      </c>
      <c r="H32" s="3">
        <v>7.0114999999999998</v>
      </c>
      <c r="I32">
        <v>160</v>
      </c>
      <c r="J32">
        <v>480</v>
      </c>
      <c r="K32">
        <v>160</v>
      </c>
      <c r="L32">
        <v>800</v>
      </c>
      <c r="M32">
        <f t="shared" si="24"/>
        <v>51915.840000000011</v>
      </c>
      <c r="N32">
        <f t="shared" si="25"/>
        <v>1.5043665859343101</v>
      </c>
      <c r="O32">
        <f t="shared" si="22"/>
        <v>-2477.1521243520001</v>
      </c>
    </row>
    <row r="33" spans="1:15" x14ac:dyDescent="0.2">
      <c r="A33">
        <f t="shared" ref="A33" si="26">I33/SUM(I33:K33)</f>
        <v>0.3</v>
      </c>
      <c r="B33">
        <f t="shared" ref="B33" si="27">J33/SUM(I33:K33)</f>
        <v>0.4</v>
      </c>
      <c r="C33">
        <f t="shared" ref="C33" si="28">K33/SUM(I33:K33)</f>
        <v>0.3</v>
      </c>
      <c r="D33">
        <v>200000</v>
      </c>
      <c r="E33" s="3">
        <v>1200.07</v>
      </c>
      <c r="F33">
        <v>-2891.72</v>
      </c>
      <c r="G33" s="3">
        <v>52825.4</v>
      </c>
      <c r="H33" s="3">
        <v>5.8362699999999998</v>
      </c>
      <c r="I33">
        <v>240</v>
      </c>
      <c r="J33">
        <v>320</v>
      </c>
      <c r="K33">
        <v>240</v>
      </c>
      <c r="L33">
        <v>800</v>
      </c>
      <c r="M33">
        <f t="shared" si="24"/>
        <v>48054.560000000005</v>
      </c>
      <c r="N33">
        <f t="shared" si="25"/>
        <v>1.5105710332983755</v>
      </c>
      <c r="O33" s="3">
        <f>F33+SUM(I33:L33)*1.5*(0.000086173)*E33</f>
        <v>-2643.5272829359997</v>
      </c>
    </row>
    <row r="34" spans="1:15" x14ac:dyDescent="0.2">
      <c r="A34">
        <f t="shared" ref="A34:A38" si="29">I34/SUM(I34:K34)</f>
        <v>0.4</v>
      </c>
      <c r="B34">
        <f t="shared" ref="B34" si="30">J34/SUM(I34:K34)</f>
        <v>0.2</v>
      </c>
      <c r="C34">
        <f t="shared" ref="C34:C38" si="31">K34/SUM(I34:K34)</f>
        <v>0.4</v>
      </c>
      <c r="D34">
        <v>200000</v>
      </c>
      <c r="E34">
        <v>1199.33</v>
      </c>
      <c r="F34">
        <v>-3053.71</v>
      </c>
      <c r="G34">
        <v>48417.9</v>
      </c>
      <c r="H34">
        <v>0.19244</v>
      </c>
      <c r="I34">
        <v>320</v>
      </c>
      <c r="J34">
        <v>160</v>
      </c>
      <c r="K34">
        <v>320</v>
      </c>
      <c r="L34">
        <v>800</v>
      </c>
      <c r="M34">
        <f t="shared" si="24"/>
        <v>44193.279999999999</v>
      </c>
      <c r="N34">
        <f t="shared" si="25"/>
        <v>1.5156524585163751</v>
      </c>
      <c r="O34">
        <f t="shared" ref="O34:O37" si="32">F34+SUM(I34:L34)*1.5*(0.000086173)*E34</f>
        <v>-2805.6703261840003</v>
      </c>
    </row>
    <row r="35" spans="1:15" x14ac:dyDescent="0.2">
      <c r="A35">
        <f t="shared" si="29"/>
        <v>0.1</v>
      </c>
      <c r="B35">
        <f>J35/SUM(I35:K35)</f>
        <v>0.1</v>
      </c>
      <c r="C35">
        <f t="shared" si="31"/>
        <v>0.8</v>
      </c>
      <c r="D35">
        <v>200000</v>
      </c>
      <c r="E35">
        <v>1198.32</v>
      </c>
      <c r="F35">
        <v>-2465.21</v>
      </c>
      <c r="G35">
        <v>49847.9</v>
      </c>
      <c r="H35">
        <v>3.6890299999999998</v>
      </c>
      <c r="I35">
        <v>80</v>
      </c>
      <c r="J35">
        <v>80</v>
      </c>
      <c r="K35">
        <v>640</v>
      </c>
      <c r="L35">
        <v>800</v>
      </c>
      <c r="M35">
        <f t="shared" si="24"/>
        <v>46756.639999999999</v>
      </c>
      <c r="N35">
        <f t="shared" si="25"/>
        <v>1.5575635279640667</v>
      </c>
      <c r="O35">
        <f t="shared" si="32"/>
        <v>-2217.379209536</v>
      </c>
    </row>
    <row r="36" spans="1:15" x14ac:dyDescent="0.2">
      <c r="A36">
        <f t="shared" si="29"/>
        <v>0.2</v>
      </c>
      <c r="B36">
        <f t="shared" ref="B36:B39" si="33">J36/SUM(I36:K36)</f>
        <v>0.2</v>
      </c>
      <c r="C36">
        <f t="shared" si="31"/>
        <v>0.6</v>
      </c>
      <c r="D36">
        <v>200000</v>
      </c>
      <c r="E36">
        <v>1200.76</v>
      </c>
      <c r="F36">
        <v>-2670.35</v>
      </c>
      <c r="G36">
        <v>50588.9</v>
      </c>
      <c r="H36">
        <v>5.1073000000000004</v>
      </c>
      <c r="I36">
        <v>160</v>
      </c>
      <c r="J36">
        <v>160</v>
      </c>
      <c r="K36">
        <v>480</v>
      </c>
      <c r="L36">
        <v>800</v>
      </c>
      <c r="M36">
        <f t="shared" si="24"/>
        <v>46761.279999999999</v>
      </c>
      <c r="N36">
        <f t="shared" si="25"/>
        <v>1.534901448562827</v>
      </c>
      <c r="O36">
        <f t="shared" si="32"/>
        <v>-2422.0145804479998</v>
      </c>
    </row>
    <row r="37" spans="1:15" x14ac:dyDescent="0.2">
      <c r="A37">
        <f t="shared" si="29"/>
        <v>0.3</v>
      </c>
      <c r="B37">
        <f t="shared" si="33"/>
        <v>0.3</v>
      </c>
      <c r="C37">
        <f t="shared" si="31"/>
        <v>0.4</v>
      </c>
      <c r="D37">
        <v>200000</v>
      </c>
      <c r="E37">
        <v>1201.07</v>
      </c>
      <c r="F37">
        <v>-2876.41</v>
      </c>
      <c r="G37">
        <v>51188.800000000003</v>
      </c>
      <c r="H37">
        <v>6.3861400000000001</v>
      </c>
      <c r="I37">
        <v>240</v>
      </c>
      <c r="J37">
        <v>240</v>
      </c>
      <c r="K37">
        <v>320</v>
      </c>
      <c r="L37">
        <v>800</v>
      </c>
      <c r="M37">
        <f t="shared" si="24"/>
        <v>46765.919999999998</v>
      </c>
      <c r="N37">
        <f t="shared" si="25"/>
        <v>1.5170639045416185</v>
      </c>
      <c r="O37">
        <f t="shared" si="32"/>
        <v>-2628.010467736</v>
      </c>
    </row>
    <row r="38" spans="1:15" x14ac:dyDescent="0.2">
      <c r="A38">
        <f t="shared" si="29"/>
        <v>0.4</v>
      </c>
      <c r="B38">
        <f t="shared" si="33"/>
        <v>0.4</v>
      </c>
      <c r="C38">
        <f t="shared" si="31"/>
        <v>0.2</v>
      </c>
      <c r="D38">
        <v>200000</v>
      </c>
      <c r="E38">
        <v>1198.93</v>
      </c>
      <c r="F38">
        <v>-3084.41</v>
      </c>
      <c r="G38">
        <v>51799.3</v>
      </c>
      <c r="H38">
        <v>2.0642200000000002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1.4993327265503589</v>
      </c>
      <c r="O38">
        <f>F38+SUM(I38:L38)*1.5*(0.000086173)*E38</f>
        <v>-2836.4530522639998</v>
      </c>
    </row>
    <row r="39" spans="1:15" x14ac:dyDescent="0.2">
      <c r="A39">
        <f t="shared" ref="A39" si="34">I39/SUM(I39:K39)</f>
        <v>0.33500000000000002</v>
      </c>
      <c r="B39">
        <f t="shared" si="33"/>
        <v>0.33250000000000002</v>
      </c>
      <c r="C39">
        <f t="shared" ref="C39" si="35">K39/SUM(I39:K39)</f>
        <v>0.33250000000000002</v>
      </c>
      <c r="D39">
        <v>200000</v>
      </c>
      <c r="E39">
        <v>1199.51</v>
      </c>
      <c r="F39">
        <v>-2949.02</v>
      </c>
      <c r="G39">
        <v>51346</v>
      </c>
      <c r="H39">
        <v>12.090400000000001</v>
      </c>
      <c r="I39">
        <v>268</v>
      </c>
      <c r="J39">
        <v>266</v>
      </c>
      <c r="K39">
        <v>266</v>
      </c>
      <c r="L39">
        <v>800</v>
      </c>
      <c r="M39">
        <f>I39*I$2+J39*J$2+K39*K$2+L39*L$2</f>
        <v>46735.328000000001</v>
      </c>
      <c r="N39">
        <f>M39*(1.66054E-24)/(G39)/(1E-24)</f>
        <v>1.5114299372321114</v>
      </c>
      <c r="O39">
        <f>F39+SUM(I39:L39)*1.5*(0.000086173)*E39</f>
        <v>-2700.9430994479999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-3397.2248382719999</v>
      </c>
      <c r="E45">
        <v>-3543.4717364080002</v>
      </c>
      <c r="F45" cm="1">
        <f t="array" ref="F45:G45">LINEST(D45:E45,$D$44:$E$44)</f>
        <v>0.48748966045333419</v>
      </c>
      <c r="G45">
        <v>-4128.4593289520008</v>
      </c>
      <c r="H45">
        <f>F45/SUM(I27:K27)*(1.602E-19)*(6.022E+23)</f>
        <v>58.786646273380818</v>
      </c>
    </row>
    <row r="46" spans="1:15" x14ac:dyDescent="0.2">
      <c r="D46">
        <v>-3035.9601724720001</v>
      </c>
      <c r="E46">
        <v>-3185.4749448000002</v>
      </c>
      <c r="F46" cm="1">
        <f t="array" ref="F46:G46">LINEST(D46:E46,$D$44:$E$44)</f>
        <v>0.49838257442666717</v>
      </c>
      <c r="G46">
        <v>-3783.5340341120009</v>
      </c>
      <c r="H46">
        <f t="shared" ref="H46:H57" si="36">F46/SUM(I28:K28)*(1.602E-19)*(6.022E+23)</f>
        <v>60.100228760527727</v>
      </c>
    </row>
    <row r="47" spans="1:15" x14ac:dyDescent="0.2">
      <c r="D47">
        <v>-2669.0644267359999</v>
      </c>
      <c r="E47">
        <v>-2820.8490103280001</v>
      </c>
      <c r="F47" cm="1">
        <f t="array" ref="F47:G47">LINEST(D47:E47,$D$44:$E$44)</f>
        <v>0.50594861197333418</v>
      </c>
      <c r="G47">
        <v>-3427.9873446960014</v>
      </c>
      <c r="H47">
        <f t="shared" si="36"/>
        <v>61.012621389600952</v>
      </c>
    </row>
    <row r="48" spans="1:15" x14ac:dyDescent="0.2">
      <c r="D48">
        <v>-2296.4426993439997</v>
      </c>
      <c r="E48">
        <v>-2449.8890575119999</v>
      </c>
      <c r="F48" cm="1">
        <f t="array" ref="F48:G48">LINEST(D48:E48,$D$44:$E$44)</f>
        <v>0.51148786056000062</v>
      </c>
      <c r="G48">
        <v>-3063.6744901840007</v>
      </c>
      <c r="H48">
        <f t="shared" si="36"/>
        <v>61.680602423253788</v>
      </c>
    </row>
    <row r="49" spans="4:8" x14ac:dyDescent="0.2">
      <c r="D49">
        <v>-2146.6561541279998</v>
      </c>
      <c r="E49">
        <v>-2306.7776001040002</v>
      </c>
      <c r="F49" cm="1">
        <f t="array" ref="F49:G49">LINEST(D49:E49,$D$44:$E$44)</f>
        <v>0.53373815325333451</v>
      </c>
      <c r="G49">
        <v>-2947.2633840080016</v>
      </c>
      <c r="H49">
        <f t="shared" si="36"/>
        <v>64.363777456803888</v>
      </c>
    </row>
    <row r="50" spans="4:8" x14ac:dyDescent="0.2">
      <c r="D50">
        <v>-2318.8744739199997</v>
      </c>
      <c r="E50">
        <v>-2477.1521243520001</v>
      </c>
      <c r="F50" cm="1">
        <f t="array" ref="F50:G50">LINEST(D50:E50,$D$44:$E$44)</f>
        <v>0.52759216810666809</v>
      </c>
      <c r="G50">
        <v>-3110.2627260800018</v>
      </c>
      <c r="H50">
        <f t="shared" si="36"/>
        <v>63.622629727675559</v>
      </c>
    </row>
    <row r="51" spans="4:8" x14ac:dyDescent="0.2">
      <c r="D51">
        <v>-2488.41936252</v>
      </c>
      <c r="E51">
        <v>-2643.5272829359997</v>
      </c>
      <c r="F51" cm="1">
        <f t="array" ref="F51:G51">LINEST(D51:E51,$D$44:$E$44)</f>
        <v>0.51702640138666534</v>
      </c>
      <c r="G51">
        <v>-3263.9589645999981</v>
      </c>
      <c r="H51">
        <f t="shared" si="36"/>
        <v>62.348498107738735</v>
      </c>
    </row>
    <row r="52" spans="4:8" x14ac:dyDescent="0.2">
      <c r="D52">
        <v>-2653.1810427280002</v>
      </c>
      <c r="E52">
        <v>-2805.6703261840003</v>
      </c>
      <c r="F52" cm="1">
        <f t="array" ref="F52:G52">LINEST(D52:E52,$D$44:$E$44)</f>
        <v>0.50829761152000019</v>
      </c>
      <c r="G52">
        <v>-3415.6274600080005</v>
      </c>
      <c r="H52">
        <f t="shared" si="36"/>
        <v>61.295888536883162</v>
      </c>
    </row>
    <row r="53" spans="4:8" x14ac:dyDescent="0.2">
      <c r="D53">
        <v>-2063.4817714319997</v>
      </c>
      <c r="E53">
        <v>-2217.379209536</v>
      </c>
      <c r="F53" cm="1">
        <f t="array" ref="F53:G53">LINEST(D53:E53,$D$44:$E$44)</f>
        <v>0.51299146034666754</v>
      </c>
      <c r="G53">
        <v>-2832.9689619520013</v>
      </c>
      <c r="H53">
        <f t="shared" si="36"/>
        <v>61.861922348507832</v>
      </c>
    </row>
    <row r="54" spans="4:8" x14ac:dyDescent="0.2">
      <c r="D54">
        <v>-2269.7536980320001</v>
      </c>
      <c r="E54">
        <v>-2422.0145804479998</v>
      </c>
      <c r="F54" cm="1">
        <f t="array" ref="F54:G54">LINEST(D54:E54,$D$44:$E$44)</f>
        <v>0.50753627471999907</v>
      </c>
      <c r="G54">
        <v>-3031.0581101119988</v>
      </c>
      <c r="H54">
        <f t="shared" si="36"/>
        <v>61.204078513435789</v>
      </c>
    </row>
    <row r="55" spans="4:8" x14ac:dyDescent="0.2">
      <c r="D55">
        <v>-2475.4158605519997</v>
      </c>
      <c r="E55">
        <v>-2628.010467736</v>
      </c>
      <c r="F55" cm="1">
        <f t="array" ref="F55:G55">LINEST(D55:E55,$D$44:$E$44)</f>
        <v>0.5086486906133344</v>
      </c>
      <c r="G55">
        <v>-3238.3888964720018</v>
      </c>
      <c r="H55">
        <f t="shared" si="36"/>
        <v>61.338225357841829</v>
      </c>
    </row>
    <row r="56" spans="4:8" x14ac:dyDescent="0.2">
      <c r="D56">
        <v>-2680.9142275279996</v>
      </c>
      <c r="E56">
        <v>-2836.4530522639998</v>
      </c>
      <c r="F56" cm="1">
        <f t="array" ref="F56:G56">LINEST(D56:E56,$D$44:$E$44)</f>
        <v>0.51846274912000045</v>
      </c>
      <c r="G56">
        <v>-3458.6083512079999</v>
      </c>
      <c r="H56">
        <f t="shared" si="36"/>
        <v>62.521708070892878</v>
      </c>
    </row>
    <row r="57" spans="4:8" x14ac:dyDescent="0.2">
      <c r="D57">
        <v>-2542.8034516399998</v>
      </c>
      <c r="E57">
        <v>-2700.9430994479999</v>
      </c>
      <c r="F57" cm="1">
        <f t="array" ref="F57:G57">LINEST(D57:E57,$D$44:$E$44)</f>
        <v>0.52713215936000035</v>
      </c>
      <c r="G57">
        <v>-3333.5016906800001</v>
      </c>
      <c r="H57">
        <f t="shared" si="36"/>
        <v>63.567157019910084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H11" sqref="H11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92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/>
      <c r="B9" s="3"/>
      <c r="C9" s="3"/>
      <c r="D9" s="3"/>
      <c r="E9" s="3"/>
      <c r="F9" s="3"/>
    </row>
    <row r="10" spans="1:15" x14ac:dyDescent="0.2">
      <c r="A10" s="3"/>
      <c r="B10" s="3"/>
      <c r="C10" s="3"/>
      <c r="D10" s="3"/>
      <c r="E10" s="3"/>
      <c r="F10" s="3"/>
    </row>
    <row r="11" spans="1:15" x14ac:dyDescent="0.2">
      <c r="A11" s="3"/>
      <c r="B11" s="3"/>
      <c r="C11" s="3"/>
      <c r="D11" s="3"/>
      <c r="E11" s="3"/>
      <c r="F11" s="3"/>
    </row>
    <row r="12" spans="1:15" x14ac:dyDescent="0.2">
      <c r="A12" s="3"/>
      <c r="B12" s="3"/>
      <c r="C12" s="3"/>
      <c r="D12" s="3"/>
      <c r="E12" s="3"/>
      <c r="F12" s="3"/>
    </row>
    <row r="13" spans="1:15" x14ac:dyDescent="0.2">
      <c r="A13" s="3"/>
      <c r="B13" s="3"/>
      <c r="C13" s="3"/>
      <c r="D13" s="3"/>
      <c r="E13" s="3"/>
      <c r="F13" s="3"/>
    </row>
    <row r="14" spans="1:15" x14ac:dyDescent="0.2">
      <c r="A14" s="3"/>
      <c r="B14" s="3"/>
      <c r="C14" s="3"/>
      <c r="D14" s="3"/>
      <c r="E14" s="3"/>
      <c r="F14" s="3"/>
    </row>
    <row r="15" spans="1:15" x14ac:dyDescent="0.2">
      <c r="A15" s="3"/>
      <c r="B15" s="3"/>
      <c r="C15" s="3"/>
      <c r="D15" s="3"/>
      <c r="E15" s="3"/>
      <c r="F15" s="3"/>
    </row>
    <row r="16" spans="1:15" x14ac:dyDescent="0.2">
      <c r="A16" s="3"/>
      <c r="B16" s="3"/>
      <c r="C16" s="3"/>
      <c r="D16" s="3"/>
      <c r="E16" s="3"/>
      <c r="F16" s="3"/>
    </row>
    <row r="17" spans="1:6" x14ac:dyDescent="0.2">
      <c r="A17" s="3"/>
      <c r="B17" s="3"/>
      <c r="C17" s="3"/>
      <c r="D17" s="3"/>
      <c r="E17" s="3"/>
      <c r="F17" s="3"/>
    </row>
    <row r="18" spans="1:6" x14ac:dyDescent="0.2">
      <c r="A18" s="3"/>
      <c r="B18" s="3"/>
      <c r="C18" s="3"/>
      <c r="D18" s="3"/>
      <c r="E18" s="3"/>
      <c r="F18" s="3"/>
    </row>
    <row r="19" spans="1:6" x14ac:dyDescent="0.2">
      <c r="A19" s="3"/>
      <c r="B19" s="3"/>
      <c r="C19" s="3"/>
      <c r="D19" s="3"/>
      <c r="E19" s="3"/>
      <c r="F19" s="3"/>
    </row>
    <row r="20" spans="1:6" x14ac:dyDescent="0.2">
      <c r="A20" s="3"/>
      <c r="B20" s="3"/>
      <c r="C20" s="3"/>
      <c r="D20" s="3"/>
      <c r="E20" s="3"/>
      <c r="F20" s="3"/>
    </row>
    <row r="21" spans="1:6" x14ac:dyDescent="0.2">
      <c r="A21" s="3"/>
      <c r="B21" s="3"/>
      <c r="C21" s="3"/>
      <c r="D21" s="3"/>
      <c r="E21" s="3"/>
      <c r="F21" s="3"/>
    </row>
    <row r="22" spans="1:6" x14ac:dyDescent="0.2">
      <c r="A22" s="3"/>
      <c r="B22" s="3"/>
      <c r="C22" s="3"/>
      <c r="D22" s="3"/>
      <c r="E22" s="3"/>
      <c r="F22" s="3"/>
    </row>
    <row r="23" spans="1:6" x14ac:dyDescent="0.2">
      <c r="A23" s="3"/>
      <c r="B23" s="3"/>
      <c r="C23" s="3"/>
      <c r="D23" s="3"/>
      <c r="E23" s="3"/>
      <c r="F23" s="3"/>
    </row>
    <row r="24" spans="1:6" x14ac:dyDescent="0.2">
      <c r="A24" s="3"/>
      <c r="B24" s="3"/>
      <c r="C24" s="3"/>
      <c r="D24" s="3"/>
      <c r="E24" s="3"/>
      <c r="F24" s="3"/>
    </row>
    <row r="25" spans="1:6" x14ac:dyDescent="0.2">
      <c r="A25" s="3"/>
      <c r="B25" s="3"/>
      <c r="C25" s="3"/>
      <c r="D25" s="3"/>
      <c r="E25" s="3"/>
      <c r="F25" s="3"/>
    </row>
    <row r="26" spans="1:6" x14ac:dyDescent="0.2">
      <c r="A26" s="3"/>
      <c r="B26" s="3"/>
      <c r="C26" s="3"/>
      <c r="D26" s="3"/>
      <c r="E26" s="3"/>
      <c r="F26" s="3"/>
    </row>
    <row r="27" spans="1:6" x14ac:dyDescent="0.2">
      <c r="A27" s="3"/>
      <c r="B27" s="3"/>
      <c r="C27" s="3"/>
      <c r="D27" s="3"/>
      <c r="E27" s="3"/>
      <c r="F27" s="3"/>
    </row>
    <row r="28" spans="1:6" x14ac:dyDescent="0.2">
      <c r="A28" s="3"/>
      <c r="B28" s="3"/>
      <c r="C28" s="3"/>
      <c r="D28" s="3"/>
      <c r="E28" s="3"/>
      <c r="F28" s="3"/>
    </row>
    <row r="29" spans="1:6" x14ac:dyDescent="0.2">
      <c r="A29" s="3"/>
      <c r="B29" s="3"/>
      <c r="C29" s="3"/>
      <c r="D29" s="3"/>
      <c r="E29" s="3"/>
      <c r="F29" s="3"/>
    </row>
    <row r="30" spans="1:6" x14ac:dyDescent="0.2">
      <c r="A30" s="3"/>
      <c r="B30" s="3"/>
      <c r="C30" s="3"/>
      <c r="D30" s="3"/>
      <c r="E30" s="3"/>
      <c r="F30" s="3"/>
    </row>
    <row r="31" spans="1:6" x14ac:dyDescent="0.2">
      <c r="A31" s="3"/>
      <c r="B31" s="3"/>
      <c r="C31" s="3"/>
      <c r="D31" s="3"/>
      <c r="E31" s="3"/>
      <c r="F31" s="3"/>
    </row>
    <row r="32" spans="1:6" x14ac:dyDescent="0.2">
      <c r="A32" s="3"/>
      <c r="B32" s="3"/>
      <c r="C32" s="3"/>
      <c r="D32" s="3"/>
      <c r="E32" s="3"/>
      <c r="F32" s="3"/>
    </row>
    <row r="33" spans="1:6" x14ac:dyDescent="0.2">
      <c r="A33" s="3"/>
      <c r="B33" s="3"/>
      <c r="C33" s="3"/>
      <c r="D33" s="3"/>
      <c r="E33" s="3"/>
      <c r="F33" s="3"/>
    </row>
    <row r="34" spans="1:6" x14ac:dyDescent="0.2">
      <c r="A34" s="3"/>
      <c r="B34" s="3"/>
      <c r="C34" s="3"/>
      <c r="D34" s="3"/>
      <c r="E34" s="3"/>
      <c r="F34" s="3"/>
    </row>
    <row r="35" spans="1:6" x14ac:dyDescent="0.2">
      <c r="A35" s="3"/>
      <c r="B35" s="3"/>
      <c r="C35" s="3"/>
      <c r="D35" s="3"/>
      <c r="E35" s="3"/>
      <c r="F35" s="3"/>
    </row>
    <row r="36" spans="1:6" x14ac:dyDescent="0.2">
      <c r="A36" s="3"/>
      <c r="B36" s="3"/>
      <c r="C36" s="3"/>
      <c r="D36" s="3"/>
      <c r="E36" s="3"/>
      <c r="F36" s="3"/>
    </row>
    <row r="37" spans="1:6" x14ac:dyDescent="0.2">
      <c r="A37" s="3"/>
      <c r="B37" s="3"/>
      <c r="C37" s="3"/>
      <c r="D37" s="3"/>
      <c r="E37" s="3"/>
      <c r="F37" s="3"/>
    </row>
    <row r="38" spans="1:6" x14ac:dyDescent="0.2">
      <c r="A38" s="3"/>
      <c r="B38" s="3"/>
      <c r="C38" s="3"/>
      <c r="D38" s="3"/>
      <c r="E38" s="3"/>
      <c r="F38" s="3"/>
    </row>
    <row r="39" spans="1:6" x14ac:dyDescent="0.2">
      <c r="A39" s="3"/>
      <c r="B39" s="3"/>
      <c r="C39" s="3"/>
      <c r="D39" s="3"/>
      <c r="E39" s="3"/>
      <c r="F39" s="3"/>
    </row>
    <row r="40" spans="1:6" x14ac:dyDescent="0.2">
      <c r="A40" s="3"/>
      <c r="B40" s="3"/>
      <c r="C40" s="3"/>
      <c r="D40" s="3"/>
      <c r="E40" s="3"/>
      <c r="F40" s="3"/>
    </row>
    <row r="41" spans="1:6" x14ac:dyDescent="0.2">
      <c r="A41" s="3"/>
      <c r="B41" s="3"/>
      <c r="C41" s="3"/>
      <c r="D41" s="3"/>
      <c r="E41" s="3"/>
      <c r="F41" s="3"/>
    </row>
    <row r="42" spans="1:6" x14ac:dyDescent="0.2">
      <c r="A42" s="3"/>
      <c r="B42" s="3"/>
      <c r="C42" s="3"/>
      <c r="D42" s="3"/>
      <c r="E42" s="3"/>
      <c r="F42" s="3"/>
    </row>
    <row r="43" spans="1:6" x14ac:dyDescent="0.2">
      <c r="A43" s="3"/>
      <c r="B43" s="3"/>
      <c r="C43" s="3"/>
      <c r="D43" s="3"/>
      <c r="E43" s="3"/>
      <c r="F43" s="3"/>
    </row>
    <row r="44" spans="1:6" x14ac:dyDescent="0.2">
      <c r="A44" s="3"/>
      <c r="B44" s="3"/>
      <c r="C44" s="3"/>
      <c r="D44" s="3"/>
      <c r="E44" s="3"/>
      <c r="F44" s="3"/>
    </row>
    <row r="45" spans="1:6" x14ac:dyDescent="0.2">
      <c r="A45" s="3"/>
      <c r="B45" s="3"/>
      <c r="C45" s="3"/>
      <c r="D45" s="3"/>
      <c r="E45" s="3"/>
      <c r="F45" s="3"/>
    </row>
    <row r="46" spans="1:6" x14ac:dyDescent="0.2">
      <c r="A46" s="3"/>
      <c r="B46" s="3"/>
      <c r="C46" s="3"/>
      <c r="D46" s="3"/>
      <c r="E46" s="3"/>
      <c r="F46" s="3"/>
    </row>
    <row r="47" spans="1:6" x14ac:dyDescent="0.2">
      <c r="A47" s="3"/>
      <c r="B47" s="3"/>
      <c r="C47" s="3"/>
      <c r="D47" s="3"/>
      <c r="E47" s="3"/>
      <c r="F47" s="3"/>
    </row>
    <row r="48" spans="1:6" x14ac:dyDescent="0.2">
      <c r="A48" s="3"/>
      <c r="B48" s="3"/>
      <c r="C48" s="3"/>
      <c r="D48" s="3"/>
      <c r="E48" s="3"/>
      <c r="F48" s="3"/>
    </row>
    <row r="49" spans="1:6" x14ac:dyDescent="0.2">
      <c r="A49" s="3"/>
      <c r="B49" s="3"/>
      <c r="C49" s="3"/>
      <c r="D49" s="3"/>
      <c r="E49" s="3"/>
      <c r="F49" s="3"/>
    </row>
    <row r="50" spans="1:6" x14ac:dyDescent="0.2">
      <c r="A50" s="3"/>
      <c r="B50" s="3"/>
      <c r="C50" s="3"/>
      <c r="D50" s="3"/>
      <c r="E50" s="3"/>
      <c r="F50" s="3"/>
    </row>
    <row r="51" spans="1:6" x14ac:dyDescent="0.2">
      <c r="A51" s="3"/>
      <c r="B51" s="3"/>
      <c r="C51" s="3"/>
      <c r="D51" s="3"/>
      <c r="E51" s="3"/>
      <c r="F51" s="3"/>
    </row>
    <row r="52" spans="1:6" x14ac:dyDescent="0.2">
      <c r="A52" s="3"/>
      <c r="B52" s="3"/>
      <c r="C52" s="3"/>
      <c r="D52" s="3"/>
      <c r="E52" s="3"/>
      <c r="F52" s="3"/>
    </row>
    <row r="53" spans="1:6" x14ac:dyDescent="0.2">
      <c r="A53" s="3"/>
      <c r="B53" s="3"/>
      <c r="C53" s="3"/>
      <c r="D53" s="3"/>
      <c r="E53" s="3"/>
      <c r="F53" s="3"/>
    </row>
    <row r="54" spans="1:6" x14ac:dyDescent="0.2">
      <c r="A54" s="3"/>
      <c r="B54" s="3"/>
      <c r="C54" s="3"/>
      <c r="D54" s="3"/>
      <c r="E54" s="3"/>
      <c r="F54" s="3"/>
    </row>
    <row r="55" spans="1:6" x14ac:dyDescent="0.2">
      <c r="A55" s="3"/>
      <c r="B55" s="3"/>
      <c r="C55" s="3"/>
      <c r="D55" s="3"/>
      <c r="E55" s="3"/>
      <c r="F55" s="3"/>
    </row>
    <row r="56" spans="1:6" x14ac:dyDescent="0.2">
      <c r="A56" s="3"/>
      <c r="B56" s="3"/>
      <c r="C56" s="3"/>
      <c r="D56" s="3"/>
      <c r="E56" s="3"/>
      <c r="F56" s="3"/>
    </row>
    <row r="57" spans="1:6" x14ac:dyDescent="0.2">
      <c r="A57" s="3"/>
      <c r="B57" s="3"/>
      <c r="C57" s="3"/>
      <c r="D57" s="3"/>
      <c r="E57" s="3"/>
      <c r="F57" s="3"/>
    </row>
    <row r="58" spans="1:6" x14ac:dyDescent="0.2">
      <c r="A58" s="3"/>
      <c r="B58" s="3"/>
      <c r="C58" s="3"/>
      <c r="D58" s="3"/>
      <c r="E58" s="3"/>
      <c r="F58" s="3"/>
    </row>
    <row r="59" spans="1:6" x14ac:dyDescent="0.2">
      <c r="A59" s="3"/>
      <c r="B59" s="3"/>
      <c r="C59" s="3"/>
      <c r="D59" s="3"/>
      <c r="E59" s="3"/>
      <c r="F59" s="3"/>
    </row>
    <row r="60" spans="1:6" x14ac:dyDescent="0.2">
      <c r="A60" s="3"/>
      <c r="B60" s="3"/>
      <c r="C60" s="3"/>
      <c r="D60" s="3"/>
      <c r="E60" s="3"/>
      <c r="F60" s="3"/>
    </row>
    <row r="61" spans="1:6" x14ac:dyDescent="0.2">
      <c r="A61" s="3"/>
      <c r="B61" s="3"/>
      <c r="C61" s="3"/>
      <c r="D61" s="3"/>
      <c r="E61" s="3"/>
      <c r="F61" s="3"/>
    </row>
    <row r="62" spans="1:6" x14ac:dyDescent="0.2">
      <c r="A62" s="3"/>
      <c r="B62" s="3"/>
      <c r="C62" s="3"/>
      <c r="D62" s="3"/>
      <c r="E62" s="3"/>
      <c r="F62" s="3"/>
    </row>
    <row r="63" spans="1:6" x14ac:dyDescent="0.2">
      <c r="A63" s="3"/>
      <c r="B63" s="3"/>
      <c r="C63" s="3"/>
      <c r="D63" s="3"/>
      <c r="E63" s="3"/>
      <c r="F63" s="3"/>
    </row>
    <row r="64" spans="1:6" x14ac:dyDescent="0.2">
      <c r="A64" s="3"/>
      <c r="B64" s="3"/>
      <c r="C64" s="3"/>
      <c r="D64" s="3"/>
      <c r="E64" s="3"/>
      <c r="F64" s="3"/>
    </row>
    <row r="65" spans="1:6" x14ac:dyDescent="0.2">
      <c r="A65" s="3"/>
      <c r="B65" s="3"/>
      <c r="C65" s="3"/>
      <c r="D65" s="3"/>
      <c r="E65" s="3"/>
      <c r="F65" s="3"/>
    </row>
    <row r="66" spans="1:6" x14ac:dyDescent="0.2">
      <c r="A66" s="3"/>
      <c r="B66" s="3"/>
      <c r="C66" s="3"/>
      <c r="D66" s="3"/>
      <c r="E66" s="3"/>
      <c r="F66" s="3"/>
    </row>
    <row r="67" spans="1:6" x14ac:dyDescent="0.2">
      <c r="A67" s="3"/>
      <c r="B67" s="3"/>
      <c r="C67" s="3"/>
      <c r="D67" s="3"/>
      <c r="E67" s="3"/>
      <c r="F67" s="3"/>
    </row>
    <row r="68" spans="1:6" x14ac:dyDescent="0.2">
      <c r="A68" s="3"/>
      <c r="B68" s="3"/>
      <c r="C68" s="3"/>
      <c r="D68" s="3"/>
      <c r="E68" s="3"/>
      <c r="F68" s="3"/>
    </row>
    <row r="69" spans="1:6" x14ac:dyDescent="0.2">
      <c r="A69" s="3"/>
      <c r="B69" s="3"/>
      <c r="C69" s="3"/>
      <c r="D69" s="3"/>
      <c r="E69" s="3"/>
      <c r="F69" s="3"/>
    </row>
    <row r="70" spans="1:6" x14ac:dyDescent="0.2">
      <c r="A70" s="3"/>
      <c r="B70" s="3"/>
      <c r="C70" s="3"/>
      <c r="D70" s="3"/>
      <c r="E70" s="3"/>
      <c r="F70" s="3"/>
    </row>
    <row r="71" spans="1:6" x14ac:dyDescent="0.2">
      <c r="A71" s="3"/>
      <c r="B71" s="3"/>
      <c r="C71" s="3"/>
      <c r="D71" s="3"/>
      <c r="E71" s="3"/>
      <c r="F71" s="3"/>
    </row>
    <row r="72" spans="1:6" x14ac:dyDescent="0.2">
      <c r="A72" s="3"/>
      <c r="B72" s="3"/>
      <c r="C72" s="3"/>
      <c r="D72" s="3"/>
      <c r="E72" s="3"/>
      <c r="F72" s="3"/>
    </row>
    <row r="73" spans="1:6" x14ac:dyDescent="0.2">
      <c r="A73" s="3"/>
      <c r="B73" s="3"/>
      <c r="C73" s="3"/>
      <c r="D73" s="3"/>
      <c r="E73" s="3"/>
      <c r="F73" s="3"/>
    </row>
    <row r="74" spans="1:6" x14ac:dyDescent="0.2">
      <c r="A74" s="3"/>
      <c r="B74" s="3"/>
      <c r="C74" s="3"/>
      <c r="D74" s="3"/>
      <c r="E74" s="3"/>
      <c r="F74" s="3"/>
    </row>
    <row r="75" spans="1:6" x14ac:dyDescent="0.2">
      <c r="A75" s="3"/>
      <c r="B75" s="3"/>
      <c r="C75" s="3"/>
      <c r="D75" s="3"/>
      <c r="E75" s="3"/>
      <c r="F75" s="3"/>
    </row>
    <row r="76" spans="1:6" x14ac:dyDescent="0.2">
      <c r="A76" s="3"/>
      <c r="B76" s="3"/>
      <c r="C76" s="3"/>
      <c r="D76" s="3"/>
      <c r="E76" s="3"/>
      <c r="F76" s="3"/>
    </row>
    <row r="77" spans="1:6" x14ac:dyDescent="0.2">
      <c r="A77" s="3"/>
      <c r="B77" s="3"/>
      <c r="C77" s="3"/>
      <c r="D77" s="3"/>
      <c r="E77" s="3"/>
      <c r="F77" s="3"/>
    </row>
    <row r="78" spans="1:6" x14ac:dyDescent="0.2">
      <c r="A78" s="3"/>
      <c r="B78" s="3"/>
      <c r="C78" s="3"/>
      <c r="D78" s="3"/>
      <c r="E78" s="3"/>
      <c r="F78" s="3"/>
    </row>
    <row r="79" spans="1:6" x14ac:dyDescent="0.2">
      <c r="A79" s="3"/>
      <c r="B79" s="3"/>
      <c r="C79" s="3"/>
      <c r="D79" s="3"/>
      <c r="E79" s="3"/>
      <c r="F79" s="3"/>
    </row>
    <row r="80" spans="1:6" x14ac:dyDescent="0.2">
      <c r="A80" s="3"/>
      <c r="B80" s="3"/>
      <c r="C80" s="3"/>
      <c r="D80" s="3"/>
      <c r="E80" s="3"/>
      <c r="F80" s="3"/>
    </row>
    <row r="81" spans="1:6" x14ac:dyDescent="0.2">
      <c r="A81" s="3"/>
      <c r="B81" s="3"/>
      <c r="C81" s="3"/>
      <c r="D81" s="3"/>
      <c r="E81" s="3"/>
      <c r="F81" s="3"/>
    </row>
    <row r="82" spans="1:6" x14ac:dyDescent="0.2">
      <c r="A82" s="3"/>
      <c r="B82" s="3"/>
      <c r="C82" s="3"/>
      <c r="D82" s="3"/>
      <c r="E82" s="3"/>
      <c r="F82" s="3"/>
    </row>
    <row r="83" spans="1:6" x14ac:dyDescent="0.2">
      <c r="A83" s="3"/>
      <c r="B83" s="3"/>
      <c r="C83" s="3"/>
      <c r="D83" s="3"/>
      <c r="E83" s="3"/>
      <c r="F83" s="3"/>
    </row>
    <row r="84" spans="1:6" x14ac:dyDescent="0.2">
      <c r="A84" s="3"/>
      <c r="B84" s="3"/>
      <c r="C84" s="3"/>
      <c r="D84" s="3"/>
      <c r="E84" s="3"/>
      <c r="F84" s="3"/>
    </row>
    <row r="85" spans="1:6" x14ac:dyDescent="0.2">
      <c r="A85" s="3"/>
      <c r="B85" s="3"/>
      <c r="C85" s="3"/>
      <c r="D85" s="3"/>
      <c r="E85" s="3"/>
      <c r="F85" s="3"/>
    </row>
    <row r="86" spans="1:6" x14ac:dyDescent="0.2">
      <c r="A86" s="3"/>
      <c r="B86" s="3"/>
      <c r="C86" s="3"/>
      <c r="D86" s="3"/>
      <c r="E86" s="3"/>
      <c r="F86" s="3"/>
    </row>
    <row r="87" spans="1:6" x14ac:dyDescent="0.2">
      <c r="A87" s="3"/>
      <c r="B87" s="3"/>
      <c r="C87" s="3"/>
      <c r="D87" s="3"/>
      <c r="E87" s="3"/>
      <c r="F87" s="3"/>
    </row>
    <row r="88" spans="1:6" x14ac:dyDescent="0.2">
      <c r="A88" s="3"/>
      <c r="B88" s="3"/>
      <c r="C88" s="3"/>
      <c r="D88" s="3"/>
      <c r="E88" s="3"/>
      <c r="F88" s="3"/>
    </row>
    <row r="89" spans="1:6" x14ac:dyDescent="0.2">
      <c r="A89" s="3"/>
      <c r="B89" s="3"/>
      <c r="C89" s="3"/>
      <c r="D89" s="3"/>
      <c r="E89" s="3"/>
      <c r="F89" s="3"/>
    </row>
    <row r="90" spans="1:6" x14ac:dyDescent="0.2">
      <c r="A90" s="3"/>
      <c r="B90" s="3"/>
      <c r="C90" s="3"/>
      <c r="D90" s="3"/>
      <c r="E90" s="3"/>
      <c r="F90" s="3"/>
    </row>
    <row r="91" spans="1:6" x14ac:dyDescent="0.2">
      <c r="A91" s="3"/>
      <c r="B91" s="3"/>
      <c r="C91" s="3"/>
      <c r="D91" s="3"/>
      <c r="E91" s="3"/>
      <c r="F91" s="3"/>
    </row>
    <row r="92" spans="1:6" x14ac:dyDescent="0.2">
      <c r="A92" s="3"/>
      <c r="B92" s="3"/>
      <c r="C92" s="3"/>
      <c r="D92" s="3"/>
      <c r="E92" s="3"/>
      <c r="F92" s="3"/>
    </row>
    <row r="93" spans="1:6" x14ac:dyDescent="0.2">
      <c r="A93" s="3"/>
      <c r="B93" s="3"/>
      <c r="C93" s="3"/>
      <c r="D93" s="3"/>
      <c r="E93" s="3"/>
      <c r="F93" s="3"/>
    </row>
    <row r="94" spans="1:6" x14ac:dyDescent="0.2">
      <c r="A94" s="3"/>
      <c r="B94" s="3"/>
      <c r="C94" s="3"/>
      <c r="D94" s="3"/>
      <c r="E94" s="3"/>
      <c r="F94" s="3"/>
    </row>
    <row r="95" spans="1:6" x14ac:dyDescent="0.2">
      <c r="A95" s="3"/>
      <c r="B95" s="3"/>
      <c r="C95" s="3"/>
      <c r="D95" s="3"/>
      <c r="E95" s="3"/>
      <c r="F95" s="3"/>
    </row>
    <row r="96" spans="1:6" x14ac:dyDescent="0.2">
      <c r="A96" s="3"/>
      <c r="B96" s="3"/>
      <c r="C96" s="3"/>
      <c r="D96" s="3"/>
      <c r="E96" s="3"/>
      <c r="F96" s="3"/>
    </row>
    <row r="97" spans="1:6" x14ac:dyDescent="0.2">
      <c r="A97" s="3"/>
      <c r="B97" s="3"/>
      <c r="C97" s="3"/>
      <c r="D97" s="3"/>
      <c r="E97" s="3"/>
      <c r="F97" s="3"/>
    </row>
    <row r="98" spans="1:6" x14ac:dyDescent="0.2">
      <c r="A98" s="3"/>
      <c r="B98" s="3"/>
      <c r="C98" s="3"/>
      <c r="D98" s="3"/>
      <c r="E98" s="3"/>
      <c r="F98" s="3"/>
    </row>
    <row r="99" spans="1:6" x14ac:dyDescent="0.2">
      <c r="A99" s="3"/>
      <c r="B99" s="3"/>
      <c r="C99" s="3"/>
      <c r="D99" s="3"/>
      <c r="E99" s="3"/>
      <c r="F99" s="3"/>
    </row>
    <row r="100" spans="1:6" x14ac:dyDescent="0.2">
      <c r="A100" s="3"/>
      <c r="B100" s="3"/>
      <c r="C100" s="3"/>
      <c r="D100" s="3"/>
      <c r="E100" s="3"/>
      <c r="F100" s="3"/>
    </row>
    <row r="101" spans="1:6" x14ac:dyDescent="0.2">
      <c r="A101" s="3"/>
      <c r="B101" s="3"/>
      <c r="C101" s="3"/>
      <c r="D101" s="3"/>
      <c r="E101" s="3"/>
      <c r="F101" s="3"/>
    </row>
    <row r="102" spans="1:6" x14ac:dyDescent="0.2">
      <c r="A102" s="3"/>
      <c r="B102" s="3"/>
      <c r="C102" s="3"/>
      <c r="D102" s="3"/>
      <c r="E102" s="3"/>
      <c r="F102" s="3"/>
    </row>
    <row r="103" spans="1:6" x14ac:dyDescent="0.2">
      <c r="A103" s="3"/>
      <c r="B103" s="3"/>
      <c r="C103" s="3"/>
      <c r="D103" s="3"/>
      <c r="E103" s="3"/>
      <c r="F103" s="3"/>
    </row>
    <row r="104" spans="1:6" x14ac:dyDescent="0.2">
      <c r="A104" s="3"/>
      <c r="B104" s="3"/>
      <c r="C104" s="3"/>
      <c r="D104" s="3"/>
      <c r="E104" s="3"/>
      <c r="F104" s="3"/>
    </row>
    <row r="105" spans="1:6" x14ac:dyDescent="0.2">
      <c r="A105" s="3"/>
      <c r="B105" s="3"/>
      <c r="C105" s="3"/>
      <c r="D105" s="3"/>
      <c r="E105" s="3"/>
      <c r="F105" s="3"/>
    </row>
    <row r="106" spans="1:6" x14ac:dyDescent="0.2">
      <c r="A106" s="3"/>
      <c r="B106" s="3"/>
      <c r="C106" s="3"/>
      <c r="D106" s="3"/>
      <c r="E106" s="3"/>
      <c r="F106" s="3"/>
    </row>
    <row r="107" spans="1:6" x14ac:dyDescent="0.2">
      <c r="A107" s="3"/>
      <c r="B107" s="3"/>
      <c r="C107" s="3"/>
      <c r="D107" s="3"/>
      <c r="E107" s="3"/>
      <c r="F107" s="3"/>
    </row>
    <row r="108" spans="1:6" x14ac:dyDescent="0.2">
      <c r="A108" s="3"/>
      <c r="B108" s="3"/>
      <c r="C108" s="3"/>
      <c r="D108" s="3"/>
      <c r="E108" s="3"/>
      <c r="F108" s="3"/>
    </row>
    <row r="109" spans="1:6" x14ac:dyDescent="0.2">
      <c r="A109" s="3"/>
      <c r="B109" s="3"/>
      <c r="C109" s="3"/>
      <c r="D109" s="3"/>
      <c r="E109" s="3"/>
      <c r="F109" s="3"/>
    </row>
    <row r="110" spans="1:6" x14ac:dyDescent="0.2">
      <c r="A110" s="3"/>
      <c r="B110" s="3"/>
      <c r="C110" s="3"/>
      <c r="D110" s="3"/>
      <c r="E110" s="3"/>
      <c r="F110" s="3"/>
    </row>
    <row r="111" spans="1:6" x14ac:dyDescent="0.2">
      <c r="A111" s="3"/>
      <c r="B111" s="3"/>
      <c r="C111" s="3"/>
      <c r="D111" s="3"/>
      <c r="E111" s="3"/>
      <c r="F111" s="3"/>
    </row>
    <row r="112" spans="1:6" x14ac:dyDescent="0.2">
      <c r="A112" s="3"/>
      <c r="B112" s="3"/>
      <c r="C112" s="3"/>
      <c r="D112" s="3"/>
      <c r="E112" s="3"/>
      <c r="F112" s="3"/>
    </row>
    <row r="113" spans="1:6" x14ac:dyDescent="0.2">
      <c r="A113" s="3"/>
      <c r="B113" s="3"/>
      <c r="C113" s="3"/>
      <c r="D113" s="3"/>
      <c r="E113" s="3"/>
      <c r="F113" s="3"/>
    </row>
    <row r="114" spans="1:6" x14ac:dyDescent="0.2">
      <c r="A114" s="3"/>
      <c r="B114" s="3"/>
      <c r="C114" s="3"/>
      <c r="D114" s="3"/>
      <c r="E114" s="3"/>
      <c r="F114" s="3"/>
    </row>
    <row r="115" spans="1:6" x14ac:dyDescent="0.2">
      <c r="A115" s="3"/>
      <c r="B115" s="3"/>
      <c r="C115" s="3"/>
      <c r="D115" s="3"/>
      <c r="E115" s="3"/>
      <c r="F115" s="3"/>
    </row>
    <row r="116" spans="1:6" x14ac:dyDescent="0.2">
      <c r="A116" s="3"/>
      <c r="B116" s="3"/>
      <c r="C116" s="3"/>
      <c r="D116" s="3"/>
      <c r="E116" s="3"/>
      <c r="F116" s="3"/>
    </row>
    <row r="117" spans="1:6" x14ac:dyDescent="0.2">
      <c r="A117" s="3"/>
      <c r="B117" s="3"/>
      <c r="C117" s="3"/>
      <c r="D117" s="3"/>
      <c r="E117" s="3"/>
      <c r="F117" s="3"/>
    </row>
    <row r="118" spans="1:6" x14ac:dyDescent="0.2">
      <c r="A118" s="3"/>
      <c r="B118" s="3"/>
      <c r="C118" s="3"/>
      <c r="D118" s="3"/>
      <c r="E118" s="3"/>
      <c r="F118" s="3"/>
    </row>
    <row r="119" spans="1:6" x14ac:dyDescent="0.2">
      <c r="A119" s="3"/>
      <c r="B119" s="3"/>
      <c r="C119" s="3"/>
      <c r="D119" s="3"/>
      <c r="E119" s="3"/>
      <c r="F119" s="3"/>
    </row>
    <row r="120" spans="1:6" x14ac:dyDescent="0.2">
      <c r="A120" s="3"/>
      <c r="B120" s="3"/>
      <c r="C120" s="3"/>
      <c r="D120" s="3"/>
      <c r="E120" s="3"/>
      <c r="F120" s="3"/>
    </row>
    <row r="121" spans="1:6" x14ac:dyDescent="0.2">
      <c r="A121" s="3"/>
      <c r="B121" s="3"/>
      <c r="C121" s="3"/>
      <c r="D121" s="3"/>
      <c r="E121" s="3"/>
      <c r="F121" s="3"/>
    </row>
    <row r="122" spans="1:6" x14ac:dyDescent="0.2">
      <c r="A122" s="3"/>
      <c r="B122" s="3"/>
      <c r="C122" s="3"/>
      <c r="D122" s="3"/>
      <c r="E122" s="3"/>
      <c r="F122" s="3"/>
    </row>
    <row r="123" spans="1:6" x14ac:dyDescent="0.2">
      <c r="A123" s="3"/>
      <c r="B123" s="3"/>
      <c r="C123" s="3"/>
      <c r="D123" s="3"/>
      <c r="E123" s="3"/>
      <c r="F123" s="3"/>
    </row>
    <row r="124" spans="1:6" x14ac:dyDescent="0.2">
      <c r="A124" s="3"/>
      <c r="B124" s="3"/>
      <c r="C124" s="3"/>
      <c r="D124" s="3"/>
      <c r="E124" s="3"/>
      <c r="F124" s="3"/>
    </row>
    <row r="125" spans="1:6" x14ac:dyDescent="0.2">
      <c r="A125" s="3"/>
      <c r="B125" s="3"/>
      <c r="C125" s="3"/>
      <c r="D125" s="3"/>
      <c r="E125" s="3"/>
      <c r="F125" s="3"/>
    </row>
    <row r="126" spans="1:6" x14ac:dyDescent="0.2">
      <c r="A126" s="3"/>
      <c r="B126" s="3"/>
      <c r="C126" s="3"/>
      <c r="D126" s="3"/>
      <c r="E126" s="3"/>
      <c r="F126" s="3"/>
    </row>
    <row r="127" spans="1:6" x14ac:dyDescent="0.2">
      <c r="A127" s="3"/>
      <c r="B127" s="3"/>
      <c r="C127" s="3"/>
      <c r="D127" s="3"/>
      <c r="E127" s="3"/>
      <c r="F127" s="3"/>
    </row>
    <row r="128" spans="1:6" x14ac:dyDescent="0.2">
      <c r="A128" s="3"/>
      <c r="B128" s="3"/>
      <c r="C128" s="3"/>
      <c r="D128" s="3"/>
      <c r="E128" s="3"/>
      <c r="F128" s="3"/>
    </row>
    <row r="129" spans="1:6" x14ac:dyDescent="0.2">
      <c r="A129" s="3"/>
      <c r="B129" s="3"/>
      <c r="C129" s="3"/>
      <c r="D129" s="3"/>
      <c r="E129" s="3"/>
      <c r="F129" s="3"/>
    </row>
    <row r="130" spans="1:6" x14ac:dyDescent="0.2">
      <c r="A130" s="3"/>
      <c r="B130" s="3"/>
      <c r="C130" s="3"/>
      <c r="D130" s="3"/>
      <c r="E130" s="3"/>
      <c r="F130" s="3"/>
    </row>
    <row r="131" spans="1:6" x14ac:dyDescent="0.2">
      <c r="A131" s="3"/>
      <c r="B131" s="3"/>
      <c r="C131" s="3"/>
      <c r="D131" s="3"/>
      <c r="E131" s="3"/>
      <c r="F131" s="3"/>
    </row>
    <row r="132" spans="1:6" x14ac:dyDescent="0.2">
      <c r="A132" s="3"/>
      <c r="B132" s="3"/>
      <c r="C132" s="3"/>
      <c r="D132" s="3"/>
      <c r="E132" s="3"/>
      <c r="F132" s="3"/>
    </row>
    <row r="133" spans="1:6" x14ac:dyDescent="0.2">
      <c r="A133" s="3"/>
      <c r="B133" s="3"/>
      <c r="C133" s="3"/>
      <c r="D133" s="3"/>
      <c r="E133" s="3"/>
      <c r="F133" s="3"/>
    </row>
    <row r="134" spans="1:6" x14ac:dyDescent="0.2">
      <c r="A134" s="3"/>
      <c r="B134" s="3"/>
      <c r="C134" s="3"/>
      <c r="D134" s="3"/>
      <c r="E134" s="3"/>
      <c r="F134" s="3"/>
    </row>
    <row r="135" spans="1:6" x14ac:dyDescent="0.2">
      <c r="A135" s="3"/>
      <c r="B135" s="3"/>
      <c r="C135" s="3"/>
      <c r="D135" s="3"/>
      <c r="E135" s="3"/>
      <c r="F135" s="3"/>
    </row>
    <row r="136" spans="1:6" x14ac:dyDescent="0.2">
      <c r="A136" s="3"/>
      <c r="B136" s="3"/>
      <c r="C136" s="3"/>
      <c r="D136" s="3"/>
      <c r="E136" s="3"/>
      <c r="F136" s="3"/>
    </row>
    <row r="137" spans="1:6" x14ac:dyDescent="0.2">
      <c r="A137" s="3"/>
      <c r="B137" s="3"/>
      <c r="C137" s="3"/>
      <c r="D137" s="3"/>
      <c r="E137" s="3"/>
      <c r="F137" s="3"/>
    </row>
    <row r="138" spans="1:6" x14ac:dyDescent="0.2">
      <c r="A138" s="3"/>
      <c r="B138" s="3"/>
      <c r="C138" s="3"/>
      <c r="D138" s="3"/>
      <c r="E138" s="3"/>
      <c r="F138" s="3"/>
    </row>
    <row r="139" spans="1:6" x14ac:dyDescent="0.2">
      <c r="A139" s="3"/>
      <c r="B139" s="3"/>
      <c r="C139" s="3"/>
      <c r="D139" s="3"/>
      <c r="E139" s="3"/>
      <c r="F139" s="3"/>
    </row>
    <row r="140" spans="1:6" x14ac:dyDescent="0.2">
      <c r="A140" s="3"/>
      <c r="B140" s="3"/>
      <c r="C140" s="3"/>
      <c r="D140" s="3"/>
      <c r="E140" s="3"/>
      <c r="F140" s="3"/>
    </row>
    <row r="141" spans="1:6" x14ac:dyDescent="0.2">
      <c r="A141" s="3"/>
      <c r="B141" s="3"/>
      <c r="C141" s="3"/>
      <c r="D141" s="3"/>
      <c r="E141" s="3"/>
      <c r="F141" s="3"/>
    </row>
    <row r="142" spans="1:6" x14ac:dyDescent="0.2">
      <c r="A142" s="3"/>
      <c r="B142" s="3"/>
      <c r="C142" s="3"/>
      <c r="D142" s="3"/>
      <c r="E142" s="3"/>
      <c r="F142" s="3"/>
    </row>
    <row r="143" spans="1:6" x14ac:dyDescent="0.2">
      <c r="A143" s="3"/>
      <c r="B143" s="3"/>
      <c r="C143" s="3"/>
      <c r="D143" s="3"/>
      <c r="E143" s="3"/>
      <c r="F143" s="3"/>
    </row>
    <row r="144" spans="1:6" x14ac:dyDescent="0.2">
      <c r="A144" s="3"/>
      <c r="B144" s="3"/>
      <c r="C144" s="3"/>
      <c r="D144" s="3"/>
      <c r="E144" s="3"/>
      <c r="F144" s="3"/>
    </row>
    <row r="145" spans="1:6" x14ac:dyDescent="0.2">
      <c r="A145" s="3"/>
      <c r="B145" s="3"/>
      <c r="C145" s="3"/>
      <c r="D145" s="3"/>
      <c r="E145" s="3"/>
      <c r="F145" s="3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T81"/>
  <sheetViews>
    <sheetView topLeftCell="A43" workbookViewId="0">
      <selection activeCell="L63" sqref="L63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80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19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19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19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19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19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19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19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19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19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19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19" x14ac:dyDescent="0.2">
      <c r="I59" s="3"/>
      <c r="J59" s="3"/>
      <c r="K59" s="3"/>
      <c r="Q59" s="3"/>
      <c r="R59" s="3"/>
      <c r="S59" s="3"/>
    </row>
    <row r="60" spans="1:19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19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19" x14ac:dyDescent="0.2">
      <c r="I62" s="3"/>
      <c r="J62" s="3"/>
      <c r="K62" s="7">
        <f>AVERAGE(K54:K58)</f>
        <v>1.3664279708111686</v>
      </c>
      <c r="Q62" s="3"/>
      <c r="R62" s="3"/>
      <c r="S62" s="7">
        <f>AVERAGE(S54:S58)</f>
        <v>0.67233753288214759</v>
      </c>
    </row>
    <row r="64" spans="1:19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7:19" x14ac:dyDescent="0.2">
      <c r="Q81" s="3"/>
      <c r="R81" s="3"/>
      <c r="S81" s="7">
        <f>AVERAGE(S73:S77)</f>
        <v>0.79944194698329507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tabSelected="1" topLeftCell="F1" workbookViewId="0">
      <selection activeCell="Q13" sqref="Q13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89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82</v>
      </c>
      <c r="H28" s="13">
        <f>AVERAGE(H7:H26)</f>
        <v>1197.7815000000001</v>
      </c>
      <c r="W28" t="s">
        <v>82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83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83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84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84</v>
      </c>
      <c r="X30" s="13">
        <f>MIN(X7:X26)</f>
        <v>1070.3</v>
      </c>
    </row>
    <row r="31" spans="5:34" x14ac:dyDescent="0.2">
      <c r="G31" t="s">
        <v>87</v>
      </c>
      <c r="H31" s="13">
        <f>H29-H30</f>
        <v>246.04999999999995</v>
      </c>
      <c r="W31" t="s">
        <v>87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90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91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81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88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88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86</v>
      </c>
    </row>
    <row r="48" spans="3:25" x14ac:dyDescent="0.2">
      <c r="C48">
        <v>660000</v>
      </c>
      <c r="D48">
        <v>20</v>
      </c>
      <c r="E48">
        <v>9600</v>
      </c>
      <c r="O48" s="10" t="s">
        <v>85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88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82</v>
      </c>
      <c r="G70" s="4">
        <f>AVERAGE(G49:G68)</f>
        <v>1192.3065000000001</v>
      </c>
    </row>
    <row r="71" spans="4:12" x14ac:dyDescent="0.2">
      <c r="F71" t="s">
        <v>83</v>
      </c>
      <c r="G71" s="4">
        <f>MAX(G49:G68)</f>
        <v>1370.62</v>
      </c>
    </row>
    <row r="72" spans="4:12" x14ac:dyDescent="0.2">
      <c r="F72" t="s">
        <v>84</v>
      </c>
      <c r="G72" s="4">
        <f>MIN(G49:G68)</f>
        <v>1067.7</v>
      </c>
    </row>
    <row r="73" spans="4:12" x14ac:dyDescent="0.2">
      <c r="F73" t="s">
        <v>87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B1"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LiKNaCl MTP 18C</vt:lpstr>
      <vt:lpstr>LiCl-KCl</vt:lpstr>
      <vt:lpstr>LiCl-NaCl</vt:lpstr>
      <vt:lpstr>KCl-NaCl</vt:lpstr>
      <vt:lpstr>LiKNaCl ternaries</vt:lpstr>
      <vt:lpstr>rdfs</vt:lpstr>
      <vt:lpstr>viscosity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2026-01-27T21:37:28Z</dcterms:modified>
</cp:coreProperties>
</file>