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07D2696E-53B2-AB4B-9FD0-CF7E01A25354}" xr6:coauthVersionLast="47" xr6:coauthVersionMax="47" xr10:uidLastSave="{00000000-0000-0000-0000-000000000000}"/>
  <bookViews>
    <workbookView xWindow="2600" yWindow="4360" windowWidth="27640" windowHeight="16020" activeTab="2" xr2:uid="{263A2D24-7DC2-114A-B34B-DF7FAD104BF4}"/>
  </bookViews>
  <sheets>
    <sheet name="LiKNaCl MTP 14B" sheetId="1" r:id="rId1"/>
    <sheet name="LiCl-KCl" sheetId="3" r:id="rId2"/>
    <sheet name="dimer Evs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1" i="2" l="1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N46" i="3"/>
  <c r="M46" i="3"/>
  <c r="L46" i="3"/>
  <c r="B43" i="3"/>
  <c r="B44" i="3"/>
  <c r="B45" i="3"/>
  <c r="B46" i="3"/>
  <c r="B42" i="3"/>
  <c r="B36" i="3"/>
  <c r="L37" i="3"/>
  <c r="M37" i="3" s="1"/>
  <c r="B40" i="3"/>
  <c r="F51" i="3"/>
  <c r="F52" i="3" s="1"/>
  <c r="F63" i="3"/>
  <c r="B38" i="3" l="1"/>
  <c r="B39" i="3"/>
  <c r="N37" i="3"/>
  <c r="L38" i="3"/>
  <c r="M38" i="3"/>
  <c r="N38" i="3"/>
  <c r="L39" i="3"/>
  <c r="N39" i="3"/>
  <c r="L40" i="3"/>
  <c r="M40" i="3" s="1"/>
  <c r="N40" i="3"/>
  <c r="L41" i="3"/>
  <c r="M41" i="3" s="1"/>
  <c r="N41" i="3"/>
  <c r="L42" i="3"/>
  <c r="M42" i="3" s="1"/>
  <c r="N42" i="3"/>
  <c r="L43" i="3"/>
  <c r="M43" i="3" s="1"/>
  <c r="N43" i="3"/>
  <c r="L44" i="3"/>
  <c r="M44" i="3"/>
  <c r="N44" i="3"/>
  <c r="L45" i="3"/>
  <c r="M45" i="3" s="1"/>
  <c r="N45" i="3"/>
  <c r="N36" i="3"/>
  <c r="L36" i="3"/>
  <c r="M36" i="3" s="1"/>
  <c r="L16" i="3"/>
  <c r="M16" i="3"/>
  <c r="N16" i="3"/>
  <c r="L17" i="3"/>
  <c r="M17" i="3"/>
  <c r="N17" i="3"/>
  <c r="L18" i="3"/>
  <c r="M18" i="3"/>
  <c r="N18" i="3"/>
  <c r="L19" i="3"/>
  <c r="M19" i="3"/>
  <c r="N19" i="3"/>
  <c r="L20" i="3"/>
  <c r="M20" i="3"/>
  <c r="N20" i="3"/>
  <c r="L21" i="3"/>
  <c r="M21" i="3" s="1"/>
  <c r="N21" i="3"/>
  <c r="L22" i="3"/>
  <c r="M22" i="3"/>
  <c r="N22" i="3"/>
  <c r="L23" i="3"/>
  <c r="M23" i="3"/>
  <c r="N23" i="3"/>
  <c r="L24" i="3"/>
  <c r="M24" i="3"/>
  <c r="N24" i="3"/>
  <c r="L25" i="3"/>
  <c r="M25" i="3"/>
  <c r="N25" i="3"/>
  <c r="L26" i="3"/>
  <c r="M26" i="3"/>
  <c r="N26" i="3"/>
  <c r="L27" i="3"/>
  <c r="M27" i="3"/>
  <c r="N27" i="3"/>
  <c r="L28" i="3"/>
  <c r="M28" i="3"/>
  <c r="N28" i="3"/>
  <c r="L29" i="3"/>
  <c r="M29" i="3"/>
  <c r="N29" i="3"/>
  <c r="L30" i="3"/>
  <c r="M30" i="3"/>
  <c r="N30" i="3"/>
  <c r="L31" i="3"/>
  <c r="M31" i="3"/>
  <c r="N31" i="3"/>
  <c r="L32" i="3"/>
  <c r="M32" i="3"/>
  <c r="N32" i="3"/>
  <c r="L33" i="3"/>
  <c r="M33" i="3"/>
  <c r="N33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N11" i="3"/>
  <c r="L12" i="3"/>
  <c r="M12" i="3" s="1"/>
  <c r="N12" i="3"/>
  <c r="L13" i="3"/>
  <c r="M13" i="3" s="1"/>
  <c r="N13" i="3"/>
  <c r="L14" i="3"/>
  <c r="M14" i="3" s="1"/>
  <c r="N14" i="3"/>
  <c r="L15" i="3"/>
  <c r="M15" i="3" s="1"/>
  <c r="N15" i="3"/>
  <c r="B12" i="3"/>
  <c r="B13" i="3"/>
  <c r="B14" i="3"/>
  <c r="B15" i="3"/>
  <c r="M39" i="3" l="1"/>
  <c r="F55" i="3"/>
  <c r="F56" i="3" s="1"/>
  <c r="F58" i="3" s="1"/>
  <c r="F59" i="3" s="1"/>
  <c r="F60" i="3" s="1"/>
  <c r="O34" i="1"/>
  <c r="O12" i="1"/>
  <c r="B8" i="3"/>
  <c r="B9" i="3"/>
  <c r="B10" i="3"/>
  <c r="B11" i="3"/>
  <c r="B7" i="3"/>
  <c r="L11" i="3"/>
  <c r="M11" i="3" s="1"/>
  <c r="L9" i="3"/>
  <c r="M9" i="3" s="1"/>
  <c r="N9" i="3"/>
  <c r="L10" i="3"/>
  <c r="M10" i="3" s="1"/>
  <c r="N10" i="3"/>
  <c r="L8" i="3"/>
  <c r="M8" i="3" s="1"/>
  <c r="N8" i="3"/>
  <c r="N7" i="3"/>
  <c r="L7" i="3"/>
  <c r="M7" i="3" s="1"/>
  <c r="Q7" i="1" l="1"/>
  <c r="Q8" i="1"/>
  <c r="Q9" i="1"/>
  <c r="Q6" i="1"/>
  <c r="Q29" i="1"/>
  <c r="Q30" i="1"/>
  <c r="Q31" i="1"/>
  <c r="Q28" i="1"/>
  <c r="R28" i="1"/>
  <c r="S28" i="1"/>
  <c r="Q18" i="1"/>
  <c r="Q19" i="1"/>
  <c r="Q20" i="1"/>
  <c r="S20" i="1" s="1"/>
  <c r="Q17" i="1"/>
  <c r="R20" i="1"/>
  <c r="S19" i="1"/>
  <c r="R19" i="1"/>
  <c r="S18" i="1"/>
  <c r="R18" i="1"/>
  <c r="S17" i="1"/>
  <c r="R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M20" i="1"/>
  <c r="M19" i="1"/>
  <c r="K19" i="1"/>
  <c r="L19" i="1" s="1"/>
  <c r="M18" i="1"/>
  <c r="K18" i="1"/>
  <c r="L18" i="1" s="1"/>
  <c r="M17" i="1"/>
  <c r="K17" i="1"/>
  <c r="L17" i="1" s="1"/>
  <c r="S31" i="1" l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1" i="1" a="1"/>
  <c r="L11" i="1" s="1"/>
  <c r="L12" i="1" s="1"/>
  <c r="M7" i="1"/>
  <c r="M8" i="1"/>
  <c r="M9" i="1"/>
  <c r="K8" i="1"/>
  <c r="L8" i="1" s="1"/>
  <c r="K6" i="1"/>
  <c r="L6" i="1" s="1"/>
  <c r="K7" i="1"/>
  <c r="L7" i="1" s="1"/>
  <c r="R7" i="1" l="1"/>
  <c r="S7" i="1"/>
  <c r="S6" i="1"/>
  <c r="R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<sst xmlns="http://schemas.openxmlformats.org/spreadsheetml/2006/main" count="210" uniqueCount="58">
  <si>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</si>
  <si>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</si>
  <si>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</si>
  <si>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</si>
  <si>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</si>
  <si>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</si>
  <si>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</si>
  <si>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</si>
  <si>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</si>
  <si>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</si>
  <si>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</si>
  <si>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</si>
  <si>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</si>
  <si>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</si>
  <si>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</si>
  <si>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</si>
  <si>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</si>
  <si>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</si>
  <si>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</si>
  <si>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</si>
  <si>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</si>
  <si>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</si>
  <si>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</si>
  <si>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</si>
  <si>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</si>
  <si>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</si>
  <si>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</si>
  <si>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</si>
  <si>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</si>
  <si>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</si>
  <si>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</si>
  <si>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</si>
  <si>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</si>
  <si>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</si>
  <si>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</si>
  <si>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</si>
  <si>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</si>
  <si>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</si>
  <si>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</si>
  <si>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</si>
  <si>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</si>
  <si>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</si>
  <si>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</si>
  <si>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</si>
  <si>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ps</t>
  </si>
  <si>
    <t>Ang</t>
  </si>
  <si>
    <t>Ang/ps</t>
  </si>
  <si>
    <t>mass/at</t>
  </si>
  <si>
    <t>amu</t>
  </si>
  <si>
    <t>kg</t>
  </si>
  <si>
    <t>m/s</t>
  </si>
  <si>
    <t>KE (J)</t>
  </si>
  <si>
    <t>KE (eV)</t>
  </si>
  <si>
    <t>3/2 kT (eV)</t>
  </si>
  <si>
    <t>T (K)</t>
  </si>
  <si>
    <t>LiK EvsR</t>
  </si>
  <si>
    <t>LiNa EvsR</t>
  </si>
  <si>
    <t>KNa EvsR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</si>
</sst>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1504.5</c:v>
                </c:pt>
                <c:pt idx="1">
                  <c:v>1399.1</c:v>
                </c:pt>
                <c:pt idx="2">
                  <c:v>1299.94</c:v>
                </c:pt>
                <c:pt idx="3">
                  <c:v>1197.46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1.3964180230222538</c:v>
                </c:pt>
                <c:pt idx="1">
                  <c:v>1.4151255489016941</c:v>
                </c:pt>
                <c:pt idx="2">
                  <c:v>1.4424978861622011</c:v>
                </c:pt>
                <c:pt idx="3">
                  <c:v>1.4666400787594347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'LiCl-KCl'!$B$7:$B$33</c:f>
              <c:numCache>
                <c:formatCode>General</c:formatCode>
                <c:ptCount val="2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</c:v>
                </c:pt>
                <c:pt idx="8">
                  <c:v>0.22500000000000001</c:v>
                </c:pt>
                <c:pt idx="9">
                  <c:v>0.25</c:v>
                </c:pt>
                <c:pt idx="10">
                  <c:v>0.27500000000000002</c:v>
                </c:pt>
                <c:pt idx="11">
                  <c:v>0.3</c:v>
                </c:pt>
                <c:pt idx="12">
                  <c:v>0.32500000000000001</c:v>
                </c:pt>
                <c:pt idx="13">
                  <c:v>0.35</c:v>
                </c:pt>
                <c:pt idx="14">
                  <c:v>0.375</c:v>
                </c:pt>
                <c:pt idx="15">
                  <c:v>0.4</c:v>
                </c:pt>
                <c:pt idx="16">
                  <c:v>0.42499999999999999</c:v>
                </c:pt>
                <c:pt idx="17">
                  <c:v>0.45</c:v>
                </c:pt>
                <c:pt idx="18">
                  <c:v>0.47499999999999998</c:v>
                </c:pt>
                <c:pt idx="19">
                  <c:v>0.5</c:v>
                </c:pt>
                <c:pt idx="20">
                  <c:v>0.52500000000000002</c:v>
                </c:pt>
                <c:pt idx="21">
                  <c:v>0.55000000000000004</c:v>
                </c:pt>
                <c:pt idx="22">
                  <c:v>0.57499999999999996</c:v>
                </c:pt>
                <c:pt idx="23">
                  <c:v>0.6</c:v>
                </c:pt>
                <c:pt idx="24">
                  <c:v>0.625</c:v>
                </c:pt>
                <c:pt idx="25">
                  <c:v>0.65</c:v>
                </c:pt>
                <c:pt idx="26">
                  <c:v>0.67500000000000004</c:v>
                </c:pt>
              </c:numCache>
            </c:numRef>
          </c:xVal>
          <c:yVal>
            <c:numRef>
              <c:f>'LiCl-KCl'!$M$7:$M$33</c:f>
              <c:numCache>
                <c:formatCode>General</c:formatCode>
                <c:ptCount val="27"/>
                <c:pt idx="0">
                  <c:v>1.3946737522944703</c:v>
                </c:pt>
                <c:pt idx="1">
                  <c:v>1.3970127227114109</c:v>
                </c:pt>
                <c:pt idx="2">
                  <c:v>1.4016544720428437</c:v>
                </c:pt>
                <c:pt idx="3">
                  <c:v>1.4009463271206983</c:v>
                </c:pt>
                <c:pt idx="4">
                  <c:v>1.4030740681098204</c:v>
                </c:pt>
                <c:pt idx="5">
                  <c:v>1.4030326601928718</c:v>
                </c:pt>
                <c:pt idx="6">
                  <c:v>1.404472307720084</c:v>
                </c:pt>
                <c:pt idx="7">
                  <c:v>1.4018107407426621</c:v>
                </c:pt>
                <c:pt idx="8">
                  <c:v>1.3989361932243314</c:v>
                </c:pt>
                <c:pt idx="9">
                  <c:v>1.4017823874519524</c:v>
                </c:pt>
                <c:pt idx="10">
                  <c:v>1.3987856621794372</c:v>
                </c:pt>
                <c:pt idx="11">
                  <c:v>1.4003984214313501</c:v>
                </c:pt>
                <c:pt idx="12">
                  <c:v>1.3960268772462949</c:v>
                </c:pt>
                <c:pt idx="13">
                  <c:v>1.3916003680829212</c:v>
                </c:pt>
                <c:pt idx="14">
                  <c:v>1.3948705077541952</c:v>
                </c:pt>
                <c:pt idx="15">
                  <c:v>1.3946149516616604</c:v>
                </c:pt>
                <c:pt idx="16">
                  <c:v>1.3898205129943209</c:v>
                </c:pt>
                <c:pt idx="17">
                  <c:v>1.3902461454330619</c:v>
                </c:pt>
                <c:pt idx="18">
                  <c:v>1.3879867242656387</c:v>
                </c:pt>
                <c:pt idx="19">
                  <c:v>1.3898309166517551</c:v>
                </c:pt>
                <c:pt idx="20">
                  <c:v>1.378623540477983</c:v>
                </c:pt>
                <c:pt idx="21">
                  <c:v>1.3793378883886369</c:v>
                </c:pt>
                <c:pt idx="22">
                  <c:v>1.3717131359992132</c:v>
                </c:pt>
                <c:pt idx="23">
                  <c:v>1.3764199776531809</c:v>
                </c:pt>
                <c:pt idx="24">
                  <c:v>1.3743877021753563</c:v>
                </c:pt>
                <c:pt idx="25">
                  <c:v>1.3722985832494148</c:v>
                </c:pt>
                <c:pt idx="26">
                  <c:v>1.3725585297698111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5-E34C-BAAE-4B3CABD95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'LiCl-KCl'!$B$36:$B$47</c:f>
              <c:numCache>
                <c:formatCode>General</c:formatCode>
                <c:ptCount val="12"/>
                <c:pt idx="0">
                  <c:v>0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'LiCl-KCl'!$M$36:$M$47</c:f>
              <c:numCache>
                <c:formatCode>General</c:formatCode>
                <c:ptCount val="12"/>
                <c:pt idx="0">
                  <c:v>1.27477362357751</c:v>
                </c:pt>
                <c:pt idx="1">
                  <c:v>0</c:v>
                </c:pt>
                <c:pt idx="2">
                  <c:v>1.2566712665536384</c:v>
                </c:pt>
                <c:pt idx="3">
                  <c:v>1.2462325802519216</c:v>
                </c:pt>
                <c:pt idx="4">
                  <c:v>1.2381581328200779</c:v>
                </c:pt>
                <c:pt idx="5">
                  <c:v>0</c:v>
                </c:pt>
                <c:pt idx="6">
                  <c:v>1.2165760624262318</c:v>
                </c:pt>
                <c:pt idx="7">
                  <c:v>1.1940997768639798</c:v>
                </c:pt>
                <c:pt idx="8">
                  <c:v>1.165211639300523</c:v>
                </c:pt>
                <c:pt idx="9">
                  <c:v>1.1440144717431013</c:v>
                </c:pt>
                <c:pt idx="10">
                  <c:v>1.1154620604610666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'LiCl-KCl'!$J$54:$J$153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'LiCl-KCl'!$N$54:$N$153</c:f>
              <c:numCache>
                <c:formatCode>General</c:formatCode>
                <c:ptCount val="100"/>
                <c:pt idx="0">
                  <c:v>-418.005</c:v>
                </c:pt>
                <c:pt idx="1">
                  <c:v>-3479.29</c:v>
                </c:pt>
                <c:pt idx="2">
                  <c:v>-2211.46</c:v>
                </c:pt>
                <c:pt idx="3">
                  <c:v>-1940.86</c:v>
                </c:pt>
                <c:pt idx="4">
                  <c:v>-838.08500000000004</c:v>
                </c:pt>
                <c:pt idx="5">
                  <c:v>-3028.4</c:v>
                </c:pt>
                <c:pt idx="6">
                  <c:v>-278.25200000000001</c:v>
                </c:pt>
                <c:pt idx="7">
                  <c:v>-770.221</c:v>
                </c:pt>
                <c:pt idx="8">
                  <c:v>-1726.54</c:v>
                </c:pt>
                <c:pt idx="9">
                  <c:v>-1369.3</c:v>
                </c:pt>
                <c:pt idx="10">
                  <c:v>-1081.02</c:v>
                </c:pt>
                <c:pt idx="11">
                  <c:v>-1141.76</c:v>
                </c:pt>
                <c:pt idx="12">
                  <c:v>-1389.55</c:v>
                </c:pt>
                <c:pt idx="13">
                  <c:v>-1042.1199999999999</c:v>
                </c:pt>
                <c:pt idx="14">
                  <c:v>-899.44100000000003</c:v>
                </c:pt>
                <c:pt idx="15">
                  <c:v>30.571400000000001</c:v>
                </c:pt>
                <c:pt idx="16">
                  <c:v>329.483</c:v>
                </c:pt>
                <c:pt idx="17">
                  <c:v>-1574.75</c:v>
                </c:pt>
                <c:pt idx="18">
                  <c:v>511.51299999999998</c:v>
                </c:pt>
                <c:pt idx="19">
                  <c:v>-344.74799999999999</c:v>
                </c:pt>
                <c:pt idx="20">
                  <c:v>406.47699999999998</c:v>
                </c:pt>
                <c:pt idx="21">
                  <c:v>44.0807</c:v>
                </c:pt>
                <c:pt idx="22">
                  <c:v>413.10399999999998</c:v>
                </c:pt>
                <c:pt idx="23">
                  <c:v>98.280299999999997</c:v>
                </c:pt>
                <c:pt idx="24">
                  <c:v>-838.83199999999999</c:v>
                </c:pt>
                <c:pt idx="25">
                  <c:v>-65.842399999999998</c:v>
                </c:pt>
                <c:pt idx="26">
                  <c:v>-487.42</c:v>
                </c:pt>
                <c:pt idx="27">
                  <c:v>-199.90799999999999</c:v>
                </c:pt>
                <c:pt idx="28">
                  <c:v>256.495</c:v>
                </c:pt>
                <c:pt idx="29">
                  <c:v>1834.4</c:v>
                </c:pt>
                <c:pt idx="30">
                  <c:v>-362.47199999999998</c:v>
                </c:pt>
                <c:pt idx="31">
                  <c:v>339.28699999999998</c:v>
                </c:pt>
                <c:pt idx="32">
                  <c:v>535.98699999999997</c:v>
                </c:pt>
                <c:pt idx="33">
                  <c:v>1493.21</c:v>
                </c:pt>
                <c:pt idx="34">
                  <c:v>302.97300000000001</c:v>
                </c:pt>
                <c:pt idx="35">
                  <c:v>-391.38299999999998</c:v>
                </c:pt>
                <c:pt idx="36">
                  <c:v>-1112.58</c:v>
                </c:pt>
                <c:pt idx="37">
                  <c:v>674.02800000000002</c:v>
                </c:pt>
                <c:pt idx="38">
                  <c:v>1005.5</c:v>
                </c:pt>
                <c:pt idx="39">
                  <c:v>-662.84</c:v>
                </c:pt>
                <c:pt idx="40">
                  <c:v>-1098.27</c:v>
                </c:pt>
                <c:pt idx="41">
                  <c:v>-125.07899999999999</c:v>
                </c:pt>
                <c:pt idx="42">
                  <c:v>448.49900000000002</c:v>
                </c:pt>
                <c:pt idx="43">
                  <c:v>-1355.08</c:v>
                </c:pt>
                <c:pt idx="44">
                  <c:v>749.97900000000004</c:v>
                </c:pt>
                <c:pt idx="45">
                  <c:v>-1586.56</c:v>
                </c:pt>
                <c:pt idx="46">
                  <c:v>-115.471</c:v>
                </c:pt>
                <c:pt idx="47">
                  <c:v>-1323.39</c:v>
                </c:pt>
                <c:pt idx="48">
                  <c:v>1726.07</c:v>
                </c:pt>
                <c:pt idx="49">
                  <c:v>659.45600000000002</c:v>
                </c:pt>
                <c:pt idx="50">
                  <c:v>-137.93100000000001</c:v>
                </c:pt>
                <c:pt idx="51">
                  <c:v>-394.74700000000001</c:v>
                </c:pt>
                <c:pt idx="52">
                  <c:v>-622.70799999999997</c:v>
                </c:pt>
                <c:pt idx="53">
                  <c:v>655.14700000000005</c:v>
                </c:pt>
                <c:pt idx="54">
                  <c:v>-765.11900000000003</c:v>
                </c:pt>
                <c:pt idx="55">
                  <c:v>-49.468800000000002</c:v>
                </c:pt>
                <c:pt idx="56">
                  <c:v>581.17200000000003</c:v>
                </c:pt>
                <c:pt idx="57">
                  <c:v>1576.53</c:v>
                </c:pt>
                <c:pt idx="58">
                  <c:v>-208.00399999999999</c:v>
                </c:pt>
                <c:pt idx="59">
                  <c:v>-1551.01</c:v>
                </c:pt>
                <c:pt idx="60">
                  <c:v>-524.29399999999998</c:v>
                </c:pt>
                <c:pt idx="61">
                  <c:v>-174.78</c:v>
                </c:pt>
                <c:pt idx="62">
                  <c:v>1515.32</c:v>
                </c:pt>
                <c:pt idx="63">
                  <c:v>60.439700000000002</c:v>
                </c:pt>
                <c:pt idx="64">
                  <c:v>183.96</c:v>
                </c:pt>
                <c:pt idx="65">
                  <c:v>177.773</c:v>
                </c:pt>
                <c:pt idx="66">
                  <c:v>305.54300000000001</c:v>
                </c:pt>
                <c:pt idx="67">
                  <c:v>953.20399999999995</c:v>
                </c:pt>
                <c:pt idx="68">
                  <c:v>1333.93</c:v>
                </c:pt>
                <c:pt idx="69">
                  <c:v>-445.36700000000002</c:v>
                </c:pt>
                <c:pt idx="70">
                  <c:v>-270.202</c:v>
                </c:pt>
                <c:pt idx="71">
                  <c:v>-1205.3399999999999</c:v>
                </c:pt>
                <c:pt idx="72">
                  <c:v>-25.155799999999999</c:v>
                </c:pt>
                <c:pt idx="73">
                  <c:v>229.22800000000001</c:v>
                </c:pt>
                <c:pt idx="74">
                  <c:v>1088.01</c:v>
                </c:pt>
                <c:pt idx="75">
                  <c:v>-1249.67</c:v>
                </c:pt>
                <c:pt idx="76">
                  <c:v>735.755</c:v>
                </c:pt>
                <c:pt idx="77">
                  <c:v>-630.07100000000003</c:v>
                </c:pt>
                <c:pt idx="78">
                  <c:v>1104.3399999999999</c:v>
                </c:pt>
                <c:pt idx="79">
                  <c:v>111.26</c:v>
                </c:pt>
                <c:pt idx="80">
                  <c:v>308.79199999999997</c:v>
                </c:pt>
                <c:pt idx="81">
                  <c:v>1849.23</c:v>
                </c:pt>
                <c:pt idx="82">
                  <c:v>53.276600000000002</c:v>
                </c:pt>
                <c:pt idx="83">
                  <c:v>-833.30600000000004</c:v>
                </c:pt>
                <c:pt idx="84">
                  <c:v>-49.661700000000003</c:v>
                </c:pt>
                <c:pt idx="85">
                  <c:v>608.77800000000002</c:v>
                </c:pt>
                <c:pt idx="86">
                  <c:v>2386.9699999999998</c:v>
                </c:pt>
                <c:pt idx="87">
                  <c:v>254.65899999999999</c:v>
                </c:pt>
                <c:pt idx="88">
                  <c:v>955.12300000000005</c:v>
                </c:pt>
                <c:pt idx="89">
                  <c:v>-447.16899999999998</c:v>
                </c:pt>
                <c:pt idx="90">
                  <c:v>-2237.4499999999998</c:v>
                </c:pt>
                <c:pt idx="91">
                  <c:v>1181.51</c:v>
                </c:pt>
                <c:pt idx="92">
                  <c:v>348.66199999999998</c:v>
                </c:pt>
                <c:pt idx="93">
                  <c:v>-668.12199999999996</c:v>
                </c:pt>
                <c:pt idx="94">
                  <c:v>-296.10700000000003</c:v>
                </c:pt>
                <c:pt idx="95">
                  <c:v>1085.0999999999999</c:v>
                </c:pt>
                <c:pt idx="96" formatCode="0.00E+00">
                  <c:v>273.93400000000003</c:v>
                </c:pt>
                <c:pt idx="97" formatCode="0.00E+00">
                  <c:v>34.884</c:v>
                </c:pt>
                <c:pt idx="98" formatCode="0.00E+00">
                  <c:v>-1706.84</c:v>
                </c:pt>
                <c:pt idx="99" formatCode="0.00E+00">
                  <c:v>-1169.73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-13393800</c:v>
                </c:pt>
                <c:pt idx="1">
                  <c:v>-13393800</c:v>
                </c:pt>
                <c:pt idx="2">
                  <c:v>-6397340</c:v>
                </c:pt>
                <c:pt idx="3">
                  <c:v>-2989350</c:v>
                </c:pt>
                <c:pt idx="4">
                  <c:v>-1363230</c:v>
                </c:pt>
                <c:pt idx="5">
                  <c:v>-604753</c:v>
                </c:pt>
                <c:pt idx="6">
                  <c:v>-259833</c:v>
                </c:pt>
                <c:pt idx="7">
                  <c:v>-107436</c:v>
                </c:pt>
                <c:pt idx="8">
                  <c:v>-42327.8</c:v>
                </c:pt>
                <c:pt idx="9">
                  <c:v>-15618.9</c:v>
                </c:pt>
                <c:pt idx="10">
                  <c:v>-5214.3599999999997</c:v>
                </c:pt>
                <c:pt idx="11">
                  <c:v>-1440.14</c:v>
                </c:pt>
                <c:pt idx="12">
                  <c:v>-216.11600000000001</c:v>
                </c:pt>
                <c:pt idx="13">
                  <c:v>100.968</c:v>
                </c:pt>
                <c:pt idx="14">
                  <c:v>134.126</c:v>
                </c:pt>
                <c:pt idx="15">
                  <c:v>99.862399999999994</c:v>
                </c:pt>
                <c:pt idx="16">
                  <c:v>63.047899999999998</c:v>
                </c:pt>
                <c:pt idx="17">
                  <c:v>37.266399999999997</c:v>
                </c:pt>
                <c:pt idx="18">
                  <c:v>21.561900000000001</c:v>
                </c:pt>
                <c:pt idx="19">
                  <c:v>12.473699999999999</c:v>
                </c:pt>
                <c:pt idx="20">
                  <c:v>7.2124699999999997</c:v>
                </c:pt>
                <c:pt idx="21">
                  <c:v>4.0458499999999997</c:v>
                </c:pt>
                <c:pt idx="22">
                  <c:v>2.0152299999999999</c:v>
                </c:pt>
                <c:pt idx="23">
                  <c:v>0.62044900000000003</c:v>
                </c:pt>
                <c:pt idx="24">
                  <c:v>-0.39388000000000001</c:v>
                </c:pt>
                <c:pt idx="25">
                  <c:v>-1.1599999999999999</c:v>
                </c:pt>
                <c:pt idx="26">
                  <c:v>-1.7500800000000001</c:v>
                </c:pt>
                <c:pt idx="27">
                  <c:v>-2.2070799999999999</c:v>
                </c:pt>
                <c:pt idx="28">
                  <c:v>-2.55931</c:v>
                </c:pt>
                <c:pt idx="29">
                  <c:v>-2.8272599999999999</c:v>
                </c:pt>
                <c:pt idx="30" formatCode="General">
                  <c:v>-3.0267599999999999</c:v>
                </c:pt>
                <c:pt idx="31" formatCode="General">
                  <c:v>-3.1705199999999998</c:v>
                </c:pt>
                <c:pt idx="32" formatCode="General">
                  <c:v>-3.26892</c:v>
                </c:pt>
                <c:pt idx="33" formatCode="General">
                  <c:v>-3.3304800000000001</c:v>
                </c:pt>
                <c:pt idx="34" formatCode="General">
                  <c:v>-3.3621699999999999</c:v>
                </c:pt>
                <c:pt idx="35" formatCode="General">
                  <c:v>-3.3696700000000002</c:v>
                </c:pt>
                <c:pt idx="36" formatCode="General">
                  <c:v>-3.3576100000000002</c:v>
                </c:pt>
                <c:pt idx="37" formatCode="General">
                  <c:v>-3.3297099999999999</c:v>
                </c:pt>
                <c:pt idx="38" formatCode="General">
                  <c:v>-3.2889900000000001</c:v>
                </c:pt>
                <c:pt idx="39" formatCode="General">
                  <c:v>-3.2379099999999998</c:v>
                </c:pt>
                <c:pt idx="40" formatCode="General">
                  <c:v>-3.1784599999999998</c:v>
                </c:pt>
                <c:pt idx="41" formatCode="General">
                  <c:v>-3.1123099999999999</c:v>
                </c:pt>
                <c:pt idx="42" formatCode="General">
                  <c:v>-3.0408200000000001</c:v>
                </c:pt>
                <c:pt idx="43" formatCode="General">
                  <c:v>-2.96515</c:v>
                </c:pt>
                <c:pt idx="44" formatCode="General">
                  <c:v>-2.8862899999999998</c:v>
                </c:pt>
                <c:pt idx="45" formatCode="General">
                  <c:v>-2.8050899999999999</c:v>
                </c:pt>
                <c:pt idx="46" formatCode="General">
                  <c:v>-2.7222900000000001</c:v>
                </c:pt>
                <c:pt idx="47" formatCode="General">
                  <c:v>-2.6385299999999998</c:v>
                </c:pt>
                <c:pt idx="48" formatCode="General">
                  <c:v>-2.5543900000000002</c:v>
                </c:pt>
                <c:pt idx="49" formatCode="General">
                  <c:v>-2.4703599999999999</c:v>
                </c:pt>
                <c:pt idx="50" formatCode="General">
                  <c:v>-2.3868999999999998</c:v>
                </c:pt>
                <c:pt idx="51" formatCode="General">
                  <c:v>-2.3043900000000002</c:v>
                </c:pt>
                <c:pt idx="52" formatCode="General">
                  <c:v>-2.22316</c:v>
                </c:pt>
                <c:pt idx="53" formatCode="General">
                  <c:v>-2.1434899999999999</c:v>
                </c:pt>
                <c:pt idx="54" formatCode="General">
                  <c:v>-2.0656300000000001</c:v>
                </c:pt>
                <c:pt idx="55" formatCode="General">
                  <c:v>-1.98976</c:v>
                </c:pt>
                <c:pt idx="56" formatCode="General">
                  <c:v>-1.9160200000000001</c:v>
                </c:pt>
                <c:pt idx="57" formatCode="General">
                  <c:v>-1.84449</c:v>
                </c:pt>
                <c:pt idx="58" formatCode="General">
                  <c:v>-1.7752399999999999</c:v>
                </c:pt>
                <c:pt idx="59" formatCode="General">
                  <c:v>-1.7082599999999999</c:v>
                </c:pt>
                <c:pt idx="60" formatCode="General">
                  <c:v>-1.6435599999999999</c:v>
                </c:pt>
                <c:pt idx="61" formatCode="General">
                  <c:v>-1.58107</c:v>
                </c:pt>
                <c:pt idx="62" formatCode="General">
                  <c:v>-1.5207299999999999</c:v>
                </c:pt>
                <c:pt idx="63" formatCode="General">
                  <c:v>-1.4624600000000001</c:v>
                </c:pt>
                <c:pt idx="64" formatCode="General">
                  <c:v>-1.40618</c:v>
                </c:pt>
                <c:pt idx="65" formatCode="General">
                  <c:v>-1.35181</c:v>
                </c:pt>
                <c:pt idx="66" formatCode="General">
                  <c:v>-1.2992600000000001</c:v>
                </c:pt>
                <c:pt idx="67" formatCode="General">
                  <c:v>-1.24847</c:v>
                </c:pt>
                <c:pt idx="68" formatCode="General">
                  <c:v>-1.1994100000000001</c:v>
                </c:pt>
                <c:pt idx="69" formatCode="General">
                  <c:v>-1.1520600000000001</c:v>
                </c:pt>
                <c:pt idx="70" formatCode="General">
                  <c:v>-1.1064099999999999</c:v>
                </c:pt>
                <c:pt idx="71" formatCode="General">
                  <c:v>-1.0625</c:v>
                </c:pt>
                <c:pt idx="72" formatCode="General">
                  <c:v>-1.02037</c:v>
                </c:pt>
                <c:pt idx="73" formatCode="General">
                  <c:v>-0.98010799999999998</c:v>
                </c:pt>
                <c:pt idx="74" formatCode="General">
                  <c:v>-0.941774</c:v>
                </c:pt>
                <c:pt idx="75" formatCode="General">
                  <c:v>-0.90544999999999998</c:v>
                </c:pt>
                <c:pt idx="76" formatCode="General">
                  <c:v>-0.871201</c:v>
                </c:pt>
                <c:pt idx="77" formatCode="General">
                  <c:v>-0.83906800000000004</c:v>
                </c:pt>
                <c:pt idx="78" formatCode="General">
                  <c:v>-0.80905300000000002</c:v>
                </c:pt>
                <c:pt idx="79">
                  <c:v>-0.78110999999999997</c:v>
                </c:pt>
                <c:pt idx="80" formatCode="General">
                  <c:v>-0.75512800000000002</c:v>
                </c:pt>
                <c:pt idx="81" formatCode="General">
                  <c:v>-0.73092800000000002</c:v>
                </c:pt>
                <c:pt idx="82" formatCode="General">
                  <c:v>-0.70825700000000003</c:v>
                </c:pt>
                <c:pt idx="83" formatCode="General">
                  <c:v>-0.68679100000000004</c:v>
                </c:pt>
                <c:pt idx="84" formatCode="General">
                  <c:v>-0.66615199999999997</c:v>
                </c:pt>
                <c:pt idx="85" formatCode="General">
                  <c:v>-0.64592499999999997</c:v>
                </c:pt>
                <c:pt idx="86" formatCode="General">
                  <c:v>-0.62570199999999998</c:v>
                </c:pt>
                <c:pt idx="87" formatCode="General">
                  <c:v>-0.60512900000000003</c:v>
                </c:pt>
                <c:pt idx="88" formatCode="General">
                  <c:v>-0.583982</c:v>
                </c:pt>
                <c:pt idx="89" formatCode="General">
                  <c:v>-0.56226500000000001</c:v>
                </c:pt>
                <c:pt idx="90" formatCode="General">
                  <c:v>-0.54033399999999998</c:v>
                </c:pt>
                <c:pt idx="91" formatCode="General">
                  <c:v>-0.51905299999999999</c:v>
                </c:pt>
                <c:pt idx="92" formatCode="General">
                  <c:v>-0.49999399999999999</c:v>
                </c:pt>
                <c:pt idx="93" formatCode="General">
                  <c:v>-0.48567199999999999</c:v>
                </c:pt>
                <c:pt idx="94" formatCode="General">
                  <c:v>-0.479823</c:v>
                </c:pt>
                <c:pt idx="95" formatCode="General">
                  <c:v>-0.479823</c:v>
                </c:pt>
                <c:pt idx="96" formatCode="General">
                  <c:v>-0.479823</c:v>
                </c:pt>
                <c:pt idx="97" formatCode="General">
                  <c:v>-0.479823</c:v>
                </c:pt>
                <c:pt idx="98" formatCode="General">
                  <c:v>-0.479823</c:v>
                </c:pt>
                <c:pt idx="99" formatCode="General">
                  <c:v>-0.479823</c:v>
                </c:pt>
                <c:pt idx="100" formatCode="General">
                  <c:v>-0.479823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36463800</c:v>
                </c:pt>
                <c:pt idx="1">
                  <c:v>36463800</c:v>
                </c:pt>
                <c:pt idx="2">
                  <c:v>18516400</c:v>
                </c:pt>
                <c:pt idx="3">
                  <c:v>9267630</c:v>
                </c:pt>
                <c:pt idx="4">
                  <c:v>4569120</c:v>
                </c:pt>
                <c:pt idx="5">
                  <c:v>2217520</c:v>
                </c:pt>
                <c:pt idx="6">
                  <c:v>1058710</c:v>
                </c:pt>
                <c:pt idx="7">
                  <c:v>496869</c:v>
                </c:pt>
                <c:pt idx="8">
                  <c:v>229042</c:v>
                </c:pt>
                <c:pt idx="9">
                  <c:v>103614</c:v>
                </c:pt>
                <c:pt idx="10">
                  <c:v>45955.6</c:v>
                </c:pt>
                <c:pt idx="11">
                  <c:v>19963.900000000001</c:v>
                </c:pt>
                <c:pt idx="12">
                  <c:v>8487.49</c:v>
                </c:pt>
                <c:pt idx="13">
                  <c:v>3531.21</c:v>
                </c:pt>
                <c:pt idx="14">
                  <c:v>1441.41</c:v>
                </c:pt>
                <c:pt idx="15" formatCode="General">
                  <c:v>583.01099999999997</c:v>
                </c:pt>
                <c:pt idx="16" formatCode="General">
                  <c:v>240.352</c:v>
                </c:pt>
                <c:pt idx="17" formatCode="General">
                  <c:v>107.57299999999999</c:v>
                </c:pt>
                <c:pt idx="18" formatCode="General">
                  <c:v>57.362299999999998</c:v>
                </c:pt>
                <c:pt idx="19" formatCode="General">
                  <c:v>38.303600000000003</c:v>
                </c:pt>
                <c:pt idx="20" formatCode="General">
                  <c:v>30.379100000000001</c:v>
                </c:pt>
                <c:pt idx="21" formatCode="General">
                  <c:v>26.160799999999998</c:v>
                </c:pt>
                <c:pt idx="22" formatCode="General">
                  <c:v>23.077999999999999</c:v>
                </c:pt>
                <c:pt idx="23" formatCode="General">
                  <c:v>20.3401</c:v>
                </c:pt>
                <c:pt idx="24" formatCode="General">
                  <c:v>17.7593</c:v>
                </c:pt>
                <c:pt idx="25" formatCode="General">
                  <c:v>15.3253</c:v>
                </c:pt>
                <c:pt idx="26" formatCode="General">
                  <c:v>13.0639</c:v>
                </c:pt>
                <c:pt idx="27" formatCode="General">
                  <c:v>10.9964</c:v>
                </c:pt>
                <c:pt idx="28" formatCode="General">
                  <c:v>9.1331799999999994</c:v>
                </c:pt>
                <c:pt idx="29" formatCode="General">
                  <c:v>7.4747399999999997</c:v>
                </c:pt>
                <c:pt idx="30" formatCode="General">
                  <c:v>6.0148599999999997</c:v>
                </c:pt>
                <c:pt idx="31" formatCode="General">
                  <c:v>4.7427999999999999</c:v>
                </c:pt>
                <c:pt idx="32" formatCode="General">
                  <c:v>3.6449099999999999</c:v>
                </c:pt>
                <c:pt idx="33" formatCode="General">
                  <c:v>2.7058499999999999</c:v>
                </c:pt>
                <c:pt idx="34" formatCode="General">
                  <c:v>1.9094500000000001</c:v>
                </c:pt>
                <c:pt idx="35" formatCode="General">
                  <c:v>1.2394700000000001</c:v>
                </c:pt>
                <c:pt idx="36" formatCode="General">
                  <c:v>0.68018500000000004</c:v>
                </c:pt>
                <c:pt idx="37" formatCode="General">
                  <c:v>0.21678800000000001</c:v>
                </c:pt>
                <c:pt idx="38" formatCode="General">
                  <c:v>-0.16427800000000001</c:v>
                </c:pt>
                <c:pt idx="39" formatCode="General">
                  <c:v>-0.47517300000000001</c:v>
                </c:pt>
                <c:pt idx="40" formatCode="General">
                  <c:v>-0.72659499999999999</c:v>
                </c:pt>
                <c:pt idx="41" formatCode="General">
                  <c:v>-0.92781499999999995</c:v>
                </c:pt>
                <c:pt idx="42" formatCode="General">
                  <c:v>-1.0867599999999999</c:v>
                </c:pt>
                <c:pt idx="43" formatCode="General">
                  <c:v>-1.2101599999999999</c:v>
                </c:pt>
                <c:pt idx="44" formatCode="General">
                  <c:v>-1.3036700000000001</c:v>
                </c:pt>
                <c:pt idx="45" formatCode="General">
                  <c:v>-1.37202</c:v>
                </c:pt>
                <c:pt idx="46" formatCode="General">
                  <c:v>-1.4192100000000001</c:v>
                </c:pt>
                <c:pt idx="47" formatCode="General">
                  <c:v>-1.44858</c:v>
                </c:pt>
                <c:pt idx="48" formatCode="General">
                  <c:v>-1.46296</c:v>
                </c:pt>
                <c:pt idx="49" formatCode="General">
                  <c:v>-1.46475</c:v>
                </c:pt>
                <c:pt idx="50" formatCode="General">
                  <c:v>-1.4560299999999999</c:v>
                </c:pt>
                <c:pt idx="51" formatCode="General">
                  <c:v>-1.4385699999999999</c:v>
                </c:pt>
                <c:pt idx="52" formatCode="General">
                  <c:v>-1.41394</c:v>
                </c:pt>
                <c:pt idx="53" formatCode="General">
                  <c:v>-1.38348</c:v>
                </c:pt>
                <c:pt idx="54" formatCode="General">
                  <c:v>-1.3483700000000001</c:v>
                </c:pt>
                <c:pt idx="55" formatCode="General">
                  <c:v>-1.3096399999999999</c:v>
                </c:pt>
                <c:pt idx="56" formatCode="General">
                  <c:v>-1.26817</c:v>
                </c:pt>
                <c:pt idx="57" formatCode="General">
                  <c:v>-1.22468</c:v>
                </c:pt>
                <c:pt idx="58" formatCode="General">
                  <c:v>-1.1798</c:v>
                </c:pt>
                <c:pt idx="59" formatCode="General">
                  <c:v>-1.13402</c:v>
                </c:pt>
                <c:pt idx="60" formatCode="General">
                  <c:v>-1.08772</c:v>
                </c:pt>
                <c:pt idx="61" formatCode="General">
                  <c:v>-1.0411999999999999</c:v>
                </c:pt>
                <c:pt idx="62" formatCode="General">
                  <c:v>-0.99465400000000004</c:v>
                </c:pt>
                <c:pt idx="63" formatCode="General">
                  <c:v>-0.94820099999999996</c:v>
                </c:pt>
                <c:pt idx="64" formatCode="General">
                  <c:v>-0.90190199999999998</c:v>
                </c:pt>
                <c:pt idx="65" formatCode="General">
                  <c:v>-0.85576399999999997</c:v>
                </c:pt>
                <c:pt idx="66" formatCode="General">
                  <c:v>-0.80975799999999998</c:v>
                </c:pt>
                <c:pt idx="67" formatCode="General">
                  <c:v>-0.76382799999999995</c:v>
                </c:pt>
                <c:pt idx="68" formatCode="General">
                  <c:v>-0.71791099999999997</c:v>
                </c:pt>
                <c:pt idx="69" formatCode="General">
                  <c:v>-0.67194900000000002</c:v>
                </c:pt>
                <c:pt idx="70" formatCode="General">
                  <c:v>-0.62590299999999999</c:v>
                </c:pt>
                <c:pt idx="71" formatCode="General">
                  <c:v>-0.57976700000000003</c:v>
                </c:pt>
                <c:pt idx="72" formatCode="General">
                  <c:v>-0.53357699999999997</c:v>
                </c:pt>
                <c:pt idx="73" formatCode="General">
                  <c:v>-0.48741699999999999</c:v>
                </c:pt>
                <c:pt idx="74" formatCode="General">
                  <c:v>-0.44142199999999998</c:v>
                </c:pt>
                <c:pt idx="75" formatCode="General">
                  <c:v>-0.39577200000000001</c:v>
                </c:pt>
                <c:pt idx="76" formatCode="General">
                  <c:v>-0.35067700000000002</c:v>
                </c:pt>
                <c:pt idx="77" formatCode="General">
                  <c:v>-0.30636600000000003</c:v>
                </c:pt>
                <c:pt idx="78" formatCode="General">
                  <c:v>-0.26305299999999998</c:v>
                </c:pt>
                <c:pt idx="79" formatCode="General">
                  <c:v>-0.220912</c:v>
                </c:pt>
                <c:pt idx="80" formatCode="General">
                  <c:v>-0.18004700000000001</c:v>
                </c:pt>
                <c:pt idx="81" formatCode="General">
                  <c:v>-0.14046</c:v>
                </c:pt>
                <c:pt idx="82" formatCode="General">
                  <c:v>-0.10203</c:v>
                </c:pt>
                <c:pt idx="83" formatCode="General">
                  <c:v>-6.4499799999999996E-2</c:v>
                </c:pt>
                <c:pt idx="84" formatCode="General">
                  <c:v>-2.7474599999999998E-2</c:v>
                </c:pt>
                <c:pt idx="85" formatCode="General">
                  <c:v>9.5566499999999999E-3</c:v>
                </c:pt>
                <c:pt idx="86" formatCode="General">
                  <c:v>4.7177400000000001E-2</c:v>
                </c:pt>
                <c:pt idx="87" formatCode="General">
                  <c:v>8.5963700000000004E-2</c:v>
                </c:pt>
                <c:pt idx="88" formatCode="General">
                  <c:v>0.126355</c:v>
                </c:pt>
                <c:pt idx="89" formatCode="General">
                  <c:v>0.168457</c:v>
                </c:pt>
                <c:pt idx="90" formatCode="General">
                  <c:v>0.21174000000000001</c:v>
                </c:pt>
                <c:pt idx="91" formatCode="General">
                  <c:v>0.25461699999999998</c:v>
                </c:pt>
                <c:pt idx="92" formatCode="General">
                  <c:v>0.293873</c:v>
                </c:pt>
                <c:pt idx="93" formatCode="General">
                  <c:v>0.32398199999999999</c:v>
                </c:pt>
                <c:pt idx="94" formatCode="General">
                  <c:v>0.336453</c:v>
                </c:pt>
                <c:pt idx="95" formatCode="General">
                  <c:v>0.336453</c:v>
                </c:pt>
                <c:pt idx="96" formatCode="General">
                  <c:v>0.336453</c:v>
                </c:pt>
                <c:pt idx="97" formatCode="General">
                  <c:v>0.336453</c:v>
                </c:pt>
                <c:pt idx="98" formatCode="General">
                  <c:v>0.336453</c:v>
                </c:pt>
                <c:pt idx="99" formatCode="General">
                  <c:v>0.336453</c:v>
                </c:pt>
                <c:pt idx="100" formatCode="General">
                  <c:v>0.336453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-121989000</c:v>
                </c:pt>
                <c:pt idx="1">
                  <c:v>-121989000</c:v>
                </c:pt>
                <c:pt idx="2">
                  <c:v>-61032700</c:v>
                </c:pt>
                <c:pt idx="3">
                  <c:v>-30025000</c:v>
                </c:pt>
                <c:pt idx="4">
                  <c:v>-14508900</c:v>
                </c:pt>
                <c:pt idx="5">
                  <c:v>-6879040</c:v>
                </c:pt>
                <c:pt idx="6">
                  <c:v>-3196020</c:v>
                </c:pt>
                <c:pt idx="7">
                  <c:v>-1453010</c:v>
                </c:pt>
                <c:pt idx="8" formatCode="General">
                  <c:v>-645372</c:v>
                </c:pt>
                <c:pt idx="9" formatCode="General">
                  <c:v>-279544</c:v>
                </c:pt>
                <c:pt idx="10" formatCode="General">
                  <c:v>-117835</c:v>
                </c:pt>
                <c:pt idx="11" formatCode="General">
                  <c:v>-48217.5</c:v>
                </c:pt>
                <c:pt idx="12" formatCode="General">
                  <c:v>-19093.599999999999</c:v>
                </c:pt>
                <c:pt idx="13" formatCode="General">
                  <c:v>-7285.6</c:v>
                </c:pt>
                <c:pt idx="14" formatCode="General">
                  <c:v>-2660.58</c:v>
                </c:pt>
                <c:pt idx="15" formatCode="General">
                  <c:v>-917.49099999999999</c:v>
                </c:pt>
                <c:pt idx="16" formatCode="General">
                  <c:v>-288.95699999999999</c:v>
                </c:pt>
                <c:pt idx="17" formatCode="General">
                  <c:v>-74.205299999999994</c:v>
                </c:pt>
                <c:pt idx="18" formatCode="General">
                  <c:v>-6.1584700000000003</c:v>
                </c:pt>
                <c:pt idx="19" formatCode="General">
                  <c:v>12.580299999999999</c:v>
                </c:pt>
                <c:pt idx="20" formatCode="General">
                  <c:v>15.817</c:v>
                </c:pt>
                <c:pt idx="21" formatCode="General">
                  <c:v>14.6488</c:v>
                </c:pt>
                <c:pt idx="22" formatCode="General">
                  <c:v>12.491400000000001</c:v>
                </c:pt>
                <c:pt idx="23" formatCode="General">
                  <c:v>10.315799999999999</c:v>
                </c:pt>
                <c:pt idx="24" formatCode="General">
                  <c:v>8.3640500000000007</c:v>
                </c:pt>
                <c:pt idx="25" formatCode="General">
                  <c:v>6.6758300000000004</c:v>
                </c:pt>
                <c:pt idx="26" formatCode="General">
                  <c:v>5.2379300000000004</c:v>
                </c:pt>
                <c:pt idx="27" formatCode="General">
                  <c:v>4.02454</c:v>
                </c:pt>
                <c:pt idx="28" formatCode="General">
                  <c:v>3.0079199999999999</c:v>
                </c:pt>
                <c:pt idx="29" formatCode="General">
                  <c:v>2.1615199999999999</c:v>
                </c:pt>
                <c:pt idx="30" formatCode="General">
                  <c:v>1.4611400000000001</c:v>
                </c:pt>
                <c:pt idx="31" formatCode="General">
                  <c:v>0.88525200000000004</c:v>
                </c:pt>
                <c:pt idx="32" formatCode="General">
                  <c:v>0.41506900000000002</c:v>
                </c:pt>
                <c:pt idx="33" formatCode="General">
                  <c:v>3.4359800000000003E-2</c:v>
                </c:pt>
                <c:pt idx="34" formatCode="General">
                  <c:v>-0.27079399999999998</c:v>
                </c:pt>
                <c:pt idx="35" formatCode="General">
                  <c:v>-0.51228399999999996</c:v>
                </c:pt>
                <c:pt idx="36" formatCode="General">
                  <c:v>-0.70024200000000003</c:v>
                </c:pt>
                <c:pt idx="37" formatCode="General">
                  <c:v>-0.84329200000000004</c:v>
                </c:pt>
                <c:pt idx="38" formatCode="General">
                  <c:v>-0.94876400000000005</c:v>
                </c:pt>
                <c:pt idx="39" formatCode="General">
                  <c:v>-1.02288</c:v>
                </c:pt>
                <c:pt idx="40" formatCode="General">
                  <c:v>-1.0709299999999999</c:v>
                </c:pt>
                <c:pt idx="41" formatCode="General">
                  <c:v>-1.09735</c:v>
                </c:pt>
                <c:pt idx="42" formatCode="General">
                  <c:v>-1.10592</c:v>
                </c:pt>
                <c:pt idx="43" formatCode="General">
                  <c:v>-1.09981</c:v>
                </c:pt>
                <c:pt idx="44" formatCode="General">
                  <c:v>-1.0816699999999999</c:v>
                </c:pt>
                <c:pt idx="45" formatCode="General">
                  <c:v>-1.05375</c:v>
                </c:pt>
                <c:pt idx="46" formatCode="General">
                  <c:v>-1.0179100000000001</c:v>
                </c:pt>
                <c:pt idx="47" formatCode="General">
                  <c:v>-0.97575000000000001</c:v>
                </c:pt>
                <c:pt idx="48" formatCode="General">
                  <c:v>-0.92859899999999995</c:v>
                </c:pt>
                <c:pt idx="49" formatCode="General">
                  <c:v>-0.87759299999999996</c:v>
                </c:pt>
                <c:pt idx="50" formatCode="General">
                  <c:v>-0.82369499999999995</c:v>
                </c:pt>
                <c:pt idx="51" formatCode="General">
                  <c:v>-0.76772300000000004</c:v>
                </c:pt>
                <c:pt idx="52" formatCode="General">
                  <c:v>-0.710372</c:v>
                </c:pt>
                <c:pt idx="53" formatCode="General">
                  <c:v>-0.65222599999999997</c:v>
                </c:pt>
                <c:pt idx="54" formatCode="General">
                  <c:v>-0.59377599999999997</c:v>
                </c:pt>
                <c:pt idx="55" formatCode="General">
                  <c:v>-0.53542299999999998</c:v>
                </c:pt>
                <c:pt idx="56" formatCode="General">
                  <c:v>-0.477489</c:v>
                </c:pt>
                <c:pt idx="57" formatCode="General">
                  <c:v>-0.42022500000000002</c:v>
                </c:pt>
                <c:pt idx="58" formatCode="General">
                  <c:v>-0.363817</c:v>
                </c:pt>
                <c:pt idx="59" formatCode="General">
                  <c:v>-0.308396</c:v>
                </c:pt>
                <c:pt idx="60" formatCode="General">
                  <c:v>-0.25404100000000002</c:v>
                </c:pt>
                <c:pt idx="61" formatCode="General">
                  <c:v>-0.200793</c:v>
                </c:pt>
                <c:pt idx="62" formatCode="General">
                  <c:v>-0.14865600000000001</c:v>
                </c:pt>
                <c:pt idx="63" formatCode="General">
                  <c:v>-9.7611400000000001E-2</c:v>
                </c:pt>
                <c:pt idx="64" formatCode="General">
                  <c:v>-4.7621299999999998E-2</c:v>
                </c:pt>
                <c:pt idx="65" formatCode="General">
                  <c:v>1.3619299999999999E-3</c:v>
                </c:pt>
                <c:pt idx="66" formatCode="General">
                  <c:v>4.9388399999999999E-2</c:v>
                </c:pt>
                <c:pt idx="67" formatCode="General">
                  <c:v>9.6504300000000001E-2</c:v>
                </c:pt>
                <c:pt idx="68" formatCode="General">
                  <c:v>0.14274500000000001</c:v>
                </c:pt>
                <c:pt idx="69" formatCode="General">
                  <c:v>0.18813199999999999</c:v>
                </c:pt>
                <c:pt idx="70" formatCode="General">
                  <c:v>0.23266500000000001</c:v>
                </c:pt>
                <c:pt idx="71" formatCode="General">
                  <c:v>0.27632400000000001</c:v>
                </c:pt>
                <c:pt idx="72" formatCode="General">
                  <c:v>0.31906699999999999</c:v>
                </c:pt>
                <c:pt idx="73" formatCode="General">
                  <c:v>0.36083199999999999</c:v>
                </c:pt>
                <c:pt idx="74" formatCode="General">
                  <c:v>0.40154299999999998</c:v>
                </c:pt>
                <c:pt idx="75" formatCode="General">
                  <c:v>0.44111600000000001</c:v>
                </c:pt>
                <c:pt idx="76" formatCode="General">
                  <c:v>0.47947000000000001</c:v>
                </c:pt>
                <c:pt idx="77" formatCode="General">
                  <c:v>0.516536</c:v>
                </c:pt>
                <c:pt idx="78" formatCode="General">
                  <c:v>0.55227000000000004</c:v>
                </c:pt>
                <c:pt idx="79" formatCode="General">
                  <c:v>0.58666700000000005</c:v>
                </c:pt>
                <c:pt idx="80" formatCode="General">
                  <c:v>0.61976699999999996</c:v>
                </c:pt>
                <c:pt idx="81" formatCode="General">
                  <c:v>0.651667</c:v>
                </c:pt>
                <c:pt idx="82" formatCode="General">
                  <c:v>0.68252400000000002</c:v>
                </c:pt>
                <c:pt idx="83" formatCode="General">
                  <c:v>0.71255000000000002</c:v>
                </c:pt>
                <c:pt idx="84" formatCode="General">
                  <c:v>0.74200600000000005</c:v>
                </c:pt>
                <c:pt idx="85" formatCode="General">
                  <c:v>0.77118100000000001</c:v>
                </c:pt>
                <c:pt idx="86" formatCode="General">
                  <c:v>0.80035500000000004</c:v>
                </c:pt>
                <c:pt idx="87" formatCode="General">
                  <c:v>0.82975100000000002</c:v>
                </c:pt>
                <c:pt idx="88" formatCode="General">
                  <c:v>0.859456</c:v>
                </c:pt>
                <c:pt idx="89" formatCode="General">
                  <c:v>0.88931700000000002</c:v>
                </c:pt>
                <c:pt idx="90" formatCode="General">
                  <c:v>0.91879599999999995</c:v>
                </c:pt>
                <c:pt idx="91" formatCode="General">
                  <c:v>0.94677800000000001</c:v>
                </c:pt>
                <c:pt idx="92" formatCode="General">
                  <c:v>0.97133700000000001</c:v>
                </c:pt>
                <c:pt idx="93" formatCode="General">
                  <c:v>0.98945799999999995</c:v>
                </c:pt>
                <c:pt idx="94" formatCode="General">
                  <c:v>0.99674200000000002</c:v>
                </c:pt>
                <c:pt idx="95" formatCode="General">
                  <c:v>0.99674200000000002</c:v>
                </c:pt>
                <c:pt idx="96" formatCode="General">
                  <c:v>0.99674200000000002</c:v>
                </c:pt>
                <c:pt idx="97" formatCode="General">
                  <c:v>0.99674200000000002</c:v>
                </c:pt>
                <c:pt idx="98" formatCode="General">
                  <c:v>0.99674200000000002</c:v>
                </c:pt>
                <c:pt idx="99" formatCode="General">
                  <c:v>0.99674200000000002</c:v>
                </c:pt>
                <c:pt idx="100" formatCode="General">
                  <c:v>0.99674200000000002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-691612</c:v>
                </c:pt>
                <c:pt idx="1">
                  <c:v>-691612</c:v>
                </c:pt>
                <c:pt idx="2">
                  <c:v>-399187</c:v>
                </c:pt>
                <c:pt idx="3">
                  <c:v>-228327</c:v>
                </c:pt>
                <c:pt idx="4" formatCode="General">
                  <c:v>-129407</c:v>
                </c:pt>
                <c:pt idx="5" formatCode="General">
                  <c:v>-72668.100000000006</c:v>
                </c:pt>
                <c:pt idx="6" formatCode="General">
                  <c:v>-40428.800000000003</c:v>
                </c:pt>
                <c:pt idx="7" formatCode="General">
                  <c:v>-22283.3</c:v>
                </c:pt>
                <c:pt idx="8" formatCode="General">
                  <c:v>-12167.1</c:v>
                </c:pt>
                <c:pt idx="9" formatCode="General">
                  <c:v>-6580.74</c:v>
                </c:pt>
                <c:pt idx="10" formatCode="General">
                  <c:v>-3524.96</c:v>
                </c:pt>
                <c:pt idx="11" formatCode="General">
                  <c:v>-1869.13</c:v>
                </c:pt>
                <c:pt idx="12" formatCode="General">
                  <c:v>-980.29499999999996</c:v>
                </c:pt>
                <c:pt idx="13" formatCode="General">
                  <c:v>-507.68</c:v>
                </c:pt>
                <c:pt idx="14" formatCode="General">
                  <c:v>-258.83100000000002</c:v>
                </c:pt>
                <c:pt idx="15" formatCode="General">
                  <c:v>-129.19</c:v>
                </c:pt>
                <c:pt idx="16" formatCode="General">
                  <c:v>-62.487499999999997</c:v>
                </c:pt>
                <c:pt idx="17" formatCode="General">
                  <c:v>-28.72</c:v>
                </c:pt>
                <c:pt idx="18" formatCode="General">
                  <c:v>-12.0273</c:v>
                </c:pt>
                <c:pt idx="19" formatCode="General">
                  <c:v>-4.0947199999999997</c:v>
                </c:pt>
                <c:pt idx="20" formatCode="General">
                  <c:v>-0.59815099999999999</c:v>
                </c:pt>
                <c:pt idx="21" formatCode="General">
                  <c:v>0.69361399999999995</c:v>
                </c:pt>
                <c:pt idx="22" formatCode="General">
                  <c:v>0.92209200000000002</c:v>
                </c:pt>
                <c:pt idx="23" formatCode="General">
                  <c:v>0.66678700000000002</c:v>
                </c:pt>
                <c:pt idx="24" formatCode="General">
                  <c:v>0.222659</c:v>
                </c:pt>
                <c:pt idx="25" formatCode="General">
                  <c:v>-0.26422299999999999</c:v>
                </c:pt>
                <c:pt idx="26" formatCode="General">
                  <c:v>-0.72552099999999997</c:v>
                </c:pt>
                <c:pt idx="27" formatCode="General">
                  <c:v>-1.13331</c:v>
                </c:pt>
                <c:pt idx="28" formatCode="General">
                  <c:v>-1.48102</c:v>
                </c:pt>
                <c:pt idx="29" formatCode="General">
                  <c:v>-1.77376</c:v>
                </c:pt>
                <c:pt idx="30" formatCode="General">
                  <c:v>-2.0233599999999998</c:v>
                </c:pt>
                <c:pt idx="31" formatCode="General">
                  <c:v>-2.2435399999999999</c:v>
                </c:pt>
                <c:pt idx="32" formatCode="General">
                  <c:v>-2.4407199999999998</c:v>
                </c:pt>
                <c:pt idx="33" formatCode="General">
                  <c:v>-2.6190600000000002</c:v>
                </c:pt>
                <c:pt idx="34" formatCode="General">
                  <c:v>-2.7822100000000001</c:v>
                </c:pt>
                <c:pt idx="35" formatCode="General">
                  <c:v>-2.93323</c:v>
                </c:pt>
                <c:pt idx="36" formatCode="General">
                  <c:v>-3.0745499999999999</c:v>
                </c:pt>
                <c:pt idx="37" formatCode="General">
                  <c:v>-3.2080099999999998</c:v>
                </c:pt>
                <c:pt idx="38" formatCode="General">
                  <c:v>-3.33494</c:v>
                </c:pt>
                <c:pt idx="39" formatCode="General">
                  <c:v>-3.4562400000000002</c:v>
                </c:pt>
                <c:pt idx="40" formatCode="General">
                  <c:v>-3.57246</c:v>
                </c:pt>
                <c:pt idx="41" formatCode="General">
                  <c:v>-3.6839200000000001</c:v>
                </c:pt>
                <c:pt idx="42" formatCode="General">
                  <c:v>-3.79074</c:v>
                </c:pt>
                <c:pt idx="43" formatCode="General">
                  <c:v>-3.8929399999999998</c:v>
                </c:pt>
                <c:pt idx="44" formatCode="General">
                  <c:v>-3.9904799999999998</c:v>
                </c:pt>
                <c:pt idx="45" formatCode="General">
                  <c:v>-4.0833000000000004</c:v>
                </c:pt>
                <c:pt idx="46" formatCode="General">
                  <c:v>-4.17136</c:v>
                </c:pt>
                <c:pt idx="47" formatCode="General">
                  <c:v>-4.2546200000000001</c:v>
                </c:pt>
                <c:pt idx="48" formatCode="General">
                  <c:v>-4.3331099999999996</c:v>
                </c:pt>
                <c:pt idx="49" formatCode="General">
                  <c:v>-4.4068899999999998</c:v>
                </c:pt>
                <c:pt idx="50" formatCode="General">
                  <c:v>-4.4760299999999997</c:v>
                </c:pt>
                <c:pt idx="51" formatCode="General">
                  <c:v>-4.5406899999999997</c:v>
                </c:pt>
                <c:pt idx="52" formatCode="General">
                  <c:v>-4.6010099999999996</c:v>
                </c:pt>
                <c:pt idx="53" formatCode="General">
                  <c:v>-4.6571899999999999</c:v>
                </c:pt>
                <c:pt idx="54" formatCode="General">
                  <c:v>-4.7094399999999998</c:v>
                </c:pt>
                <c:pt idx="55" formatCode="General">
                  <c:v>-4.7579599999999997</c:v>
                </c:pt>
                <c:pt idx="56" formatCode="General">
                  <c:v>-4.8029700000000002</c:v>
                </c:pt>
                <c:pt idx="57" formatCode="General">
                  <c:v>-4.8447100000000001</c:v>
                </c:pt>
                <c:pt idx="58" formatCode="General">
                  <c:v>-4.8833700000000002</c:v>
                </c:pt>
                <c:pt idx="59" formatCode="General">
                  <c:v>-4.9191700000000003</c:v>
                </c:pt>
                <c:pt idx="60" formatCode="General">
                  <c:v>-4.9523099999999998</c:v>
                </c:pt>
                <c:pt idx="61" formatCode="General">
                  <c:v>-4.9829699999999999</c:v>
                </c:pt>
                <c:pt idx="62" formatCode="General">
                  <c:v>-5.0113099999999999</c:v>
                </c:pt>
                <c:pt idx="63" formatCode="General">
                  <c:v>-5.0375100000000002</c:v>
                </c:pt>
                <c:pt idx="64" formatCode="General">
                  <c:v>-5.0617000000000001</c:v>
                </c:pt>
                <c:pt idx="65" formatCode="General">
                  <c:v>-5.0840300000000003</c:v>
                </c:pt>
                <c:pt idx="66" formatCode="General">
                  <c:v>-5.1046100000000001</c:v>
                </c:pt>
                <c:pt idx="67" formatCode="General">
                  <c:v>-5.1235799999999996</c:v>
                </c:pt>
                <c:pt idx="68" formatCode="General">
                  <c:v>-5.1410400000000003</c:v>
                </c:pt>
                <c:pt idx="69" formatCode="General">
                  <c:v>-5.1571100000000003</c:v>
                </c:pt>
                <c:pt idx="70" formatCode="General">
                  <c:v>-5.1718700000000002</c:v>
                </c:pt>
                <c:pt idx="71" formatCode="General">
                  <c:v>-5.1854500000000003</c:v>
                </c:pt>
                <c:pt idx="72" formatCode="General">
                  <c:v>-5.19794</c:v>
                </c:pt>
                <c:pt idx="73" formatCode="General">
                  <c:v>-5.2094399999999998</c:v>
                </c:pt>
                <c:pt idx="74" formatCode="General">
                  <c:v>-5.2200499999999996</c:v>
                </c:pt>
                <c:pt idx="75" formatCode="General">
                  <c:v>-5.22987</c:v>
                </c:pt>
                <c:pt idx="76" formatCode="General">
                  <c:v>-5.2389799999999997</c:v>
                </c:pt>
                <c:pt idx="77" formatCode="General">
                  <c:v>-5.2474699999999999</c:v>
                </c:pt>
                <c:pt idx="78" formatCode="General">
                  <c:v>-5.2554100000000004</c:v>
                </c:pt>
                <c:pt idx="79" formatCode="General">
                  <c:v>-5.2628599999999999</c:v>
                </c:pt>
                <c:pt idx="80" formatCode="General">
                  <c:v>-5.2698700000000001</c:v>
                </c:pt>
                <c:pt idx="81" formatCode="General">
                  <c:v>-5.2764600000000002</c:v>
                </c:pt>
                <c:pt idx="82" formatCode="General">
                  <c:v>-5.2826300000000002</c:v>
                </c:pt>
                <c:pt idx="83" formatCode="General">
                  <c:v>-5.2883599999999999</c:v>
                </c:pt>
                <c:pt idx="84" formatCode="General">
                  <c:v>-5.2935999999999996</c:v>
                </c:pt>
                <c:pt idx="85" formatCode="General">
                  <c:v>-5.2983000000000002</c:v>
                </c:pt>
                <c:pt idx="86" formatCode="General">
                  <c:v>-5.3023600000000002</c:v>
                </c:pt>
                <c:pt idx="87" formatCode="General">
                  <c:v>-5.3056900000000002</c:v>
                </c:pt>
                <c:pt idx="88" formatCode="General">
                  <c:v>-5.3082200000000004</c:v>
                </c:pt>
                <c:pt idx="89" formatCode="General">
                  <c:v>-5.3098599999999996</c:v>
                </c:pt>
                <c:pt idx="90" formatCode="General">
                  <c:v>-5.3106099999999996</c:v>
                </c:pt>
                <c:pt idx="91" formatCode="General">
                  <c:v>-5.3105399999999996</c:v>
                </c:pt>
                <c:pt idx="92" formatCode="General">
                  <c:v>-5.3098599999999996</c:v>
                </c:pt>
                <c:pt idx="93" formatCode="General">
                  <c:v>-5.3089300000000001</c:v>
                </c:pt>
                <c:pt idx="94" formatCode="General">
                  <c:v>-5.3084300000000004</c:v>
                </c:pt>
                <c:pt idx="95" formatCode="General">
                  <c:v>-5.3084300000000004</c:v>
                </c:pt>
                <c:pt idx="96" formatCode="General">
                  <c:v>-5.3084300000000004</c:v>
                </c:pt>
                <c:pt idx="97" formatCode="General">
                  <c:v>-5.3084300000000004</c:v>
                </c:pt>
                <c:pt idx="98" formatCode="General">
                  <c:v>-5.3084300000000004</c:v>
                </c:pt>
                <c:pt idx="99" formatCode="General">
                  <c:v>-5.3084300000000004</c:v>
                </c:pt>
                <c:pt idx="100" formatCode="General">
                  <c:v>-5.3084300000000004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-798108000</c:v>
                </c:pt>
                <c:pt idx="1">
                  <c:v>-798108000</c:v>
                </c:pt>
                <c:pt idx="2">
                  <c:v>-441054000</c:v>
                </c:pt>
                <c:pt idx="3">
                  <c:v>-240443000</c:v>
                </c:pt>
                <c:pt idx="4">
                  <c:v>-129205000</c:v>
                </c:pt>
                <c:pt idx="5">
                  <c:v>-68376700</c:v>
                </c:pt>
                <c:pt idx="6">
                  <c:v>-35602500</c:v>
                </c:pt>
                <c:pt idx="7">
                  <c:v>-18219100</c:v>
                </c:pt>
                <c:pt idx="8">
                  <c:v>-9152240</c:v>
                </c:pt>
                <c:pt idx="9">
                  <c:v>-4507080</c:v>
                </c:pt>
                <c:pt idx="10">
                  <c:v>-2172560</c:v>
                </c:pt>
                <c:pt idx="11">
                  <c:v>-1023310</c:v>
                </c:pt>
                <c:pt idx="12" formatCode="General">
                  <c:v>-470053</c:v>
                </c:pt>
                <c:pt idx="13" formatCode="General">
                  <c:v>-210083</c:v>
                </c:pt>
                <c:pt idx="14" formatCode="General">
                  <c:v>-91107.3</c:v>
                </c:pt>
                <c:pt idx="15" formatCode="General">
                  <c:v>-38209.4</c:v>
                </c:pt>
                <c:pt idx="16" formatCode="General">
                  <c:v>-15427.9</c:v>
                </c:pt>
                <c:pt idx="17" formatCode="General">
                  <c:v>-5957.99</c:v>
                </c:pt>
                <c:pt idx="18" formatCode="General">
                  <c:v>-2175.4899999999998</c:v>
                </c:pt>
                <c:pt idx="19" formatCode="General">
                  <c:v>-732.53499999999997</c:v>
                </c:pt>
                <c:pt idx="20" formatCode="General">
                  <c:v>-211.75800000000001</c:v>
                </c:pt>
                <c:pt idx="21" formatCode="General">
                  <c:v>-37.148099999999999</c:v>
                </c:pt>
                <c:pt idx="22" formatCode="General">
                  <c:v>14.7721</c:v>
                </c:pt>
                <c:pt idx="23" formatCode="General">
                  <c:v>26.223099999999999</c:v>
                </c:pt>
                <c:pt idx="24" formatCode="General">
                  <c:v>25.6404</c:v>
                </c:pt>
                <c:pt idx="25" formatCode="General">
                  <c:v>22.1508</c:v>
                </c:pt>
                <c:pt idx="26" formatCode="General">
                  <c:v>18.4086</c:v>
                </c:pt>
                <c:pt idx="27" formatCode="General">
                  <c:v>15.068199999999999</c:v>
                </c:pt>
                <c:pt idx="28" formatCode="General">
                  <c:v>12.225300000000001</c:v>
                </c:pt>
                <c:pt idx="29" formatCode="General">
                  <c:v>9.8405900000000006</c:v>
                </c:pt>
                <c:pt idx="30" formatCode="General">
                  <c:v>7.8518499999999998</c:v>
                </c:pt>
                <c:pt idx="31" formatCode="General">
                  <c:v>6.1991399999999999</c:v>
                </c:pt>
                <c:pt idx="32" formatCode="General">
                  <c:v>4.82951</c:v>
                </c:pt>
                <c:pt idx="33" formatCode="General">
                  <c:v>3.69693</c:v>
                </c:pt>
                <c:pt idx="34" formatCode="General">
                  <c:v>2.7614999999999998</c:v>
                </c:pt>
                <c:pt idx="35" formatCode="General">
                  <c:v>1.98868</c:v>
                </c:pt>
                <c:pt idx="36" formatCode="General">
                  <c:v>1.3488599999999999</c:v>
                </c:pt>
                <c:pt idx="37" formatCode="General">
                  <c:v>0.81700899999999999</c:v>
                </c:pt>
                <c:pt idx="38" formatCode="General">
                  <c:v>0.37234299999999998</c:v>
                </c:pt>
                <c:pt idx="39" formatCode="General">
                  <c:v>-2.0972600000000001E-3</c:v>
                </c:pt>
                <c:pt idx="40" formatCode="General">
                  <c:v>-0.319942</c:v>
                </c:pt>
                <c:pt idx="41" formatCode="General">
                  <c:v>-0.59206199999999998</c:v>
                </c:pt>
                <c:pt idx="42" formatCode="General">
                  <c:v>-0.82711999999999997</c:v>
                </c:pt>
                <c:pt idx="43" formatCode="General">
                  <c:v>-1.0320499999999999</c:v>
                </c:pt>
                <c:pt idx="44" formatCode="General">
                  <c:v>-1.2124600000000001</c:v>
                </c:pt>
                <c:pt idx="45" formatCode="General">
                  <c:v>-1.3728800000000001</c:v>
                </c:pt>
                <c:pt idx="46" formatCode="General">
                  <c:v>-1.5169900000000001</c:v>
                </c:pt>
                <c:pt idx="47" formatCode="General">
                  <c:v>-1.64775</c:v>
                </c:pt>
                <c:pt idx="48" formatCode="General">
                  <c:v>-1.76753</c:v>
                </c:pt>
                <c:pt idx="49" formatCode="General">
                  <c:v>-1.8781399999999999</c:v>
                </c:pt>
                <c:pt idx="50" formatCode="General">
                  <c:v>-1.9809600000000001</c:v>
                </c:pt>
                <c:pt idx="51" formatCode="General">
                  <c:v>-2.07701</c:v>
                </c:pt>
                <c:pt idx="52" formatCode="General">
                  <c:v>-2.1670199999999999</c:v>
                </c:pt>
                <c:pt idx="53" formatCode="General">
                  <c:v>-2.25149</c:v>
                </c:pt>
                <c:pt idx="54" formatCode="General">
                  <c:v>-2.3308</c:v>
                </c:pt>
                <c:pt idx="55" formatCode="General">
                  <c:v>-2.4052099999999998</c:v>
                </c:pt>
                <c:pt idx="56" formatCode="General">
                  <c:v>-2.4749699999999999</c:v>
                </c:pt>
                <c:pt idx="57" formatCode="General">
                  <c:v>-2.5402900000000002</c:v>
                </c:pt>
                <c:pt idx="58" formatCode="General">
                  <c:v>-2.6013999999999999</c:v>
                </c:pt>
                <c:pt idx="59" formatCode="General">
                  <c:v>-2.6585700000000001</c:v>
                </c:pt>
                <c:pt idx="60" formatCode="General">
                  <c:v>-2.7120799999999998</c:v>
                </c:pt>
                <c:pt idx="61" formatCode="General">
                  <c:v>-2.76227</c:v>
                </c:pt>
                <c:pt idx="62" formatCode="General">
                  <c:v>-2.8094700000000001</c:v>
                </c:pt>
                <c:pt idx="63" formatCode="General">
                  <c:v>-2.8540299999999998</c:v>
                </c:pt>
                <c:pt idx="64" formatCode="General">
                  <c:v>-2.8963299999999998</c:v>
                </c:pt>
                <c:pt idx="65" formatCode="General">
                  <c:v>-2.93669</c:v>
                </c:pt>
                <c:pt idx="66" formatCode="General">
                  <c:v>-2.9754299999999998</c:v>
                </c:pt>
                <c:pt idx="67" formatCode="General">
                  <c:v>-3.0128400000000002</c:v>
                </c:pt>
                <c:pt idx="68" formatCode="General">
                  <c:v>-3.0491600000000001</c:v>
                </c:pt>
                <c:pt idx="69" formatCode="General">
                  <c:v>-3.0845600000000002</c:v>
                </c:pt>
                <c:pt idx="70" formatCode="General">
                  <c:v>-3.11917</c:v>
                </c:pt>
                <c:pt idx="71" formatCode="General">
                  <c:v>-3.15307</c:v>
                </c:pt>
                <c:pt idx="72" formatCode="General">
                  <c:v>-3.1862699999999999</c:v>
                </c:pt>
                <c:pt idx="73" formatCode="General">
                  <c:v>-3.21875</c:v>
                </c:pt>
                <c:pt idx="74" formatCode="General">
                  <c:v>-3.2504300000000002</c:v>
                </c:pt>
                <c:pt idx="75" formatCode="General">
                  <c:v>-3.2812100000000002</c:v>
                </c:pt>
                <c:pt idx="76" formatCode="General">
                  <c:v>-3.3109799999999998</c:v>
                </c:pt>
                <c:pt idx="77" formatCode="General">
                  <c:v>-3.3396300000000001</c:v>
                </c:pt>
                <c:pt idx="78" formatCode="General">
                  <c:v>-3.36707</c:v>
                </c:pt>
                <c:pt idx="79" formatCode="General">
                  <c:v>-3.3932199999999999</c:v>
                </c:pt>
                <c:pt idx="80" formatCode="General">
                  <c:v>-3.4180799999999998</c:v>
                </c:pt>
                <c:pt idx="81" formatCode="General">
                  <c:v>-3.4416600000000002</c:v>
                </c:pt>
                <c:pt idx="82" formatCode="General">
                  <c:v>-3.46407</c:v>
                </c:pt>
                <c:pt idx="83" formatCode="General">
                  <c:v>-3.4854699999999998</c:v>
                </c:pt>
                <c:pt idx="84" formatCode="General">
                  <c:v>-3.5060600000000002</c:v>
                </c:pt>
                <c:pt idx="85" formatCode="General">
                  <c:v>-3.5260899999999999</c:v>
                </c:pt>
                <c:pt idx="86" formatCode="General">
                  <c:v>-3.54583</c:v>
                </c:pt>
                <c:pt idx="87" formatCode="General">
                  <c:v>-3.56549</c:v>
                </c:pt>
                <c:pt idx="88" formatCode="General">
                  <c:v>-3.5851999999999999</c:v>
                </c:pt>
                <c:pt idx="89" formatCode="General">
                  <c:v>-3.60494</c:v>
                </c:pt>
                <c:pt idx="90" formatCode="General">
                  <c:v>-3.62439</c:v>
                </c:pt>
                <c:pt idx="91" formatCode="General">
                  <c:v>-3.6428400000000001</c:v>
                </c:pt>
                <c:pt idx="92" formatCode="General">
                  <c:v>-3.6590600000000002</c:v>
                </c:pt>
                <c:pt idx="93" formatCode="General">
                  <c:v>-3.6710400000000001</c:v>
                </c:pt>
                <c:pt idx="94" formatCode="General">
                  <c:v>-3.6758799999999998</c:v>
                </c:pt>
                <c:pt idx="95" formatCode="General">
                  <c:v>-3.6758799999999998</c:v>
                </c:pt>
                <c:pt idx="96" formatCode="General">
                  <c:v>-3.6758799999999998</c:v>
                </c:pt>
                <c:pt idx="97" formatCode="General">
                  <c:v>-3.6758799999999998</c:v>
                </c:pt>
                <c:pt idx="98" formatCode="General">
                  <c:v>-3.6758799999999998</c:v>
                </c:pt>
                <c:pt idx="99" formatCode="General">
                  <c:v>-3.6758799999999998</c:v>
                </c:pt>
                <c:pt idx="100" formatCode="General">
                  <c:v>-3.6758799999999998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-36608200</c:v>
                </c:pt>
                <c:pt idx="1">
                  <c:v>-36608200</c:v>
                </c:pt>
                <c:pt idx="2">
                  <c:v>-19422000</c:v>
                </c:pt>
                <c:pt idx="3">
                  <c:v>-10176000</c:v>
                </c:pt>
                <c:pt idx="4">
                  <c:v>-5263430</c:v>
                </c:pt>
                <c:pt idx="5">
                  <c:v>-2686720</c:v>
                </c:pt>
                <c:pt idx="6">
                  <c:v>-1353060</c:v>
                </c:pt>
                <c:pt idx="7">
                  <c:v>-672140</c:v>
                </c:pt>
                <c:pt idx="8">
                  <c:v>-329315</c:v>
                </c:pt>
                <c:pt idx="9">
                  <c:v>-159145</c:v>
                </c:pt>
                <c:pt idx="10">
                  <c:v>-75876.800000000003</c:v>
                </c:pt>
                <c:pt idx="11">
                  <c:v>-35707.1</c:v>
                </c:pt>
                <c:pt idx="12">
                  <c:v>-16596.8</c:v>
                </c:pt>
                <c:pt idx="13">
                  <c:v>-7625.57</c:v>
                </c:pt>
                <c:pt idx="14">
                  <c:v>-3465.98</c:v>
                </c:pt>
                <c:pt idx="15" formatCode="General">
                  <c:v>-1558.64</c:v>
                </c:pt>
                <c:pt idx="16" formatCode="General">
                  <c:v>-692.4</c:v>
                </c:pt>
                <c:pt idx="17" formatCode="General">
                  <c:v>-302.18900000000002</c:v>
                </c:pt>
                <c:pt idx="18" formatCode="General">
                  <c:v>-127.75700000000001</c:v>
                </c:pt>
                <c:pt idx="19" formatCode="General">
                  <c:v>-50.535499999999999</c:v>
                </c:pt>
                <c:pt idx="20" formatCode="General">
                  <c:v>-16.944299999999998</c:v>
                </c:pt>
                <c:pt idx="21" formatCode="General">
                  <c:v>-2.8887100000000001</c:v>
                </c:pt>
                <c:pt idx="22" formatCode="General">
                  <c:v>2.4547599999999998</c:v>
                </c:pt>
                <c:pt idx="23" formatCode="General">
                  <c:v>3.96658</c:v>
                </c:pt>
                <c:pt idx="24" formatCode="General">
                  <c:v>3.8847200000000002</c:v>
                </c:pt>
                <c:pt idx="25" formatCode="General">
                  <c:v>3.23617</c:v>
                </c:pt>
                <c:pt idx="26" formatCode="General">
                  <c:v>2.4836800000000001</c:v>
                </c:pt>
                <c:pt idx="27" formatCode="General">
                  <c:v>1.82216</c:v>
                </c:pt>
                <c:pt idx="28" formatCode="General">
                  <c:v>1.31423</c:v>
                </c:pt>
                <c:pt idx="29" formatCode="General">
                  <c:v>0.95327899999999999</c:v>
                </c:pt>
                <c:pt idx="30" formatCode="General">
                  <c:v>0.69327099999999997</c:v>
                </c:pt>
                <c:pt idx="31" formatCode="General">
                  <c:v>0.47679199999999999</c:v>
                </c:pt>
                <c:pt idx="32" formatCode="General">
                  <c:v>0.28795999999999999</c:v>
                </c:pt>
                <c:pt idx="33" formatCode="General">
                  <c:v>0.12217699999999999</c:v>
                </c:pt>
                <c:pt idx="34" formatCode="General">
                  <c:v>-2.5034600000000001E-2</c:v>
                </c:pt>
                <c:pt idx="35" formatCode="General">
                  <c:v>-0.15745000000000001</c:v>
                </c:pt>
                <c:pt idx="36" formatCode="General">
                  <c:v>-0.27802399999999999</c:v>
                </c:pt>
                <c:pt idx="37" formatCode="General">
                  <c:v>-0.38898100000000002</c:v>
                </c:pt>
                <c:pt idx="38" formatCode="General">
                  <c:v>-0.49197200000000002</c:v>
                </c:pt>
                <c:pt idx="39" formatCode="General">
                  <c:v>-0.58822600000000003</c:v>
                </c:pt>
                <c:pt idx="40" formatCode="General">
                  <c:v>-0.67868200000000001</c:v>
                </c:pt>
                <c:pt idx="41" formatCode="General">
                  <c:v>-0.76407700000000001</c:v>
                </c:pt>
                <c:pt idx="42" formatCode="General">
                  <c:v>-0.84499999999999997</c:v>
                </c:pt>
                <c:pt idx="43" formatCode="General">
                  <c:v>-0.92193199999999997</c:v>
                </c:pt>
                <c:pt idx="44" formatCode="General">
                  <c:v>-0.99526300000000001</c:v>
                </c:pt>
                <c:pt idx="45" formatCode="General">
                  <c:v>-1.0652999999999999</c:v>
                </c:pt>
                <c:pt idx="46" formatCode="General">
                  <c:v>-1.1323000000000001</c:v>
                </c:pt>
                <c:pt idx="47" formatCode="General">
                  <c:v>-1.1964399999999999</c:v>
                </c:pt>
                <c:pt idx="48" formatCode="General">
                  <c:v>-1.25786</c:v>
                </c:pt>
                <c:pt idx="49" formatCode="General">
                  <c:v>-1.31667</c:v>
                </c:pt>
                <c:pt idx="50" formatCode="General">
                  <c:v>-1.37293</c:v>
                </c:pt>
                <c:pt idx="51" formatCode="General">
                  <c:v>-1.42669</c:v>
                </c:pt>
                <c:pt idx="52" formatCode="General">
                  <c:v>-1.47801</c:v>
                </c:pt>
                <c:pt idx="53" formatCode="General">
                  <c:v>-1.5269299999999999</c:v>
                </c:pt>
                <c:pt idx="54" formatCode="General">
                  <c:v>-1.57348</c:v>
                </c:pt>
                <c:pt idx="55" formatCode="General">
                  <c:v>-1.61772</c:v>
                </c:pt>
                <c:pt idx="56" formatCode="General">
                  <c:v>-1.6596900000000001</c:v>
                </c:pt>
                <c:pt idx="57" formatCode="General">
                  <c:v>-1.69947</c:v>
                </c:pt>
                <c:pt idx="58" formatCode="General">
                  <c:v>-1.73712</c:v>
                </c:pt>
                <c:pt idx="59" formatCode="General">
                  <c:v>-1.77274</c:v>
                </c:pt>
                <c:pt idx="60" formatCode="General">
                  <c:v>-1.8064199999999999</c:v>
                </c:pt>
                <c:pt idx="61" formatCode="General">
                  <c:v>-1.83826</c:v>
                </c:pt>
                <c:pt idx="62" formatCode="General">
                  <c:v>-1.86839</c:v>
                </c:pt>
                <c:pt idx="63" formatCode="General">
                  <c:v>-1.8969199999999999</c:v>
                </c:pt>
                <c:pt idx="64" formatCode="General">
                  <c:v>-1.92397</c:v>
                </c:pt>
                <c:pt idx="65" formatCode="General">
                  <c:v>-1.9496599999999999</c:v>
                </c:pt>
                <c:pt idx="66" formatCode="General">
                  <c:v>-1.9741299999999999</c:v>
                </c:pt>
                <c:pt idx="67" formatCode="General">
                  <c:v>-1.9974700000000001</c:v>
                </c:pt>
                <c:pt idx="68" formatCode="General">
                  <c:v>-2.0198</c:v>
                </c:pt>
                <c:pt idx="69" formatCode="General">
                  <c:v>-2.0411999999999999</c:v>
                </c:pt>
                <c:pt idx="70" formatCode="General">
                  <c:v>-2.06175</c:v>
                </c:pt>
                <c:pt idx="71" formatCode="General">
                  <c:v>-2.0815100000000002</c:v>
                </c:pt>
                <c:pt idx="72" formatCode="General">
                  <c:v>-2.1004999999999998</c:v>
                </c:pt>
                <c:pt idx="73" formatCode="General">
                  <c:v>-2.11876</c:v>
                </c:pt>
                <c:pt idx="74" formatCode="General">
                  <c:v>-2.1362800000000002</c:v>
                </c:pt>
                <c:pt idx="75" formatCode="General">
                  <c:v>-2.1530499999999999</c:v>
                </c:pt>
                <c:pt idx="76" formatCode="General">
                  <c:v>-2.1690499999999999</c:v>
                </c:pt>
                <c:pt idx="77" formatCode="General">
                  <c:v>-2.1842600000000001</c:v>
                </c:pt>
                <c:pt idx="78" formatCode="General">
                  <c:v>-2.1986500000000002</c:v>
                </c:pt>
                <c:pt idx="79" formatCode="General">
                  <c:v>-2.2122199999999999</c:v>
                </c:pt>
                <c:pt idx="80" formatCode="General">
                  <c:v>-2.2249599999999998</c:v>
                </c:pt>
                <c:pt idx="81" formatCode="General">
                  <c:v>-2.23692</c:v>
                </c:pt>
                <c:pt idx="82" formatCode="General">
                  <c:v>-2.2481599999999999</c:v>
                </c:pt>
                <c:pt idx="83" formatCode="General">
                  <c:v>-2.2587700000000002</c:v>
                </c:pt>
                <c:pt idx="84" formatCode="General">
                  <c:v>-2.2688799999999998</c:v>
                </c:pt>
                <c:pt idx="85" formatCode="General">
                  <c:v>-2.2786599999999999</c:v>
                </c:pt>
                <c:pt idx="86" formatCode="General">
                  <c:v>-2.2882699999999998</c:v>
                </c:pt>
                <c:pt idx="87" formatCode="General">
                  <c:v>-2.2978900000000002</c:v>
                </c:pt>
                <c:pt idx="88" formatCode="General">
                  <c:v>-2.3076300000000001</c:v>
                </c:pt>
                <c:pt idx="89" formatCode="General">
                  <c:v>-2.3175400000000002</c:v>
                </c:pt>
                <c:pt idx="90" formatCode="General">
                  <c:v>-2.3275100000000002</c:v>
                </c:pt>
                <c:pt idx="91" formatCode="General">
                  <c:v>-2.3372099999999998</c:v>
                </c:pt>
                <c:pt idx="92" formatCode="General">
                  <c:v>-2.3459400000000001</c:v>
                </c:pt>
                <c:pt idx="93" formatCode="General">
                  <c:v>-2.3525700000000001</c:v>
                </c:pt>
                <c:pt idx="94" formatCode="General">
                  <c:v>-2.3553000000000002</c:v>
                </c:pt>
                <c:pt idx="95" formatCode="General">
                  <c:v>-2.3553000000000002</c:v>
                </c:pt>
                <c:pt idx="96" formatCode="General">
                  <c:v>-2.3553000000000002</c:v>
                </c:pt>
                <c:pt idx="97" formatCode="General">
                  <c:v>-2.3553000000000002</c:v>
                </c:pt>
                <c:pt idx="98" formatCode="General">
                  <c:v>-2.3553000000000002</c:v>
                </c:pt>
                <c:pt idx="99" formatCode="General">
                  <c:v>-2.3553000000000002</c:v>
                </c:pt>
                <c:pt idx="100" formatCode="General">
                  <c:v>-2.3553000000000002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-36561100</c:v>
                </c:pt>
                <c:pt idx="1">
                  <c:v>-36561100</c:v>
                </c:pt>
                <c:pt idx="2">
                  <c:v>-16747600</c:v>
                </c:pt>
                <c:pt idx="3">
                  <c:v>-7463180</c:v>
                </c:pt>
                <c:pt idx="4">
                  <c:v>-3226250</c:v>
                </c:pt>
                <c:pt idx="5">
                  <c:v>-1348380</c:v>
                </c:pt>
                <c:pt idx="6">
                  <c:v>-542646</c:v>
                </c:pt>
                <c:pt idx="7">
                  <c:v>-209269</c:v>
                </c:pt>
                <c:pt idx="8">
                  <c:v>-76873.600000000006</c:v>
                </c:pt>
                <c:pt idx="9" formatCode="General">
                  <c:v>-26692.400000000001</c:v>
                </c:pt>
                <c:pt idx="10" formatCode="General">
                  <c:v>-8664.41</c:v>
                </c:pt>
                <c:pt idx="11" formatCode="General">
                  <c:v>-2577.0700000000002</c:v>
                </c:pt>
                <c:pt idx="12" formatCode="General">
                  <c:v>-665.61300000000006</c:v>
                </c:pt>
                <c:pt idx="13" formatCode="General">
                  <c:v>-115.96</c:v>
                </c:pt>
                <c:pt idx="14" formatCode="General">
                  <c:v>23.970800000000001</c:v>
                </c:pt>
                <c:pt idx="15" formatCode="General">
                  <c:v>51.2333</c:v>
                </c:pt>
                <c:pt idx="16" formatCode="General">
                  <c:v>50.375300000000003</c:v>
                </c:pt>
                <c:pt idx="17" formatCode="General">
                  <c:v>43.407800000000002</c:v>
                </c:pt>
                <c:pt idx="18" formatCode="General">
                  <c:v>35.834699999999998</c:v>
                </c:pt>
                <c:pt idx="19" formatCode="General">
                  <c:v>29.125800000000002</c:v>
                </c:pt>
                <c:pt idx="20" formatCode="General">
                  <c:v>23.6617</c:v>
                </c:pt>
                <c:pt idx="21" formatCode="General">
                  <c:v>19.412299999999998</c:v>
                </c:pt>
                <c:pt idx="22" formatCode="General">
                  <c:v>16.1754</c:v>
                </c:pt>
                <c:pt idx="23" formatCode="General">
                  <c:v>13.7125</c:v>
                </c:pt>
                <c:pt idx="24" formatCode="General">
                  <c:v>11.8202</c:v>
                </c:pt>
                <c:pt idx="25" formatCode="General">
                  <c:v>10.35</c:v>
                </c:pt>
                <c:pt idx="26" formatCode="General">
                  <c:v>9.2013800000000003</c:v>
                </c:pt>
                <c:pt idx="27" formatCode="General">
                  <c:v>8.3052700000000002</c:v>
                </c:pt>
                <c:pt idx="28" formatCode="General">
                  <c:v>7.6108500000000001</c:v>
                </c:pt>
                <c:pt idx="29" formatCode="General">
                  <c:v>7.0772300000000001</c:v>
                </c:pt>
                <c:pt idx="30" formatCode="General">
                  <c:v>6.6698899999999997</c:v>
                </c:pt>
                <c:pt idx="31" formatCode="General">
                  <c:v>6.3596500000000002</c:v>
                </c:pt>
                <c:pt idx="32" formatCode="General">
                  <c:v>6.1225300000000002</c:v>
                </c:pt>
                <c:pt idx="33" formatCode="General">
                  <c:v>5.9395499999999997</c:v>
                </c:pt>
                <c:pt idx="34" formatCode="General">
                  <c:v>5.7963100000000001</c:v>
                </c:pt>
                <c:pt idx="35" formatCode="General">
                  <c:v>5.6822499999999998</c:v>
                </c:pt>
                <c:pt idx="36" formatCode="General">
                  <c:v>5.5898599999999998</c:v>
                </c:pt>
                <c:pt idx="37" formatCode="General">
                  <c:v>5.5138499999999997</c:v>
                </c:pt>
                <c:pt idx="38" formatCode="General">
                  <c:v>5.4505600000000003</c:v>
                </c:pt>
                <c:pt idx="39" formatCode="General">
                  <c:v>5.3974000000000002</c:v>
                </c:pt>
                <c:pt idx="40" formatCode="General">
                  <c:v>5.3525299999999998</c:v>
                </c:pt>
                <c:pt idx="41" formatCode="General">
                  <c:v>5.3146100000000001</c:v>
                </c:pt>
                <c:pt idx="42" formatCode="General">
                  <c:v>5.28261</c:v>
                </c:pt>
                <c:pt idx="43" formatCode="General">
                  <c:v>5.2557099999999997</c:v>
                </c:pt>
                <c:pt idx="44" formatCode="General">
                  <c:v>5.2332200000000002</c:v>
                </c:pt>
                <c:pt idx="45" formatCode="General">
                  <c:v>5.2145099999999998</c:v>
                </c:pt>
                <c:pt idx="46" formatCode="General">
                  <c:v>5.1989900000000002</c:v>
                </c:pt>
                <c:pt idx="47" formatCode="General">
                  <c:v>5.1860200000000001</c:v>
                </c:pt>
                <c:pt idx="48" formatCode="General">
                  <c:v>5.1749999999999998</c:v>
                </c:pt>
                <c:pt idx="49" formatCode="General">
                  <c:v>5.1652899999999997</c:v>
                </c:pt>
                <c:pt idx="50" formatCode="General">
                  <c:v>5.1562700000000001</c:v>
                </c:pt>
                <c:pt idx="51" formatCode="General">
                  <c:v>5.1473599999999999</c:v>
                </c:pt>
                <c:pt idx="52" formatCode="General">
                  <c:v>5.1380499999999998</c:v>
                </c:pt>
                <c:pt idx="53" formatCode="General">
                  <c:v>5.1279399999999997</c:v>
                </c:pt>
                <c:pt idx="54" formatCode="General">
                  <c:v>5.1167100000000003</c:v>
                </c:pt>
                <c:pt idx="55" formatCode="General">
                  <c:v>5.1042100000000001</c:v>
                </c:pt>
                <c:pt idx="56" formatCode="General">
                  <c:v>5.0903600000000004</c:v>
                </c:pt>
                <c:pt idx="57" formatCode="General">
                  <c:v>5.0752100000000002</c:v>
                </c:pt>
                <c:pt idx="58" formatCode="General">
                  <c:v>5.0588800000000003</c:v>
                </c:pt>
                <c:pt idx="59" formatCode="General">
                  <c:v>5.0415400000000004</c:v>
                </c:pt>
                <c:pt idx="60" formatCode="General">
                  <c:v>5.0233999999999996</c:v>
                </c:pt>
                <c:pt idx="61" formatCode="General">
                  <c:v>5.0046600000000003</c:v>
                </c:pt>
                <c:pt idx="62" formatCode="General">
                  <c:v>4.9854900000000004</c:v>
                </c:pt>
                <c:pt idx="63" formatCode="General">
                  <c:v>4.9660299999999999</c:v>
                </c:pt>
                <c:pt idx="64" formatCode="General">
                  <c:v>4.9463999999999997</c:v>
                </c:pt>
                <c:pt idx="65" formatCode="General">
                  <c:v>4.9266500000000004</c:v>
                </c:pt>
                <c:pt idx="66" formatCode="General">
                  <c:v>4.90679</c:v>
                </c:pt>
                <c:pt idx="67" formatCode="General">
                  <c:v>4.8868200000000002</c:v>
                </c:pt>
                <c:pt idx="68" formatCode="General">
                  <c:v>4.8666900000000002</c:v>
                </c:pt>
                <c:pt idx="69" formatCode="General">
                  <c:v>4.8463700000000003</c:v>
                </c:pt>
                <c:pt idx="70" formatCode="General">
                  <c:v>4.8258000000000001</c:v>
                </c:pt>
                <c:pt idx="71" formatCode="General">
                  <c:v>4.80497</c:v>
                </c:pt>
                <c:pt idx="72" formatCode="General">
                  <c:v>4.7838799999999999</c:v>
                </c:pt>
                <c:pt idx="73" formatCode="General">
                  <c:v>4.7625400000000004</c:v>
                </c:pt>
                <c:pt idx="74" formatCode="General">
                  <c:v>4.7410300000000003</c:v>
                </c:pt>
                <c:pt idx="75" formatCode="General">
                  <c:v>4.7194399999999996</c:v>
                </c:pt>
                <c:pt idx="76" formatCode="General">
                  <c:v>4.6978600000000004</c:v>
                </c:pt>
                <c:pt idx="77" formatCode="General">
                  <c:v>4.6764200000000002</c:v>
                </c:pt>
                <c:pt idx="78" formatCode="General">
                  <c:v>4.6552499999999997</c:v>
                </c:pt>
                <c:pt idx="79" formatCode="General">
                  <c:v>4.6344500000000002</c:v>
                </c:pt>
                <c:pt idx="80" formatCode="General">
                  <c:v>4.6140699999999999</c:v>
                </c:pt>
                <c:pt idx="81" formatCode="General">
                  <c:v>4.59415</c:v>
                </c:pt>
                <c:pt idx="82" formatCode="General">
                  <c:v>4.57463</c:v>
                </c:pt>
                <c:pt idx="83" formatCode="General">
                  <c:v>4.5553900000000001</c:v>
                </c:pt>
                <c:pt idx="84" formatCode="General">
                  <c:v>4.5362600000000004</c:v>
                </c:pt>
                <c:pt idx="85" formatCode="General">
                  <c:v>4.5169899999999998</c:v>
                </c:pt>
                <c:pt idx="86" formatCode="General">
                  <c:v>4.4973099999999997</c:v>
                </c:pt>
                <c:pt idx="87" formatCode="General">
                  <c:v>4.4769699999999997</c:v>
                </c:pt>
                <c:pt idx="88" formatCode="General">
                  <c:v>4.4558</c:v>
                </c:pt>
                <c:pt idx="89" formatCode="General">
                  <c:v>4.4338600000000001</c:v>
                </c:pt>
                <c:pt idx="90" formatCode="General">
                  <c:v>4.4115099999999998</c:v>
                </c:pt>
                <c:pt idx="91" formatCode="General">
                  <c:v>4.38964</c:v>
                </c:pt>
                <c:pt idx="92" formatCode="General">
                  <c:v>4.3699000000000003</c:v>
                </c:pt>
                <c:pt idx="93" formatCode="General">
                  <c:v>4.35494</c:v>
                </c:pt>
                <c:pt idx="94" formatCode="General">
                  <c:v>4.3487799999999996</c:v>
                </c:pt>
                <c:pt idx="95" formatCode="General">
                  <c:v>4.3487799999999996</c:v>
                </c:pt>
                <c:pt idx="96" formatCode="General">
                  <c:v>4.3487799999999996</c:v>
                </c:pt>
                <c:pt idx="97" formatCode="General">
                  <c:v>4.3487799999999996</c:v>
                </c:pt>
                <c:pt idx="98" formatCode="General">
                  <c:v>4.3487799999999996</c:v>
                </c:pt>
                <c:pt idx="99" formatCode="General">
                  <c:v>4.3487799999999996</c:v>
                </c:pt>
                <c:pt idx="100" formatCode="General">
                  <c:v>4.3487799999999996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-65045700000</c:v>
                </c:pt>
                <c:pt idx="1">
                  <c:v>-65045700000</c:v>
                </c:pt>
                <c:pt idx="2">
                  <c:v>-37358000000</c:v>
                </c:pt>
                <c:pt idx="3">
                  <c:v>-21252400000</c:v>
                </c:pt>
                <c:pt idx="4">
                  <c:v>-11970600000</c:v>
                </c:pt>
                <c:pt idx="5">
                  <c:v>-6672900000</c:v>
                </c:pt>
                <c:pt idx="6">
                  <c:v>-3679540000</c:v>
                </c:pt>
                <c:pt idx="7">
                  <c:v>-2005980000</c:v>
                </c:pt>
                <c:pt idx="8">
                  <c:v>-1080610000</c:v>
                </c:pt>
                <c:pt idx="9">
                  <c:v>-574839000</c:v>
                </c:pt>
                <c:pt idx="10">
                  <c:v>-301760000</c:v>
                </c:pt>
                <c:pt idx="11">
                  <c:v>-156201000</c:v>
                </c:pt>
                <c:pt idx="12">
                  <c:v>-79660900</c:v>
                </c:pt>
                <c:pt idx="13">
                  <c:v>-39988300</c:v>
                </c:pt>
                <c:pt idx="14">
                  <c:v>-19736900</c:v>
                </c:pt>
                <c:pt idx="15">
                  <c:v>-9566500</c:v>
                </c:pt>
                <c:pt idx="16">
                  <c:v>-4547160</c:v>
                </c:pt>
                <c:pt idx="17">
                  <c:v>-2116060</c:v>
                </c:pt>
                <c:pt idx="18" formatCode="General">
                  <c:v>-962233</c:v>
                </c:pt>
                <c:pt idx="19" formatCode="General">
                  <c:v>-426575</c:v>
                </c:pt>
                <c:pt idx="20" formatCode="General">
                  <c:v>-183851</c:v>
                </c:pt>
                <c:pt idx="21" formatCode="General">
                  <c:v>-76774.5</c:v>
                </c:pt>
                <c:pt idx="22" formatCode="General">
                  <c:v>-30932.1</c:v>
                </c:pt>
                <c:pt idx="23" formatCode="General">
                  <c:v>-11960.2</c:v>
                </c:pt>
                <c:pt idx="24" formatCode="General">
                  <c:v>-4408.59</c:v>
                </c:pt>
                <c:pt idx="25" formatCode="General">
                  <c:v>-1536.41</c:v>
                </c:pt>
                <c:pt idx="26" formatCode="General">
                  <c:v>-501.58300000000003</c:v>
                </c:pt>
                <c:pt idx="27" formatCode="General">
                  <c:v>-152.42400000000001</c:v>
                </c:pt>
                <c:pt idx="28" formatCode="General">
                  <c:v>-43.712200000000003</c:v>
                </c:pt>
                <c:pt idx="29" formatCode="General">
                  <c:v>-12.955299999999999</c:v>
                </c:pt>
                <c:pt idx="30" formatCode="General">
                  <c:v>-5.0363699999999998</c:v>
                </c:pt>
                <c:pt idx="31" formatCode="General">
                  <c:v>-3.0055299999999998</c:v>
                </c:pt>
                <c:pt idx="32" formatCode="General">
                  <c:v>-2.3126099999999998</c:v>
                </c:pt>
                <c:pt idx="33" formatCode="General">
                  <c:v>-1.96373</c:v>
                </c:pt>
                <c:pt idx="34" formatCode="General">
                  <c:v>-1.7941499999999999</c:v>
                </c:pt>
                <c:pt idx="35" formatCode="General">
                  <c:v>-1.7618400000000001</c:v>
                </c:pt>
                <c:pt idx="36" formatCode="General">
                  <c:v>-1.8230200000000001</c:v>
                </c:pt>
                <c:pt idx="37" formatCode="General">
                  <c:v>-1.93435</c:v>
                </c:pt>
                <c:pt idx="38" formatCode="General">
                  <c:v>-2.0640900000000002</c:v>
                </c:pt>
                <c:pt idx="39" formatCode="General">
                  <c:v>-2.1942400000000002</c:v>
                </c:pt>
                <c:pt idx="40" formatCode="General">
                  <c:v>-2.31704</c:v>
                </c:pt>
                <c:pt idx="41" formatCode="General">
                  <c:v>-2.43066</c:v>
                </c:pt>
                <c:pt idx="42" formatCode="General">
                  <c:v>-2.5358000000000001</c:v>
                </c:pt>
                <c:pt idx="43" formatCode="General">
                  <c:v>-2.6339000000000001</c:v>
                </c:pt>
                <c:pt idx="44" formatCode="General">
                  <c:v>-2.7262400000000002</c:v>
                </c:pt>
                <c:pt idx="45" formatCode="General">
                  <c:v>-2.8137300000000001</c:v>
                </c:pt>
                <c:pt idx="46" formatCode="General">
                  <c:v>-2.89697</c:v>
                </c:pt>
                <c:pt idx="47" formatCode="General">
                  <c:v>-2.9763500000000001</c:v>
                </c:pt>
                <c:pt idx="48" formatCode="General">
                  <c:v>-3.0521699999999998</c:v>
                </c:pt>
                <c:pt idx="49" formatCode="General">
                  <c:v>-3.1246999999999998</c:v>
                </c:pt>
                <c:pt idx="50" formatCode="General">
                  <c:v>-3.1942200000000001</c:v>
                </c:pt>
                <c:pt idx="51" formatCode="General">
                  <c:v>-3.2610000000000001</c:v>
                </c:pt>
                <c:pt idx="52" formatCode="General">
                  <c:v>-3.3253300000000001</c:v>
                </c:pt>
                <c:pt idx="53" formatCode="General">
                  <c:v>-3.38747</c:v>
                </c:pt>
                <c:pt idx="54" formatCode="General">
                  <c:v>-3.4476200000000001</c:v>
                </c:pt>
                <c:pt idx="55" formatCode="General">
                  <c:v>-3.50597</c:v>
                </c:pt>
                <c:pt idx="56" formatCode="General">
                  <c:v>-3.5626199999999999</c:v>
                </c:pt>
                <c:pt idx="57" formatCode="General">
                  <c:v>-3.6176300000000001</c:v>
                </c:pt>
                <c:pt idx="58" formatCode="General">
                  <c:v>-3.6709800000000001</c:v>
                </c:pt>
                <c:pt idx="59" formatCode="General">
                  <c:v>-3.7226499999999998</c:v>
                </c:pt>
                <c:pt idx="60" formatCode="General">
                  <c:v>-3.7725399999999998</c:v>
                </c:pt>
                <c:pt idx="61" formatCode="General">
                  <c:v>-3.82056</c:v>
                </c:pt>
                <c:pt idx="62" formatCode="General">
                  <c:v>-3.8666</c:v>
                </c:pt>
                <c:pt idx="63" formatCode="General">
                  <c:v>-3.9105699999999999</c:v>
                </c:pt>
                <c:pt idx="64" formatCode="General">
                  <c:v>-3.9523999999999999</c:v>
                </c:pt>
                <c:pt idx="65" formatCode="General">
                  <c:v>-3.9920300000000002</c:v>
                </c:pt>
                <c:pt idx="66" formatCode="General">
                  <c:v>-4.0294699999999999</c:v>
                </c:pt>
                <c:pt idx="67" formatCode="General">
                  <c:v>-4.06473</c:v>
                </c:pt>
                <c:pt idx="68" formatCode="General">
                  <c:v>-4.0978899999999996</c:v>
                </c:pt>
                <c:pt idx="69" formatCode="General">
                  <c:v>-4.1290199999999997</c:v>
                </c:pt>
                <c:pt idx="70" formatCode="General">
                  <c:v>-4.1582600000000003</c:v>
                </c:pt>
                <c:pt idx="71" formatCode="General">
                  <c:v>-4.1857100000000003</c:v>
                </c:pt>
                <c:pt idx="72" formatCode="General">
                  <c:v>-4.2115200000000002</c:v>
                </c:pt>
                <c:pt idx="73" formatCode="General">
                  <c:v>-4.2358200000000004</c:v>
                </c:pt>
                <c:pt idx="74" formatCode="General">
                  <c:v>-4.2587299999999999</c:v>
                </c:pt>
                <c:pt idx="75" formatCode="General">
                  <c:v>-4.2803500000000003</c:v>
                </c:pt>
                <c:pt idx="76" formatCode="General">
                  <c:v>-4.3007799999999996</c:v>
                </c:pt>
                <c:pt idx="77" formatCode="General">
                  <c:v>-4.3201000000000001</c:v>
                </c:pt>
                <c:pt idx="78" formatCode="General">
                  <c:v>-4.3383500000000002</c:v>
                </c:pt>
                <c:pt idx="79" formatCode="General">
                  <c:v>-4.3555799999999998</c:v>
                </c:pt>
                <c:pt idx="80" formatCode="General">
                  <c:v>-4.3718199999999996</c:v>
                </c:pt>
                <c:pt idx="81" formatCode="General">
                  <c:v>-4.3870699999999996</c:v>
                </c:pt>
                <c:pt idx="82" formatCode="General">
                  <c:v>-4.4013400000000003</c:v>
                </c:pt>
                <c:pt idx="83" formatCode="General">
                  <c:v>-4.4146299999999998</c:v>
                </c:pt>
                <c:pt idx="84" formatCode="General">
                  <c:v>-4.42692</c:v>
                </c:pt>
                <c:pt idx="85" formatCode="General">
                  <c:v>-4.4382099999999998</c:v>
                </c:pt>
                <c:pt idx="86" formatCode="General">
                  <c:v>-4.4484899999999996</c:v>
                </c:pt>
                <c:pt idx="87" formatCode="General">
                  <c:v>-4.4577600000000004</c:v>
                </c:pt>
                <c:pt idx="88" formatCode="General">
                  <c:v>-4.4660200000000003</c:v>
                </c:pt>
                <c:pt idx="89" formatCode="General">
                  <c:v>-4.4732700000000003</c:v>
                </c:pt>
                <c:pt idx="90" formatCode="General">
                  <c:v>-4.4794799999999997</c:v>
                </c:pt>
                <c:pt idx="91" formatCode="General">
                  <c:v>-4.4846199999999996</c:v>
                </c:pt>
                <c:pt idx="92" formatCode="General">
                  <c:v>-4.4885799999999998</c:v>
                </c:pt>
                <c:pt idx="93" formatCode="General">
                  <c:v>-4.4911899999999996</c:v>
                </c:pt>
                <c:pt idx="94" formatCode="General">
                  <c:v>-4.4921499999999996</c:v>
                </c:pt>
                <c:pt idx="95" formatCode="General">
                  <c:v>-4.4921499999999996</c:v>
                </c:pt>
                <c:pt idx="96" formatCode="General">
                  <c:v>-4.4921499999999996</c:v>
                </c:pt>
                <c:pt idx="97" formatCode="General">
                  <c:v>-4.4921499999999996</c:v>
                </c:pt>
                <c:pt idx="98" formatCode="General">
                  <c:v>-4.4921499999999996</c:v>
                </c:pt>
                <c:pt idx="99" formatCode="General">
                  <c:v>-4.4921499999999996</c:v>
                </c:pt>
                <c:pt idx="100" formatCode="General">
                  <c:v>-4.4921499999999996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-882301000</c:v>
                </c:pt>
                <c:pt idx="1">
                  <c:v>-882301000</c:v>
                </c:pt>
                <c:pt idx="2">
                  <c:v>-442141000</c:v>
                </c:pt>
                <c:pt idx="3">
                  <c:v>-217631000</c:v>
                </c:pt>
                <c:pt idx="4">
                  <c:v>-105105000</c:v>
                </c:pt>
                <c:pt idx="5">
                  <c:v>-49747000</c:v>
                </c:pt>
                <c:pt idx="6">
                  <c:v>-23048600</c:v>
                </c:pt>
                <c:pt idx="7">
                  <c:v>-10441400</c:v>
                </c:pt>
                <c:pt idx="8">
                  <c:v>-4620350</c:v>
                </c:pt>
                <c:pt idx="9">
                  <c:v>-1995740</c:v>
                </c:pt>
                <c:pt idx="10" formatCode="General">
                  <c:v>-841458</c:v>
                </c:pt>
                <c:pt idx="11" formatCode="General">
                  <c:v>-346685</c:v>
                </c:pt>
                <c:pt idx="12" formatCode="General">
                  <c:v>-139982</c:v>
                </c:pt>
                <c:pt idx="13" formatCode="General">
                  <c:v>-55696.800000000003</c:v>
                </c:pt>
                <c:pt idx="14" formatCode="General">
                  <c:v>-22024.3</c:v>
                </c:pt>
                <c:pt idx="15" formatCode="General">
                  <c:v>-8747.6</c:v>
                </c:pt>
                <c:pt idx="16" formatCode="General">
                  <c:v>-3521.91</c:v>
                </c:pt>
                <c:pt idx="17" formatCode="General">
                  <c:v>-1439.76</c:v>
                </c:pt>
                <c:pt idx="18" formatCode="General">
                  <c:v>-590.48299999999995</c:v>
                </c:pt>
                <c:pt idx="19" formatCode="General">
                  <c:v>-235.904</c:v>
                </c:pt>
                <c:pt idx="20" formatCode="General">
                  <c:v>-87.051199999999994</c:v>
                </c:pt>
                <c:pt idx="21" formatCode="General">
                  <c:v>-26.543399999999998</c:v>
                </c:pt>
                <c:pt idx="22" formatCode="General">
                  <c:v>-4.2224199999999996</c:v>
                </c:pt>
                <c:pt idx="23" formatCode="General">
                  <c:v>2.22126</c:v>
                </c:pt>
                <c:pt idx="24" formatCode="General">
                  <c:v>2.7597499999999999</c:v>
                </c:pt>
                <c:pt idx="25" formatCode="General">
                  <c:v>1.6346099999999999</c:v>
                </c:pt>
                <c:pt idx="26" formatCode="General">
                  <c:v>0.43393100000000001</c:v>
                </c:pt>
                <c:pt idx="27" formatCode="General">
                  <c:v>-0.40740999999999999</c:v>
                </c:pt>
                <c:pt idx="28" formatCode="General">
                  <c:v>-0.88955700000000004</c:v>
                </c:pt>
                <c:pt idx="29" formatCode="General">
                  <c:v>-1.1309100000000001</c:v>
                </c:pt>
                <c:pt idx="30" formatCode="General">
                  <c:v>-1.2501500000000001</c:v>
                </c:pt>
                <c:pt idx="31" formatCode="General">
                  <c:v>-1.3315699999999999</c:v>
                </c:pt>
                <c:pt idx="32" formatCode="General">
                  <c:v>-1.41</c:v>
                </c:pt>
                <c:pt idx="33" formatCode="General">
                  <c:v>-1.4959100000000001</c:v>
                </c:pt>
                <c:pt idx="34" formatCode="General">
                  <c:v>-1.5902499999999999</c:v>
                </c:pt>
                <c:pt idx="35" formatCode="General">
                  <c:v>-1.69049</c:v>
                </c:pt>
                <c:pt idx="36" formatCode="General">
                  <c:v>-1.7936000000000001</c:v>
                </c:pt>
                <c:pt idx="37" formatCode="General">
                  <c:v>-1.8971100000000001</c:v>
                </c:pt>
                <c:pt idx="38" formatCode="General">
                  <c:v>-1.99936</c:v>
                </c:pt>
                <c:pt idx="39" formatCode="General">
                  <c:v>-2.0992700000000002</c:v>
                </c:pt>
                <c:pt idx="40" formatCode="General">
                  <c:v>-2.1961300000000001</c:v>
                </c:pt>
                <c:pt idx="41" formatCode="General">
                  <c:v>-2.2894700000000001</c:v>
                </c:pt>
                <c:pt idx="42" formatCode="General">
                  <c:v>-2.3789199999999999</c:v>
                </c:pt>
                <c:pt idx="43" formatCode="General">
                  <c:v>-2.4641799999999998</c:v>
                </c:pt>
                <c:pt idx="44" formatCode="General">
                  <c:v>-2.5450300000000001</c:v>
                </c:pt>
                <c:pt idx="45" formatCode="General">
                  <c:v>-2.6213700000000002</c:v>
                </c:pt>
                <c:pt idx="46" formatCode="General">
                  <c:v>-2.6931699999999998</c:v>
                </c:pt>
                <c:pt idx="47" formatCode="General">
                  <c:v>-2.7605200000000001</c:v>
                </c:pt>
                <c:pt idx="48" formatCode="General">
                  <c:v>-2.8236300000000001</c:v>
                </c:pt>
                <c:pt idx="49" formatCode="General">
                  <c:v>-2.8827699999999998</c:v>
                </c:pt>
                <c:pt idx="50" formatCode="General">
                  <c:v>-2.9382899999999998</c:v>
                </c:pt>
                <c:pt idx="51" formatCode="General">
                  <c:v>-2.9905400000000002</c:v>
                </c:pt>
                <c:pt idx="52" formatCode="General">
                  <c:v>-3.0398999999999998</c:v>
                </c:pt>
                <c:pt idx="53" formatCode="General">
                  <c:v>-3.0866899999999999</c:v>
                </c:pt>
                <c:pt idx="54" formatCode="General">
                  <c:v>-3.1312099999999998</c:v>
                </c:pt>
                <c:pt idx="55" formatCode="General">
                  <c:v>-3.1736900000000001</c:v>
                </c:pt>
                <c:pt idx="56" formatCode="General">
                  <c:v>-3.2143000000000002</c:v>
                </c:pt>
                <c:pt idx="57" formatCode="General">
                  <c:v>-3.2531699999999999</c:v>
                </c:pt>
                <c:pt idx="58" formatCode="General">
                  <c:v>-3.2903799999999999</c:v>
                </c:pt>
                <c:pt idx="59" formatCode="General">
                  <c:v>-3.3259799999999999</c:v>
                </c:pt>
                <c:pt idx="60" formatCode="General">
                  <c:v>-3.36</c:v>
                </c:pt>
                <c:pt idx="61" formatCode="General">
                  <c:v>-3.3924699999999999</c:v>
                </c:pt>
                <c:pt idx="62" formatCode="General">
                  <c:v>-3.4234100000000001</c:v>
                </c:pt>
                <c:pt idx="63" formatCode="General">
                  <c:v>-3.4528599999999998</c:v>
                </c:pt>
                <c:pt idx="64" formatCode="General">
                  <c:v>-3.4808599999999998</c:v>
                </c:pt>
                <c:pt idx="65" formatCode="General">
                  <c:v>-3.50746</c:v>
                </c:pt>
                <c:pt idx="66" formatCode="General">
                  <c:v>-3.5327099999999998</c:v>
                </c:pt>
                <c:pt idx="67" formatCode="General">
                  <c:v>-3.5566800000000001</c:v>
                </c:pt>
                <c:pt idx="68" formatCode="General">
                  <c:v>-3.5794100000000002</c:v>
                </c:pt>
                <c:pt idx="69" formatCode="General">
                  <c:v>-3.6009799999999998</c:v>
                </c:pt>
                <c:pt idx="70" formatCode="General">
                  <c:v>-3.62141</c:v>
                </c:pt>
                <c:pt idx="71" formatCode="General">
                  <c:v>-3.6407699999999998</c:v>
                </c:pt>
                <c:pt idx="72" formatCode="General">
                  <c:v>-3.6590600000000002</c:v>
                </c:pt>
                <c:pt idx="73" formatCode="General">
                  <c:v>-3.6763300000000001</c:v>
                </c:pt>
                <c:pt idx="74" formatCode="General">
                  <c:v>-3.69258</c:v>
                </c:pt>
                <c:pt idx="75" formatCode="General">
                  <c:v>-3.7078099999999998</c:v>
                </c:pt>
                <c:pt idx="76" formatCode="General">
                  <c:v>-3.7220300000000002</c:v>
                </c:pt>
                <c:pt idx="77" formatCode="General">
                  <c:v>-3.73522</c:v>
                </c:pt>
                <c:pt idx="78" formatCode="General">
                  <c:v>-3.7473900000000002</c:v>
                </c:pt>
                <c:pt idx="79" formatCode="General">
                  <c:v>-3.7585199999999999</c:v>
                </c:pt>
                <c:pt idx="80" formatCode="General">
                  <c:v>-3.7686199999999999</c:v>
                </c:pt>
                <c:pt idx="81" formatCode="General">
                  <c:v>-3.7777099999999999</c:v>
                </c:pt>
                <c:pt idx="82" formatCode="General">
                  <c:v>-3.7858200000000002</c:v>
                </c:pt>
                <c:pt idx="83" formatCode="General">
                  <c:v>-3.7929900000000001</c:v>
                </c:pt>
                <c:pt idx="84" formatCode="General">
                  <c:v>-3.7992900000000001</c:v>
                </c:pt>
                <c:pt idx="85" formatCode="General">
                  <c:v>-3.8048000000000002</c:v>
                </c:pt>
                <c:pt idx="86" formatCode="General">
                  <c:v>-3.8096199999999998</c:v>
                </c:pt>
                <c:pt idx="87" formatCode="General">
                  <c:v>-3.81386</c:v>
                </c:pt>
                <c:pt idx="88" formatCode="General">
                  <c:v>-3.8176299999999999</c:v>
                </c:pt>
                <c:pt idx="89" formatCode="General">
                  <c:v>-3.82104</c:v>
                </c:pt>
                <c:pt idx="90" formatCode="General">
                  <c:v>-3.8241299999999998</c:v>
                </c:pt>
                <c:pt idx="91" formatCode="General">
                  <c:v>-3.8269199999999999</c:v>
                </c:pt>
                <c:pt idx="92" formatCode="General">
                  <c:v>-3.8293300000000001</c:v>
                </c:pt>
                <c:pt idx="93" formatCode="General">
                  <c:v>-3.8311199999999999</c:v>
                </c:pt>
                <c:pt idx="94" formatCode="General">
                  <c:v>-3.8318599999999998</c:v>
                </c:pt>
                <c:pt idx="95" formatCode="General">
                  <c:v>-3.8318599999999998</c:v>
                </c:pt>
                <c:pt idx="96" formatCode="General">
                  <c:v>-3.8318599999999998</c:v>
                </c:pt>
                <c:pt idx="97" formatCode="General">
                  <c:v>-3.8318599999999998</c:v>
                </c:pt>
                <c:pt idx="98" formatCode="General">
                  <c:v>-3.8318599999999998</c:v>
                </c:pt>
                <c:pt idx="99" formatCode="General">
                  <c:v>-3.8318599999999998</c:v>
                </c:pt>
                <c:pt idx="100" formatCode="General">
                  <c:v>-3.8318599999999998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-11207000</c:v>
                </c:pt>
                <c:pt idx="1">
                  <c:v>-11207000</c:v>
                </c:pt>
                <c:pt idx="2">
                  <c:v>-5650360</c:v>
                </c:pt>
                <c:pt idx="3">
                  <c:v>-2797550</c:v>
                </c:pt>
                <c:pt idx="4">
                  <c:v>-1358950</c:v>
                </c:pt>
                <c:pt idx="5" formatCode="General">
                  <c:v>-647089</c:v>
                </c:pt>
                <c:pt idx="6" formatCode="General">
                  <c:v>-301785</c:v>
                </c:pt>
                <c:pt idx="7" formatCode="General">
                  <c:v>-137741</c:v>
                </c:pt>
                <c:pt idx="8" formatCode="General">
                  <c:v>-61480.5</c:v>
                </c:pt>
                <c:pt idx="9" formatCode="General">
                  <c:v>-26814.2</c:v>
                </c:pt>
                <c:pt idx="10" formatCode="General">
                  <c:v>-11411.4</c:v>
                </c:pt>
                <c:pt idx="11" formatCode="General">
                  <c:v>-4723.3</c:v>
                </c:pt>
                <c:pt idx="12" formatCode="General">
                  <c:v>-1885.27</c:v>
                </c:pt>
                <c:pt idx="13" formatCode="General">
                  <c:v>-708.76900000000001</c:v>
                </c:pt>
                <c:pt idx="14" formatCode="General">
                  <c:v>-233.49299999999999</c:v>
                </c:pt>
                <c:pt idx="15" formatCode="General">
                  <c:v>-48.138399999999997</c:v>
                </c:pt>
                <c:pt idx="16" formatCode="General">
                  <c:v>19.5777</c:v>
                </c:pt>
                <c:pt idx="17" formatCode="General">
                  <c:v>40.476700000000001</c:v>
                </c:pt>
                <c:pt idx="18" formatCode="General">
                  <c:v>43.264499999999998</c:v>
                </c:pt>
                <c:pt idx="19" formatCode="General">
                  <c:v>39.467199999999998</c:v>
                </c:pt>
                <c:pt idx="20" formatCode="General">
                  <c:v>33.674799999999998</c:v>
                </c:pt>
                <c:pt idx="21" formatCode="General">
                  <c:v>27.6843</c:v>
                </c:pt>
                <c:pt idx="22" formatCode="General">
                  <c:v>22.163900000000002</c:v>
                </c:pt>
                <c:pt idx="23" formatCode="General">
                  <c:v>17.335999999999999</c:v>
                </c:pt>
                <c:pt idx="24" formatCode="General">
                  <c:v>13.276899999999999</c:v>
                </c:pt>
                <c:pt idx="25" formatCode="General">
                  <c:v>9.9816900000000004</c:v>
                </c:pt>
                <c:pt idx="26" formatCode="General">
                  <c:v>7.3964800000000004</c:v>
                </c:pt>
                <c:pt idx="27" formatCode="General">
                  <c:v>5.4382400000000004</c:v>
                </c:pt>
                <c:pt idx="28" formatCode="General">
                  <c:v>4.0039999999999996</c:v>
                </c:pt>
                <c:pt idx="29" formatCode="General">
                  <c:v>2.97559</c:v>
                </c:pt>
                <c:pt idx="30" formatCode="General">
                  <c:v>2.2224499999999998</c:v>
                </c:pt>
                <c:pt idx="31" formatCode="General">
                  <c:v>1.62225</c:v>
                </c:pt>
                <c:pt idx="32" formatCode="General">
                  <c:v>1.12582</c:v>
                </c:pt>
                <c:pt idx="33" formatCode="General">
                  <c:v>0.70922399999999997</c:v>
                </c:pt>
                <c:pt idx="34" formatCode="General">
                  <c:v>0.354877</c:v>
                </c:pt>
                <c:pt idx="35" formatCode="General">
                  <c:v>5.0162499999999999E-2</c:v>
                </c:pt>
                <c:pt idx="36" formatCode="General">
                  <c:v>-0.213925</c:v>
                </c:pt>
                <c:pt idx="37" formatCode="General">
                  <c:v>-0.443969</c:v>
                </c:pt>
                <c:pt idx="38" formatCode="General">
                  <c:v>-0.64502599999999999</c:v>
                </c:pt>
                <c:pt idx="39" formatCode="General">
                  <c:v>-0.82122799999999996</c:v>
                </c:pt>
                <c:pt idx="40" formatCode="General">
                  <c:v>-0.97613000000000005</c:v>
                </c:pt>
                <c:pt idx="41" formatCode="General">
                  <c:v>-1.1128800000000001</c:v>
                </c:pt>
                <c:pt idx="42" formatCode="General">
                  <c:v>-1.2342900000000001</c:v>
                </c:pt>
                <c:pt idx="43" formatCode="General">
                  <c:v>-1.3428</c:v>
                </c:pt>
                <c:pt idx="44" formatCode="General">
                  <c:v>-1.4405300000000001</c:v>
                </c:pt>
                <c:pt idx="45" formatCode="General">
                  <c:v>-1.5292399999999999</c:v>
                </c:pt>
                <c:pt idx="46" formatCode="General">
                  <c:v>-1.6103499999999999</c:v>
                </c:pt>
                <c:pt idx="47" formatCode="General">
                  <c:v>-1.6850099999999999</c:v>
                </c:pt>
                <c:pt idx="48" formatCode="General">
                  <c:v>-1.7541199999999999</c:v>
                </c:pt>
                <c:pt idx="49" formatCode="General">
                  <c:v>-1.8183800000000001</c:v>
                </c:pt>
                <c:pt idx="50" formatCode="General">
                  <c:v>-1.8783399999999999</c:v>
                </c:pt>
                <c:pt idx="51" formatCode="General">
                  <c:v>-1.9344600000000001</c:v>
                </c:pt>
                <c:pt idx="52" formatCode="General">
                  <c:v>-1.98715</c:v>
                </c:pt>
                <c:pt idx="53" formatCode="General">
                  <c:v>-2.03674</c:v>
                </c:pt>
                <c:pt idx="54" formatCode="General">
                  <c:v>-2.0835699999999999</c:v>
                </c:pt>
                <c:pt idx="55" formatCode="General">
                  <c:v>-2.1279300000000001</c:v>
                </c:pt>
                <c:pt idx="56" formatCode="General">
                  <c:v>-2.1701100000000002</c:v>
                </c:pt>
                <c:pt idx="57" formatCode="General">
                  <c:v>-2.2103700000000002</c:v>
                </c:pt>
                <c:pt idx="58" formatCode="General">
                  <c:v>-2.2489499999999998</c:v>
                </c:pt>
                <c:pt idx="59" formatCode="General">
                  <c:v>-2.28607</c:v>
                </c:pt>
                <c:pt idx="60" formatCode="General">
                  <c:v>-2.32192</c:v>
                </c:pt>
                <c:pt idx="61" formatCode="General">
                  <c:v>-2.35663</c:v>
                </c:pt>
                <c:pt idx="62" formatCode="General">
                  <c:v>-2.3903500000000002</c:v>
                </c:pt>
                <c:pt idx="63" formatCode="General">
                  <c:v>-2.4231699999999998</c:v>
                </c:pt>
                <c:pt idx="64" formatCode="General">
                  <c:v>-2.4551799999999999</c:v>
                </c:pt>
                <c:pt idx="65" formatCode="General">
                  <c:v>-2.4864199999999999</c:v>
                </c:pt>
                <c:pt idx="66" formatCode="General">
                  <c:v>-2.51695</c:v>
                </c:pt>
                <c:pt idx="67" formatCode="General">
                  <c:v>-2.54678</c:v>
                </c:pt>
                <c:pt idx="68" formatCode="General">
                  <c:v>-2.5759400000000001</c:v>
                </c:pt>
                <c:pt idx="69" formatCode="General">
                  <c:v>-2.6044100000000001</c:v>
                </c:pt>
                <c:pt idx="70" formatCode="General">
                  <c:v>-2.6322000000000001</c:v>
                </c:pt>
                <c:pt idx="71" formatCode="General">
                  <c:v>-2.6592699999999998</c:v>
                </c:pt>
                <c:pt idx="72" formatCode="General">
                  <c:v>-2.6855600000000002</c:v>
                </c:pt>
                <c:pt idx="73" formatCode="General">
                  <c:v>-2.7110300000000001</c:v>
                </c:pt>
                <c:pt idx="74" formatCode="General">
                  <c:v>-2.7355999999999998</c:v>
                </c:pt>
                <c:pt idx="75" formatCode="General">
                  <c:v>-2.7591700000000001</c:v>
                </c:pt>
                <c:pt idx="76" formatCode="General">
                  <c:v>-2.78166</c:v>
                </c:pt>
                <c:pt idx="77" formatCode="General">
                  <c:v>-2.8029899999999999</c:v>
                </c:pt>
                <c:pt idx="78" formatCode="General">
                  <c:v>-2.8230599999999999</c:v>
                </c:pt>
                <c:pt idx="79" formatCode="General">
                  <c:v>-2.8418199999999998</c:v>
                </c:pt>
                <c:pt idx="80" formatCode="General">
                  <c:v>-2.8592499999999998</c:v>
                </c:pt>
                <c:pt idx="81" formatCode="General">
                  <c:v>-2.8753600000000001</c:v>
                </c:pt>
                <c:pt idx="82" formatCode="General">
                  <c:v>-2.8902000000000001</c:v>
                </c:pt>
                <c:pt idx="83" formatCode="General">
                  <c:v>-2.9039000000000001</c:v>
                </c:pt>
                <c:pt idx="84" formatCode="General">
                  <c:v>-2.9166099999999999</c:v>
                </c:pt>
                <c:pt idx="85" formatCode="General">
                  <c:v>-2.9285399999999999</c:v>
                </c:pt>
                <c:pt idx="86" formatCode="General">
                  <c:v>-2.9399500000000001</c:v>
                </c:pt>
                <c:pt idx="87" formatCode="General">
                  <c:v>-2.9510800000000001</c:v>
                </c:pt>
                <c:pt idx="88" formatCode="General">
                  <c:v>-2.9621400000000002</c:v>
                </c:pt>
                <c:pt idx="89" formatCode="General">
                  <c:v>-2.9732599999999998</c:v>
                </c:pt>
                <c:pt idx="90" formatCode="General">
                  <c:v>-2.9843899999999999</c:v>
                </c:pt>
                <c:pt idx="91" formatCode="General">
                  <c:v>-2.9952100000000002</c:v>
                </c:pt>
                <c:pt idx="92" formatCode="General">
                  <c:v>-3.00501</c:v>
                </c:pt>
                <c:pt idx="93" formatCode="General">
                  <c:v>-3.01248</c:v>
                </c:pt>
                <c:pt idx="94" formatCode="General">
                  <c:v>-3.01559</c:v>
                </c:pt>
                <c:pt idx="95" formatCode="General">
                  <c:v>-3.01559</c:v>
                </c:pt>
                <c:pt idx="96" formatCode="General">
                  <c:v>-3.01559</c:v>
                </c:pt>
                <c:pt idx="97" formatCode="General">
                  <c:v>-3.01559</c:v>
                </c:pt>
                <c:pt idx="98" formatCode="General">
                  <c:v>-3.01559</c:v>
                </c:pt>
                <c:pt idx="99" formatCode="General">
                  <c:v>-3.01559</c:v>
                </c:pt>
                <c:pt idx="100" formatCode="General">
                  <c:v>-3.01559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425450</xdr:colOff>
      <xdr:row>8</xdr:row>
      <xdr:rowOff>12700</xdr:rowOff>
    </xdr:from>
    <xdr:to>
      <xdr:col>20</xdr:col>
      <xdr:colOff>44450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AB9C75-55CA-9EFA-287B-1AB085F9D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34</xdr:row>
      <xdr:rowOff>0</xdr:rowOff>
    </xdr:from>
    <xdr:to>
      <xdr:col>20</xdr:col>
      <xdr:colOff>444500</xdr:colOff>
      <xdr:row>47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463550</xdr:colOff>
      <xdr:row>57</xdr:row>
      <xdr:rowOff>152400</xdr:rowOff>
    </xdr:from>
    <xdr:to>
      <xdr:col>20</xdr:col>
      <xdr:colOff>82550</xdr:colOff>
      <xdr:row>71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workbookViewId="0">
      <selection activeCell="P17" sqref="P17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1504.5</v>
      </c>
      <c r="D6">
        <v>-4070.09</v>
      </c>
      <c r="E6">
        <v>40326.199999999997</v>
      </c>
      <c r="F6">
        <v>280.16000000000003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1.3964180230222538</v>
      </c>
      <c r="M6">
        <f>D6+SUM(G6:J6)*1.5*(0.000086173)*C6</f>
        <v>-3758.9365316000003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7.7583108248995489E-2</v>
      </c>
      <c r="S6">
        <f>ABS(Q6-L6)/Q6</f>
        <v>0.1348378894939081</v>
      </c>
    </row>
    <row r="7" spans="2:19" x14ac:dyDescent="0.2">
      <c r="B7">
        <v>100000</v>
      </c>
      <c r="C7">
        <v>1399.1</v>
      </c>
      <c r="D7">
        <v>-4095.1</v>
      </c>
      <c r="E7">
        <v>39793.1</v>
      </c>
      <c r="F7">
        <v>-288.79599999999999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1.4151255489016941</v>
      </c>
      <c r="M7">
        <f t="shared" ref="M7:M9" si="0">D7+SUM(G7:J7)*1.5*(0.000086173)*C7</f>
        <v>-3805.7448536799998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5.8378590995131041E-2</v>
      </c>
      <c r="S7">
        <f>ABS(Q7-L7)/Q7</f>
        <v>0.11094798940311981</v>
      </c>
    </row>
    <row r="8" spans="2:19" x14ac:dyDescent="0.2">
      <c r="B8">
        <v>100000</v>
      </c>
      <c r="C8">
        <v>1299.94</v>
      </c>
      <c r="D8">
        <v>-4121.7299999999996</v>
      </c>
      <c r="E8">
        <v>39038</v>
      </c>
      <c r="F8">
        <v>-39.776899999999998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1.4424978861622011</v>
      </c>
      <c r="M8">
        <f t="shared" si="0"/>
        <v>-3852.8826489119997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4.1210607151098519E-2</v>
      </c>
      <c r="S8">
        <f>ABS(Q8-L8)/Q8</f>
        <v>9.5207566746793079E-2</v>
      </c>
    </row>
    <row r="9" spans="2:19" x14ac:dyDescent="0.2">
      <c r="B9">
        <v>100000</v>
      </c>
      <c r="C9">
        <v>1197.46</v>
      </c>
      <c r="D9">
        <v>-4149.29</v>
      </c>
      <c r="E9">
        <v>38395.4</v>
      </c>
      <c r="F9">
        <v>147.69800000000001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1.4666400787594347</v>
      </c>
      <c r="M9">
        <f t="shared" si="0"/>
        <v>-3901.6370706080002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4.7313168372930148E-2</v>
      </c>
      <c r="S9">
        <f>ABS(Q9-L9)/Q9</f>
        <v>7.809473593019324E-2</v>
      </c>
    </row>
    <row r="11" spans="2:19" x14ac:dyDescent="0.2">
      <c r="F11" t="s">
        <v>20</v>
      </c>
      <c r="G11" cm="1">
        <f t="array" ref="G11:H11">LINEST(E6:E9,C6:C9)</f>
        <v>6.4119227462892523</v>
      </c>
      <c r="H11">
        <v>30730.476311822931</v>
      </c>
      <c r="K11" t="s">
        <v>22</v>
      </c>
      <c r="L11" cm="1">
        <f t="array" ref="L11:M11">LINEST(M6:M9,C6:C9)</f>
        <v>0.46571769234576899</v>
      </c>
      <c r="M11">
        <v>-4458.6355902898749</v>
      </c>
      <c r="O11" t="s">
        <v>42</v>
      </c>
      <c r="P11" t="s">
        <v>43</v>
      </c>
    </row>
    <row r="12" spans="2:19" x14ac:dyDescent="0.2">
      <c r="G12" s="2">
        <f>G11/E9</f>
        <v>1.6699715971937398E-4</v>
      </c>
      <c r="L12">
        <f>L11/SUM(G6:I6)*(1.602E-19)*(6.022E+23)</f>
        <v>56.161152664707075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1502.67</v>
      </c>
      <c r="D17">
        <v>-2270.5500000000002</v>
      </c>
      <c r="E17">
        <v>74622.899999999994</v>
      </c>
      <c r="F17">
        <v>23.7197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1.3270986350838685</v>
      </c>
      <c r="M17">
        <f>D17+SUM(G17:J17)*1.5*(0.000086173)*C17</f>
        <v>-1959.7750034160001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7.3278863535523389E-2</v>
      </c>
      <c r="S17">
        <f>ABS(Q17-L17)/Q17</f>
        <v>4.8675333926407105E-2</v>
      </c>
    </row>
    <row r="18" spans="2:19" x14ac:dyDescent="0.2">
      <c r="B18">
        <v>100000</v>
      </c>
      <c r="C18">
        <v>1397.39</v>
      </c>
      <c r="D18">
        <v>-2300.11</v>
      </c>
      <c r="E18">
        <v>73060.600000000006</v>
      </c>
      <c r="F18">
        <v>-82.686400000000006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1.3554768060486775</v>
      </c>
      <c r="M18">
        <f t="shared" ref="M18:M20" si="2">D18+SUM(G18:J18)*1.5*(0.000086173)*C18</f>
        <v>-2011.1085076720001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2.6001034211948298E-2</v>
      </c>
      <c r="S18">
        <f>ABS(Q18-L18)/Q18</f>
        <v>2.3928694703638894E-2</v>
      </c>
    </row>
    <row r="19" spans="2:19" x14ac:dyDescent="0.2">
      <c r="B19">
        <v>100000</v>
      </c>
      <c r="C19">
        <v>1301.3599999999999</v>
      </c>
      <c r="D19">
        <v>-2332.2399999999998</v>
      </c>
      <c r="E19">
        <v>70523.5</v>
      </c>
      <c r="F19">
        <v>37.229799999999997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1.4042404125716959</v>
      </c>
      <c r="M19">
        <f t="shared" si="2"/>
        <v>-2063.0989713279996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4.7785242000064065E-2</v>
      </c>
      <c r="S19">
        <f>ABS(Q19-L19)/Q19</f>
        <v>1.6019399878225538E-2</v>
      </c>
    </row>
    <row r="20" spans="2:19" x14ac:dyDescent="0.2">
      <c r="B20">
        <v>100000</v>
      </c>
      <c r="C20">
        <v>1199.77</v>
      </c>
      <c r="D20">
        <v>-2364.2199999999998</v>
      </c>
      <c r="E20">
        <v>68628</v>
      </c>
      <c r="F20">
        <v>73.805999999999997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1.4430254230926154</v>
      </c>
      <c r="M20">
        <f t="shared" si="2"/>
        <v>-2116.0893274959999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4.8469036500204347E-3</v>
      </c>
      <c r="S20">
        <f>ABS(Q20-L20)/Q20</f>
        <v>1.8227041742677479E-3</v>
      </c>
    </row>
    <row r="22" spans="2:19" x14ac:dyDescent="0.2">
      <c r="F22" t="s">
        <v>20</v>
      </c>
      <c r="G22" cm="1">
        <f t="array" ref="G22:H22">LINEST(E17:E20,C17:C20)</f>
        <v>20.389579787482816</v>
      </c>
      <c r="H22">
        <v>44176.751386911419</v>
      </c>
      <c r="K22" t="s">
        <v>22</v>
      </c>
      <c r="L22" cm="1">
        <f t="array" ref="L22:M22">LINEST(M17:M20,C17:C20)</f>
        <v>0.51830819896934444</v>
      </c>
      <c r="M22">
        <v>-2737.3882177758082</v>
      </c>
      <c r="O22" t="s">
        <v>42</v>
      </c>
      <c r="P22" t="s">
        <v>43</v>
      </c>
    </row>
    <row r="23" spans="2:19" x14ac:dyDescent="0.2">
      <c r="G23" s="2">
        <f>G22/E20</f>
        <v>2.9710292865132038E-4</v>
      </c>
      <c r="L23">
        <f>L22/SUM(G17:I17)*(1.602E-19)*(6.022E+23)</f>
        <v>62.503070783222682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1497.8</v>
      </c>
      <c r="D28">
        <v>-2165.33</v>
      </c>
      <c r="E28">
        <v>53006</v>
      </c>
      <c r="F28">
        <v>-135.834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1.464618459797004</v>
      </c>
      <c r="M28">
        <f>D28+SUM(G28:J28)*1.5*(0.000086173)*C28</f>
        <v>-1855.5621934399999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9.0701676356844382E-2</v>
      </c>
      <c r="S28">
        <f>ABS(Q28-L28)/Q28</f>
        <v>0.10495545816446916</v>
      </c>
    </row>
    <row r="29" spans="2:19" x14ac:dyDescent="0.2">
      <c r="B29">
        <v>100000</v>
      </c>
      <c r="C29">
        <v>1398.92</v>
      </c>
      <c r="D29">
        <v>-2194.27</v>
      </c>
      <c r="E29">
        <v>51916.5</v>
      </c>
      <c r="F29">
        <v>-133.292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1.4953543879113578</v>
      </c>
      <c r="M29">
        <f t="shared" ref="M29:M31" si="4">D29+SUM(G29:J29)*1.5*(0.000086173)*C29</f>
        <v>-1904.9520804159999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6.3149944701027416E-2</v>
      </c>
      <c r="S29">
        <f>ABS(Q29-L29)/Q29</f>
        <v>8.3747200979386593E-2</v>
      </c>
    </row>
    <row r="30" spans="2:19" x14ac:dyDescent="0.2">
      <c r="B30">
        <v>100000</v>
      </c>
      <c r="C30">
        <v>1300.33</v>
      </c>
      <c r="D30">
        <v>-2224.9499999999998</v>
      </c>
      <c r="E30">
        <v>50618.9</v>
      </c>
      <c r="F30">
        <v>59.502899999999997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1.5336873397090809</v>
      </c>
      <c r="M30">
        <f t="shared" si="4"/>
        <v>-1956.0219909839998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5.6082344560896689E-2</v>
      </c>
      <c r="S30">
        <f>ABS(Q30-L30)/Q30</f>
        <v>6.9442395724901143E-2</v>
      </c>
    </row>
    <row r="31" spans="2:19" x14ac:dyDescent="0.2">
      <c r="B31">
        <v>100000</v>
      </c>
      <c r="C31">
        <v>1201.06</v>
      </c>
      <c r="D31">
        <v>-2253.7399999999998</v>
      </c>
      <c r="E31">
        <v>49630.9</v>
      </c>
      <c r="F31">
        <v>-201.88499999999999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1.5642183816936626</v>
      </c>
      <c r="M31">
        <f t="shared" si="4"/>
        <v>-2005.3425358879997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5.8557021038138701E-2</v>
      </c>
      <c r="S31">
        <f>ABS(Q31-L31)/Q31</f>
        <v>5.0939520084427835E-2</v>
      </c>
    </row>
    <row r="33" spans="2:16" x14ac:dyDescent="0.2">
      <c r="F33" t="s">
        <v>20</v>
      </c>
      <c r="G33" cm="1">
        <f t="array" ref="G33:H33">LINEST(E28:E31,C28:C31)</f>
        <v>11.551432638497673</v>
      </c>
      <c r="H33">
        <v>35704.098989949824</v>
      </c>
      <c r="K33" t="s">
        <v>22</v>
      </c>
      <c r="L33" cm="1">
        <f t="array" ref="L33:M33">LINEST(M28:M31,C28:C31)</f>
        <v>0.50606948376510252</v>
      </c>
      <c r="M33">
        <v>-2613.4243854338092</v>
      </c>
      <c r="O33" t="s">
        <v>42</v>
      </c>
      <c r="P33" t="s">
        <v>43</v>
      </c>
    </row>
    <row r="34" spans="2:16" x14ac:dyDescent="0.2">
      <c r="G34" s="2">
        <f>G33/E31</f>
        <v>2.3274678957056335E-4</v>
      </c>
      <c r="L34">
        <f>L33/SUM(G28:I28)*(1.602E-19)*(6.022E+23)</f>
        <v>61.027197385449782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B2:S171"/>
  <sheetViews>
    <sheetView topLeftCell="A20" workbookViewId="0">
      <selection activeCell="N46" sqref="N46"/>
    </sheetView>
  </sheetViews>
  <sheetFormatPr baseColWidth="10" defaultRowHeight="16" x14ac:dyDescent="0.2"/>
  <cols>
    <col min="6" max="6" width="12.1640625" bestFit="1" customWidth="1"/>
  </cols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7" spans="2:14" x14ac:dyDescent="0.2">
      <c r="B7">
        <f>I7/SUM(H7:I7)</f>
        <v>2.5000000000000001E-2</v>
      </c>
      <c r="C7">
        <v>100000</v>
      </c>
      <c r="D7">
        <v>1500.24</v>
      </c>
      <c r="E7">
        <v>-4027.81</v>
      </c>
      <c r="F7">
        <v>41142.400000000001</v>
      </c>
      <c r="G7">
        <v>-113.152</v>
      </c>
      <c r="H7">
        <v>780</v>
      </c>
      <c r="I7">
        <v>20</v>
      </c>
      <c r="J7">
        <v>0</v>
      </c>
      <c r="K7">
        <v>800</v>
      </c>
      <c r="L7">
        <f>H7*H$2+I7*I$2+J7*J$2+K7*K$2</f>
        <v>34555.160000000003</v>
      </c>
      <c r="M7">
        <f>L7*(1.66054E-24)/(F7)/(1E-24)</f>
        <v>1.3946737522944703</v>
      </c>
      <c r="N7">
        <f>E7+SUM(H7:K7)*1.5*(0.000086173)*D7</f>
        <v>-3717.5375643520001</v>
      </c>
    </row>
    <row r="8" spans="2:14" x14ac:dyDescent="0.2">
      <c r="B8">
        <f t="shared" ref="B8:B33" si="0">I8/SUM(H8:I8)</f>
        <v>0.05</v>
      </c>
      <c r="C8">
        <v>200000</v>
      </c>
      <c r="D8">
        <v>1500.15</v>
      </c>
      <c r="E8">
        <v>-3987.54</v>
      </c>
      <c r="F8">
        <v>41838</v>
      </c>
      <c r="G8">
        <v>10.4726</v>
      </c>
      <c r="H8">
        <v>760</v>
      </c>
      <c r="I8">
        <v>40</v>
      </c>
      <c r="J8">
        <v>0</v>
      </c>
      <c r="K8">
        <v>800</v>
      </c>
      <c r="L8">
        <f>H8*H$2+I8*I$2+J8*J$2+K8*K$2</f>
        <v>35198.320000000007</v>
      </c>
      <c r="M8">
        <f>L8*(1.66054E-24)/(F8)/(1E-24)</f>
        <v>1.3970127227114109</v>
      </c>
      <c r="N8">
        <f>E8+SUM(H8:K8)*1.5*(0.000086173)*D8</f>
        <v>-3677.2861777200001</v>
      </c>
    </row>
    <row r="9" spans="2:14" x14ac:dyDescent="0.2">
      <c r="B9">
        <f t="shared" si="0"/>
        <v>7.4999999999999997E-2</v>
      </c>
      <c r="C9">
        <v>300000</v>
      </c>
      <c r="D9">
        <v>1499.97</v>
      </c>
      <c r="E9">
        <v>-3946.06</v>
      </c>
      <c r="F9">
        <v>42461.4</v>
      </c>
      <c r="G9">
        <v>-27.088699999999999</v>
      </c>
      <c r="H9">
        <v>740</v>
      </c>
      <c r="I9">
        <v>60</v>
      </c>
      <c r="J9">
        <v>0</v>
      </c>
      <c r="K9">
        <v>800</v>
      </c>
      <c r="L9">
        <f t="shared" ref="L9:L10" si="1">H9*H$2+I9*I$2+J9*J$2+K9*K$2</f>
        <v>35841.480000000003</v>
      </c>
      <c r="M9">
        <f t="shared" ref="M9" si="2">L9*(1.66054E-24)/(F9)/(1E-24)</f>
        <v>1.4016544720428437</v>
      </c>
      <c r="N9">
        <f t="shared" ref="N9:N10" si="3">E9+SUM(H9:K9)*1.5*(0.000086173)*D9</f>
        <v>-3635.8434044559999</v>
      </c>
    </row>
    <row r="10" spans="2:14" x14ac:dyDescent="0.2">
      <c r="B10">
        <f t="shared" si="0"/>
        <v>0.1</v>
      </c>
      <c r="C10">
        <v>400000</v>
      </c>
      <c r="D10">
        <v>1500.13</v>
      </c>
      <c r="E10">
        <v>-3903.24</v>
      </c>
      <c r="F10">
        <v>43245.2</v>
      </c>
      <c r="G10">
        <v>5.7857500000000002</v>
      </c>
      <c r="H10">
        <v>720</v>
      </c>
      <c r="I10">
        <v>80</v>
      </c>
      <c r="J10">
        <v>0</v>
      </c>
      <c r="K10">
        <v>800</v>
      </c>
      <c r="L10">
        <f t="shared" si="1"/>
        <v>36484.640000000007</v>
      </c>
      <c r="M10">
        <f>L10*(1.66054E-24)/(F10)/(1E-24)</f>
        <v>1.4009463271206983</v>
      </c>
      <c r="N10">
        <f t="shared" si="3"/>
        <v>-3592.9903140239999</v>
      </c>
    </row>
    <row r="11" spans="2:14" x14ac:dyDescent="0.2">
      <c r="B11">
        <f t="shared" si="0"/>
        <v>0.125</v>
      </c>
      <c r="C11">
        <v>500000</v>
      </c>
      <c r="D11">
        <v>1499.94</v>
      </c>
      <c r="E11">
        <v>-3861.11</v>
      </c>
      <c r="F11">
        <v>43940.800000000003</v>
      </c>
      <c r="G11">
        <v>5.0433599999999998</v>
      </c>
      <c r="H11">
        <v>700</v>
      </c>
      <c r="I11">
        <v>100</v>
      </c>
      <c r="J11">
        <v>0</v>
      </c>
      <c r="K11">
        <v>800</v>
      </c>
      <c r="L11">
        <f t="shared" ref="L11" si="4">H11*H$2+I11*I$2+J11*J$2+K11*K$2</f>
        <v>37127.800000000003</v>
      </c>
      <c r="M11">
        <f>L11*(1.66054E-24)/(F11)/(1E-24)</f>
        <v>1.4030740681098204</v>
      </c>
      <c r="N11">
        <f>E11+SUM(H11:K11)*1.5*(0.000086173)*D11</f>
        <v>-3550.8996089120001</v>
      </c>
    </row>
    <row r="12" spans="2:14" x14ac:dyDescent="0.2">
      <c r="B12">
        <f t="shared" si="0"/>
        <v>0.15</v>
      </c>
      <c r="C12">
        <v>600000</v>
      </c>
      <c r="D12">
        <v>1499.83</v>
      </c>
      <c r="E12">
        <v>-3817.87</v>
      </c>
      <c r="F12">
        <v>44703.3</v>
      </c>
      <c r="G12">
        <v>46.172600000000003</v>
      </c>
      <c r="H12">
        <v>680</v>
      </c>
      <c r="I12">
        <v>120</v>
      </c>
      <c r="J12">
        <v>0</v>
      </c>
      <c r="K12">
        <v>800</v>
      </c>
      <c r="L12">
        <f t="shared" ref="L12:L15" si="5">H12*H$2+I12*I$2+J12*J$2+K12*K$2</f>
        <v>37770.960000000006</v>
      </c>
      <c r="M12">
        <f t="shared" ref="M12:M15" si="6">L12*(1.66054E-24)/(F12)/(1E-24)</f>
        <v>1.4030326601928718</v>
      </c>
      <c r="N12">
        <f t="shared" ref="N12:N15" si="7">E12+SUM(H12:K12)*1.5*(0.000086173)*D12</f>
        <v>-3507.6823585839998</v>
      </c>
    </row>
    <row r="13" spans="2:14" x14ac:dyDescent="0.2">
      <c r="B13">
        <f t="shared" si="0"/>
        <v>0.17499999999999999</v>
      </c>
      <c r="C13">
        <v>700000</v>
      </c>
      <c r="D13">
        <v>1500</v>
      </c>
      <c r="E13">
        <v>-3774.91</v>
      </c>
      <c r="F13">
        <v>45417.9</v>
      </c>
      <c r="G13">
        <v>69.203000000000003</v>
      </c>
      <c r="H13">
        <v>660</v>
      </c>
      <c r="I13">
        <v>140</v>
      </c>
      <c r="J13">
        <v>0</v>
      </c>
      <c r="K13">
        <v>800</v>
      </c>
      <c r="L13">
        <f t="shared" si="5"/>
        <v>38414.120000000003</v>
      </c>
      <c r="M13">
        <f t="shared" si="6"/>
        <v>1.404472307720084</v>
      </c>
      <c r="N13">
        <f t="shared" si="7"/>
        <v>-3464.6871999999998</v>
      </c>
    </row>
    <row r="14" spans="2:14" x14ac:dyDescent="0.2">
      <c r="B14">
        <f t="shared" si="0"/>
        <v>0.2</v>
      </c>
      <c r="C14">
        <v>800000</v>
      </c>
      <c r="D14">
        <v>1499.95</v>
      </c>
      <c r="E14">
        <v>-3730.46</v>
      </c>
      <c r="F14">
        <v>46266</v>
      </c>
      <c r="G14">
        <v>-76.468900000000005</v>
      </c>
      <c r="H14">
        <v>640</v>
      </c>
      <c r="I14">
        <v>160</v>
      </c>
      <c r="J14">
        <v>0</v>
      </c>
      <c r="K14">
        <v>800</v>
      </c>
      <c r="L14">
        <f t="shared" si="5"/>
        <v>39057.280000000006</v>
      </c>
      <c r="M14">
        <f t="shared" si="6"/>
        <v>1.4018107407426621</v>
      </c>
      <c r="N14">
        <f t="shared" si="7"/>
        <v>-3420.24754076</v>
      </c>
    </row>
    <row r="15" spans="2:14" x14ac:dyDescent="0.2">
      <c r="B15">
        <f t="shared" si="0"/>
        <v>0.22500000000000001</v>
      </c>
      <c r="C15">
        <v>900000</v>
      </c>
      <c r="D15">
        <v>1499.72</v>
      </c>
      <c r="E15">
        <v>-3686.8</v>
      </c>
      <c r="F15">
        <v>47124.5</v>
      </c>
      <c r="G15">
        <v>-113.55200000000001</v>
      </c>
      <c r="H15">
        <v>620</v>
      </c>
      <c r="I15">
        <v>180</v>
      </c>
      <c r="J15">
        <v>0</v>
      </c>
      <c r="K15">
        <v>800</v>
      </c>
      <c r="L15">
        <f t="shared" si="5"/>
        <v>39700.44</v>
      </c>
      <c r="M15">
        <f t="shared" si="6"/>
        <v>1.3989361932243314</v>
      </c>
      <c r="N15">
        <f t="shared" si="7"/>
        <v>-3376.6351082560004</v>
      </c>
    </row>
    <row r="16" spans="2:14" x14ac:dyDescent="0.2">
      <c r="B16">
        <f t="shared" si="0"/>
        <v>0.25</v>
      </c>
      <c r="C16">
        <v>1000000</v>
      </c>
      <c r="D16">
        <v>1500.07</v>
      </c>
      <c r="E16">
        <v>-3644.43</v>
      </c>
      <c r="F16">
        <v>47790.7</v>
      </c>
      <c r="G16">
        <v>-40.1248</v>
      </c>
      <c r="H16">
        <v>600</v>
      </c>
      <c r="I16">
        <v>200</v>
      </c>
      <c r="J16">
        <v>0</v>
      </c>
      <c r="K16">
        <v>800</v>
      </c>
      <c r="L16">
        <f t="shared" ref="L16:L33" si="8">H16*H$2+I16*I$2+J16*J$2+K16*K$2</f>
        <v>40343.600000000006</v>
      </c>
      <c r="M16">
        <f t="shared" ref="M16:M33" si="9">L16*(1.66054E-24)/(F16)/(1E-24)</f>
        <v>1.4017823874519524</v>
      </c>
      <c r="N16">
        <f t="shared" ref="N16:N33" si="10">E16+SUM(H16:K16)*1.5*(0.000086173)*D16</f>
        <v>-3334.1927229359999</v>
      </c>
    </row>
    <row r="17" spans="2:14" x14ac:dyDescent="0.2">
      <c r="B17">
        <f t="shared" si="0"/>
        <v>0.27500000000000002</v>
      </c>
      <c r="C17">
        <v>1100000</v>
      </c>
      <c r="D17">
        <v>1500.01</v>
      </c>
      <c r="E17">
        <v>-3600.77</v>
      </c>
      <c r="F17">
        <v>48656.6</v>
      </c>
      <c r="G17">
        <v>-31.7273</v>
      </c>
      <c r="H17">
        <v>580</v>
      </c>
      <c r="I17">
        <v>220</v>
      </c>
      <c r="J17">
        <v>0</v>
      </c>
      <c r="K17">
        <v>800</v>
      </c>
      <c r="L17">
        <f t="shared" si="8"/>
        <v>40986.76</v>
      </c>
      <c r="M17">
        <f t="shared" si="9"/>
        <v>1.3987856621794372</v>
      </c>
      <c r="N17">
        <f t="shared" si="10"/>
        <v>-3290.545131848</v>
      </c>
    </row>
    <row r="18" spans="2:14" x14ac:dyDescent="0.2">
      <c r="B18">
        <f t="shared" si="0"/>
        <v>0.3</v>
      </c>
      <c r="C18">
        <v>1200000</v>
      </c>
      <c r="D18">
        <v>1500.18</v>
      </c>
      <c r="E18">
        <v>-3558.45</v>
      </c>
      <c r="F18">
        <v>49363.199999999997</v>
      </c>
      <c r="G18">
        <v>45.782299999999999</v>
      </c>
      <c r="H18">
        <v>560</v>
      </c>
      <c r="I18">
        <v>240</v>
      </c>
      <c r="J18">
        <v>0</v>
      </c>
      <c r="K18">
        <v>800</v>
      </c>
      <c r="L18">
        <f t="shared" si="8"/>
        <v>41629.920000000006</v>
      </c>
      <c r="M18">
        <f t="shared" si="9"/>
        <v>1.4003984214313501</v>
      </c>
      <c r="N18">
        <f t="shared" si="10"/>
        <v>-3248.1899732639999</v>
      </c>
    </row>
    <row r="19" spans="2:14" x14ac:dyDescent="0.2">
      <c r="B19">
        <f t="shared" si="0"/>
        <v>0.32500000000000001</v>
      </c>
      <c r="C19">
        <v>1300000</v>
      </c>
      <c r="D19">
        <v>1499.69</v>
      </c>
      <c r="E19">
        <v>-3512.5</v>
      </c>
      <c r="F19">
        <v>50282.8</v>
      </c>
      <c r="G19">
        <v>-157.251</v>
      </c>
      <c r="H19">
        <v>540</v>
      </c>
      <c r="I19">
        <v>260</v>
      </c>
      <c r="J19">
        <v>0</v>
      </c>
      <c r="K19">
        <v>800</v>
      </c>
      <c r="L19">
        <f t="shared" si="8"/>
        <v>42273.08</v>
      </c>
      <c r="M19">
        <f t="shared" si="9"/>
        <v>1.3960268772462949</v>
      </c>
      <c r="N19">
        <f t="shared" si="10"/>
        <v>-3202.3413127120002</v>
      </c>
    </row>
    <row r="20" spans="2:14" x14ac:dyDescent="0.2">
      <c r="B20">
        <f t="shared" si="0"/>
        <v>0.35</v>
      </c>
      <c r="C20">
        <v>1400000</v>
      </c>
      <c r="D20">
        <v>1500.07</v>
      </c>
      <c r="E20">
        <v>-3467.49</v>
      </c>
      <c r="F20">
        <v>51210.2</v>
      </c>
      <c r="G20">
        <v>-53.860399999999998</v>
      </c>
      <c r="H20">
        <v>520</v>
      </c>
      <c r="I20">
        <v>280</v>
      </c>
      <c r="J20">
        <v>0</v>
      </c>
      <c r="K20">
        <v>800</v>
      </c>
      <c r="L20">
        <f t="shared" si="8"/>
        <v>42916.240000000005</v>
      </c>
      <c r="M20">
        <f t="shared" si="9"/>
        <v>1.3916003680829212</v>
      </c>
      <c r="N20">
        <f t="shared" si="10"/>
        <v>-3157.2527229359998</v>
      </c>
    </row>
    <row r="21" spans="2:14" x14ac:dyDescent="0.2">
      <c r="B21">
        <f t="shared" si="0"/>
        <v>0.375</v>
      </c>
      <c r="C21">
        <v>1500000</v>
      </c>
      <c r="D21">
        <v>1499.98</v>
      </c>
      <c r="E21">
        <v>-3424.5</v>
      </c>
      <c r="F21">
        <v>51855.8</v>
      </c>
      <c r="G21">
        <v>-57.0379</v>
      </c>
      <c r="H21">
        <v>500</v>
      </c>
      <c r="I21">
        <v>300</v>
      </c>
      <c r="J21">
        <v>0</v>
      </c>
      <c r="K21">
        <v>800</v>
      </c>
      <c r="L21">
        <f t="shared" si="8"/>
        <v>43559.4</v>
      </c>
      <c r="M21">
        <f t="shared" si="9"/>
        <v>1.3948705077541952</v>
      </c>
      <c r="N21">
        <f t="shared" si="10"/>
        <v>-3114.281336304</v>
      </c>
    </row>
    <row r="22" spans="2:14" x14ac:dyDescent="0.2">
      <c r="B22">
        <f t="shared" si="0"/>
        <v>0.4</v>
      </c>
      <c r="C22">
        <v>1600000</v>
      </c>
      <c r="D22">
        <v>1499.95</v>
      </c>
      <c r="E22">
        <v>-3380.32</v>
      </c>
      <c r="F22">
        <v>52631.1</v>
      </c>
      <c r="G22">
        <v>-45.198300000000003</v>
      </c>
      <c r="H22">
        <v>480</v>
      </c>
      <c r="I22">
        <v>320</v>
      </c>
      <c r="J22">
        <v>0</v>
      </c>
      <c r="K22">
        <v>800</v>
      </c>
      <c r="L22">
        <f t="shared" si="8"/>
        <v>44202.560000000005</v>
      </c>
      <c r="M22">
        <f t="shared" si="9"/>
        <v>1.3946149516616604</v>
      </c>
      <c r="N22">
        <f t="shared" si="10"/>
        <v>-3070.1075407600001</v>
      </c>
    </row>
    <row r="23" spans="2:14" x14ac:dyDescent="0.2">
      <c r="B23">
        <f t="shared" si="0"/>
        <v>0.42499999999999999</v>
      </c>
      <c r="C23">
        <v>1700000</v>
      </c>
      <c r="D23">
        <v>1500.22</v>
      </c>
      <c r="E23">
        <v>-3334.25</v>
      </c>
      <c r="F23">
        <v>53581.1</v>
      </c>
      <c r="G23">
        <v>-14.1678</v>
      </c>
      <c r="H23">
        <v>460</v>
      </c>
      <c r="I23">
        <v>340</v>
      </c>
      <c r="J23">
        <v>0</v>
      </c>
      <c r="K23">
        <v>800</v>
      </c>
      <c r="L23">
        <f t="shared" si="8"/>
        <v>44845.72</v>
      </c>
      <c r="M23">
        <f t="shared" si="9"/>
        <v>1.3898205129943209</v>
      </c>
      <c r="N23">
        <f t="shared" si="10"/>
        <v>-3023.9817006560002</v>
      </c>
    </row>
    <row r="24" spans="2:14" x14ac:dyDescent="0.2">
      <c r="B24">
        <f t="shared" si="0"/>
        <v>0.45</v>
      </c>
      <c r="C24">
        <v>1800000</v>
      </c>
      <c r="D24">
        <v>1500.02</v>
      </c>
      <c r="E24">
        <v>-3290.93</v>
      </c>
      <c r="F24">
        <v>54332.9</v>
      </c>
      <c r="G24">
        <v>-18.373699999999999</v>
      </c>
      <c r="H24">
        <v>440</v>
      </c>
      <c r="I24">
        <v>360</v>
      </c>
      <c r="J24">
        <v>0</v>
      </c>
      <c r="K24">
        <v>800</v>
      </c>
      <c r="L24">
        <f t="shared" si="8"/>
        <v>45488.880000000005</v>
      </c>
      <c r="M24">
        <f t="shared" si="9"/>
        <v>1.3902461454330619</v>
      </c>
      <c r="N24">
        <f t="shared" si="10"/>
        <v>-2980.7030636959998</v>
      </c>
    </row>
    <row r="25" spans="2:14" x14ac:dyDescent="0.2">
      <c r="B25">
        <f t="shared" si="0"/>
        <v>0.47499999999999998</v>
      </c>
      <c r="C25">
        <v>1900000</v>
      </c>
      <c r="D25">
        <v>1499.89</v>
      </c>
      <c r="E25">
        <v>-3246.58</v>
      </c>
      <c r="F25">
        <v>55190.8</v>
      </c>
      <c r="G25">
        <v>-39.407800000000002</v>
      </c>
      <c r="H25">
        <v>420</v>
      </c>
      <c r="I25">
        <v>380</v>
      </c>
      <c r="J25">
        <v>0</v>
      </c>
      <c r="K25">
        <v>800</v>
      </c>
      <c r="L25">
        <f t="shared" si="8"/>
        <v>46132.040000000008</v>
      </c>
      <c r="M25">
        <f t="shared" si="9"/>
        <v>1.3879867242656387</v>
      </c>
      <c r="N25">
        <f t="shared" si="10"/>
        <v>-2936.3799496719998</v>
      </c>
    </row>
    <row r="26" spans="2:14" x14ac:dyDescent="0.2">
      <c r="B26">
        <f t="shared" si="0"/>
        <v>0.5</v>
      </c>
      <c r="C26">
        <v>2000000</v>
      </c>
      <c r="D26">
        <v>1500</v>
      </c>
      <c r="E26">
        <v>-3201.5</v>
      </c>
      <c r="F26">
        <v>55886</v>
      </c>
      <c r="G26">
        <v>24.960699999999999</v>
      </c>
      <c r="H26">
        <v>400</v>
      </c>
      <c r="I26">
        <v>400</v>
      </c>
      <c r="J26">
        <v>0</v>
      </c>
      <c r="K26">
        <v>800</v>
      </c>
      <c r="L26">
        <f t="shared" si="8"/>
        <v>46775.199999999997</v>
      </c>
      <c r="M26">
        <f t="shared" si="9"/>
        <v>1.3898309166517551</v>
      </c>
      <c r="N26">
        <f t="shared" si="10"/>
        <v>-2891.2772</v>
      </c>
    </row>
    <row r="27" spans="2:14" x14ac:dyDescent="0.2">
      <c r="B27">
        <f t="shared" si="0"/>
        <v>0.52500000000000002</v>
      </c>
      <c r="C27">
        <v>2100000</v>
      </c>
      <c r="D27">
        <v>1500.08</v>
      </c>
      <c r="E27">
        <v>-3154.44</v>
      </c>
      <c r="F27">
        <v>57115</v>
      </c>
      <c r="G27">
        <v>70.586399999999998</v>
      </c>
      <c r="H27">
        <v>380</v>
      </c>
      <c r="I27">
        <v>420</v>
      </c>
      <c r="J27">
        <v>0</v>
      </c>
      <c r="K27">
        <v>800</v>
      </c>
      <c r="L27">
        <f t="shared" si="8"/>
        <v>47418.36</v>
      </c>
      <c r="M27">
        <f t="shared" si="9"/>
        <v>1.378623540477983</v>
      </c>
      <c r="N27">
        <f t="shared" si="10"/>
        <v>-2844.2006547840001</v>
      </c>
    </row>
    <row r="28" spans="2:14" x14ac:dyDescent="0.2">
      <c r="B28">
        <f t="shared" si="0"/>
        <v>0.55000000000000004</v>
      </c>
      <c r="C28">
        <v>2200000</v>
      </c>
      <c r="D28">
        <v>1499.86</v>
      </c>
      <c r="E28">
        <v>-3109.58</v>
      </c>
      <c r="F28">
        <v>57859.7</v>
      </c>
      <c r="G28">
        <v>42.904299999999999</v>
      </c>
      <c r="H28">
        <v>360</v>
      </c>
      <c r="I28">
        <v>440</v>
      </c>
      <c r="J28">
        <v>0</v>
      </c>
      <c r="K28">
        <v>800</v>
      </c>
      <c r="L28">
        <f t="shared" si="8"/>
        <v>48061.520000000004</v>
      </c>
      <c r="M28">
        <f t="shared" si="9"/>
        <v>1.3793378883886369</v>
      </c>
      <c r="N28">
        <f t="shared" si="10"/>
        <v>-2799.3861541279998</v>
      </c>
    </row>
    <row r="29" spans="2:14" x14ac:dyDescent="0.2">
      <c r="B29">
        <f t="shared" si="0"/>
        <v>0.57499999999999996</v>
      </c>
      <c r="C29">
        <v>2300000</v>
      </c>
      <c r="D29">
        <v>1500.26</v>
      </c>
      <c r="E29">
        <v>-3061.69</v>
      </c>
      <c r="F29">
        <v>58959.9</v>
      </c>
      <c r="G29">
        <v>29.296399999999998</v>
      </c>
      <c r="H29">
        <v>340</v>
      </c>
      <c r="I29">
        <v>460</v>
      </c>
      <c r="J29">
        <v>0</v>
      </c>
      <c r="K29">
        <v>800</v>
      </c>
      <c r="L29">
        <f t="shared" si="8"/>
        <v>48704.68</v>
      </c>
      <c r="M29">
        <f t="shared" si="9"/>
        <v>1.3717131359992132</v>
      </c>
      <c r="N29">
        <f t="shared" si="10"/>
        <v>-2751.4134280480002</v>
      </c>
    </row>
    <row r="30" spans="2:14" x14ac:dyDescent="0.2">
      <c r="B30">
        <f t="shared" si="0"/>
        <v>0.6</v>
      </c>
      <c r="C30">
        <v>2400000</v>
      </c>
      <c r="D30">
        <v>1499.85</v>
      </c>
      <c r="E30">
        <v>-3019.73</v>
      </c>
      <c r="F30">
        <v>59534.2</v>
      </c>
      <c r="G30">
        <v>14.235900000000001</v>
      </c>
      <c r="H30">
        <v>320</v>
      </c>
      <c r="I30">
        <v>480</v>
      </c>
      <c r="J30">
        <v>0</v>
      </c>
      <c r="K30">
        <v>800</v>
      </c>
      <c r="L30">
        <f t="shared" si="8"/>
        <v>49347.840000000004</v>
      </c>
      <c r="M30">
        <f t="shared" si="9"/>
        <v>1.3764199776531809</v>
      </c>
      <c r="N30">
        <f t="shared" si="10"/>
        <v>-2709.5382222799999</v>
      </c>
    </row>
    <row r="31" spans="2:14" x14ac:dyDescent="0.2">
      <c r="B31">
        <f t="shared" si="0"/>
        <v>0.625</v>
      </c>
      <c r="C31">
        <v>2500000</v>
      </c>
      <c r="D31">
        <v>1499.92</v>
      </c>
      <c r="E31">
        <v>-2973.54</v>
      </c>
      <c r="F31">
        <v>60399.3</v>
      </c>
      <c r="G31">
        <v>-18.3093</v>
      </c>
      <c r="H31">
        <v>300</v>
      </c>
      <c r="I31">
        <v>500</v>
      </c>
      <c r="J31">
        <v>0</v>
      </c>
      <c r="K31">
        <v>800</v>
      </c>
      <c r="L31">
        <f t="shared" si="8"/>
        <v>49991</v>
      </c>
      <c r="M31">
        <f t="shared" si="9"/>
        <v>1.3743877021753563</v>
      </c>
      <c r="N31">
        <f t="shared" si="10"/>
        <v>-2663.3337452159999</v>
      </c>
    </row>
    <row r="32" spans="2:14" x14ac:dyDescent="0.2">
      <c r="B32">
        <f t="shared" si="0"/>
        <v>0.65</v>
      </c>
      <c r="C32">
        <v>2600000</v>
      </c>
      <c r="D32">
        <v>1500.16</v>
      </c>
      <c r="E32">
        <v>-2927.58</v>
      </c>
      <c r="F32">
        <v>61269.5</v>
      </c>
      <c r="G32">
        <v>54.1404</v>
      </c>
      <c r="H32">
        <v>280</v>
      </c>
      <c r="I32">
        <v>520</v>
      </c>
      <c r="J32">
        <v>0</v>
      </c>
      <c r="K32">
        <v>800</v>
      </c>
      <c r="L32">
        <f t="shared" si="8"/>
        <v>50634.16</v>
      </c>
      <c r="M32">
        <f t="shared" si="9"/>
        <v>1.3722985832494148</v>
      </c>
      <c r="N32">
        <f t="shared" si="10"/>
        <v>-2617.324109568</v>
      </c>
    </row>
    <row r="33" spans="2:14" x14ac:dyDescent="0.2">
      <c r="B33">
        <f t="shared" si="0"/>
        <v>0.67500000000000004</v>
      </c>
      <c r="C33">
        <v>2700000</v>
      </c>
      <c r="D33">
        <v>1500.02</v>
      </c>
      <c r="E33">
        <v>-2882.44</v>
      </c>
      <c r="F33">
        <v>62036</v>
      </c>
      <c r="G33">
        <v>44.493600000000001</v>
      </c>
      <c r="H33">
        <v>260</v>
      </c>
      <c r="I33">
        <v>540</v>
      </c>
      <c r="J33">
        <v>0</v>
      </c>
      <c r="K33">
        <v>800</v>
      </c>
      <c r="L33">
        <f t="shared" si="8"/>
        <v>51277.320000000007</v>
      </c>
      <c r="M33">
        <f t="shared" si="9"/>
        <v>1.3725585297698111</v>
      </c>
      <c r="N33">
        <f t="shared" si="10"/>
        <v>-2572.2130636960001</v>
      </c>
    </row>
    <row r="36" spans="2:14" x14ac:dyDescent="0.2">
      <c r="B36">
        <f t="shared" ref="B36:B46" si="11">I36/SUM(H36:I36)</f>
        <v>0</v>
      </c>
      <c r="C36">
        <v>100000</v>
      </c>
      <c r="D36">
        <v>1505.94</v>
      </c>
      <c r="E36">
        <v>-4034.71</v>
      </c>
      <c r="F36">
        <v>44174.3</v>
      </c>
      <c r="G36">
        <v>-14.2249</v>
      </c>
      <c r="H36">
        <v>800</v>
      </c>
      <c r="I36">
        <v>0</v>
      </c>
      <c r="J36">
        <v>0</v>
      </c>
      <c r="K36">
        <v>800</v>
      </c>
      <c r="L36">
        <f t="shared" ref="L36" si="12">H36*H$2+I36*I$2+J36*J$2+K36*K$2</f>
        <v>33912</v>
      </c>
      <c r="M36">
        <f t="shared" ref="M36" si="13">L36*(1.66054E-24)/(F36)/(1E-24)</f>
        <v>1.27477362357751</v>
      </c>
      <c r="N36">
        <f t="shared" ref="N36" si="14">E36+SUM(H36:K36)*1.5*(0.000086173)*D36</f>
        <v>-3723.2587177119999</v>
      </c>
    </row>
    <row r="37" spans="2:14" x14ac:dyDescent="0.2">
      <c r="D37" s="4"/>
      <c r="L37">
        <f>H37*H$2+I37*I$2+J37*J$2+K37*K$2</f>
        <v>0</v>
      </c>
      <c r="M37" t="e">
        <f>L37*(1.66054E-24)/(F37)/(1E-24)</f>
        <v>#DIV/0!</v>
      </c>
      <c r="N37">
        <f t="shared" ref="N37:N46" si="15">E37+SUM(H37:K37)*1.5*(0.000086173)*D37</f>
        <v>0</v>
      </c>
    </row>
    <row r="38" spans="2:14" x14ac:dyDescent="0.2">
      <c r="B38">
        <f t="shared" si="11"/>
        <v>0.2</v>
      </c>
      <c r="C38">
        <v>100000</v>
      </c>
      <c r="D38">
        <v>1504.76</v>
      </c>
      <c r="E38">
        <v>-3690.22</v>
      </c>
      <c r="F38">
        <v>51609.5</v>
      </c>
      <c r="G38">
        <v>13.510199999999999</v>
      </c>
      <c r="H38">
        <v>640</v>
      </c>
      <c r="I38">
        <v>160</v>
      </c>
      <c r="J38">
        <v>0</v>
      </c>
      <c r="K38">
        <v>800</v>
      </c>
      <c r="L38">
        <f t="shared" ref="L38:L46" si="16">H38*H$2+I38*I$2+J38*J$2+K38*K$2</f>
        <v>39057.280000000006</v>
      </c>
      <c r="M38">
        <f t="shared" ref="M38:M46" si="17">L38*(1.66054E-24)/(F38)/(1E-24)</f>
        <v>1.2566712665536384</v>
      </c>
      <c r="N38">
        <f t="shared" si="15"/>
        <v>-3379.0127596479997</v>
      </c>
    </row>
    <row r="39" spans="2:14" x14ac:dyDescent="0.2">
      <c r="B39">
        <f t="shared" si="11"/>
        <v>0.3</v>
      </c>
      <c r="C39">
        <v>100000</v>
      </c>
      <c r="D39">
        <v>1503.8</v>
      </c>
      <c r="E39">
        <v>-3513.93</v>
      </c>
      <c r="F39">
        <v>55469.7</v>
      </c>
      <c r="G39">
        <v>2.49295</v>
      </c>
      <c r="H39">
        <v>560</v>
      </c>
      <c r="I39">
        <v>240</v>
      </c>
      <c r="J39">
        <v>0</v>
      </c>
      <c r="K39">
        <v>800</v>
      </c>
      <c r="L39">
        <f t="shared" si="16"/>
        <v>41629.920000000006</v>
      </c>
      <c r="M39">
        <f t="shared" si="17"/>
        <v>1.2462325802519216</v>
      </c>
      <c r="N39">
        <f t="shared" si="15"/>
        <v>-3202.9213022399999</v>
      </c>
    </row>
    <row r="40" spans="2:14" x14ac:dyDescent="0.2">
      <c r="B40">
        <f t="shared" si="11"/>
        <v>0.4</v>
      </c>
      <c r="C40">
        <v>100000</v>
      </c>
      <c r="D40">
        <v>1503.1</v>
      </c>
      <c r="E40">
        <v>-3334.83</v>
      </c>
      <c r="F40">
        <v>59281.7</v>
      </c>
      <c r="G40">
        <v>5.2155100000000001</v>
      </c>
      <c r="H40">
        <v>480</v>
      </c>
      <c r="I40">
        <v>320</v>
      </c>
      <c r="J40">
        <v>0</v>
      </c>
      <c r="K40">
        <v>800</v>
      </c>
      <c r="L40">
        <f t="shared" si="16"/>
        <v>44202.560000000005</v>
      </c>
      <c r="M40">
        <f t="shared" si="17"/>
        <v>1.2381581328200779</v>
      </c>
      <c r="N40">
        <f t="shared" si="15"/>
        <v>-3023.96607288</v>
      </c>
    </row>
    <row r="41" spans="2:14" x14ac:dyDescent="0.2">
      <c r="D41" s="3"/>
      <c r="F41" s="3"/>
      <c r="G41" s="3"/>
      <c r="L41">
        <f t="shared" si="16"/>
        <v>0</v>
      </c>
      <c r="M41" t="e">
        <f t="shared" si="17"/>
        <v>#DIV/0!</v>
      </c>
      <c r="N41">
        <f t="shared" si="15"/>
        <v>0</v>
      </c>
    </row>
    <row r="42" spans="2:14" x14ac:dyDescent="0.2">
      <c r="B42">
        <f t="shared" si="11"/>
        <v>0.6</v>
      </c>
      <c r="C42">
        <v>100000</v>
      </c>
      <c r="D42">
        <v>1494.78</v>
      </c>
      <c r="E42">
        <v>-2974.21</v>
      </c>
      <c r="F42">
        <v>67356.3</v>
      </c>
      <c r="G42">
        <v>3.15828</v>
      </c>
      <c r="H42">
        <v>320</v>
      </c>
      <c r="I42">
        <v>480</v>
      </c>
      <c r="J42">
        <v>0</v>
      </c>
      <c r="K42">
        <v>800</v>
      </c>
      <c r="L42">
        <f t="shared" si="16"/>
        <v>49347.840000000004</v>
      </c>
      <c r="M42">
        <f t="shared" si="17"/>
        <v>1.2165760624262318</v>
      </c>
      <c r="N42">
        <f t="shared" si="15"/>
        <v>-2665.0667753440002</v>
      </c>
    </row>
    <row r="43" spans="2:14" x14ac:dyDescent="0.2">
      <c r="B43">
        <f t="shared" si="11"/>
        <v>0.7</v>
      </c>
      <c r="C43">
        <v>100000</v>
      </c>
      <c r="D43">
        <v>1501.9</v>
      </c>
      <c r="E43">
        <v>-2785.09</v>
      </c>
      <c r="F43">
        <v>72201.7</v>
      </c>
      <c r="G43">
        <v>31.8597</v>
      </c>
      <c r="H43">
        <v>240</v>
      </c>
      <c r="I43">
        <v>560</v>
      </c>
      <c r="J43">
        <v>0</v>
      </c>
      <c r="K43">
        <v>800</v>
      </c>
      <c r="L43">
        <f t="shared" si="16"/>
        <v>51920.480000000003</v>
      </c>
      <c r="M43">
        <f t="shared" si="17"/>
        <v>1.1940997768639798</v>
      </c>
      <c r="N43">
        <f t="shared" si="15"/>
        <v>-2474.4742511200002</v>
      </c>
    </row>
    <row r="44" spans="2:14" x14ac:dyDescent="0.2">
      <c r="B44">
        <f t="shared" si="11"/>
        <v>0.8</v>
      </c>
      <c r="C44">
        <v>100000</v>
      </c>
      <c r="D44">
        <v>1502.39</v>
      </c>
      <c r="E44">
        <v>-2592.9499999999998</v>
      </c>
      <c r="F44">
        <v>77658</v>
      </c>
      <c r="G44">
        <v>22.741499999999998</v>
      </c>
      <c r="H44">
        <v>160</v>
      </c>
      <c r="I44">
        <v>640</v>
      </c>
      <c r="J44">
        <v>0</v>
      </c>
      <c r="K44">
        <v>800</v>
      </c>
      <c r="L44">
        <f t="shared" si="16"/>
        <v>54493.12000000001</v>
      </c>
      <c r="M44">
        <f t="shared" si="17"/>
        <v>1.165211639300523</v>
      </c>
      <c r="N44">
        <f t="shared" si="15"/>
        <v>-2282.2329116719998</v>
      </c>
    </row>
    <row r="45" spans="2:14" x14ac:dyDescent="0.2">
      <c r="B45">
        <f t="shared" si="11"/>
        <v>0.9</v>
      </c>
      <c r="C45">
        <v>100000</v>
      </c>
      <c r="D45">
        <v>1503.12</v>
      </c>
      <c r="E45">
        <v>-2404.7800000000002</v>
      </c>
      <c r="F45">
        <v>82831.100000000006</v>
      </c>
      <c r="G45">
        <v>2.0632299999999999</v>
      </c>
      <c r="H45">
        <v>80</v>
      </c>
      <c r="I45">
        <v>720</v>
      </c>
      <c r="J45">
        <v>0</v>
      </c>
      <c r="K45">
        <v>800</v>
      </c>
      <c r="L45">
        <f t="shared" si="16"/>
        <v>57065.760000000002</v>
      </c>
      <c r="M45">
        <f t="shared" si="17"/>
        <v>1.1440144717431013</v>
      </c>
      <c r="N45">
        <f t="shared" si="15"/>
        <v>-2093.9119365760002</v>
      </c>
    </row>
    <row r="46" spans="2:14" x14ac:dyDescent="0.2">
      <c r="B46">
        <f t="shared" si="11"/>
        <v>1</v>
      </c>
      <c r="C46">
        <v>100000</v>
      </c>
      <c r="D46">
        <v>1499.22</v>
      </c>
      <c r="E46">
        <v>-2210.5700000000002</v>
      </c>
      <c r="F46">
        <v>88781.1</v>
      </c>
      <c r="G46">
        <v>-0.154422</v>
      </c>
      <c r="H46">
        <v>0</v>
      </c>
      <c r="I46">
        <v>800</v>
      </c>
      <c r="J46">
        <v>0</v>
      </c>
      <c r="K46">
        <v>800</v>
      </c>
      <c r="L46">
        <f>H46*H$2+I46*I$2+J46*J$2+K46*K$2</f>
        <v>59638.400000000001</v>
      </c>
      <c r="M46">
        <f>L46*(1.66054E-24)/(F46)/(1E-24)</f>
        <v>1.1154620604610666</v>
      </c>
      <c r="N46">
        <f>E46+SUM(H46:K46)*1.5*(0.000086173)*D46</f>
        <v>-1900.508515856</v>
      </c>
    </row>
    <row r="49" spans="6:19" x14ac:dyDescent="0.2">
      <c r="F49">
        <v>1.4999999999999999E-2</v>
      </c>
      <c r="G49" t="s">
        <v>45</v>
      </c>
    </row>
    <row r="50" spans="6:19" x14ac:dyDescent="0.2">
      <c r="F50">
        <v>1E-3</v>
      </c>
      <c r="G50" t="s">
        <v>44</v>
      </c>
      <c r="J50">
        <v>0.1</v>
      </c>
    </row>
    <row r="51" spans="6:19" x14ac:dyDescent="0.2">
      <c r="F51">
        <f>F49/F50</f>
        <v>15</v>
      </c>
      <c r="G51" t="s">
        <v>46</v>
      </c>
    </row>
    <row r="52" spans="6:19" x14ac:dyDescent="0.2">
      <c r="F52">
        <f>F51*(0.0000000001)/(0.000000000001)</f>
        <v>1500</v>
      </c>
      <c r="G52" t="s">
        <v>50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3</v>
      </c>
    </row>
    <row r="53" spans="6:19" x14ac:dyDescent="0.2">
      <c r="J53" t="s">
        <v>24</v>
      </c>
      <c r="K53" t="s">
        <v>1</v>
      </c>
      <c r="L53" t="s">
        <v>2</v>
      </c>
      <c r="M53" t="s">
        <v>3</v>
      </c>
      <c r="N53" t="s">
        <v>4</v>
      </c>
      <c r="O53" t="s">
        <v>5</v>
      </c>
      <c r="P53" t="s">
        <v>6</v>
      </c>
      <c r="Q53" t="s">
        <v>7</v>
      </c>
      <c r="R53" t="s">
        <v>8</v>
      </c>
      <c r="S53" t="s">
        <v>9</v>
      </c>
    </row>
    <row r="54" spans="6:19" x14ac:dyDescent="0.2">
      <c r="F54" t="s">
        <v>47</v>
      </c>
      <c r="J54">
        <v>1000</v>
      </c>
      <c r="K54">
        <v>2249.58</v>
      </c>
      <c r="L54">
        <v>-3679.53</v>
      </c>
      <c r="M54">
        <v>68717.100000000006</v>
      </c>
      <c r="N54">
        <v>-418.005</v>
      </c>
      <c r="O54">
        <v>800</v>
      </c>
      <c r="P54">
        <v>0</v>
      </c>
      <c r="Q54">
        <v>0</v>
      </c>
      <c r="R54">
        <v>800</v>
      </c>
    </row>
    <row r="55" spans="6:19" x14ac:dyDescent="0.2">
      <c r="F55">
        <f>L39/1600</f>
        <v>26.018700000000003</v>
      </c>
      <c r="G55" t="s">
        <v>48</v>
      </c>
      <c r="J55">
        <v>2000</v>
      </c>
      <c r="K55">
        <v>1822.5</v>
      </c>
      <c r="L55">
        <v>-3834.12</v>
      </c>
      <c r="M55">
        <v>65745</v>
      </c>
      <c r="N55">
        <v>-3479.29</v>
      </c>
      <c r="O55">
        <v>800</v>
      </c>
      <c r="P55">
        <v>0</v>
      </c>
      <c r="Q55">
        <v>0</v>
      </c>
      <c r="R55">
        <v>800</v>
      </c>
    </row>
    <row r="56" spans="6:19" x14ac:dyDescent="0.2">
      <c r="F56">
        <f>F55*1.66E-27</f>
        <v>4.3191042000000001E-26</v>
      </c>
      <c r="G56" t="s">
        <v>49</v>
      </c>
      <c r="J56">
        <v>3000</v>
      </c>
      <c r="K56">
        <v>1630.03</v>
      </c>
      <c r="L56">
        <v>-3889.52</v>
      </c>
      <c r="M56">
        <v>62667.6</v>
      </c>
      <c r="N56">
        <v>-2211.46</v>
      </c>
      <c r="O56">
        <v>800</v>
      </c>
      <c r="P56">
        <v>0</v>
      </c>
      <c r="Q56">
        <v>0</v>
      </c>
      <c r="R56">
        <v>800</v>
      </c>
    </row>
    <row r="57" spans="6:19" x14ac:dyDescent="0.2">
      <c r="J57">
        <v>4000</v>
      </c>
      <c r="K57">
        <v>1580.57</v>
      </c>
      <c r="L57">
        <v>-3932.32</v>
      </c>
      <c r="M57">
        <v>60003.8</v>
      </c>
      <c r="N57">
        <v>-1940.86</v>
      </c>
      <c r="O57">
        <v>800</v>
      </c>
      <c r="P57">
        <v>0</v>
      </c>
      <c r="Q57">
        <v>0</v>
      </c>
      <c r="R57">
        <v>800</v>
      </c>
    </row>
    <row r="58" spans="6:19" x14ac:dyDescent="0.2">
      <c r="F58">
        <f>1/2*F56*(F52^2)</f>
        <v>4.8589922250000002E-20</v>
      </c>
      <c r="G58" t="s">
        <v>51</v>
      </c>
      <c r="J58">
        <v>5000</v>
      </c>
      <c r="K58">
        <v>1593.3</v>
      </c>
      <c r="L58">
        <v>-3958.2</v>
      </c>
      <c r="M58">
        <v>57874.3</v>
      </c>
      <c r="N58">
        <v>-838.08500000000004</v>
      </c>
      <c r="O58">
        <v>800</v>
      </c>
      <c r="P58">
        <v>0</v>
      </c>
      <c r="Q58">
        <v>0</v>
      </c>
      <c r="R58">
        <v>800</v>
      </c>
    </row>
    <row r="59" spans="6:19" x14ac:dyDescent="0.2">
      <c r="F59">
        <f>F58/1.602E-19</f>
        <v>0.30330787921348318</v>
      </c>
      <c r="G59" t="s">
        <v>52</v>
      </c>
      <c r="J59">
        <v>6000</v>
      </c>
      <c r="K59">
        <v>1531.7</v>
      </c>
      <c r="L59">
        <v>-3974</v>
      </c>
      <c r="M59">
        <v>56316.4</v>
      </c>
      <c r="N59">
        <v>-3028.4</v>
      </c>
      <c r="O59">
        <v>800</v>
      </c>
      <c r="P59">
        <v>0</v>
      </c>
      <c r="Q59">
        <v>0</v>
      </c>
      <c r="R59">
        <v>800</v>
      </c>
    </row>
    <row r="60" spans="6:19" x14ac:dyDescent="0.2">
      <c r="F60">
        <f>F59/(3/2)/(0.000086173)</f>
        <v>2346.5035777910575</v>
      </c>
      <c r="G60" t="s">
        <v>54</v>
      </c>
      <c r="J60">
        <v>7000</v>
      </c>
      <c r="K60">
        <v>1477.71</v>
      </c>
      <c r="L60">
        <v>-3981.38</v>
      </c>
      <c r="M60">
        <v>54342.7</v>
      </c>
      <c r="N60">
        <v>-278.25200000000001</v>
      </c>
      <c r="O60">
        <v>800</v>
      </c>
      <c r="P60">
        <v>0</v>
      </c>
      <c r="Q60">
        <v>0</v>
      </c>
      <c r="R60">
        <v>800</v>
      </c>
    </row>
    <row r="61" spans="6:19" x14ac:dyDescent="0.2">
      <c r="J61">
        <v>8000</v>
      </c>
      <c r="K61">
        <v>1480.42</v>
      </c>
      <c r="L61">
        <v>-3981.53</v>
      </c>
      <c r="M61">
        <v>53079.4</v>
      </c>
      <c r="N61">
        <v>-770.221</v>
      </c>
      <c r="O61">
        <v>800</v>
      </c>
      <c r="P61">
        <v>0</v>
      </c>
      <c r="Q61">
        <v>0</v>
      </c>
      <c r="R61">
        <v>800</v>
      </c>
    </row>
    <row r="62" spans="6:19" x14ac:dyDescent="0.2">
      <c r="J62">
        <v>9000</v>
      </c>
      <c r="K62">
        <v>1494.53</v>
      </c>
      <c r="L62">
        <v>-3994.2</v>
      </c>
      <c r="M62">
        <v>51681.5</v>
      </c>
      <c r="N62">
        <v>-1726.54</v>
      </c>
      <c r="O62">
        <v>800</v>
      </c>
      <c r="P62">
        <v>0</v>
      </c>
      <c r="Q62">
        <v>0</v>
      </c>
      <c r="R62">
        <v>800</v>
      </c>
    </row>
    <row r="63" spans="6:19" x14ac:dyDescent="0.2">
      <c r="F63">
        <f>(0.000086173)*1500*1.5</f>
        <v>0.19388925000000001</v>
      </c>
      <c r="G63" t="s">
        <v>53</v>
      </c>
      <c r="J63">
        <v>10000</v>
      </c>
      <c r="K63">
        <v>1501.13</v>
      </c>
      <c r="L63">
        <v>-4007.7</v>
      </c>
      <c r="M63">
        <v>49987.8</v>
      </c>
      <c r="N63">
        <v>-1369.3</v>
      </c>
      <c r="O63">
        <v>800</v>
      </c>
      <c r="P63">
        <v>0</v>
      </c>
      <c r="Q63">
        <v>0</v>
      </c>
      <c r="R63">
        <v>800</v>
      </c>
    </row>
    <row r="64" spans="6:19" x14ac:dyDescent="0.2">
      <c r="J64">
        <v>11000</v>
      </c>
      <c r="K64">
        <v>1462.15</v>
      </c>
      <c r="L64">
        <v>-4007.03</v>
      </c>
      <c r="M64">
        <v>48538.400000000001</v>
      </c>
      <c r="N64">
        <v>-1081.02</v>
      </c>
      <c r="O64">
        <v>800</v>
      </c>
      <c r="P64">
        <v>0</v>
      </c>
      <c r="Q64">
        <v>0</v>
      </c>
      <c r="R64">
        <v>800</v>
      </c>
    </row>
    <row r="65" spans="10:18" x14ac:dyDescent="0.2">
      <c r="J65">
        <v>12000</v>
      </c>
      <c r="K65">
        <v>1523.82</v>
      </c>
      <c r="L65">
        <v>-4020.08</v>
      </c>
      <c r="M65">
        <v>47595.7</v>
      </c>
      <c r="N65">
        <v>-1141.76</v>
      </c>
      <c r="O65">
        <v>800</v>
      </c>
      <c r="P65">
        <v>0</v>
      </c>
      <c r="Q65">
        <v>0</v>
      </c>
      <c r="R65">
        <v>800</v>
      </c>
    </row>
    <row r="66" spans="10:18" x14ac:dyDescent="0.2">
      <c r="J66">
        <v>13000</v>
      </c>
      <c r="K66">
        <v>1489.02</v>
      </c>
      <c r="L66">
        <v>-4012.85</v>
      </c>
      <c r="M66">
        <v>46591.8</v>
      </c>
      <c r="N66">
        <v>-1389.55</v>
      </c>
      <c r="O66">
        <v>800</v>
      </c>
      <c r="P66">
        <v>0</v>
      </c>
      <c r="Q66">
        <v>0</v>
      </c>
      <c r="R66">
        <v>800</v>
      </c>
    </row>
    <row r="67" spans="10:18" x14ac:dyDescent="0.2">
      <c r="J67">
        <v>14000</v>
      </c>
      <c r="K67">
        <v>1453.45</v>
      </c>
      <c r="L67">
        <v>-4020.4</v>
      </c>
      <c r="M67">
        <v>45715</v>
      </c>
      <c r="N67">
        <v>-1042.1199999999999</v>
      </c>
      <c r="O67">
        <v>800</v>
      </c>
      <c r="P67">
        <v>0</v>
      </c>
      <c r="Q67">
        <v>0</v>
      </c>
      <c r="R67">
        <v>800</v>
      </c>
    </row>
    <row r="68" spans="10:18" x14ac:dyDescent="0.2">
      <c r="J68">
        <v>15000</v>
      </c>
      <c r="K68">
        <v>1482.35</v>
      </c>
      <c r="L68">
        <v>-4039.06</v>
      </c>
      <c r="M68">
        <v>44753.7</v>
      </c>
      <c r="N68">
        <v>-899.44100000000003</v>
      </c>
      <c r="O68">
        <v>800</v>
      </c>
      <c r="P68">
        <v>0</v>
      </c>
      <c r="Q68">
        <v>0</v>
      </c>
      <c r="R68">
        <v>800</v>
      </c>
    </row>
    <row r="69" spans="10:18" x14ac:dyDescent="0.2">
      <c r="J69">
        <v>16000</v>
      </c>
      <c r="K69">
        <v>1525.58</v>
      </c>
      <c r="L69">
        <v>-4039.33</v>
      </c>
      <c r="M69">
        <v>44337</v>
      </c>
      <c r="N69">
        <v>30.571400000000001</v>
      </c>
      <c r="O69">
        <v>800</v>
      </c>
      <c r="P69">
        <v>0</v>
      </c>
      <c r="Q69">
        <v>0</v>
      </c>
      <c r="R69">
        <v>800</v>
      </c>
    </row>
    <row r="70" spans="10:18" x14ac:dyDescent="0.2">
      <c r="J70">
        <v>17000</v>
      </c>
      <c r="K70">
        <v>1504.1</v>
      </c>
      <c r="L70">
        <v>-4031.05</v>
      </c>
      <c r="M70">
        <v>44116.800000000003</v>
      </c>
      <c r="N70">
        <v>329.483</v>
      </c>
      <c r="O70">
        <v>800</v>
      </c>
      <c r="P70">
        <v>0</v>
      </c>
      <c r="Q70">
        <v>0</v>
      </c>
      <c r="R70">
        <v>800</v>
      </c>
    </row>
    <row r="71" spans="10:18" x14ac:dyDescent="0.2">
      <c r="J71">
        <v>18000</v>
      </c>
      <c r="K71">
        <v>1496.81</v>
      </c>
      <c r="L71">
        <v>-4034.95</v>
      </c>
      <c r="M71">
        <v>44053.7</v>
      </c>
      <c r="N71">
        <v>-1574.75</v>
      </c>
      <c r="O71">
        <v>800</v>
      </c>
      <c r="P71">
        <v>0</v>
      </c>
      <c r="Q71">
        <v>0</v>
      </c>
      <c r="R71">
        <v>800</v>
      </c>
    </row>
    <row r="72" spans="10:18" x14ac:dyDescent="0.2">
      <c r="J72">
        <v>19000</v>
      </c>
      <c r="K72">
        <v>1531</v>
      </c>
      <c r="L72">
        <v>-4043.96</v>
      </c>
      <c r="M72">
        <v>43907.1</v>
      </c>
      <c r="N72">
        <v>511.51299999999998</v>
      </c>
      <c r="O72">
        <v>800</v>
      </c>
      <c r="P72">
        <v>0</v>
      </c>
      <c r="Q72">
        <v>0</v>
      </c>
      <c r="R72">
        <v>800</v>
      </c>
    </row>
    <row r="73" spans="10:18" x14ac:dyDescent="0.2">
      <c r="J73">
        <v>20000</v>
      </c>
      <c r="K73">
        <v>1501.49</v>
      </c>
      <c r="L73">
        <v>-4043.75</v>
      </c>
      <c r="M73">
        <v>44065</v>
      </c>
      <c r="N73">
        <v>-344.74799999999999</v>
      </c>
      <c r="O73">
        <v>800</v>
      </c>
      <c r="P73">
        <v>0</v>
      </c>
      <c r="Q73">
        <v>0</v>
      </c>
      <c r="R73">
        <v>800</v>
      </c>
    </row>
    <row r="74" spans="10:18" x14ac:dyDescent="0.2">
      <c r="J74">
        <v>21000</v>
      </c>
      <c r="K74">
        <v>1504.93</v>
      </c>
      <c r="L74">
        <v>-4049.31</v>
      </c>
      <c r="M74">
        <v>43821.7</v>
      </c>
      <c r="N74">
        <v>406.47699999999998</v>
      </c>
      <c r="O74">
        <v>800</v>
      </c>
      <c r="P74">
        <v>0</v>
      </c>
      <c r="Q74">
        <v>0</v>
      </c>
      <c r="R74">
        <v>800</v>
      </c>
    </row>
    <row r="75" spans="10:18" x14ac:dyDescent="0.2">
      <c r="J75">
        <v>22000</v>
      </c>
      <c r="K75">
        <v>1504.97</v>
      </c>
      <c r="L75">
        <v>-4031.76</v>
      </c>
      <c r="M75">
        <v>43511</v>
      </c>
      <c r="N75">
        <v>44.0807</v>
      </c>
      <c r="O75">
        <v>800</v>
      </c>
      <c r="P75">
        <v>0</v>
      </c>
      <c r="Q75">
        <v>0</v>
      </c>
      <c r="R75">
        <v>800</v>
      </c>
    </row>
    <row r="76" spans="10:18" x14ac:dyDescent="0.2">
      <c r="J76">
        <v>23000</v>
      </c>
      <c r="K76">
        <v>1488.29</v>
      </c>
      <c r="L76">
        <v>-4036.69</v>
      </c>
      <c r="M76">
        <v>43235.1</v>
      </c>
      <c r="N76">
        <v>413.10399999999998</v>
      </c>
      <c r="O76">
        <v>800</v>
      </c>
      <c r="P76">
        <v>0</v>
      </c>
      <c r="Q76">
        <v>0</v>
      </c>
      <c r="R76">
        <v>800</v>
      </c>
    </row>
    <row r="77" spans="10:18" x14ac:dyDescent="0.2">
      <c r="J77">
        <v>24000</v>
      </c>
      <c r="K77">
        <v>1513.56</v>
      </c>
      <c r="L77">
        <v>-4041.06</v>
      </c>
      <c r="M77">
        <v>43303.199999999997</v>
      </c>
      <c r="N77">
        <v>98.280299999999997</v>
      </c>
      <c r="O77">
        <v>800</v>
      </c>
      <c r="P77">
        <v>0</v>
      </c>
      <c r="Q77">
        <v>0</v>
      </c>
      <c r="R77">
        <v>800</v>
      </c>
    </row>
    <row r="78" spans="10:18" x14ac:dyDescent="0.2">
      <c r="J78">
        <v>25000</v>
      </c>
      <c r="K78">
        <v>1493.32</v>
      </c>
      <c r="L78">
        <v>-4039.73</v>
      </c>
      <c r="M78">
        <v>43804.2</v>
      </c>
      <c r="N78">
        <v>-838.83199999999999</v>
      </c>
      <c r="O78">
        <v>800</v>
      </c>
      <c r="P78">
        <v>0</v>
      </c>
      <c r="Q78">
        <v>0</v>
      </c>
      <c r="R78">
        <v>800</v>
      </c>
    </row>
    <row r="79" spans="10:18" x14ac:dyDescent="0.2">
      <c r="J79">
        <v>26000</v>
      </c>
      <c r="K79">
        <v>1504.85</v>
      </c>
      <c r="L79">
        <v>-4026.98</v>
      </c>
      <c r="M79">
        <v>43946.5</v>
      </c>
      <c r="N79">
        <v>-65.842399999999998</v>
      </c>
      <c r="O79">
        <v>800</v>
      </c>
      <c r="P79">
        <v>0</v>
      </c>
      <c r="Q79">
        <v>0</v>
      </c>
      <c r="R79">
        <v>800</v>
      </c>
    </row>
    <row r="80" spans="10:18" x14ac:dyDescent="0.2">
      <c r="J80">
        <v>27000</v>
      </c>
      <c r="K80">
        <v>1517.64</v>
      </c>
      <c r="L80">
        <v>-4031.14</v>
      </c>
      <c r="M80">
        <v>43951.7</v>
      </c>
      <c r="N80">
        <v>-487.42</v>
      </c>
      <c r="O80">
        <v>800</v>
      </c>
      <c r="P80">
        <v>0</v>
      </c>
      <c r="Q80">
        <v>0</v>
      </c>
      <c r="R80">
        <v>800</v>
      </c>
    </row>
    <row r="81" spans="10:18" x14ac:dyDescent="0.2">
      <c r="J81">
        <v>28000</v>
      </c>
      <c r="K81">
        <v>1501.64</v>
      </c>
      <c r="L81">
        <v>-4028.58</v>
      </c>
      <c r="M81">
        <v>44027.7</v>
      </c>
      <c r="N81">
        <v>-199.90799999999999</v>
      </c>
      <c r="O81">
        <v>800</v>
      </c>
      <c r="P81">
        <v>0</v>
      </c>
      <c r="Q81">
        <v>0</v>
      </c>
      <c r="R81">
        <v>800</v>
      </c>
    </row>
    <row r="82" spans="10:18" x14ac:dyDescent="0.2">
      <c r="J82">
        <v>29000</v>
      </c>
      <c r="K82">
        <v>1470.52</v>
      </c>
      <c r="L82">
        <v>-4044.25</v>
      </c>
      <c r="M82">
        <v>43861.1</v>
      </c>
      <c r="N82">
        <v>256.495</v>
      </c>
      <c r="O82">
        <v>800</v>
      </c>
      <c r="P82">
        <v>0</v>
      </c>
      <c r="Q82">
        <v>0</v>
      </c>
      <c r="R82">
        <v>800</v>
      </c>
    </row>
    <row r="83" spans="10:18" x14ac:dyDescent="0.2">
      <c r="J83">
        <v>30000</v>
      </c>
      <c r="K83">
        <v>1476.55</v>
      </c>
      <c r="L83">
        <v>-4038.8</v>
      </c>
      <c r="M83">
        <v>43647.9</v>
      </c>
      <c r="N83">
        <v>1834.4</v>
      </c>
      <c r="O83">
        <v>800</v>
      </c>
      <c r="P83">
        <v>0</v>
      </c>
      <c r="Q83">
        <v>0</v>
      </c>
      <c r="R83">
        <v>800</v>
      </c>
    </row>
    <row r="84" spans="10:18" x14ac:dyDescent="0.2">
      <c r="J84">
        <v>31000</v>
      </c>
      <c r="K84">
        <v>1483.9</v>
      </c>
      <c r="L84">
        <v>-4047.37</v>
      </c>
      <c r="M84">
        <v>43663.9</v>
      </c>
      <c r="N84">
        <v>-362.47199999999998</v>
      </c>
      <c r="O84">
        <v>800</v>
      </c>
      <c r="P84">
        <v>0</v>
      </c>
      <c r="Q84">
        <v>0</v>
      </c>
      <c r="R84">
        <v>800</v>
      </c>
    </row>
    <row r="85" spans="10:18" x14ac:dyDescent="0.2">
      <c r="J85">
        <v>32000</v>
      </c>
      <c r="K85">
        <v>1435.35</v>
      </c>
      <c r="L85">
        <v>-4037.19</v>
      </c>
      <c r="M85">
        <v>43578.5</v>
      </c>
      <c r="N85">
        <v>339.28699999999998</v>
      </c>
      <c r="O85">
        <v>800</v>
      </c>
      <c r="P85">
        <v>0</v>
      </c>
      <c r="Q85">
        <v>0</v>
      </c>
      <c r="R85">
        <v>800</v>
      </c>
    </row>
    <row r="86" spans="10:18" x14ac:dyDescent="0.2">
      <c r="J86">
        <v>33000</v>
      </c>
      <c r="K86">
        <v>1483.32</v>
      </c>
      <c r="L86">
        <v>-4038.49</v>
      </c>
      <c r="M86">
        <v>43214.5</v>
      </c>
      <c r="N86">
        <v>535.98699999999997</v>
      </c>
      <c r="O86">
        <v>800</v>
      </c>
      <c r="P86">
        <v>0</v>
      </c>
      <c r="Q86">
        <v>0</v>
      </c>
      <c r="R86">
        <v>800</v>
      </c>
    </row>
    <row r="87" spans="10:18" x14ac:dyDescent="0.2">
      <c r="J87">
        <v>34000</v>
      </c>
      <c r="K87">
        <v>1490.93</v>
      </c>
      <c r="L87">
        <v>-4045.81</v>
      </c>
      <c r="M87">
        <v>43041.7</v>
      </c>
      <c r="N87">
        <v>1493.21</v>
      </c>
      <c r="O87">
        <v>800</v>
      </c>
      <c r="P87">
        <v>0</v>
      </c>
      <c r="Q87">
        <v>0</v>
      </c>
      <c r="R87">
        <v>800</v>
      </c>
    </row>
    <row r="88" spans="10:18" x14ac:dyDescent="0.2">
      <c r="J88">
        <v>35000</v>
      </c>
      <c r="K88">
        <v>1504.82</v>
      </c>
      <c r="L88">
        <v>-4042.96</v>
      </c>
      <c r="M88">
        <v>43594.3</v>
      </c>
      <c r="N88">
        <v>302.97300000000001</v>
      </c>
      <c r="O88">
        <v>800</v>
      </c>
      <c r="P88">
        <v>0</v>
      </c>
      <c r="Q88">
        <v>0</v>
      </c>
      <c r="R88">
        <v>800</v>
      </c>
    </row>
    <row r="89" spans="10:18" x14ac:dyDescent="0.2">
      <c r="J89">
        <v>36000</v>
      </c>
      <c r="K89">
        <v>1489.12</v>
      </c>
      <c r="L89">
        <v>-4033.55</v>
      </c>
      <c r="M89">
        <v>44473.599999999999</v>
      </c>
      <c r="N89">
        <v>-391.38299999999998</v>
      </c>
      <c r="O89">
        <v>800</v>
      </c>
      <c r="P89">
        <v>0</v>
      </c>
      <c r="Q89">
        <v>0</v>
      </c>
      <c r="R89">
        <v>800</v>
      </c>
    </row>
    <row r="90" spans="10:18" x14ac:dyDescent="0.2">
      <c r="J90">
        <v>37000</v>
      </c>
      <c r="K90">
        <v>1491.81</v>
      </c>
      <c r="L90">
        <v>-4036.21</v>
      </c>
      <c r="M90">
        <v>44749.7</v>
      </c>
      <c r="N90">
        <v>-1112.58</v>
      </c>
      <c r="O90">
        <v>800</v>
      </c>
      <c r="P90">
        <v>0</v>
      </c>
      <c r="Q90">
        <v>0</v>
      </c>
      <c r="R90">
        <v>800</v>
      </c>
    </row>
    <row r="91" spans="10:18" x14ac:dyDescent="0.2">
      <c r="J91">
        <v>38000</v>
      </c>
      <c r="K91">
        <v>1518.8</v>
      </c>
      <c r="L91">
        <v>-4031.79</v>
      </c>
      <c r="M91">
        <v>44226.6</v>
      </c>
      <c r="N91">
        <v>674.02800000000002</v>
      </c>
      <c r="O91">
        <v>800</v>
      </c>
      <c r="P91">
        <v>0</v>
      </c>
      <c r="Q91">
        <v>0</v>
      </c>
      <c r="R91">
        <v>800</v>
      </c>
    </row>
    <row r="92" spans="10:18" x14ac:dyDescent="0.2">
      <c r="J92">
        <v>39000</v>
      </c>
      <c r="K92">
        <v>1535.33</v>
      </c>
      <c r="L92">
        <v>-4042.24</v>
      </c>
      <c r="M92">
        <v>44413.7</v>
      </c>
      <c r="N92">
        <v>1005.5</v>
      </c>
      <c r="O92">
        <v>800</v>
      </c>
      <c r="P92">
        <v>0</v>
      </c>
      <c r="Q92">
        <v>0</v>
      </c>
      <c r="R92">
        <v>800</v>
      </c>
    </row>
    <row r="93" spans="10:18" x14ac:dyDescent="0.2">
      <c r="J93">
        <v>40000</v>
      </c>
      <c r="K93">
        <v>1487.89</v>
      </c>
      <c r="L93">
        <v>-4025.78</v>
      </c>
      <c r="M93">
        <v>45069</v>
      </c>
      <c r="N93">
        <v>-662.84</v>
      </c>
      <c r="O93">
        <v>800</v>
      </c>
      <c r="P93">
        <v>0</v>
      </c>
      <c r="Q93">
        <v>0</v>
      </c>
      <c r="R93">
        <v>800</v>
      </c>
    </row>
    <row r="94" spans="10:18" x14ac:dyDescent="0.2">
      <c r="J94">
        <v>41000</v>
      </c>
      <c r="K94">
        <v>1476.19</v>
      </c>
      <c r="L94">
        <v>-4027.58</v>
      </c>
      <c r="M94">
        <v>45459.3</v>
      </c>
      <c r="N94">
        <v>-1098.27</v>
      </c>
      <c r="O94">
        <v>800</v>
      </c>
      <c r="P94">
        <v>0</v>
      </c>
      <c r="Q94">
        <v>0</v>
      </c>
      <c r="R94">
        <v>800</v>
      </c>
    </row>
    <row r="95" spans="10:18" x14ac:dyDescent="0.2">
      <c r="J95">
        <v>42000</v>
      </c>
      <c r="K95">
        <v>1490.57</v>
      </c>
      <c r="L95">
        <v>-4022.26</v>
      </c>
      <c r="M95">
        <v>45043.6</v>
      </c>
      <c r="N95">
        <v>-125.07899999999999</v>
      </c>
      <c r="O95">
        <v>800</v>
      </c>
      <c r="P95">
        <v>0</v>
      </c>
      <c r="Q95">
        <v>0</v>
      </c>
      <c r="R95">
        <v>800</v>
      </c>
    </row>
    <row r="96" spans="10:18" x14ac:dyDescent="0.2">
      <c r="J96">
        <v>43000</v>
      </c>
      <c r="K96">
        <v>1530.73</v>
      </c>
      <c r="L96">
        <v>-4027.23</v>
      </c>
      <c r="M96">
        <v>44803.4</v>
      </c>
      <c r="N96">
        <v>448.49900000000002</v>
      </c>
      <c r="O96">
        <v>800</v>
      </c>
      <c r="P96">
        <v>0</v>
      </c>
      <c r="Q96">
        <v>0</v>
      </c>
      <c r="R96">
        <v>800</v>
      </c>
    </row>
    <row r="97" spans="10:18" x14ac:dyDescent="0.2">
      <c r="J97">
        <v>44000</v>
      </c>
      <c r="K97">
        <v>1510.75</v>
      </c>
      <c r="L97">
        <v>-4031.9</v>
      </c>
      <c r="M97">
        <v>44757</v>
      </c>
      <c r="N97">
        <v>-1355.08</v>
      </c>
      <c r="O97">
        <v>800</v>
      </c>
      <c r="P97">
        <v>0</v>
      </c>
      <c r="Q97">
        <v>0</v>
      </c>
      <c r="R97">
        <v>800</v>
      </c>
    </row>
    <row r="98" spans="10:18" x14ac:dyDescent="0.2">
      <c r="J98">
        <v>45000</v>
      </c>
      <c r="K98">
        <v>1508.34</v>
      </c>
      <c r="L98">
        <v>-4026.71</v>
      </c>
      <c r="M98">
        <v>44376.3</v>
      </c>
      <c r="N98">
        <v>749.97900000000004</v>
      </c>
      <c r="O98">
        <v>800</v>
      </c>
      <c r="P98">
        <v>0</v>
      </c>
      <c r="Q98">
        <v>0</v>
      </c>
      <c r="R98">
        <v>800</v>
      </c>
    </row>
    <row r="99" spans="10:18" x14ac:dyDescent="0.2">
      <c r="J99">
        <v>46000</v>
      </c>
      <c r="K99">
        <v>1478.27</v>
      </c>
      <c r="L99">
        <v>-4034.24</v>
      </c>
      <c r="M99">
        <v>44611.7</v>
      </c>
      <c r="N99">
        <v>-1586.56</v>
      </c>
      <c r="O99">
        <v>800</v>
      </c>
      <c r="P99">
        <v>0</v>
      </c>
      <c r="Q99">
        <v>0</v>
      </c>
      <c r="R99">
        <v>800</v>
      </c>
    </row>
    <row r="100" spans="10:18" x14ac:dyDescent="0.2">
      <c r="J100">
        <v>47000</v>
      </c>
      <c r="K100">
        <v>1488.4</v>
      </c>
      <c r="L100">
        <v>-4033.83</v>
      </c>
      <c r="M100">
        <v>44873.2</v>
      </c>
      <c r="N100">
        <v>-115.471</v>
      </c>
      <c r="O100">
        <v>800</v>
      </c>
      <c r="P100">
        <v>0</v>
      </c>
      <c r="Q100">
        <v>0</v>
      </c>
      <c r="R100">
        <v>800</v>
      </c>
    </row>
    <row r="101" spans="10:18" x14ac:dyDescent="0.2">
      <c r="J101">
        <v>48000</v>
      </c>
      <c r="K101">
        <v>1455.44</v>
      </c>
      <c r="L101">
        <v>-4039.58</v>
      </c>
      <c r="M101">
        <v>44985.9</v>
      </c>
      <c r="N101">
        <v>-1323.39</v>
      </c>
      <c r="O101">
        <v>800</v>
      </c>
      <c r="P101">
        <v>0</v>
      </c>
      <c r="Q101">
        <v>0</v>
      </c>
      <c r="R101">
        <v>800</v>
      </c>
    </row>
    <row r="102" spans="10:18" x14ac:dyDescent="0.2">
      <c r="J102">
        <v>49000</v>
      </c>
      <c r="K102">
        <v>1527.13</v>
      </c>
      <c r="L102">
        <v>-4031.58</v>
      </c>
      <c r="M102">
        <v>43894.8</v>
      </c>
      <c r="N102">
        <v>1726.07</v>
      </c>
      <c r="O102">
        <v>800</v>
      </c>
      <c r="P102">
        <v>0</v>
      </c>
      <c r="Q102">
        <v>0</v>
      </c>
      <c r="R102">
        <v>800</v>
      </c>
    </row>
    <row r="103" spans="10:18" x14ac:dyDescent="0.2">
      <c r="J103">
        <v>50000</v>
      </c>
      <c r="K103">
        <v>1480.9</v>
      </c>
      <c r="L103">
        <v>-4042.55</v>
      </c>
      <c r="M103">
        <v>43412.3</v>
      </c>
      <c r="N103">
        <v>659.45600000000002</v>
      </c>
      <c r="O103">
        <v>800</v>
      </c>
      <c r="P103">
        <v>0</v>
      </c>
      <c r="Q103">
        <v>0</v>
      </c>
      <c r="R103">
        <v>800</v>
      </c>
    </row>
    <row r="104" spans="10:18" x14ac:dyDescent="0.2">
      <c r="J104">
        <v>51000</v>
      </c>
      <c r="K104">
        <v>1532.75</v>
      </c>
      <c r="L104">
        <v>-4056.85</v>
      </c>
      <c r="M104">
        <v>43427</v>
      </c>
      <c r="N104">
        <v>-137.93100000000001</v>
      </c>
      <c r="O104">
        <v>800</v>
      </c>
      <c r="P104">
        <v>0</v>
      </c>
      <c r="Q104">
        <v>0</v>
      </c>
      <c r="R104">
        <v>800</v>
      </c>
    </row>
    <row r="105" spans="10:18" x14ac:dyDescent="0.2">
      <c r="J105">
        <v>52000</v>
      </c>
      <c r="K105">
        <v>1464.7</v>
      </c>
      <c r="L105">
        <v>-4051.22</v>
      </c>
      <c r="M105">
        <v>43699.6</v>
      </c>
      <c r="N105">
        <v>-394.74700000000001</v>
      </c>
      <c r="O105">
        <v>800</v>
      </c>
      <c r="P105">
        <v>0</v>
      </c>
      <c r="Q105">
        <v>0</v>
      </c>
      <c r="R105">
        <v>800</v>
      </c>
    </row>
    <row r="106" spans="10:18" x14ac:dyDescent="0.2">
      <c r="J106">
        <v>53000</v>
      </c>
      <c r="K106">
        <v>1505.22</v>
      </c>
      <c r="L106">
        <v>-4035.32</v>
      </c>
      <c r="M106">
        <v>44111.5</v>
      </c>
      <c r="N106">
        <v>-622.70799999999997</v>
      </c>
      <c r="O106">
        <v>800</v>
      </c>
      <c r="P106">
        <v>0</v>
      </c>
      <c r="Q106">
        <v>0</v>
      </c>
      <c r="R106">
        <v>800</v>
      </c>
    </row>
    <row r="107" spans="10:18" x14ac:dyDescent="0.2">
      <c r="J107">
        <v>54000</v>
      </c>
      <c r="K107">
        <v>1486.73</v>
      </c>
      <c r="L107">
        <v>-4038.98</v>
      </c>
      <c r="M107">
        <v>44304.5</v>
      </c>
      <c r="N107">
        <v>655.14700000000005</v>
      </c>
      <c r="O107">
        <v>800</v>
      </c>
      <c r="P107">
        <v>0</v>
      </c>
      <c r="Q107">
        <v>0</v>
      </c>
      <c r="R107">
        <v>800</v>
      </c>
    </row>
    <row r="108" spans="10:18" x14ac:dyDescent="0.2">
      <c r="J108">
        <v>55000</v>
      </c>
      <c r="K108">
        <v>1483.8</v>
      </c>
      <c r="L108">
        <v>-4042.51</v>
      </c>
      <c r="M108">
        <v>44751.3</v>
      </c>
      <c r="N108">
        <v>-765.11900000000003</v>
      </c>
      <c r="O108">
        <v>800</v>
      </c>
      <c r="P108">
        <v>0</v>
      </c>
      <c r="Q108">
        <v>0</v>
      </c>
      <c r="R108">
        <v>800</v>
      </c>
    </row>
    <row r="109" spans="10:18" x14ac:dyDescent="0.2">
      <c r="J109">
        <v>56000</v>
      </c>
      <c r="K109">
        <v>1503.02</v>
      </c>
      <c r="L109">
        <v>-4037.14</v>
      </c>
      <c r="M109">
        <v>44463.7</v>
      </c>
      <c r="N109">
        <v>-49.468800000000002</v>
      </c>
      <c r="O109">
        <v>800</v>
      </c>
      <c r="P109">
        <v>0</v>
      </c>
      <c r="Q109">
        <v>0</v>
      </c>
      <c r="R109">
        <v>800</v>
      </c>
    </row>
    <row r="110" spans="10:18" x14ac:dyDescent="0.2">
      <c r="J110">
        <v>57000</v>
      </c>
      <c r="K110">
        <v>1576.38</v>
      </c>
      <c r="L110">
        <v>-4038.57</v>
      </c>
      <c r="M110">
        <v>43930.3</v>
      </c>
      <c r="N110">
        <v>581.17200000000003</v>
      </c>
      <c r="O110">
        <v>800</v>
      </c>
      <c r="P110">
        <v>0</v>
      </c>
      <c r="Q110">
        <v>0</v>
      </c>
      <c r="R110">
        <v>800</v>
      </c>
    </row>
    <row r="111" spans="10:18" x14ac:dyDescent="0.2">
      <c r="J111">
        <v>58000</v>
      </c>
      <c r="K111">
        <v>1509.51</v>
      </c>
      <c r="L111">
        <v>-4045.02</v>
      </c>
      <c r="M111">
        <v>43853.7</v>
      </c>
      <c r="N111">
        <v>1576.53</v>
      </c>
      <c r="O111">
        <v>800</v>
      </c>
      <c r="P111">
        <v>0</v>
      </c>
      <c r="Q111">
        <v>0</v>
      </c>
      <c r="R111">
        <v>800</v>
      </c>
    </row>
    <row r="112" spans="10:18" x14ac:dyDescent="0.2">
      <c r="J112">
        <v>59000</v>
      </c>
      <c r="K112">
        <v>1531.49</v>
      </c>
      <c r="L112">
        <v>-4033.07</v>
      </c>
      <c r="M112">
        <v>44281.8</v>
      </c>
      <c r="N112">
        <v>-208.00399999999999</v>
      </c>
      <c r="O112">
        <v>800</v>
      </c>
      <c r="P112">
        <v>0</v>
      </c>
      <c r="Q112">
        <v>0</v>
      </c>
      <c r="R112">
        <v>800</v>
      </c>
    </row>
    <row r="113" spans="10:18" x14ac:dyDescent="0.2">
      <c r="J113">
        <v>60000</v>
      </c>
      <c r="K113">
        <v>1531.01</v>
      </c>
      <c r="L113">
        <v>-4021.34</v>
      </c>
      <c r="M113">
        <v>44893.599999999999</v>
      </c>
      <c r="N113">
        <v>-1551.01</v>
      </c>
      <c r="O113">
        <v>800</v>
      </c>
      <c r="P113">
        <v>0</v>
      </c>
      <c r="Q113">
        <v>0</v>
      </c>
      <c r="R113">
        <v>800</v>
      </c>
    </row>
    <row r="114" spans="10:18" x14ac:dyDescent="0.2">
      <c r="J114">
        <v>61000</v>
      </c>
      <c r="K114">
        <v>1571.63</v>
      </c>
      <c r="L114">
        <v>-4028.52</v>
      </c>
      <c r="M114">
        <v>44972.6</v>
      </c>
      <c r="N114">
        <v>-524.29399999999998</v>
      </c>
      <c r="O114">
        <v>800</v>
      </c>
      <c r="P114">
        <v>0</v>
      </c>
      <c r="Q114">
        <v>0</v>
      </c>
      <c r="R114">
        <v>800</v>
      </c>
    </row>
    <row r="115" spans="10:18" x14ac:dyDescent="0.2">
      <c r="J115">
        <v>62000</v>
      </c>
      <c r="K115">
        <v>1486.18</v>
      </c>
      <c r="L115">
        <v>-4033.08</v>
      </c>
      <c r="M115">
        <v>44794</v>
      </c>
      <c r="N115">
        <v>-174.78</v>
      </c>
      <c r="O115">
        <v>800</v>
      </c>
      <c r="P115">
        <v>0</v>
      </c>
      <c r="Q115">
        <v>0</v>
      </c>
      <c r="R115">
        <v>800</v>
      </c>
    </row>
    <row r="116" spans="10:18" x14ac:dyDescent="0.2">
      <c r="J116">
        <v>63000</v>
      </c>
      <c r="K116">
        <v>1516.46</v>
      </c>
      <c r="L116">
        <v>-4035.47</v>
      </c>
      <c r="M116">
        <v>43996.5</v>
      </c>
      <c r="N116">
        <v>1515.32</v>
      </c>
      <c r="O116">
        <v>800</v>
      </c>
      <c r="P116">
        <v>0</v>
      </c>
      <c r="Q116">
        <v>0</v>
      </c>
      <c r="R116">
        <v>800</v>
      </c>
    </row>
    <row r="117" spans="10:18" x14ac:dyDescent="0.2">
      <c r="J117">
        <v>64000</v>
      </c>
      <c r="K117">
        <v>1551.6</v>
      </c>
      <c r="L117">
        <v>-4040.26</v>
      </c>
      <c r="M117">
        <v>43855.4</v>
      </c>
      <c r="N117">
        <v>60.439700000000002</v>
      </c>
      <c r="O117">
        <v>800</v>
      </c>
      <c r="P117">
        <v>0</v>
      </c>
      <c r="Q117">
        <v>0</v>
      </c>
      <c r="R117">
        <v>800</v>
      </c>
    </row>
    <row r="118" spans="10:18" x14ac:dyDescent="0.2">
      <c r="J118">
        <v>65000</v>
      </c>
      <c r="K118">
        <v>1520.45</v>
      </c>
      <c r="L118">
        <v>-4035.62</v>
      </c>
      <c r="M118">
        <v>44086.8</v>
      </c>
      <c r="N118">
        <v>183.96</v>
      </c>
      <c r="O118">
        <v>800</v>
      </c>
      <c r="P118">
        <v>0</v>
      </c>
      <c r="Q118">
        <v>0</v>
      </c>
      <c r="R118">
        <v>800</v>
      </c>
    </row>
    <row r="119" spans="10:18" x14ac:dyDescent="0.2">
      <c r="J119">
        <v>66000</v>
      </c>
      <c r="K119">
        <v>1512.11</v>
      </c>
      <c r="L119">
        <v>-4020.91</v>
      </c>
      <c r="M119">
        <v>43917.2</v>
      </c>
      <c r="N119">
        <v>177.773</v>
      </c>
      <c r="O119">
        <v>800</v>
      </c>
      <c r="P119">
        <v>0</v>
      </c>
      <c r="Q119">
        <v>0</v>
      </c>
      <c r="R119">
        <v>800</v>
      </c>
    </row>
    <row r="120" spans="10:18" x14ac:dyDescent="0.2">
      <c r="J120">
        <v>67000</v>
      </c>
      <c r="K120">
        <v>1509.14</v>
      </c>
      <c r="L120">
        <v>-4042.72</v>
      </c>
      <c r="M120">
        <v>43551</v>
      </c>
      <c r="N120">
        <v>305.54300000000001</v>
      </c>
      <c r="O120">
        <v>800</v>
      </c>
      <c r="P120">
        <v>0</v>
      </c>
      <c r="Q120">
        <v>0</v>
      </c>
      <c r="R120">
        <v>800</v>
      </c>
    </row>
    <row r="121" spans="10:18" x14ac:dyDescent="0.2">
      <c r="J121">
        <v>68000</v>
      </c>
      <c r="K121">
        <v>1489.22</v>
      </c>
      <c r="L121">
        <v>-4045</v>
      </c>
      <c r="M121">
        <v>43038.1</v>
      </c>
      <c r="N121">
        <v>953.20399999999995</v>
      </c>
      <c r="O121">
        <v>800</v>
      </c>
      <c r="P121">
        <v>0</v>
      </c>
      <c r="Q121">
        <v>0</v>
      </c>
      <c r="R121">
        <v>800</v>
      </c>
    </row>
    <row r="122" spans="10:18" x14ac:dyDescent="0.2">
      <c r="J122">
        <v>69000</v>
      </c>
      <c r="K122">
        <v>1454.68</v>
      </c>
      <c r="L122">
        <v>-4044.51</v>
      </c>
      <c r="M122">
        <v>43084.9</v>
      </c>
      <c r="N122">
        <v>1333.93</v>
      </c>
      <c r="O122">
        <v>800</v>
      </c>
      <c r="P122">
        <v>0</v>
      </c>
      <c r="Q122">
        <v>0</v>
      </c>
      <c r="R122">
        <v>800</v>
      </c>
    </row>
    <row r="123" spans="10:18" x14ac:dyDescent="0.2">
      <c r="J123">
        <v>70000</v>
      </c>
      <c r="K123">
        <v>1519.06</v>
      </c>
      <c r="L123">
        <v>-4027.85</v>
      </c>
      <c r="M123">
        <v>44343.1</v>
      </c>
      <c r="N123">
        <v>-445.36700000000002</v>
      </c>
      <c r="O123">
        <v>800</v>
      </c>
      <c r="P123">
        <v>0</v>
      </c>
      <c r="Q123">
        <v>0</v>
      </c>
      <c r="R123">
        <v>800</v>
      </c>
    </row>
    <row r="124" spans="10:18" x14ac:dyDescent="0.2">
      <c r="J124">
        <v>71000</v>
      </c>
      <c r="K124">
        <v>1533.23</v>
      </c>
      <c r="L124">
        <v>-4032.78</v>
      </c>
      <c r="M124">
        <v>45004.6</v>
      </c>
      <c r="N124">
        <v>-270.202</v>
      </c>
      <c r="O124">
        <v>800</v>
      </c>
      <c r="P124">
        <v>0</v>
      </c>
      <c r="Q124">
        <v>0</v>
      </c>
      <c r="R124">
        <v>800</v>
      </c>
    </row>
    <row r="125" spans="10:18" x14ac:dyDescent="0.2">
      <c r="J125">
        <v>72000</v>
      </c>
      <c r="K125">
        <v>1457.28</v>
      </c>
      <c r="L125">
        <v>-4030.23</v>
      </c>
      <c r="M125">
        <v>45022.8</v>
      </c>
      <c r="N125">
        <v>-1205.3399999999999</v>
      </c>
      <c r="O125">
        <v>800</v>
      </c>
      <c r="P125">
        <v>0</v>
      </c>
      <c r="Q125">
        <v>0</v>
      </c>
      <c r="R125">
        <v>800</v>
      </c>
    </row>
    <row r="126" spans="10:18" x14ac:dyDescent="0.2">
      <c r="J126">
        <v>73000</v>
      </c>
      <c r="K126">
        <v>1502.21</v>
      </c>
      <c r="L126">
        <v>-4048.85</v>
      </c>
      <c r="M126">
        <v>44560.5</v>
      </c>
      <c r="N126">
        <v>-25.155799999999999</v>
      </c>
      <c r="O126">
        <v>800</v>
      </c>
      <c r="P126">
        <v>0</v>
      </c>
      <c r="Q126">
        <v>0</v>
      </c>
      <c r="R126">
        <v>800</v>
      </c>
    </row>
    <row r="127" spans="10:18" x14ac:dyDescent="0.2">
      <c r="J127">
        <v>74000</v>
      </c>
      <c r="K127">
        <v>1514.44</v>
      </c>
      <c r="L127">
        <v>-4040.63</v>
      </c>
      <c r="M127">
        <v>44114.400000000001</v>
      </c>
      <c r="N127">
        <v>229.22800000000001</v>
      </c>
      <c r="O127">
        <v>800</v>
      </c>
      <c r="P127">
        <v>0</v>
      </c>
      <c r="Q127">
        <v>0</v>
      </c>
      <c r="R127">
        <v>800</v>
      </c>
    </row>
    <row r="128" spans="10:18" x14ac:dyDescent="0.2">
      <c r="J128">
        <v>75000</v>
      </c>
      <c r="K128">
        <v>1536.6</v>
      </c>
      <c r="L128">
        <v>-4040.01</v>
      </c>
      <c r="M128">
        <v>43806.8</v>
      </c>
      <c r="N128">
        <v>1088.01</v>
      </c>
      <c r="O128">
        <v>800</v>
      </c>
      <c r="P128">
        <v>0</v>
      </c>
      <c r="Q128">
        <v>0</v>
      </c>
      <c r="R128">
        <v>800</v>
      </c>
    </row>
    <row r="129" spans="10:18" x14ac:dyDescent="0.2">
      <c r="J129">
        <v>76000</v>
      </c>
      <c r="K129">
        <v>1503.3</v>
      </c>
      <c r="L129">
        <v>-4035.81</v>
      </c>
      <c r="M129">
        <v>43852.7</v>
      </c>
      <c r="N129">
        <v>-1249.67</v>
      </c>
      <c r="O129">
        <v>800</v>
      </c>
      <c r="P129">
        <v>0</v>
      </c>
      <c r="Q129">
        <v>0</v>
      </c>
      <c r="R129">
        <v>800</v>
      </c>
    </row>
    <row r="130" spans="10:18" x14ac:dyDescent="0.2">
      <c r="J130">
        <v>77000</v>
      </c>
      <c r="K130">
        <v>1547</v>
      </c>
      <c r="L130">
        <v>-4035.63</v>
      </c>
      <c r="M130">
        <v>44119.4</v>
      </c>
      <c r="N130">
        <v>735.755</v>
      </c>
      <c r="O130">
        <v>800</v>
      </c>
      <c r="P130">
        <v>0</v>
      </c>
      <c r="Q130">
        <v>0</v>
      </c>
      <c r="R130">
        <v>800</v>
      </c>
    </row>
    <row r="131" spans="10:18" x14ac:dyDescent="0.2">
      <c r="J131">
        <v>78000</v>
      </c>
      <c r="K131">
        <v>1493.47</v>
      </c>
      <c r="L131">
        <v>-4033.51</v>
      </c>
      <c r="M131">
        <v>44723.8</v>
      </c>
      <c r="N131">
        <v>-630.07100000000003</v>
      </c>
      <c r="O131">
        <v>800</v>
      </c>
      <c r="P131">
        <v>0</v>
      </c>
      <c r="Q131">
        <v>0</v>
      </c>
      <c r="R131">
        <v>800</v>
      </c>
    </row>
    <row r="132" spans="10:18" x14ac:dyDescent="0.2">
      <c r="J132">
        <v>79000</v>
      </c>
      <c r="K132">
        <v>1497.58</v>
      </c>
      <c r="L132">
        <v>-4027.57</v>
      </c>
      <c r="M132">
        <v>44577.3</v>
      </c>
      <c r="N132">
        <v>1104.3399999999999</v>
      </c>
      <c r="O132">
        <v>800</v>
      </c>
      <c r="P132">
        <v>0</v>
      </c>
      <c r="Q132">
        <v>0</v>
      </c>
      <c r="R132">
        <v>800</v>
      </c>
    </row>
    <row r="133" spans="10:18" x14ac:dyDescent="0.2">
      <c r="J133">
        <v>80000</v>
      </c>
      <c r="K133">
        <v>1498.98</v>
      </c>
      <c r="L133">
        <v>-4035.15</v>
      </c>
      <c r="M133">
        <v>44288.4</v>
      </c>
      <c r="N133">
        <v>111.26</v>
      </c>
      <c r="O133">
        <v>800</v>
      </c>
      <c r="P133">
        <v>0</v>
      </c>
      <c r="Q133">
        <v>0</v>
      </c>
      <c r="R133">
        <v>800</v>
      </c>
    </row>
    <row r="134" spans="10:18" x14ac:dyDescent="0.2">
      <c r="J134">
        <v>81000</v>
      </c>
      <c r="K134">
        <v>1480.08</v>
      </c>
      <c r="L134">
        <v>-4030.57</v>
      </c>
      <c r="M134">
        <v>43794.2</v>
      </c>
      <c r="N134">
        <v>308.79199999999997</v>
      </c>
      <c r="O134">
        <v>800</v>
      </c>
      <c r="P134">
        <v>0</v>
      </c>
      <c r="Q134">
        <v>0</v>
      </c>
      <c r="R134">
        <v>800</v>
      </c>
    </row>
    <row r="135" spans="10:18" x14ac:dyDescent="0.2">
      <c r="J135">
        <v>82000</v>
      </c>
      <c r="K135">
        <v>1529.07</v>
      </c>
      <c r="L135">
        <v>-4038.13</v>
      </c>
      <c r="M135">
        <v>43128.9</v>
      </c>
      <c r="N135">
        <v>1849.23</v>
      </c>
      <c r="O135">
        <v>800</v>
      </c>
      <c r="P135">
        <v>0</v>
      </c>
      <c r="Q135">
        <v>0</v>
      </c>
      <c r="R135">
        <v>800</v>
      </c>
    </row>
    <row r="136" spans="10:18" x14ac:dyDescent="0.2">
      <c r="J136">
        <v>83000</v>
      </c>
      <c r="K136">
        <v>1509.73</v>
      </c>
      <c r="L136">
        <v>-4037.76</v>
      </c>
      <c r="M136">
        <v>43154.400000000001</v>
      </c>
      <c r="N136">
        <v>53.276600000000002</v>
      </c>
      <c r="O136">
        <v>800</v>
      </c>
      <c r="P136">
        <v>0</v>
      </c>
      <c r="Q136">
        <v>0</v>
      </c>
      <c r="R136">
        <v>800</v>
      </c>
    </row>
    <row r="137" spans="10:18" x14ac:dyDescent="0.2">
      <c r="J137">
        <v>84000</v>
      </c>
      <c r="K137">
        <v>1500.5</v>
      </c>
      <c r="L137">
        <v>-4027.42</v>
      </c>
      <c r="M137">
        <v>43850.400000000001</v>
      </c>
      <c r="N137">
        <v>-833.30600000000004</v>
      </c>
      <c r="O137">
        <v>800</v>
      </c>
      <c r="P137">
        <v>0</v>
      </c>
      <c r="Q137">
        <v>0</v>
      </c>
      <c r="R137">
        <v>800</v>
      </c>
    </row>
    <row r="138" spans="10:18" x14ac:dyDescent="0.2">
      <c r="J138">
        <v>85000</v>
      </c>
      <c r="K138">
        <v>1474.52</v>
      </c>
      <c r="L138">
        <v>-4039.4</v>
      </c>
      <c r="M138">
        <v>44333.2</v>
      </c>
      <c r="N138">
        <v>-49.661700000000003</v>
      </c>
      <c r="O138">
        <v>800</v>
      </c>
      <c r="P138">
        <v>0</v>
      </c>
      <c r="Q138">
        <v>0</v>
      </c>
      <c r="R138">
        <v>800</v>
      </c>
    </row>
    <row r="139" spans="10:18" x14ac:dyDescent="0.2">
      <c r="J139">
        <v>86000</v>
      </c>
      <c r="K139">
        <v>1506.53</v>
      </c>
      <c r="L139">
        <v>-4042.2</v>
      </c>
      <c r="M139">
        <v>43749.599999999999</v>
      </c>
      <c r="N139">
        <v>608.77800000000002</v>
      </c>
      <c r="O139">
        <v>800</v>
      </c>
      <c r="P139">
        <v>0</v>
      </c>
      <c r="Q139">
        <v>0</v>
      </c>
      <c r="R139">
        <v>800</v>
      </c>
    </row>
    <row r="140" spans="10:18" x14ac:dyDescent="0.2">
      <c r="J140">
        <v>87000</v>
      </c>
      <c r="K140">
        <v>1550.96</v>
      </c>
      <c r="L140">
        <v>-4034.73</v>
      </c>
      <c r="M140">
        <v>43184</v>
      </c>
      <c r="N140">
        <v>2386.9699999999998</v>
      </c>
      <c r="O140">
        <v>800</v>
      </c>
      <c r="P140">
        <v>0</v>
      </c>
      <c r="Q140">
        <v>0</v>
      </c>
      <c r="R140">
        <v>800</v>
      </c>
    </row>
    <row r="141" spans="10:18" x14ac:dyDescent="0.2">
      <c r="J141">
        <v>88000</v>
      </c>
      <c r="K141">
        <v>1513.62</v>
      </c>
      <c r="L141">
        <v>-4053.73</v>
      </c>
      <c r="M141">
        <v>44023</v>
      </c>
      <c r="N141">
        <v>254.65899999999999</v>
      </c>
      <c r="O141">
        <v>800</v>
      </c>
      <c r="P141">
        <v>0</v>
      </c>
      <c r="Q141">
        <v>0</v>
      </c>
      <c r="R141">
        <v>800</v>
      </c>
    </row>
    <row r="142" spans="10:18" x14ac:dyDescent="0.2">
      <c r="J142">
        <v>89000</v>
      </c>
      <c r="K142">
        <v>1476.22</v>
      </c>
      <c r="L142">
        <v>-4038.77</v>
      </c>
      <c r="M142">
        <v>44824.2</v>
      </c>
      <c r="N142">
        <v>955.12300000000005</v>
      </c>
      <c r="O142">
        <v>800</v>
      </c>
      <c r="P142">
        <v>0</v>
      </c>
      <c r="Q142">
        <v>0</v>
      </c>
      <c r="R142">
        <v>800</v>
      </c>
    </row>
    <row r="143" spans="10:18" x14ac:dyDescent="0.2">
      <c r="J143">
        <v>90000</v>
      </c>
      <c r="K143">
        <v>1474.13</v>
      </c>
      <c r="L143">
        <v>-4033.18</v>
      </c>
      <c r="M143">
        <v>45092.800000000003</v>
      </c>
      <c r="N143">
        <v>-447.16899999999998</v>
      </c>
      <c r="O143">
        <v>800</v>
      </c>
      <c r="P143">
        <v>0</v>
      </c>
      <c r="Q143">
        <v>0</v>
      </c>
      <c r="R143">
        <v>800</v>
      </c>
    </row>
    <row r="144" spans="10:18" x14ac:dyDescent="0.2">
      <c r="J144">
        <v>91000</v>
      </c>
      <c r="K144">
        <v>1487.1</v>
      </c>
      <c r="L144">
        <v>-4033.33</v>
      </c>
      <c r="M144">
        <v>44733.9</v>
      </c>
      <c r="N144">
        <v>-2237.4499999999998</v>
      </c>
      <c r="O144">
        <v>800</v>
      </c>
      <c r="P144">
        <v>0</v>
      </c>
      <c r="Q144">
        <v>0</v>
      </c>
      <c r="R144">
        <v>800</v>
      </c>
    </row>
    <row r="145" spans="10:18" x14ac:dyDescent="0.2">
      <c r="J145">
        <v>92000</v>
      </c>
      <c r="K145">
        <v>1544.64</v>
      </c>
      <c r="L145">
        <v>-4033.23</v>
      </c>
      <c r="M145">
        <v>43884.4</v>
      </c>
      <c r="N145">
        <v>1181.51</v>
      </c>
      <c r="O145">
        <v>800</v>
      </c>
      <c r="P145">
        <v>0</v>
      </c>
      <c r="Q145">
        <v>0</v>
      </c>
      <c r="R145">
        <v>800</v>
      </c>
    </row>
    <row r="146" spans="10:18" x14ac:dyDescent="0.2">
      <c r="J146">
        <v>93000</v>
      </c>
      <c r="K146">
        <v>1537.18</v>
      </c>
      <c r="L146">
        <v>-4027.43</v>
      </c>
      <c r="M146">
        <v>43996.3</v>
      </c>
      <c r="N146">
        <v>348.66199999999998</v>
      </c>
      <c r="O146">
        <v>800</v>
      </c>
      <c r="P146">
        <v>0</v>
      </c>
      <c r="Q146">
        <v>0</v>
      </c>
      <c r="R146">
        <v>800</v>
      </c>
    </row>
    <row r="147" spans="10:18" x14ac:dyDescent="0.2">
      <c r="J147">
        <v>94000</v>
      </c>
      <c r="K147">
        <v>1473.67</v>
      </c>
      <c r="L147">
        <v>-4035.11</v>
      </c>
      <c r="M147">
        <v>44249.7</v>
      </c>
      <c r="N147">
        <v>-668.12199999999996</v>
      </c>
      <c r="O147">
        <v>800</v>
      </c>
      <c r="P147">
        <v>0</v>
      </c>
      <c r="Q147">
        <v>0</v>
      </c>
      <c r="R147">
        <v>800</v>
      </c>
    </row>
    <row r="148" spans="10:18" x14ac:dyDescent="0.2">
      <c r="J148">
        <v>95000</v>
      </c>
      <c r="K148">
        <v>1508.32</v>
      </c>
      <c r="L148">
        <v>-4044.5</v>
      </c>
      <c r="M148">
        <v>44007.4</v>
      </c>
      <c r="N148">
        <v>-296.10700000000003</v>
      </c>
      <c r="O148">
        <v>800</v>
      </c>
      <c r="P148">
        <v>0</v>
      </c>
      <c r="Q148">
        <v>0</v>
      </c>
      <c r="R148">
        <v>800</v>
      </c>
    </row>
    <row r="149" spans="10:18" x14ac:dyDescent="0.2">
      <c r="J149">
        <v>96000</v>
      </c>
      <c r="K149">
        <v>1515.59</v>
      </c>
      <c r="L149">
        <v>-4038.14</v>
      </c>
      <c r="M149">
        <v>43965.1</v>
      </c>
      <c r="N149">
        <v>1085.0999999999999</v>
      </c>
      <c r="O149">
        <v>800</v>
      </c>
      <c r="P149">
        <v>0</v>
      </c>
      <c r="Q149">
        <v>0</v>
      </c>
      <c r="R149">
        <v>800</v>
      </c>
    </row>
    <row r="150" spans="10:18" x14ac:dyDescent="0.2">
      <c r="J150">
        <v>97000</v>
      </c>
      <c r="K150" s="3">
        <v>1462</v>
      </c>
      <c r="L150">
        <v>-4020.88</v>
      </c>
      <c r="M150" s="3">
        <v>44562.9</v>
      </c>
      <c r="N150" s="3">
        <v>273.93400000000003</v>
      </c>
      <c r="O150">
        <v>800</v>
      </c>
      <c r="P150">
        <v>0</v>
      </c>
      <c r="Q150">
        <v>0</v>
      </c>
      <c r="R150">
        <v>800</v>
      </c>
    </row>
    <row r="151" spans="10:18" x14ac:dyDescent="0.2">
      <c r="J151">
        <v>98000</v>
      </c>
      <c r="K151" s="3">
        <v>1534.51</v>
      </c>
      <c r="L151">
        <v>-4029.63</v>
      </c>
      <c r="M151" s="3">
        <v>44944.3</v>
      </c>
      <c r="N151" s="3">
        <v>34.884</v>
      </c>
      <c r="O151">
        <v>800</v>
      </c>
      <c r="P151">
        <v>0</v>
      </c>
      <c r="Q151">
        <v>0</v>
      </c>
      <c r="R151">
        <v>800</v>
      </c>
    </row>
    <row r="152" spans="10:18" x14ac:dyDescent="0.2">
      <c r="J152">
        <v>99000</v>
      </c>
      <c r="K152" s="3">
        <v>1513.47</v>
      </c>
      <c r="L152">
        <v>-4022.01</v>
      </c>
      <c r="M152" s="3">
        <v>45072.3</v>
      </c>
      <c r="N152" s="3">
        <v>-1706.84</v>
      </c>
      <c r="O152">
        <v>800</v>
      </c>
      <c r="P152">
        <v>0</v>
      </c>
      <c r="Q152">
        <v>0</v>
      </c>
      <c r="R152">
        <v>800</v>
      </c>
    </row>
    <row r="153" spans="10:18" x14ac:dyDescent="0.2">
      <c r="J153">
        <v>100000</v>
      </c>
      <c r="K153" s="3">
        <v>1490.5</v>
      </c>
      <c r="L153">
        <v>-4033.37</v>
      </c>
      <c r="M153" s="3">
        <v>44562.1</v>
      </c>
      <c r="N153" s="3">
        <v>-1169.73</v>
      </c>
      <c r="O153">
        <v>800</v>
      </c>
      <c r="P153">
        <v>0</v>
      </c>
      <c r="Q153">
        <v>0</v>
      </c>
      <c r="R153">
        <v>800</v>
      </c>
    </row>
    <row r="154" spans="10:18" x14ac:dyDescent="0.2">
      <c r="K154" s="3"/>
      <c r="M154" s="3"/>
      <c r="N154" s="3"/>
    </row>
    <row r="155" spans="10:18" x14ac:dyDescent="0.2">
      <c r="K155" s="3"/>
      <c r="M155" s="3"/>
      <c r="N155" s="3"/>
    </row>
    <row r="156" spans="10:18" x14ac:dyDescent="0.2">
      <c r="K156" s="3"/>
      <c r="M156" s="3"/>
      <c r="N156" s="3"/>
    </row>
    <row r="157" spans="10:18" x14ac:dyDescent="0.2">
      <c r="K157" s="3"/>
      <c r="M157" s="3"/>
      <c r="N157" s="3"/>
    </row>
    <row r="158" spans="10:18" x14ac:dyDescent="0.2">
      <c r="K158" s="3"/>
      <c r="M158" s="3"/>
      <c r="N158" s="3"/>
    </row>
    <row r="159" spans="10:18" x14ac:dyDescent="0.2">
      <c r="K159" s="3"/>
      <c r="M159" s="3"/>
      <c r="N159" s="3"/>
    </row>
    <row r="160" spans="10:18" x14ac:dyDescent="0.2">
      <c r="K160" s="3"/>
      <c r="M160" s="3"/>
      <c r="N160" s="3"/>
    </row>
    <row r="161" spans="11:14" x14ac:dyDescent="0.2">
      <c r="K161" s="3"/>
      <c r="M161" s="3"/>
      <c r="N161" s="3"/>
    </row>
    <row r="162" spans="11:14" x14ac:dyDescent="0.2">
      <c r="K162" s="3"/>
      <c r="M162" s="3"/>
      <c r="N162" s="3"/>
    </row>
    <row r="163" spans="11:14" x14ac:dyDescent="0.2">
      <c r="K163" s="3"/>
      <c r="M163" s="3"/>
      <c r="N163" s="3"/>
    </row>
    <row r="164" spans="11:14" x14ac:dyDescent="0.2">
      <c r="K164" s="3"/>
      <c r="M164" s="3"/>
      <c r="N164" s="3"/>
    </row>
    <row r="165" spans="11:14" x14ac:dyDescent="0.2">
      <c r="K165" s="3"/>
      <c r="M165" s="3"/>
      <c r="N165" s="3"/>
    </row>
    <row r="166" spans="11:14" x14ac:dyDescent="0.2">
      <c r="K166" s="3"/>
      <c r="M166" s="3"/>
      <c r="N166" s="3"/>
    </row>
    <row r="167" spans="11:14" x14ac:dyDescent="0.2">
      <c r="K167" s="3"/>
      <c r="M167" s="3"/>
      <c r="N167" s="3"/>
    </row>
    <row r="168" spans="11:14" x14ac:dyDescent="0.2">
      <c r="K168" s="3"/>
      <c r="M168" s="3"/>
      <c r="N168" s="3"/>
    </row>
    <row r="169" spans="11:14" x14ac:dyDescent="0.2">
      <c r="K169" s="3"/>
      <c r="M169" s="3"/>
      <c r="N169" s="3"/>
    </row>
    <row r="170" spans="11:14" x14ac:dyDescent="0.2">
      <c r="K170" s="3"/>
      <c r="M170" s="3"/>
      <c r="N170" s="3"/>
    </row>
    <row r="171" spans="11:14" x14ac:dyDescent="0.2">
      <c r="K171" s="3"/>
      <c r="M171" s="3"/>
      <c r="N171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abSelected="1" topLeftCell="BE1" workbookViewId="0">
      <selection activeCell="BT9" sqref="BT9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55</v>
      </c>
      <c r="BN2" t="s">
        <v>56</v>
      </c>
      <c r="BV2" t="s">
        <v>57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-13393800</v>
      </c>
      <c r="E7" s="3">
        <v>-26591900000</v>
      </c>
      <c r="J7">
        <f>3.5*0.1</f>
        <v>0.35000000000000003</v>
      </c>
      <c r="K7">
        <v>0</v>
      </c>
      <c r="L7" s="3">
        <v>36463800</v>
      </c>
      <c r="M7" s="3">
        <v>66630500000</v>
      </c>
      <c r="R7">
        <f>3.5*0.1</f>
        <v>0.35000000000000003</v>
      </c>
      <c r="S7">
        <v>0</v>
      </c>
      <c r="T7" s="3">
        <v>-121989000</v>
      </c>
      <c r="U7" s="3">
        <v>-227492000000</v>
      </c>
      <c r="Z7">
        <f>3.5*0.1</f>
        <v>0.35000000000000003</v>
      </c>
      <c r="AA7">
        <v>0</v>
      </c>
      <c r="AB7" s="3">
        <v>-691612</v>
      </c>
      <c r="AC7" s="3">
        <v>-513623000</v>
      </c>
      <c r="AH7">
        <f>3.5*0.1</f>
        <v>0.35000000000000003</v>
      </c>
      <c r="AI7">
        <v>0</v>
      </c>
      <c r="AJ7" s="3">
        <v>-798108000</v>
      </c>
      <c r="AK7" s="3">
        <v>-1275490000000</v>
      </c>
      <c r="AP7">
        <f>3.5*0.1</f>
        <v>0.35000000000000003</v>
      </c>
      <c r="AQ7">
        <v>0</v>
      </c>
      <c r="AR7" s="3">
        <v>-36608200</v>
      </c>
      <c r="AS7" s="3">
        <v>-31308400000</v>
      </c>
      <c r="AX7">
        <f>3.5*0.1</f>
        <v>0.35000000000000003</v>
      </c>
      <c r="AY7">
        <v>0</v>
      </c>
      <c r="AZ7" s="3">
        <v>-36561100</v>
      </c>
      <c r="BA7" s="3">
        <v>-76489700000</v>
      </c>
      <c r="BF7">
        <f>3.5*0.1</f>
        <v>0.35000000000000003</v>
      </c>
      <c r="BG7">
        <v>0</v>
      </c>
      <c r="BH7" s="3">
        <v>-65045700000</v>
      </c>
      <c r="BI7" s="3">
        <v>-48731700000000</v>
      </c>
      <c r="BN7">
        <f>3.5*0.1</f>
        <v>0.35000000000000003</v>
      </c>
      <c r="BO7">
        <v>0</v>
      </c>
      <c r="BP7" s="3">
        <v>-882301000</v>
      </c>
      <c r="BQ7" s="3">
        <v>-820140000000</v>
      </c>
      <c r="BV7">
        <f>3.5*0.1</f>
        <v>0.35000000000000003</v>
      </c>
      <c r="BW7">
        <v>0</v>
      </c>
      <c r="BX7" s="3">
        <v>-11207000</v>
      </c>
      <c r="BY7" s="3">
        <v>-10322000000</v>
      </c>
    </row>
    <row r="8" spans="2:80" x14ac:dyDescent="0.2">
      <c r="B8">
        <f>B7+0.05</f>
        <v>0.4</v>
      </c>
      <c r="C8">
        <v>1</v>
      </c>
      <c r="D8" s="3">
        <v>-13393800</v>
      </c>
      <c r="E8" s="3">
        <v>-26591900000</v>
      </c>
      <c r="J8">
        <f>J7+0.05</f>
        <v>0.4</v>
      </c>
      <c r="K8">
        <v>1</v>
      </c>
      <c r="L8" s="3">
        <v>36463800</v>
      </c>
      <c r="M8" s="3">
        <v>66630500000</v>
      </c>
      <c r="R8">
        <f>R7+0.05</f>
        <v>0.4</v>
      </c>
      <c r="S8">
        <v>1</v>
      </c>
      <c r="T8" s="3">
        <v>-121989000</v>
      </c>
      <c r="U8" s="3">
        <v>-227492000000</v>
      </c>
      <c r="Z8">
        <f>Z7+0.05</f>
        <v>0.4</v>
      </c>
      <c r="AA8">
        <v>1</v>
      </c>
      <c r="AB8" s="3">
        <v>-691612</v>
      </c>
      <c r="AC8" s="3">
        <v>-513623000</v>
      </c>
      <c r="AH8">
        <f>AH7+0.05</f>
        <v>0.4</v>
      </c>
      <c r="AI8">
        <v>1</v>
      </c>
      <c r="AJ8" s="3">
        <v>-798108000</v>
      </c>
      <c r="AK8" s="3">
        <v>-1275490000000</v>
      </c>
      <c r="AP8">
        <f>AP7+0.05</f>
        <v>0.4</v>
      </c>
      <c r="AQ8">
        <v>1</v>
      </c>
      <c r="AR8" s="3">
        <v>-36608200</v>
      </c>
      <c r="AS8" s="3">
        <v>-31308400000</v>
      </c>
      <c r="AX8">
        <f>AX7+0.05</f>
        <v>0.4</v>
      </c>
      <c r="AY8">
        <v>1</v>
      </c>
      <c r="AZ8" s="3">
        <v>-36561100</v>
      </c>
      <c r="BA8" s="3">
        <v>-76489700000</v>
      </c>
      <c r="BF8">
        <f>BF7+0.05</f>
        <v>0.4</v>
      </c>
      <c r="BG8">
        <v>1</v>
      </c>
      <c r="BH8" s="3">
        <v>-65045700000</v>
      </c>
      <c r="BI8" s="3">
        <v>-48731700000000</v>
      </c>
      <c r="BN8">
        <f>BN7+0.05</f>
        <v>0.4</v>
      </c>
      <c r="BO8">
        <v>1</v>
      </c>
      <c r="BP8" s="3">
        <v>-882301000</v>
      </c>
      <c r="BQ8" s="3">
        <v>-820140000000</v>
      </c>
      <c r="BV8">
        <f>BV7+0.05</f>
        <v>0.4</v>
      </c>
      <c r="BW8">
        <v>1</v>
      </c>
      <c r="BX8" s="3">
        <v>-11207000</v>
      </c>
      <c r="BY8" s="3">
        <v>-10322000000</v>
      </c>
    </row>
    <row r="9" spans="2:80" x14ac:dyDescent="0.2">
      <c r="B9">
        <f t="shared" ref="B9:B72" si="0">B8+0.05</f>
        <v>0.45</v>
      </c>
      <c r="C9">
        <v>2</v>
      </c>
      <c r="D9" s="3">
        <v>-6397340</v>
      </c>
      <c r="E9" s="3">
        <v>-14931400000</v>
      </c>
      <c r="J9">
        <f t="shared" ref="J9:J72" si="1">J8+0.05</f>
        <v>0.45</v>
      </c>
      <c r="K9">
        <v>2</v>
      </c>
      <c r="L9" s="3">
        <v>18516400</v>
      </c>
      <c r="M9" s="3">
        <v>39486000000</v>
      </c>
      <c r="R9">
        <f t="shared" ref="R9:R72" si="2">R8+0.05</f>
        <v>0.45</v>
      </c>
      <c r="S9">
        <v>2</v>
      </c>
      <c r="T9" s="3">
        <v>-61032700</v>
      </c>
      <c r="U9" s="3">
        <v>-133190000000</v>
      </c>
      <c r="Z9">
        <f t="shared" ref="Z9:Z72" si="3">Z8+0.05</f>
        <v>0.45</v>
      </c>
      <c r="AA9">
        <v>2</v>
      </c>
      <c r="AB9" s="3">
        <v>-399187</v>
      </c>
      <c r="AC9" s="3">
        <v>-344400000</v>
      </c>
      <c r="AH9">
        <f t="shared" ref="AH9:AH72" si="4">AH8+0.05</f>
        <v>0.45</v>
      </c>
      <c r="AI9">
        <v>2</v>
      </c>
      <c r="AJ9" s="3">
        <v>-441054000</v>
      </c>
      <c r="AK9" s="3">
        <v>-823738000000</v>
      </c>
      <c r="AP9">
        <f t="shared" ref="AP9:AP72" si="5">AP8+0.05</f>
        <v>0.45</v>
      </c>
      <c r="AQ9">
        <v>2</v>
      </c>
      <c r="AR9" s="3">
        <v>-19422000</v>
      </c>
      <c r="AS9" s="3">
        <v>-19355600000</v>
      </c>
      <c r="AX9">
        <f t="shared" ref="AX9:AX72" si="6">AX8+0.05</f>
        <v>0.45</v>
      </c>
      <c r="AY9">
        <v>2</v>
      </c>
      <c r="AZ9" s="3">
        <v>-16747600</v>
      </c>
      <c r="BA9" s="3">
        <v>-41412500000</v>
      </c>
      <c r="BF9">
        <f t="shared" ref="BF9:BF72" si="7">BF8+0.05</f>
        <v>0.45</v>
      </c>
      <c r="BG9">
        <v>2</v>
      </c>
      <c r="BH9" s="3">
        <v>-37358000000</v>
      </c>
      <c r="BI9" s="3">
        <v>-32529600000000</v>
      </c>
      <c r="BN9">
        <f t="shared" ref="BN9:BN72" si="8">BN8+0.05</f>
        <v>0.45</v>
      </c>
      <c r="BO9">
        <v>2</v>
      </c>
      <c r="BP9" s="3">
        <v>-442141000</v>
      </c>
      <c r="BQ9" s="3">
        <v>-481683000000</v>
      </c>
      <c r="BV9">
        <f t="shared" ref="BV9:BV72" si="9">BV8+0.05</f>
        <v>0.45</v>
      </c>
      <c r="BW9">
        <v>2</v>
      </c>
      <c r="BX9" s="3">
        <v>-5650360</v>
      </c>
      <c r="BY9" s="3">
        <v>-6103410000</v>
      </c>
    </row>
    <row r="10" spans="2:80" x14ac:dyDescent="0.2">
      <c r="B10">
        <f t="shared" si="0"/>
        <v>0.5</v>
      </c>
      <c r="C10">
        <v>3</v>
      </c>
      <c r="D10" s="3">
        <v>-2989350</v>
      </c>
      <c r="E10" s="3">
        <v>-8090620000</v>
      </c>
      <c r="J10">
        <f t="shared" si="1"/>
        <v>0.5</v>
      </c>
      <c r="K10">
        <v>3</v>
      </c>
      <c r="L10" s="3">
        <v>9267630</v>
      </c>
      <c r="M10" s="3">
        <v>22713000000</v>
      </c>
      <c r="R10">
        <f t="shared" si="2"/>
        <v>0.5</v>
      </c>
      <c r="S10">
        <v>3</v>
      </c>
      <c r="T10" s="3">
        <v>-30025000</v>
      </c>
      <c r="U10" s="3">
        <v>-75539000000</v>
      </c>
      <c r="Z10">
        <f t="shared" si="3"/>
        <v>0.5</v>
      </c>
      <c r="AA10">
        <v>3</v>
      </c>
      <c r="AB10" s="3">
        <v>-228327</v>
      </c>
      <c r="AC10" s="3">
        <v>-225259000</v>
      </c>
      <c r="AH10">
        <f t="shared" si="4"/>
        <v>0.5</v>
      </c>
      <c r="AI10">
        <v>3</v>
      </c>
      <c r="AJ10" s="3">
        <v>-240443000</v>
      </c>
      <c r="AK10" s="3">
        <v>-516986000000</v>
      </c>
      <c r="AP10">
        <f t="shared" si="5"/>
        <v>0.5</v>
      </c>
      <c r="AQ10">
        <v>3</v>
      </c>
      <c r="AR10" s="3">
        <v>-10176000</v>
      </c>
      <c r="AS10" s="3">
        <v>-11635200000</v>
      </c>
      <c r="AX10">
        <f t="shared" si="6"/>
        <v>0.5</v>
      </c>
      <c r="AY10">
        <v>3</v>
      </c>
      <c r="AZ10" s="3">
        <v>-7463180</v>
      </c>
      <c r="BA10" s="3">
        <v>-21516700000</v>
      </c>
      <c r="BF10">
        <f t="shared" si="7"/>
        <v>0.5</v>
      </c>
      <c r="BG10">
        <v>3</v>
      </c>
      <c r="BH10" s="3">
        <v>-21252400000</v>
      </c>
      <c r="BI10" s="3">
        <v>-21181100000000</v>
      </c>
      <c r="BN10">
        <f t="shared" si="8"/>
        <v>0.5</v>
      </c>
      <c r="BO10">
        <v>3</v>
      </c>
      <c r="BP10" s="3">
        <v>-217631000</v>
      </c>
      <c r="BQ10" s="3">
        <v>-273768000000</v>
      </c>
      <c r="BV10">
        <f t="shared" si="9"/>
        <v>0.5</v>
      </c>
      <c r="BW10">
        <v>3</v>
      </c>
      <c r="BX10" s="3">
        <v>-2797550</v>
      </c>
      <c r="BY10" s="3">
        <v>-3490770000</v>
      </c>
    </row>
    <row r="11" spans="2:80" x14ac:dyDescent="0.2">
      <c r="B11">
        <f t="shared" si="0"/>
        <v>0.55000000000000004</v>
      </c>
      <c r="C11">
        <v>4</v>
      </c>
      <c r="D11" s="3">
        <v>-1363230</v>
      </c>
      <c r="E11" s="3">
        <v>-4236560000</v>
      </c>
      <c r="J11">
        <f t="shared" si="1"/>
        <v>0.55000000000000004</v>
      </c>
      <c r="K11">
        <v>4</v>
      </c>
      <c r="L11" s="3">
        <v>4569120</v>
      </c>
      <c r="M11" s="3">
        <v>12715900000</v>
      </c>
      <c r="R11">
        <f t="shared" si="2"/>
        <v>0.55000000000000004</v>
      </c>
      <c r="S11">
        <v>4</v>
      </c>
      <c r="T11" s="3">
        <v>-14508900</v>
      </c>
      <c r="U11" s="3">
        <v>-41599500000</v>
      </c>
      <c r="Z11">
        <f t="shared" si="3"/>
        <v>0.55000000000000004</v>
      </c>
      <c r="AA11">
        <v>4</v>
      </c>
      <c r="AB11">
        <v>-129407</v>
      </c>
      <c r="AC11" s="3">
        <v>-144172000</v>
      </c>
      <c r="AH11">
        <f t="shared" si="4"/>
        <v>0.55000000000000004</v>
      </c>
      <c r="AI11">
        <v>4</v>
      </c>
      <c r="AJ11" s="3">
        <v>-129205000</v>
      </c>
      <c r="AK11" s="3">
        <v>-316132000000</v>
      </c>
      <c r="AP11">
        <f t="shared" si="5"/>
        <v>0.55000000000000004</v>
      </c>
      <c r="AQ11">
        <v>4</v>
      </c>
      <c r="AR11" s="3">
        <v>-5263430</v>
      </c>
      <c r="AS11" s="3">
        <v>-6820550000</v>
      </c>
      <c r="AX11">
        <f t="shared" si="6"/>
        <v>0.55000000000000004</v>
      </c>
      <c r="AY11">
        <v>4</v>
      </c>
      <c r="AZ11" s="3">
        <v>-3226250</v>
      </c>
      <c r="BA11" s="3">
        <v>-10736500000</v>
      </c>
      <c r="BF11">
        <f t="shared" si="7"/>
        <v>0.55000000000000004</v>
      </c>
      <c r="BG11">
        <v>4</v>
      </c>
      <c r="BH11" s="3">
        <v>-11970600000</v>
      </c>
      <c r="BI11" s="3">
        <v>-13492700000000</v>
      </c>
      <c r="BN11">
        <f t="shared" si="8"/>
        <v>0.55000000000000004</v>
      </c>
      <c r="BO11">
        <v>4</v>
      </c>
      <c r="BP11" s="3">
        <v>-105105000</v>
      </c>
      <c r="BQ11" s="3">
        <v>-150913000000</v>
      </c>
      <c r="BV11">
        <f t="shared" si="9"/>
        <v>0.55000000000000004</v>
      </c>
      <c r="BW11">
        <v>4</v>
      </c>
      <c r="BX11" s="3">
        <v>-1358950</v>
      </c>
      <c r="BY11" s="3">
        <v>-1935690000</v>
      </c>
    </row>
    <row r="12" spans="2:80" x14ac:dyDescent="0.2">
      <c r="B12">
        <f t="shared" si="0"/>
        <v>0.60000000000000009</v>
      </c>
      <c r="C12">
        <v>5</v>
      </c>
      <c r="D12" s="3">
        <v>-604753</v>
      </c>
      <c r="E12" s="3">
        <v>-2143860000</v>
      </c>
      <c r="J12">
        <f t="shared" si="1"/>
        <v>0.60000000000000009</v>
      </c>
      <c r="K12">
        <v>5</v>
      </c>
      <c r="L12" s="3">
        <v>2217520</v>
      </c>
      <c r="M12" s="3">
        <v>6941010000</v>
      </c>
      <c r="R12">
        <f t="shared" si="2"/>
        <v>0.60000000000000009</v>
      </c>
      <c r="S12">
        <v>5</v>
      </c>
      <c r="T12" s="3">
        <v>-6879040</v>
      </c>
      <c r="U12" s="3">
        <v>-22273900000</v>
      </c>
      <c r="Z12">
        <f t="shared" si="3"/>
        <v>0.60000000000000009</v>
      </c>
      <c r="AA12">
        <v>5</v>
      </c>
      <c r="AB12">
        <v>-72668.100000000006</v>
      </c>
      <c r="AC12" s="3">
        <v>-90498400</v>
      </c>
      <c r="AH12">
        <f t="shared" si="4"/>
        <v>0.60000000000000009</v>
      </c>
      <c r="AI12">
        <v>5</v>
      </c>
      <c r="AJ12" s="3">
        <v>-68376700</v>
      </c>
      <c r="AK12" s="3">
        <v>-188642000000</v>
      </c>
      <c r="AP12">
        <f t="shared" si="5"/>
        <v>0.60000000000000009</v>
      </c>
      <c r="AQ12">
        <v>5</v>
      </c>
      <c r="AR12" s="3">
        <v>-2686720</v>
      </c>
      <c r="AS12" s="3">
        <v>-3906580000</v>
      </c>
      <c r="AX12">
        <f t="shared" si="6"/>
        <v>0.60000000000000009</v>
      </c>
      <c r="AY12">
        <v>5</v>
      </c>
      <c r="AZ12" s="3">
        <v>-1348380</v>
      </c>
      <c r="BA12" s="3">
        <v>-5141750000</v>
      </c>
      <c r="BF12">
        <f t="shared" si="7"/>
        <v>0.60000000000000009</v>
      </c>
      <c r="BG12">
        <v>5</v>
      </c>
      <c r="BH12" s="3">
        <v>-6672900000</v>
      </c>
      <c r="BI12" s="3">
        <v>-8425200000000</v>
      </c>
      <c r="BN12">
        <f t="shared" si="8"/>
        <v>0.60000000000000009</v>
      </c>
      <c r="BO12">
        <v>5</v>
      </c>
      <c r="BP12" s="3">
        <v>-49747000</v>
      </c>
      <c r="BQ12" s="3">
        <v>-80781200000</v>
      </c>
      <c r="BV12">
        <f t="shared" si="9"/>
        <v>0.60000000000000009</v>
      </c>
      <c r="BW12">
        <v>5</v>
      </c>
      <c r="BX12">
        <v>-647089</v>
      </c>
      <c r="BY12" s="3">
        <v>-1042120000</v>
      </c>
    </row>
    <row r="13" spans="2:80" x14ac:dyDescent="0.2">
      <c r="B13">
        <f t="shared" si="0"/>
        <v>0.65000000000000013</v>
      </c>
      <c r="C13">
        <v>6</v>
      </c>
      <c r="D13" s="3">
        <v>-259833</v>
      </c>
      <c r="E13" s="3">
        <v>-1047030000</v>
      </c>
      <c r="J13">
        <f t="shared" si="1"/>
        <v>0.65000000000000013</v>
      </c>
      <c r="K13">
        <v>6</v>
      </c>
      <c r="L13" s="3">
        <v>1058710</v>
      </c>
      <c r="M13" s="3">
        <v>3698020000</v>
      </c>
      <c r="R13">
        <f t="shared" si="2"/>
        <v>0.65000000000000013</v>
      </c>
      <c r="S13">
        <v>6</v>
      </c>
      <c r="T13" s="3">
        <v>-3196020</v>
      </c>
      <c r="U13" s="3">
        <v>-11602300000</v>
      </c>
      <c r="Z13">
        <f t="shared" si="3"/>
        <v>0.65000000000000013</v>
      </c>
      <c r="AA13">
        <v>6</v>
      </c>
      <c r="AB13">
        <v>-40428.800000000003</v>
      </c>
      <c r="AC13" s="3">
        <v>-55806300</v>
      </c>
      <c r="AH13">
        <f t="shared" si="4"/>
        <v>0.65000000000000013</v>
      </c>
      <c r="AI13">
        <v>6</v>
      </c>
      <c r="AJ13" s="3">
        <v>-35602500</v>
      </c>
      <c r="AK13" s="3">
        <v>-109941000000</v>
      </c>
      <c r="AP13">
        <f t="shared" si="5"/>
        <v>0.65000000000000013</v>
      </c>
      <c r="AQ13">
        <v>6</v>
      </c>
      <c r="AR13" s="3">
        <v>-1353060</v>
      </c>
      <c r="AS13" s="3">
        <v>-2189260000</v>
      </c>
      <c r="AX13">
        <f t="shared" si="6"/>
        <v>0.65000000000000013</v>
      </c>
      <c r="AY13">
        <v>6</v>
      </c>
      <c r="AZ13" s="3">
        <v>-542646</v>
      </c>
      <c r="BA13" s="3">
        <v>-2358900000</v>
      </c>
      <c r="BF13">
        <f t="shared" si="7"/>
        <v>0.65000000000000013</v>
      </c>
      <c r="BG13">
        <v>6</v>
      </c>
      <c r="BH13" s="3">
        <v>-3679540000</v>
      </c>
      <c r="BI13" s="3">
        <v>-5163680000000</v>
      </c>
      <c r="BN13">
        <f t="shared" si="8"/>
        <v>0.65000000000000013</v>
      </c>
      <c r="BO13">
        <v>6</v>
      </c>
      <c r="BP13" s="3">
        <v>-23048600</v>
      </c>
      <c r="BQ13" s="3">
        <v>-42009700000</v>
      </c>
      <c r="BV13">
        <f t="shared" si="9"/>
        <v>0.65000000000000013</v>
      </c>
      <c r="BW13">
        <v>6</v>
      </c>
      <c r="BX13">
        <v>-301785</v>
      </c>
      <c r="BY13" s="3">
        <v>-545137000</v>
      </c>
    </row>
    <row r="14" spans="2:80" x14ac:dyDescent="0.2">
      <c r="B14">
        <f t="shared" si="0"/>
        <v>0.70000000000000018</v>
      </c>
      <c r="C14">
        <v>7</v>
      </c>
      <c r="D14" s="3">
        <v>-107436</v>
      </c>
      <c r="E14" s="3">
        <v>-492130000</v>
      </c>
      <c r="J14">
        <f t="shared" si="1"/>
        <v>0.70000000000000018</v>
      </c>
      <c r="K14">
        <v>7</v>
      </c>
      <c r="L14" s="3">
        <v>496869</v>
      </c>
      <c r="M14" s="3">
        <v>1924240000</v>
      </c>
      <c r="R14">
        <f t="shared" si="2"/>
        <v>0.70000000000000018</v>
      </c>
      <c r="S14">
        <v>7</v>
      </c>
      <c r="T14" s="3">
        <v>-1453010</v>
      </c>
      <c r="U14" s="3">
        <v>-5879470000</v>
      </c>
      <c r="Z14">
        <f t="shared" si="3"/>
        <v>0.70000000000000018</v>
      </c>
      <c r="AA14">
        <v>7</v>
      </c>
      <c r="AB14">
        <v>-22283.3</v>
      </c>
      <c r="AC14" s="3">
        <v>-33850400</v>
      </c>
      <c r="AH14">
        <f t="shared" si="4"/>
        <v>0.70000000000000018</v>
      </c>
      <c r="AI14">
        <v>7</v>
      </c>
      <c r="AJ14" s="3">
        <v>-18219100</v>
      </c>
      <c r="AK14" s="3">
        <v>-62599900000</v>
      </c>
      <c r="AP14">
        <f t="shared" si="5"/>
        <v>0.70000000000000018</v>
      </c>
      <c r="AQ14">
        <v>7</v>
      </c>
      <c r="AR14" s="3">
        <v>-672140</v>
      </c>
      <c r="AS14" s="3">
        <v>-1201570000</v>
      </c>
      <c r="AX14">
        <f t="shared" si="6"/>
        <v>0.70000000000000018</v>
      </c>
      <c r="AY14">
        <v>7</v>
      </c>
      <c r="AZ14" s="3">
        <v>-209269</v>
      </c>
      <c r="BA14" s="3">
        <v>-1033590000</v>
      </c>
      <c r="BF14">
        <f t="shared" si="7"/>
        <v>0.70000000000000018</v>
      </c>
      <c r="BG14">
        <v>7</v>
      </c>
      <c r="BH14" s="3">
        <v>-2005980000</v>
      </c>
      <c r="BI14" s="3">
        <v>-3108890000000</v>
      </c>
      <c r="BN14">
        <f t="shared" si="8"/>
        <v>0.70000000000000018</v>
      </c>
      <c r="BO14">
        <v>7</v>
      </c>
      <c r="BP14" s="3">
        <v>-10441400</v>
      </c>
      <c r="BQ14" s="3">
        <v>-21225000000</v>
      </c>
      <c r="BV14">
        <f t="shared" si="9"/>
        <v>0.70000000000000018</v>
      </c>
      <c r="BW14">
        <v>7</v>
      </c>
      <c r="BX14">
        <v>-137741</v>
      </c>
      <c r="BY14" s="3">
        <v>-277192000</v>
      </c>
    </row>
    <row r="15" spans="2:80" x14ac:dyDescent="0.2">
      <c r="B15">
        <f t="shared" si="0"/>
        <v>0.75000000000000022</v>
      </c>
      <c r="C15">
        <v>8</v>
      </c>
      <c r="D15" s="3">
        <v>-42327.8</v>
      </c>
      <c r="E15" s="3">
        <v>-221539000</v>
      </c>
      <c r="J15">
        <f t="shared" si="1"/>
        <v>0.75000000000000022</v>
      </c>
      <c r="K15">
        <v>8</v>
      </c>
      <c r="L15" s="3">
        <v>229042</v>
      </c>
      <c r="M15" s="3">
        <v>978170000</v>
      </c>
      <c r="R15">
        <f t="shared" si="2"/>
        <v>0.75000000000000022</v>
      </c>
      <c r="S15">
        <v>8</v>
      </c>
      <c r="T15">
        <v>-645372</v>
      </c>
      <c r="U15" s="3">
        <v>-2897290000</v>
      </c>
      <c r="Z15">
        <f t="shared" si="3"/>
        <v>0.75000000000000022</v>
      </c>
      <c r="AA15">
        <v>8</v>
      </c>
      <c r="AB15">
        <v>-12167.1</v>
      </c>
      <c r="AC15" s="3">
        <v>-20217400</v>
      </c>
      <c r="AH15">
        <f t="shared" si="4"/>
        <v>0.75000000000000022</v>
      </c>
      <c r="AI15">
        <v>8</v>
      </c>
      <c r="AJ15" s="3">
        <v>-9152240</v>
      </c>
      <c r="AK15" s="3">
        <v>-34822000000</v>
      </c>
      <c r="AP15">
        <f t="shared" si="5"/>
        <v>0.75000000000000022</v>
      </c>
      <c r="AQ15">
        <v>8</v>
      </c>
      <c r="AR15" s="3">
        <v>-329315</v>
      </c>
      <c r="AS15" s="3">
        <v>-646377000</v>
      </c>
      <c r="AX15">
        <f t="shared" si="6"/>
        <v>0.75000000000000022</v>
      </c>
      <c r="AY15">
        <v>8</v>
      </c>
      <c r="AZ15" s="3">
        <v>-76873.600000000006</v>
      </c>
      <c r="BA15" s="3">
        <v>-430718000</v>
      </c>
      <c r="BF15">
        <f t="shared" si="7"/>
        <v>0.75000000000000022</v>
      </c>
      <c r="BG15">
        <v>8</v>
      </c>
      <c r="BH15" s="3">
        <v>-1080610000</v>
      </c>
      <c r="BI15" s="3">
        <v>-1839650000000</v>
      </c>
      <c r="BN15">
        <f t="shared" si="8"/>
        <v>0.75000000000000022</v>
      </c>
      <c r="BO15">
        <v>8</v>
      </c>
      <c r="BP15" s="3">
        <v>-4620350</v>
      </c>
      <c r="BQ15" s="3">
        <v>-10415400000</v>
      </c>
      <c r="BV15">
        <f t="shared" si="9"/>
        <v>0.75000000000000022</v>
      </c>
      <c r="BW15">
        <v>8</v>
      </c>
      <c r="BX15">
        <v>-61480.5</v>
      </c>
      <c r="BY15" s="3">
        <v>-137043000</v>
      </c>
    </row>
    <row r="16" spans="2:80" x14ac:dyDescent="0.2">
      <c r="B16">
        <f t="shared" si="0"/>
        <v>0.80000000000000027</v>
      </c>
      <c r="C16">
        <v>9</v>
      </c>
      <c r="D16" s="3">
        <v>-15618.9</v>
      </c>
      <c r="E16" s="3">
        <v>-94737000</v>
      </c>
      <c r="J16">
        <f t="shared" si="1"/>
        <v>0.80000000000000027</v>
      </c>
      <c r="K16">
        <v>9</v>
      </c>
      <c r="L16" s="3">
        <v>103614</v>
      </c>
      <c r="M16" s="3">
        <v>485774000</v>
      </c>
      <c r="R16">
        <f t="shared" si="2"/>
        <v>0.80000000000000027</v>
      </c>
      <c r="S16">
        <v>9</v>
      </c>
      <c r="T16">
        <v>-279544</v>
      </c>
      <c r="U16" s="3">
        <v>-1387200000</v>
      </c>
      <c r="Z16">
        <f t="shared" si="3"/>
        <v>0.80000000000000027</v>
      </c>
      <c r="AA16">
        <v>9</v>
      </c>
      <c r="AB16">
        <v>-6580.74</v>
      </c>
      <c r="AC16" s="3">
        <v>-11899600</v>
      </c>
      <c r="AH16">
        <f t="shared" si="4"/>
        <v>0.80000000000000027</v>
      </c>
      <c r="AI16">
        <v>9</v>
      </c>
      <c r="AJ16" s="3">
        <v>-4507080</v>
      </c>
      <c r="AK16" s="3">
        <v>-18915400000</v>
      </c>
      <c r="AP16">
        <f t="shared" si="5"/>
        <v>0.80000000000000027</v>
      </c>
      <c r="AQ16">
        <v>9</v>
      </c>
      <c r="AR16" s="3">
        <v>-159145</v>
      </c>
      <c r="AS16" s="3">
        <v>-341029000</v>
      </c>
      <c r="AX16">
        <f t="shared" si="6"/>
        <v>0.80000000000000027</v>
      </c>
      <c r="AY16">
        <v>9</v>
      </c>
      <c r="AZ16">
        <v>-26692.400000000001</v>
      </c>
      <c r="BA16" s="3">
        <v>-169753000</v>
      </c>
      <c r="BF16">
        <f t="shared" si="7"/>
        <v>0.80000000000000027</v>
      </c>
      <c r="BG16">
        <v>9</v>
      </c>
      <c r="BH16" s="3">
        <v>-574839000</v>
      </c>
      <c r="BI16" s="3">
        <v>-1070190000000</v>
      </c>
      <c r="BN16">
        <f t="shared" si="8"/>
        <v>0.80000000000000027</v>
      </c>
      <c r="BO16">
        <v>9</v>
      </c>
      <c r="BP16" s="3">
        <v>-1995740</v>
      </c>
      <c r="BQ16" s="3">
        <v>-4961850000</v>
      </c>
      <c r="BV16">
        <f t="shared" si="9"/>
        <v>0.80000000000000027</v>
      </c>
      <c r="BW16">
        <v>9</v>
      </c>
      <c r="BX16">
        <v>-26814.2</v>
      </c>
      <c r="BY16" s="3">
        <v>-65892400</v>
      </c>
    </row>
    <row r="17" spans="2:77" x14ac:dyDescent="0.2">
      <c r="B17">
        <f t="shared" si="0"/>
        <v>0.85000000000000031</v>
      </c>
      <c r="C17">
        <v>10</v>
      </c>
      <c r="D17" s="3">
        <v>-5214.3599999999997</v>
      </c>
      <c r="E17" s="3">
        <v>-37934300</v>
      </c>
      <c r="J17">
        <f t="shared" si="1"/>
        <v>0.85000000000000031</v>
      </c>
      <c r="K17">
        <v>10</v>
      </c>
      <c r="L17" s="3">
        <v>45955.6</v>
      </c>
      <c r="M17" s="3">
        <v>235616000</v>
      </c>
      <c r="R17">
        <f t="shared" si="2"/>
        <v>0.85000000000000031</v>
      </c>
      <c r="S17">
        <v>10</v>
      </c>
      <c r="T17">
        <v>-117835</v>
      </c>
      <c r="U17" s="3">
        <v>-644546000</v>
      </c>
      <c r="Z17">
        <f t="shared" si="3"/>
        <v>0.85000000000000031</v>
      </c>
      <c r="AA17">
        <v>10</v>
      </c>
      <c r="AB17">
        <v>-3524.96</v>
      </c>
      <c r="AC17" s="3">
        <v>-6907070</v>
      </c>
      <c r="AH17">
        <f t="shared" si="4"/>
        <v>0.85000000000000031</v>
      </c>
      <c r="AI17">
        <v>10</v>
      </c>
      <c r="AJ17" s="3">
        <v>-2172560</v>
      </c>
      <c r="AK17" s="3">
        <v>-10026300000</v>
      </c>
      <c r="AP17">
        <f t="shared" si="5"/>
        <v>0.85000000000000031</v>
      </c>
      <c r="AQ17">
        <v>10</v>
      </c>
      <c r="AR17" s="3">
        <v>-75876.800000000003</v>
      </c>
      <c r="AS17" s="3">
        <v>-176581000</v>
      </c>
      <c r="AX17">
        <f t="shared" si="6"/>
        <v>0.85000000000000031</v>
      </c>
      <c r="AY17">
        <v>10</v>
      </c>
      <c r="AZ17">
        <v>-8664.41</v>
      </c>
      <c r="BA17" s="3">
        <v>-62821800</v>
      </c>
      <c r="BF17">
        <f t="shared" si="7"/>
        <v>0.85000000000000031</v>
      </c>
      <c r="BG17">
        <v>10</v>
      </c>
      <c r="BH17" s="3">
        <v>-301760000</v>
      </c>
      <c r="BI17" s="3">
        <v>-612059000000</v>
      </c>
      <c r="BN17">
        <f t="shared" si="8"/>
        <v>0.85000000000000031</v>
      </c>
      <c r="BO17">
        <v>10</v>
      </c>
      <c r="BP17">
        <v>-841458</v>
      </c>
      <c r="BQ17" s="3">
        <v>-2294070000</v>
      </c>
      <c r="BV17">
        <f t="shared" si="9"/>
        <v>0.85000000000000031</v>
      </c>
      <c r="BW17">
        <v>10</v>
      </c>
      <c r="BX17">
        <v>-11411.4</v>
      </c>
      <c r="BY17" s="3">
        <v>-30823500</v>
      </c>
    </row>
    <row r="18" spans="2:77" x14ac:dyDescent="0.2">
      <c r="B18">
        <f t="shared" si="0"/>
        <v>0.90000000000000036</v>
      </c>
      <c r="C18">
        <v>11</v>
      </c>
      <c r="D18" s="3">
        <v>-1440.14</v>
      </c>
      <c r="E18" s="3">
        <v>-13825100</v>
      </c>
      <c r="J18">
        <f t="shared" si="1"/>
        <v>0.90000000000000036</v>
      </c>
      <c r="K18">
        <v>11</v>
      </c>
      <c r="L18" s="3">
        <v>19963.900000000001</v>
      </c>
      <c r="M18" s="3">
        <v>111557000</v>
      </c>
      <c r="R18">
        <f t="shared" si="2"/>
        <v>0.90000000000000036</v>
      </c>
      <c r="S18">
        <v>11</v>
      </c>
      <c r="T18">
        <v>-48217.5</v>
      </c>
      <c r="U18" s="3">
        <v>-290157000</v>
      </c>
      <c r="Z18">
        <f t="shared" si="3"/>
        <v>0.90000000000000036</v>
      </c>
      <c r="AA18">
        <v>11</v>
      </c>
      <c r="AB18">
        <v>-1869.13</v>
      </c>
      <c r="AC18" s="3">
        <v>-3956070</v>
      </c>
      <c r="AH18">
        <f t="shared" si="4"/>
        <v>0.90000000000000036</v>
      </c>
      <c r="AI18">
        <v>11</v>
      </c>
      <c r="AJ18" s="3">
        <v>-1023310</v>
      </c>
      <c r="AK18" s="3">
        <v>-5180650000</v>
      </c>
      <c r="AP18">
        <f t="shared" si="5"/>
        <v>0.90000000000000036</v>
      </c>
      <c r="AQ18">
        <v>11</v>
      </c>
      <c r="AR18" s="3">
        <v>-35707.1</v>
      </c>
      <c r="AS18" s="3">
        <v>-89798300</v>
      </c>
      <c r="AX18">
        <f t="shared" si="6"/>
        <v>0.90000000000000036</v>
      </c>
      <c r="AY18">
        <v>11</v>
      </c>
      <c r="AZ18">
        <v>-2577.0700000000002</v>
      </c>
      <c r="BA18" s="3">
        <v>-21631800</v>
      </c>
      <c r="BF18">
        <f t="shared" si="7"/>
        <v>0.90000000000000036</v>
      </c>
      <c r="BG18">
        <v>11</v>
      </c>
      <c r="BH18" s="3">
        <v>-156201000</v>
      </c>
      <c r="BI18" s="3">
        <v>-344085000000</v>
      </c>
      <c r="BN18">
        <f t="shared" si="8"/>
        <v>0.90000000000000036</v>
      </c>
      <c r="BO18">
        <v>11</v>
      </c>
      <c r="BP18">
        <v>-346685</v>
      </c>
      <c r="BQ18" s="3">
        <v>-1029480000</v>
      </c>
      <c r="BV18">
        <f t="shared" si="9"/>
        <v>0.90000000000000036</v>
      </c>
      <c r="BW18">
        <v>11</v>
      </c>
      <c r="BX18">
        <v>-4723.3</v>
      </c>
      <c r="BY18" s="3">
        <v>-14035300</v>
      </c>
    </row>
    <row r="19" spans="2:77" x14ac:dyDescent="0.2">
      <c r="B19">
        <f t="shared" si="0"/>
        <v>0.9500000000000004</v>
      </c>
      <c r="C19">
        <v>12</v>
      </c>
      <c r="D19" s="3">
        <v>-216.11600000000001</v>
      </c>
      <c r="E19" s="3">
        <v>-4282070</v>
      </c>
      <c r="J19">
        <f t="shared" si="1"/>
        <v>0.9500000000000004</v>
      </c>
      <c r="K19">
        <v>12</v>
      </c>
      <c r="L19" s="3">
        <v>8487.49</v>
      </c>
      <c r="M19" s="3">
        <v>51515200</v>
      </c>
      <c r="R19">
        <f t="shared" si="2"/>
        <v>0.9500000000000004</v>
      </c>
      <c r="S19">
        <v>12</v>
      </c>
      <c r="T19">
        <v>-19093.599999999999</v>
      </c>
      <c r="U19" s="3">
        <v>-126297000</v>
      </c>
      <c r="Z19">
        <f t="shared" si="3"/>
        <v>0.9500000000000004</v>
      </c>
      <c r="AA19">
        <v>12</v>
      </c>
      <c r="AB19">
        <v>-980.29499999999996</v>
      </c>
      <c r="AC19" s="3">
        <v>-2236820</v>
      </c>
      <c r="AH19">
        <f t="shared" si="4"/>
        <v>0.9500000000000004</v>
      </c>
      <c r="AI19">
        <v>12</v>
      </c>
      <c r="AJ19">
        <v>-470053</v>
      </c>
      <c r="AK19" s="3">
        <v>-2605920000</v>
      </c>
      <c r="AP19">
        <f t="shared" si="5"/>
        <v>0.9500000000000004</v>
      </c>
      <c r="AQ19">
        <v>12</v>
      </c>
      <c r="AR19" s="3">
        <v>-16596.8</v>
      </c>
      <c r="AS19" s="3">
        <v>-44890400</v>
      </c>
      <c r="AX19">
        <f t="shared" si="6"/>
        <v>0.9500000000000004</v>
      </c>
      <c r="AY19">
        <v>12</v>
      </c>
      <c r="AZ19">
        <v>-665.61300000000006</v>
      </c>
      <c r="BA19" s="3">
        <v>-6845070</v>
      </c>
      <c r="BF19">
        <f t="shared" si="7"/>
        <v>0.9500000000000004</v>
      </c>
      <c r="BG19">
        <v>12</v>
      </c>
      <c r="BH19" s="3">
        <v>-79660900</v>
      </c>
      <c r="BI19" s="3">
        <v>-190082000000</v>
      </c>
      <c r="BN19">
        <f t="shared" si="8"/>
        <v>0.9500000000000004</v>
      </c>
      <c r="BO19">
        <v>12</v>
      </c>
      <c r="BP19">
        <v>-139982</v>
      </c>
      <c r="BQ19" s="3">
        <v>-448918000</v>
      </c>
      <c r="BV19">
        <f t="shared" si="9"/>
        <v>0.9500000000000004</v>
      </c>
      <c r="BW19">
        <v>12</v>
      </c>
      <c r="BX19">
        <v>-1885.27</v>
      </c>
      <c r="BY19" s="3">
        <v>-6223460</v>
      </c>
    </row>
    <row r="20" spans="2:77" x14ac:dyDescent="0.2">
      <c r="B20">
        <f t="shared" si="0"/>
        <v>1.0000000000000004</v>
      </c>
      <c r="C20">
        <v>13</v>
      </c>
      <c r="D20" s="3">
        <v>100.968</v>
      </c>
      <c r="E20" s="3">
        <v>-869702</v>
      </c>
      <c r="J20">
        <f t="shared" si="1"/>
        <v>1.0000000000000004</v>
      </c>
      <c r="K20">
        <v>13</v>
      </c>
      <c r="L20" s="3">
        <v>3531.21</v>
      </c>
      <c r="M20" s="3">
        <v>23172800</v>
      </c>
      <c r="R20">
        <f t="shared" si="2"/>
        <v>1.0000000000000004</v>
      </c>
      <c r="S20">
        <v>13</v>
      </c>
      <c r="T20">
        <v>-7285.6</v>
      </c>
      <c r="U20" s="3">
        <v>-53017200</v>
      </c>
      <c r="Z20">
        <f t="shared" si="3"/>
        <v>1.0000000000000004</v>
      </c>
      <c r="AA20">
        <v>13</v>
      </c>
      <c r="AB20">
        <v>-507.68</v>
      </c>
      <c r="AC20" s="3">
        <v>-1248770</v>
      </c>
      <c r="AH20">
        <f t="shared" si="4"/>
        <v>1.0000000000000004</v>
      </c>
      <c r="AI20">
        <v>13</v>
      </c>
      <c r="AJ20">
        <v>-210083</v>
      </c>
      <c r="AK20" s="3">
        <v>-1273920000</v>
      </c>
      <c r="AP20">
        <f t="shared" si="5"/>
        <v>1.0000000000000004</v>
      </c>
      <c r="AQ20">
        <v>13</v>
      </c>
      <c r="AR20" s="3">
        <v>-7625.57</v>
      </c>
      <c r="AS20" s="3">
        <v>-22085500</v>
      </c>
      <c r="AX20">
        <f t="shared" si="6"/>
        <v>1.0000000000000004</v>
      </c>
      <c r="AY20">
        <v>13</v>
      </c>
      <c r="AZ20">
        <v>-115.96</v>
      </c>
      <c r="BA20" s="3">
        <v>-1947390</v>
      </c>
      <c r="BF20">
        <f t="shared" si="7"/>
        <v>1.0000000000000004</v>
      </c>
      <c r="BG20">
        <v>13</v>
      </c>
      <c r="BH20" s="3">
        <v>-39988300</v>
      </c>
      <c r="BI20" s="3">
        <v>-103135000000</v>
      </c>
      <c r="BN20">
        <f t="shared" si="8"/>
        <v>1.0000000000000004</v>
      </c>
      <c r="BO20">
        <v>13</v>
      </c>
      <c r="BP20">
        <v>-55696.800000000003</v>
      </c>
      <c r="BQ20" s="3">
        <v>-190792000</v>
      </c>
      <c r="BV20">
        <f t="shared" si="9"/>
        <v>1.0000000000000004</v>
      </c>
      <c r="BW20">
        <v>13</v>
      </c>
      <c r="BX20">
        <v>-708.76900000000001</v>
      </c>
      <c r="BY20" s="3">
        <v>-2685270</v>
      </c>
    </row>
    <row r="21" spans="2:77" x14ac:dyDescent="0.2">
      <c r="B21">
        <f t="shared" si="0"/>
        <v>1.0500000000000005</v>
      </c>
      <c r="C21">
        <v>14</v>
      </c>
      <c r="D21" s="3">
        <v>134.126</v>
      </c>
      <c r="E21" s="3">
        <v>147930</v>
      </c>
      <c r="J21">
        <f t="shared" si="1"/>
        <v>1.0500000000000005</v>
      </c>
      <c r="K21">
        <v>14</v>
      </c>
      <c r="L21" s="3">
        <v>1441.41</v>
      </c>
      <c r="M21" s="3">
        <v>10136100</v>
      </c>
      <c r="R21">
        <f t="shared" si="2"/>
        <v>1.0500000000000005</v>
      </c>
      <c r="S21">
        <v>14</v>
      </c>
      <c r="T21">
        <v>-2660.58</v>
      </c>
      <c r="U21" s="3">
        <v>-21393100</v>
      </c>
      <c r="Z21">
        <f t="shared" si="3"/>
        <v>1.0500000000000005</v>
      </c>
      <c r="AA21">
        <v>14</v>
      </c>
      <c r="AB21">
        <v>-258.83100000000002</v>
      </c>
      <c r="AC21" s="3">
        <v>-688203</v>
      </c>
      <c r="AH21">
        <f t="shared" si="4"/>
        <v>1.0500000000000005</v>
      </c>
      <c r="AI21">
        <v>14</v>
      </c>
      <c r="AJ21">
        <v>-91107.3</v>
      </c>
      <c r="AK21" s="3">
        <v>-604008000</v>
      </c>
      <c r="AP21">
        <f t="shared" si="5"/>
        <v>1.0500000000000005</v>
      </c>
      <c r="AQ21">
        <v>14</v>
      </c>
      <c r="AR21" s="3">
        <v>-3465.98</v>
      </c>
      <c r="AS21" s="3">
        <v>-10709300</v>
      </c>
      <c r="AX21">
        <f t="shared" si="6"/>
        <v>1.0500000000000005</v>
      </c>
      <c r="AY21">
        <v>14</v>
      </c>
      <c r="AZ21">
        <v>23.970800000000001</v>
      </c>
      <c r="BA21" s="3">
        <v>-464616</v>
      </c>
      <c r="BF21">
        <f t="shared" si="7"/>
        <v>1.0500000000000005</v>
      </c>
      <c r="BG21">
        <v>14</v>
      </c>
      <c r="BH21" s="3">
        <v>-19736900</v>
      </c>
      <c r="BI21" s="3">
        <v>-54926900000</v>
      </c>
      <c r="BN21">
        <f t="shared" si="8"/>
        <v>1.0500000000000005</v>
      </c>
      <c r="BO21">
        <v>14</v>
      </c>
      <c r="BP21">
        <v>-22024.3</v>
      </c>
      <c r="BQ21" s="3">
        <v>-79505600</v>
      </c>
      <c r="BV21">
        <f t="shared" si="9"/>
        <v>1.0500000000000005</v>
      </c>
      <c r="BW21">
        <v>14</v>
      </c>
      <c r="BX21">
        <v>-233.49299999999999</v>
      </c>
      <c r="BY21" s="3">
        <v>-1121890</v>
      </c>
    </row>
    <row r="22" spans="2:77" x14ac:dyDescent="0.2">
      <c r="B22">
        <f t="shared" si="0"/>
        <v>1.1000000000000005</v>
      </c>
      <c r="C22">
        <v>15</v>
      </c>
      <c r="D22" s="3">
        <v>99.862399999999994</v>
      </c>
      <c r="E22" s="3">
        <v>328542</v>
      </c>
      <c r="J22">
        <f t="shared" si="1"/>
        <v>1.1000000000000005</v>
      </c>
      <c r="K22">
        <v>15</v>
      </c>
      <c r="L22">
        <v>583.01099999999997</v>
      </c>
      <c r="M22" s="3">
        <v>4301980</v>
      </c>
      <c r="R22">
        <f t="shared" si="2"/>
        <v>1.1000000000000005</v>
      </c>
      <c r="S22">
        <v>15</v>
      </c>
      <c r="T22">
        <v>-917.49099999999999</v>
      </c>
      <c r="U22" s="3">
        <v>-8260240</v>
      </c>
      <c r="Z22">
        <f t="shared" si="3"/>
        <v>1.1000000000000005</v>
      </c>
      <c r="AA22">
        <v>15</v>
      </c>
      <c r="AB22">
        <v>-129.19</v>
      </c>
      <c r="AC22">
        <v>-374024</v>
      </c>
      <c r="AH22">
        <f t="shared" si="4"/>
        <v>1.1000000000000005</v>
      </c>
      <c r="AI22">
        <v>15</v>
      </c>
      <c r="AJ22">
        <v>-38209.4</v>
      </c>
      <c r="AK22" s="3">
        <v>-277063000</v>
      </c>
      <c r="AP22">
        <f t="shared" si="5"/>
        <v>1.1000000000000005</v>
      </c>
      <c r="AQ22">
        <v>15</v>
      </c>
      <c r="AR22">
        <v>-1558.64</v>
      </c>
      <c r="AS22" s="3">
        <v>-5127000</v>
      </c>
      <c r="AX22">
        <f t="shared" si="6"/>
        <v>1.1000000000000005</v>
      </c>
      <c r="AY22">
        <v>15</v>
      </c>
      <c r="AZ22">
        <v>51.2333</v>
      </c>
      <c r="BA22" s="3">
        <v>-55806.7</v>
      </c>
      <c r="BF22">
        <f t="shared" si="7"/>
        <v>1.1000000000000005</v>
      </c>
      <c r="BG22">
        <v>15</v>
      </c>
      <c r="BH22" s="3">
        <v>-9566500</v>
      </c>
      <c r="BI22" s="3">
        <v>-28689300000</v>
      </c>
      <c r="BN22">
        <f t="shared" si="8"/>
        <v>1.1000000000000005</v>
      </c>
      <c r="BO22">
        <v>15</v>
      </c>
      <c r="BP22">
        <v>-8747.6</v>
      </c>
      <c r="BQ22" s="3">
        <v>-32810700</v>
      </c>
      <c r="BV22">
        <f t="shared" si="9"/>
        <v>1.1000000000000005</v>
      </c>
      <c r="BW22">
        <v>15</v>
      </c>
      <c r="BX22">
        <v>-48.138399999999997</v>
      </c>
      <c r="BY22">
        <v>-446000</v>
      </c>
    </row>
    <row r="23" spans="2:77" x14ac:dyDescent="0.2">
      <c r="B23">
        <f t="shared" si="0"/>
        <v>1.1500000000000006</v>
      </c>
      <c r="C23">
        <v>16</v>
      </c>
      <c r="D23" s="3">
        <v>63.047899999999998</v>
      </c>
      <c r="E23" s="3">
        <v>271496</v>
      </c>
      <c r="J23">
        <f t="shared" si="1"/>
        <v>1.1500000000000006</v>
      </c>
      <c r="K23">
        <v>16</v>
      </c>
      <c r="L23">
        <v>240.352</v>
      </c>
      <c r="M23" s="3">
        <v>1768290</v>
      </c>
      <c r="R23">
        <f t="shared" si="2"/>
        <v>1.1500000000000006</v>
      </c>
      <c r="S23">
        <v>16</v>
      </c>
      <c r="T23">
        <v>-288.95699999999999</v>
      </c>
      <c r="U23" s="3">
        <v>-3029960</v>
      </c>
      <c r="Z23">
        <f t="shared" si="3"/>
        <v>1.1500000000000006</v>
      </c>
      <c r="AA23">
        <v>16</v>
      </c>
      <c r="AB23">
        <v>-62.487499999999997</v>
      </c>
      <c r="AC23">
        <v>-199969</v>
      </c>
      <c r="AH23">
        <f t="shared" si="4"/>
        <v>1.1500000000000006</v>
      </c>
      <c r="AI23">
        <v>16</v>
      </c>
      <c r="AJ23">
        <v>-15427.9</v>
      </c>
      <c r="AK23" s="3">
        <v>-122580000</v>
      </c>
      <c r="AP23">
        <f t="shared" si="5"/>
        <v>1.1500000000000006</v>
      </c>
      <c r="AQ23">
        <v>16</v>
      </c>
      <c r="AR23">
        <v>-692.4</v>
      </c>
      <c r="AS23" s="3">
        <v>-2427660</v>
      </c>
      <c r="AX23">
        <f t="shared" si="6"/>
        <v>1.1500000000000006</v>
      </c>
      <c r="AY23">
        <v>16</v>
      </c>
      <c r="AZ23">
        <v>50.375300000000003</v>
      </c>
      <c r="BA23" s="3">
        <v>47093.9</v>
      </c>
      <c r="BF23">
        <f t="shared" si="7"/>
        <v>1.1500000000000006</v>
      </c>
      <c r="BG23">
        <v>16</v>
      </c>
      <c r="BH23" s="3">
        <v>-4547160</v>
      </c>
      <c r="BI23" s="3">
        <v>-14681600000</v>
      </c>
      <c r="BN23">
        <f t="shared" si="8"/>
        <v>1.1500000000000006</v>
      </c>
      <c r="BO23">
        <v>16</v>
      </c>
      <c r="BP23">
        <v>-3521.91</v>
      </c>
      <c r="BQ23" s="3">
        <v>-13594200</v>
      </c>
      <c r="BV23">
        <f t="shared" si="9"/>
        <v>1.1500000000000006</v>
      </c>
      <c r="BW23">
        <v>16</v>
      </c>
      <c r="BX23">
        <v>19.5777</v>
      </c>
      <c r="BY23">
        <v>-159367</v>
      </c>
    </row>
    <row r="24" spans="2:77" x14ac:dyDescent="0.2">
      <c r="B24">
        <f t="shared" si="0"/>
        <v>1.2000000000000006</v>
      </c>
      <c r="C24">
        <v>17</v>
      </c>
      <c r="D24" s="3">
        <v>37.266399999999997</v>
      </c>
      <c r="E24" s="3">
        <v>180728</v>
      </c>
      <c r="J24">
        <f t="shared" si="1"/>
        <v>1.2000000000000006</v>
      </c>
      <c r="K24">
        <v>17</v>
      </c>
      <c r="L24">
        <v>107.57299999999999</v>
      </c>
      <c r="M24" s="3">
        <v>704852</v>
      </c>
      <c r="R24">
        <f t="shared" si="2"/>
        <v>1.2000000000000006</v>
      </c>
      <c r="S24">
        <v>17</v>
      </c>
      <c r="T24">
        <v>-74.205299999999994</v>
      </c>
      <c r="U24" s="3">
        <v>-1040790</v>
      </c>
      <c r="Z24">
        <f t="shared" si="3"/>
        <v>1.2000000000000006</v>
      </c>
      <c r="AA24">
        <v>17</v>
      </c>
      <c r="AB24">
        <v>-28.72</v>
      </c>
      <c r="AC24">
        <v>-104623</v>
      </c>
      <c r="AH24">
        <f t="shared" si="4"/>
        <v>1.2000000000000006</v>
      </c>
      <c r="AI24">
        <v>17</v>
      </c>
      <c r="AJ24">
        <v>-5957.99</v>
      </c>
      <c r="AK24" s="3">
        <v>-52107800</v>
      </c>
      <c r="AP24">
        <f t="shared" si="5"/>
        <v>1.2000000000000006</v>
      </c>
      <c r="AQ24">
        <v>17</v>
      </c>
      <c r="AR24">
        <v>-302.18900000000002</v>
      </c>
      <c r="AS24" s="3">
        <v>-1138400</v>
      </c>
      <c r="AX24">
        <f t="shared" si="6"/>
        <v>1.2000000000000006</v>
      </c>
      <c r="AY24">
        <v>17</v>
      </c>
      <c r="AZ24">
        <v>43.407800000000002</v>
      </c>
      <c r="BA24" s="3">
        <v>68751.399999999994</v>
      </c>
      <c r="BF24">
        <f t="shared" si="7"/>
        <v>1.2000000000000006</v>
      </c>
      <c r="BG24">
        <v>17</v>
      </c>
      <c r="BH24" s="3">
        <v>-2116060</v>
      </c>
      <c r="BI24" s="3">
        <v>-7352040000</v>
      </c>
      <c r="BN24">
        <f t="shared" si="8"/>
        <v>1.2000000000000006</v>
      </c>
      <c r="BO24">
        <v>17</v>
      </c>
      <c r="BP24">
        <v>-1439.76</v>
      </c>
      <c r="BQ24" s="3">
        <v>-5733100</v>
      </c>
      <c r="BV24">
        <f t="shared" si="9"/>
        <v>1.2000000000000006</v>
      </c>
      <c r="BW24">
        <v>17</v>
      </c>
      <c r="BX24">
        <v>40.476700000000001</v>
      </c>
      <c r="BY24">
        <v>-40240.9</v>
      </c>
    </row>
    <row r="25" spans="2:77" x14ac:dyDescent="0.2">
      <c r="B25">
        <f t="shared" si="0"/>
        <v>1.2500000000000007</v>
      </c>
      <c r="C25">
        <v>18</v>
      </c>
      <c r="D25" s="3">
        <v>21.561900000000001</v>
      </c>
      <c r="E25" s="3">
        <v>110608</v>
      </c>
      <c r="J25">
        <f t="shared" si="1"/>
        <v>1.2500000000000007</v>
      </c>
      <c r="K25">
        <v>18</v>
      </c>
      <c r="L25">
        <v>57.362299999999998</v>
      </c>
      <c r="M25" s="3">
        <v>276433</v>
      </c>
      <c r="R25">
        <f t="shared" si="2"/>
        <v>1.2500000000000007</v>
      </c>
      <c r="S25">
        <v>18</v>
      </c>
      <c r="T25">
        <v>-6.1584700000000003</v>
      </c>
      <c r="U25">
        <v>-322337</v>
      </c>
      <c r="Z25">
        <f t="shared" si="3"/>
        <v>1.2500000000000007</v>
      </c>
      <c r="AA25">
        <v>18</v>
      </c>
      <c r="AB25">
        <v>-12.0273</v>
      </c>
      <c r="AC25">
        <v>-52984.800000000003</v>
      </c>
      <c r="AH25">
        <f t="shared" si="4"/>
        <v>1.2500000000000007</v>
      </c>
      <c r="AI25">
        <v>18</v>
      </c>
      <c r="AJ25">
        <v>-2175.4899999999998</v>
      </c>
      <c r="AK25" s="3">
        <v>-21174300</v>
      </c>
      <c r="AP25">
        <f t="shared" si="5"/>
        <v>1.2500000000000007</v>
      </c>
      <c r="AQ25">
        <v>18</v>
      </c>
      <c r="AR25">
        <v>-127.75700000000001</v>
      </c>
      <c r="AS25" s="3">
        <v>-528469</v>
      </c>
      <c r="AX25">
        <f t="shared" si="6"/>
        <v>1.2500000000000007</v>
      </c>
      <c r="AY25">
        <v>18</v>
      </c>
      <c r="AZ25">
        <v>35.834699999999998</v>
      </c>
      <c r="BA25" s="3">
        <v>67800.600000000006</v>
      </c>
      <c r="BF25">
        <f t="shared" si="7"/>
        <v>1.2500000000000007</v>
      </c>
      <c r="BG25">
        <v>18</v>
      </c>
      <c r="BH25">
        <v>-962233</v>
      </c>
      <c r="BI25" s="3">
        <v>-3597270000</v>
      </c>
      <c r="BN25">
        <f t="shared" si="8"/>
        <v>1.2500000000000007</v>
      </c>
      <c r="BO25">
        <v>18</v>
      </c>
      <c r="BP25">
        <v>-590.48299999999995</v>
      </c>
      <c r="BQ25" s="3">
        <v>-2476520</v>
      </c>
      <c r="BV25">
        <f t="shared" si="9"/>
        <v>1.2500000000000007</v>
      </c>
      <c r="BW25">
        <v>18</v>
      </c>
      <c r="BX25">
        <v>43.264499999999998</v>
      </c>
      <c r="BY25">
        <v>7685.5</v>
      </c>
    </row>
    <row r="26" spans="2:77" x14ac:dyDescent="0.2">
      <c r="B26">
        <f t="shared" si="0"/>
        <v>1.3000000000000007</v>
      </c>
      <c r="C26">
        <v>19</v>
      </c>
      <c r="D26" s="3">
        <v>12.473699999999999</v>
      </c>
      <c r="E26" s="3">
        <v>66210.2</v>
      </c>
      <c r="J26">
        <f t="shared" si="1"/>
        <v>1.3000000000000007</v>
      </c>
      <c r="K26">
        <v>19</v>
      </c>
      <c r="L26">
        <v>38.303600000000003</v>
      </c>
      <c r="M26" s="3">
        <v>112706</v>
      </c>
      <c r="R26">
        <f t="shared" si="2"/>
        <v>1.3000000000000007</v>
      </c>
      <c r="S26">
        <v>19</v>
      </c>
      <c r="T26">
        <v>12.580299999999999</v>
      </c>
      <c r="U26">
        <v>-77947.899999999994</v>
      </c>
      <c r="Z26">
        <f t="shared" si="3"/>
        <v>1.3000000000000007</v>
      </c>
      <c r="AA26">
        <v>19</v>
      </c>
      <c r="AB26">
        <v>-4.0947199999999997</v>
      </c>
      <c r="AC26">
        <v>-25363.5</v>
      </c>
      <c r="AH26">
        <f t="shared" si="4"/>
        <v>1.3000000000000007</v>
      </c>
      <c r="AI26">
        <v>19</v>
      </c>
      <c r="AJ26">
        <v>-732.53499999999997</v>
      </c>
      <c r="AK26" s="3">
        <v>-8163630</v>
      </c>
      <c r="AP26">
        <f t="shared" si="5"/>
        <v>1.3000000000000007</v>
      </c>
      <c r="AQ26">
        <v>19</v>
      </c>
      <c r="AR26">
        <v>-50.535499999999999</v>
      </c>
      <c r="AS26" s="3">
        <v>-241791</v>
      </c>
      <c r="AX26">
        <f t="shared" si="6"/>
        <v>1.3000000000000007</v>
      </c>
      <c r="AY26">
        <v>19</v>
      </c>
      <c r="AZ26">
        <v>29.125800000000002</v>
      </c>
      <c r="BA26">
        <v>59411</v>
      </c>
      <c r="BF26">
        <f t="shared" si="7"/>
        <v>1.3000000000000007</v>
      </c>
      <c r="BG26">
        <v>19</v>
      </c>
      <c r="BH26">
        <v>-426575</v>
      </c>
      <c r="BI26" s="3">
        <v>-1716620000</v>
      </c>
      <c r="BN26">
        <f t="shared" si="8"/>
        <v>1.3000000000000007</v>
      </c>
      <c r="BO26">
        <v>19</v>
      </c>
      <c r="BP26">
        <v>-235.904</v>
      </c>
      <c r="BQ26" s="3">
        <v>-1085430</v>
      </c>
      <c r="BV26">
        <f t="shared" si="9"/>
        <v>1.3000000000000007</v>
      </c>
      <c r="BW26">
        <v>19</v>
      </c>
      <c r="BX26">
        <v>39.467199999999998</v>
      </c>
      <c r="BY26">
        <v>25524.2</v>
      </c>
    </row>
    <row r="27" spans="2:77" x14ac:dyDescent="0.2">
      <c r="B27">
        <f t="shared" si="0"/>
        <v>1.3500000000000008</v>
      </c>
      <c r="C27">
        <v>20</v>
      </c>
      <c r="D27" s="3">
        <v>7.2124699999999997</v>
      </c>
      <c r="E27" s="3">
        <v>40498.300000000003</v>
      </c>
      <c r="J27">
        <f t="shared" si="1"/>
        <v>1.3500000000000008</v>
      </c>
      <c r="K27">
        <v>20</v>
      </c>
      <c r="L27">
        <v>30.379100000000001</v>
      </c>
      <c r="M27" s="3">
        <v>54551.9</v>
      </c>
      <c r="R27">
        <f t="shared" si="2"/>
        <v>1.3500000000000008</v>
      </c>
      <c r="S27">
        <v>20</v>
      </c>
      <c r="T27">
        <v>15.817</v>
      </c>
      <c r="U27">
        <v>-971.72500000000002</v>
      </c>
      <c r="Z27">
        <f t="shared" si="3"/>
        <v>1.3500000000000008</v>
      </c>
      <c r="AA27">
        <v>20</v>
      </c>
      <c r="AB27">
        <v>-0.59815099999999999</v>
      </c>
      <c r="AC27">
        <v>-10811.3</v>
      </c>
      <c r="AH27">
        <f t="shared" si="4"/>
        <v>1.3500000000000008</v>
      </c>
      <c r="AI27">
        <v>20</v>
      </c>
      <c r="AJ27">
        <v>-211.75800000000001</v>
      </c>
      <c r="AK27" s="3">
        <v>-2947330</v>
      </c>
      <c r="AP27">
        <f t="shared" si="5"/>
        <v>1.3500000000000008</v>
      </c>
      <c r="AQ27">
        <v>20</v>
      </c>
      <c r="AR27">
        <v>-16.944299999999998</v>
      </c>
      <c r="AS27" s="3">
        <v>-107570</v>
      </c>
      <c r="AX27">
        <f t="shared" si="6"/>
        <v>1.3500000000000008</v>
      </c>
      <c r="AY27">
        <v>20</v>
      </c>
      <c r="AZ27">
        <v>23.6617</v>
      </c>
      <c r="BA27">
        <v>48900</v>
      </c>
      <c r="BF27">
        <f t="shared" si="7"/>
        <v>1.3500000000000008</v>
      </c>
      <c r="BG27">
        <v>20</v>
      </c>
      <c r="BH27">
        <v>-183851</v>
      </c>
      <c r="BI27" s="3">
        <v>-797149000</v>
      </c>
      <c r="BN27">
        <f t="shared" si="8"/>
        <v>1.3500000000000008</v>
      </c>
      <c r="BO27">
        <v>20</v>
      </c>
      <c r="BP27">
        <v>-87.051199999999994</v>
      </c>
      <c r="BQ27">
        <v>-468963</v>
      </c>
      <c r="BV27">
        <f t="shared" si="9"/>
        <v>1.3500000000000008</v>
      </c>
      <c r="BW27">
        <v>20</v>
      </c>
      <c r="BX27">
        <v>33.674799999999998</v>
      </c>
      <c r="BY27">
        <v>30686.7</v>
      </c>
    </row>
    <row r="28" spans="2:77" x14ac:dyDescent="0.2">
      <c r="B28">
        <f t="shared" si="0"/>
        <v>1.4000000000000008</v>
      </c>
      <c r="C28">
        <v>21</v>
      </c>
      <c r="D28" s="3">
        <v>4.0458499999999997</v>
      </c>
      <c r="E28" s="3">
        <v>26127.7</v>
      </c>
      <c r="J28">
        <f t="shared" si="1"/>
        <v>1.4000000000000008</v>
      </c>
      <c r="K28">
        <v>21</v>
      </c>
      <c r="L28">
        <v>26.160799999999998</v>
      </c>
      <c r="M28" s="3">
        <v>36043.1</v>
      </c>
      <c r="R28">
        <f t="shared" si="2"/>
        <v>1.4000000000000008</v>
      </c>
      <c r="S28">
        <v>21</v>
      </c>
      <c r="T28">
        <v>14.6488</v>
      </c>
      <c r="U28">
        <v>20364</v>
      </c>
      <c r="Z28">
        <f t="shared" si="3"/>
        <v>1.4000000000000008</v>
      </c>
      <c r="AA28">
        <v>21</v>
      </c>
      <c r="AB28">
        <v>0.69361399999999995</v>
      </c>
      <c r="AC28">
        <v>-3305.52</v>
      </c>
      <c r="AH28">
        <f t="shared" si="4"/>
        <v>1.4000000000000008</v>
      </c>
      <c r="AI28">
        <v>21</v>
      </c>
      <c r="AJ28">
        <v>-37.148099999999999</v>
      </c>
      <c r="AK28" s="3">
        <v>-967548</v>
      </c>
      <c r="AP28">
        <f t="shared" si="5"/>
        <v>1.4000000000000008</v>
      </c>
      <c r="AQ28">
        <v>21</v>
      </c>
      <c r="AR28">
        <v>-2.8887100000000001</v>
      </c>
      <c r="AS28" s="3">
        <v>-44909.1</v>
      </c>
      <c r="AX28">
        <f t="shared" si="6"/>
        <v>1.4000000000000008</v>
      </c>
      <c r="AY28">
        <v>21</v>
      </c>
      <c r="AZ28">
        <v>19.412299999999998</v>
      </c>
      <c r="BA28">
        <v>38918.699999999997</v>
      </c>
      <c r="BF28">
        <f t="shared" si="7"/>
        <v>1.4000000000000008</v>
      </c>
      <c r="BG28">
        <v>21</v>
      </c>
      <c r="BH28">
        <v>-76774.5</v>
      </c>
      <c r="BI28" s="3">
        <v>-359221000</v>
      </c>
      <c r="BN28">
        <f t="shared" si="8"/>
        <v>1.4000000000000008</v>
      </c>
      <c r="BO28">
        <v>21</v>
      </c>
      <c r="BP28">
        <v>-26.543399999999998</v>
      </c>
      <c r="BQ28">
        <v>-189852</v>
      </c>
      <c r="BV28">
        <f t="shared" si="9"/>
        <v>1.4000000000000008</v>
      </c>
      <c r="BW28">
        <v>21</v>
      </c>
      <c r="BX28">
        <v>27.6843</v>
      </c>
      <c r="BY28">
        <v>30559.8</v>
      </c>
    </row>
    <row r="29" spans="2:77" x14ac:dyDescent="0.2">
      <c r="B29">
        <f t="shared" si="0"/>
        <v>1.4500000000000008</v>
      </c>
      <c r="C29">
        <v>22</v>
      </c>
      <c r="D29" s="3">
        <v>2.0152299999999999</v>
      </c>
      <c r="E29" s="3">
        <v>18039.099999999999</v>
      </c>
      <c r="J29">
        <f t="shared" si="1"/>
        <v>1.4500000000000008</v>
      </c>
      <c r="K29">
        <v>22</v>
      </c>
      <c r="L29">
        <v>23.077999999999999</v>
      </c>
      <c r="M29" s="3">
        <v>31069.8</v>
      </c>
      <c r="R29">
        <f t="shared" si="2"/>
        <v>1.4500000000000008</v>
      </c>
      <c r="S29">
        <v>22</v>
      </c>
      <c r="T29">
        <v>12.491400000000001</v>
      </c>
      <c r="U29">
        <v>24405.1</v>
      </c>
      <c r="Z29">
        <f t="shared" si="3"/>
        <v>1.4500000000000008</v>
      </c>
      <c r="AA29">
        <v>22</v>
      </c>
      <c r="AB29">
        <v>0.92209200000000002</v>
      </c>
      <c r="AC29">
        <v>436.15800000000002</v>
      </c>
      <c r="AH29">
        <f t="shared" si="4"/>
        <v>1.4500000000000008</v>
      </c>
      <c r="AI29">
        <v>22</v>
      </c>
      <c r="AJ29">
        <v>14.7721</v>
      </c>
      <c r="AK29">
        <v>-263522</v>
      </c>
      <c r="AP29">
        <f t="shared" si="5"/>
        <v>1.4500000000000008</v>
      </c>
      <c r="AQ29">
        <v>22</v>
      </c>
      <c r="AR29">
        <v>2.4547599999999998</v>
      </c>
      <c r="AS29" s="3">
        <v>-15820.3</v>
      </c>
      <c r="AX29">
        <f t="shared" si="6"/>
        <v>1.4500000000000008</v>
      </c>
      <c r="AY29">
        <v>22</v>
      </c>
      <c r="AZ29">
        <v>16.1754</v>
      </c>
      <c r="BA29">
        <v>30644.9</v>
      </c>
      <c r="BF29">
        <f t="shared" si="7"/>
        <v>1.4500000000000008</v>
      </c>
      <c r="BG29">
        <v>22</v>
      </c>
      <c r="BH29">
        <v>-30932.1</v>
      </c>
      <c r="BI29" s="3">
        <v>-156540000</v>
      </c>
      <c r="BN29">
        <f t="shared" si="8"/>
        <v>1.4500000000000008</v>
      </c>
      <c r="BO29">
        <v>22</v>
      </c>
      <c r="BP29">
        <v>-4.2224199999999996</v>
      </c>
      <c r="BQ29">
        <v>-65411.5</v>
      </c>
      <c r="BV29">
        <f t="shared" si="9"/>
        <v>1.4500000000000008</v>
      </c>
      <c r="BW29">
        <v>22</v>
      </c>
      <c r="BX29">
        <v>22.163900000000002</v>
      </c>
      <c r="BY29">
        <v>28306.400000000001</v>
      </c>
    </row>
    <row r="30" spans="2:77" x14ac:dyDescent="0.2">
      <c r="B30">
        <f t="shared" si="0"/>
        <v>1.5000000000000009</v>
      </c>
      <c r="C30">
        <v>23</v>
      </c>
      <c r="D30" s="3">
        <v>0.62044900000000003</v>
      </c>
      <c r="E30" s="3">
        <v>13265</v>
      </c>
      <c r="J30">
        <f t="shared" si="1"/>
        <v>1.5000000000000009</v>
      </c>
      <c r="K30">
        <v>23</v>
      </c>
      <c r="L30">
        <v>20.3401</v>
      </c>
      <c r="M30" s="3">
        <v>29918.799999999999</v>
      </c>
      <c r="R30">
        <f t="shared" si="2"/>
        <v>1.5000000000000009</v>
      </c>
      <c r="S30">
        <v>23</v>
      </c>
      <c r="T30">
        <v>10.315799999999999</v>
      </c>
      <c r="U30">
        <v>23467.7</v>
      </c>
      <c r="Z30">
        <f t="shared" si="3"/>
        <v>1.5000000000000009</v>
      </c>
      <c r="AA30">
        <v>23</v>
      </c>
      <c r="AB30">
        <v>0.66678700000000002</v>
      </c>
      <c r="AC30">
        <v>2163.71</v>
      </c>
      <c r="AH30">
        <f t="shared" si="4"/>
        <v>1.5000000000000009</v>
      </c>
      <c r="AI30">
        <v>23</v>
      </c>
      <c r="AJ30">
        <v>26.223099999999999</v>
      </c>
      <c r="AK30">
        <v>-33361.4</v>
      </c>
      <c r="AP30">
        <f t="shared" si="5"/>
        <v>1.5000000000000009</v>
      </c>
      <c r="AQ30">
        <v>23</v>
      </c>
      <c r="AR30">
        <v>3.96658</v>
      </c>
      <c r="AS30" s="3">
        <v>-2669.38</v>
      </c>
      <c r="AX30">
        <f t="shared" si="6"/>
        <v>1.5000000000000009</v>
      </c>
      <c r="AY30">
        <v>23</v>
      </c>
      <c r="AZ30">
        <v>13.7125</v>
      </c>
      <c r="BA30">
        <v>24250</v>
      </c>
      <c r="BF30">
        <f t="shared" si="7"/>
        <v>1.5000000000000009</v>
      </c>
      <c r="BG30">
        <v>23</v>
      </c>
      <c r="BH30">
        <v>-11960.2</v>
      </c>
      <c r="BI30" s="3">
        <v>-65674800</v>
      </c>
      <c r="BN30">
        <f t="shared" si="8"/>
        <v>1.5000000000000009</v>
      </c>
      <c r="BO30">
        <v>23</v>
      </c>
      <c r="BP30">
        <v>2.22126</v>
      </c>
      <c r="BQ30">
        <v>-13813</v>
      </c>
      <c r="BV30">
        <f t="shared" si="9"/>
        <v>1.5000000000000009</v>
      </c>
      <c r="BW30">
        <v>23</v>
      </c>
      <c r="BX30">
        <v>17.335999999999999</v>
      </c>
      <c r="BY30">
        <v>25107.5</v>
      </c>
    </row>
    <row r="31" spans="2:77" x14ac:dyDescent="0.2">
      <c r="B31">
        <f t="shared" si="0"/>
        <v>1.5500000000000009</v>
      </c>
      <c r="C31">
        <v>24</v>
      </c>
      <c r="D31" s="3">
        <v>-0.39388000000000001</v>
      </c>
      <c r="E31" s="3">
        <v>10213.4</v>
      </c>
      <c r="J31">
        <f t="shared" si="1"/>
        <v>1.5500000000000009</v>
      </c>
      <c r="K31">
        <v>24</v>
      </c>
      <c r="L31">
        <v>17.7593</v>
      </c>
      <c r="M31">
        <v>29321.8</v>
      </c>
      <c r="R31">
        <f t="shared" si="2"/>
        <v>1.5500000000000009</v>
      </c>
      <c r="S31">
        <v>24</v>
      </c>
      <c r="T31">
        <v>8.3640500000000007</v>
      </c>
      <c r="U31">
        <v>21252.6</v>
      </c>
      <c r="Z31">
        <f t="shared" si="3"/>
        <v>1.5500000000000009</v>
      </c>
      <c r="AA31">
        <v>24</v>
      </c>
      <c r="AB31">
        <v>0.222659</v>
      </c>
      <c r="AC31">
        <v>2812.57</v>
      </c>
      <c r="AH31">
        <f t="shared" si="4"/>
        <v>1.5500000000000009</v>
      </c>
      <c r="AI31">
        <v>24</v>
      </c>
      <c r="AJ31">
        <v>25.6404</v>
      </c>
      <c r="AK31">
        <v>32529</v>
      </c>
      <c r="AP31">
        <f t="shared" si="5"/>
        <v>1.5500000000000009</v>
      </c>
      <c r="AQ31">
        <v>24</v>
      </c>
      <c r="AR31">
        <v>3.8847200000000002</v>
      </c>
      <c r="AS31">
        <v>2776.24</v>
      </c>
      <c r="AX31">
        <f t="shared" si="6"/>
        <v>1.5500000000000009</v>
      </c>
      <c r="AY31">
        <v>24</v>
      </c>
      <c r="AZ31">
        <v>11.8202</v>
      </c>
      <c r="BA31">
        <v>19396.599999999999</v>
      </c>
      <c r="BF31">
        <f t="shared" si="7"/>
        <v>1.5500000000000009</v>
      </c>
      <c r="BG31">
        <v>24</v>
      </c>
      <c r="BH31">
        <v>-4408.59</v>
      </c>
      <c r="BI31" s="3">
        <v>-26373300</v>
      </c>
      <c r="BN31">
        <f t="shared" si="8"/>
        <v>1.5500000000000009</v>
      </c>
      <c r="BO31">
        <v>24</v>
      </c>
      <c r="BP31">
        <v>2.7597499999999999</v>
      </c>
      <c r="BQ31">
        <v>4150.21</v>
      </c>
      <c r="BV31">
        <f t="shared" si="9"/>
        <v>1.5500000000000009</v>
      </c>
      <c r="BW31">
        <v>24</v>
      </c>
      <c r="BX31">
        <v>13.276899999999999</v>
      </c>
      <c r="BY31">
        <v>21436.1</v>
      </c>
    </row>
    <row r="32" spans="2:77" x14ac:dyDescent="0.2">
      <c r="B32">
        <f t="shared" si="0"/>
        <v>1.600000000000001</v>
      </c>
      <c r="C32">
        <v>25</v>
      </c>
      <c r="D32" s="3">
        <v>-1.1599999999999999</v>
      </c>
      <c r="E32" s="3">
        <v>8075.01</v>
      </c>
      <c r="J32">
        <f t="shared" si="1"/>
        <v>1.600000000000001</v>
      </c>
      <c r="K32">
        <v>25</v>
      </c>
      <c r="L32">
        <v>15.3253</v>
      </c>
      <c r="M32">
        <v>28383.1</v>
      </c>
      <c r="R32">
        <f t="shared" si="2"/>
        <v>1.600000000000001</v>
      </c>
      <c r="S32">
        <v>25</v>
      </c>
      <c r="T32">
        <v>6.6758300000000004</v>
      </c>
      <c r="U32">
        <v>18815</v>
      </c>
      <c r="Z32">
        <f t="shared" si="3"/>
        <v>1.600000000000001</v>
      </c>
      <c r="AA32">
        <v>25</v>
      </c>
      <c r="AB32">
        <v>-0.26422299999999999</v>
      </c>
      <c r="AC32">
        <v>2903.65</v>
      </c>
      <c r="AH32">
        <f t="shared" si="4"/>
        <v>1.600000000000001</v>
      </c>
      <c r="AI32">
        <v>25</v>
      </c>
      <c r="AJ32">
        <v>22.1508</v>
      </c>
      <c r="AK32">
        <v>46032.2</v>
      </c>
      <c r="AP32">
        <f t="shared" si="5"/>
        <v>1.600000000000001</v>
      </c>
      <c r="AQ32">
        <v>25</v>
      </c>
      <c r="AR32">
        <v>3.23617</v>
      </c>
      <c r="AS32">
        <v>4519.1400000000003</v>
      </c>
      <c r="AX32">
        <f t="shared" si="6"/>
        <v>1.600000000000001</v>
      </c>
      <c r="AY32">
        <v>25</v>
      </c>
      <c r="AZ32">
        <v>10.35</v>
      </c>
      <c r="BA32">
        <v>15636.4</v>
      </c>
      <c r="BF32">
        <f t="shared" si="7"/>
        <v>1.600000000000001</v>
      </c>
      <c r="BG32">
        <v>25</v>
      </c>
      <c r="BH32">
        <v>-1536.41</v>
      </c>
      <c r="BI32" s="3">
        <v>-10060000</v>
      </c>
      <c r="BN32">
        <f t="shared" si="8"/>
        <v>1.600000000000001</v>
      </c>
      <c r="BO32">
        <v>25</v>
      </c>
      <c r="BP32">
        <v>1.6346099999999999</v>
      </c>
      <c r="BQ32">
        <v>7832.29</v>
      </c>
      <c r="BV32">
        <f t="shared" si="9"/>
        <v>1.600000000000001</v>
      </c>
      <c r="BW32">
        <v>25</v>
      </c>
      <c r="BX32">
        <v>9.9816900000000004</v>
      </c>
      <c r="BY32">
        <v>17668.3</v>
      </c>
    </row>
    <row r="33" spans="2:77" x14ac:dyDescent="0.2">
      <c r="B33">
        <f t="shared" si="0"/>
        <v>1.650000000000001</v>
      </c>
      <c r="C33">
        <v>26</v>
      </c>
      <c r="D33" s="3">
        <v>-1.7500800000000001</v>
      </c>
      <c r="E33" s="3">
        <v>6451.26</v>
      </c>
      <c r="J33">
        <f t="shared" si="1"/>
        <v>1.650000000000001</v>
      </c>
      <c r="K33">
        <v>26</v>
      </c>
      <c r="L33">
        <v>13.0639</v>
      </c>
      <c r="M33">
        <v>26993.9</v>
      </c>
      <c r="R33">
        <f t="shared" si="2"/>
        <v>1.650000000000001</v>
      </c>
      <c r="S33">
        <v>26</v>
      </c>
      <c r="T33">
        <v>5.2379300000000004</v>
      </c>
      <c r="U33">
        <v>16454.8</v>
      </c>
      <c r="Z33">
        <f t="shared" si="3"/>
        <v>1.650000000000001</v>
      </c>
      <c r="AA33">
        <v>26</v>
      </c>
      <c r="AB33">
        <v>-0.72552099999999997</v>
      </c>
      <c r="AC33">
        <v>2721.57</v>
      </c>
      <c r="AH33">
        <f t="shared" si="4"/>
        <v>1.650000000000001</v>
      </c>
      <c r="AI33">
        <v>26</v>
      </c>
      <c r="AJ33">
        <v>18.4086</v>
      </c>
      <c r="AK33">
        <v>44599.7</v>
      </c>
      <c r="AP33">
        <f t="shared" si="5"/>
        <v>1.650000000000001</v>
      </c>
      <c r="AQ33">
        <v>26</v>
      </c>
      <c r="AR33">
        <v>2.4836800000000001</v>
      </c>
      <c r="AS33">
        <v>4518.78</v>
      </c>
      <c r="AX33">
        <f t="shared" si="6"/>
        <v>1.650000000000001</v>
      </c>
      <c r="AY33">
        <v>26</v>
      </c>
      <c r="AZ33">
        <v>9.2013800000000003</v>
      </c>
      <c r="BA33">
        <v>12615.1</v>
      </c>
      <c r="BF33">
        <f t="shared" si="7"/>
        <v>1.650000000000001</v>
      </c>
      <c r="BG33">
        <v>26</v>
      </c>
      <c r="BH33">
        <v>-501.58300000000003</v>
      </c>
      <c r="BI33" s="3">
        <v>-3607840</v>
      </c>
      <c r="BN33">
        <f t="shared" si="8"/>
        <v>1.650000000000001</v>
      </c>
      <c r="BO33">
        <v>26</v>
      </c>
      <c r="BP33">
        <v>0.43393100000000001</v>
      </c>
      <c r="BQ33">
        <v>6488.9</v>
      </c>
      <c r="BV33">
        <f t="shared" si="9"/>
        <v>1.650000000000001</v>
      </c>
      <c r="BW33">
        <v>26</v>
      </c>
      <c r="BX33">
        <v>7.3964800000000004</v>
      </c>
      <c r="BY33">
        <v>14050.7</v>
      </c>
    </row>
    <row r="34" spans="2:77" x14ac:dyDescent="0.2">
      <c r="B34">
        <f t="shared" si="0"/>
        <v>1.7000000000000011</v>
      </c>
      <c r="C34">
        <v>27</v>
      </c>
      <c r="D34" s="3">
        <v>-2.2070799999999999</v>
      </c>
      <c r="E34" s="3">
        <v>5147.08</v>
      </c>
      <c r="J34">
        <f t="shared" si="1"/>
        <v>1.7000000000000011</v>
      </c>
      <c r="K34">
        <v>27</v>
      </c>
      <c r="L34">
        <v>10.9964</v>
      </c>
      <c r="M34">
        <v>25256.1</v>
      </c>
      <c r="R34">
        <f t="shared" si="2"/>
        <v>1.7000000000000011</v>
      </c>
      <c r="S34">
        <v>27</v>
      </c>
      <c r="T34">
        <v>4.02454</v>
      </c>
      <c r="U34">
        <v>14263.9</v>
      </c>
      <c r="Z34">
        <f t="shared" si="3"/>
        <v>1.7000000000000011</v>
      </c>
      <c r="AA34">
        <v>27</v>
      </c>
      <c r="AB34">
        <v>-1.13331</v>
      </c>
      <c r="AC34">
        <v>2425.5500000000002</v>
      </c>
      <c r="AH34">
        <f t="shared" si="4"/>
        <v>1.7000000000000011</v>
      </c>
      <c r="AI34">
        <v>27</v>
      </c>
      <c r="AJ34">
        <v>15.068199999999999</v>
      </c>
      <c r="AK34">
        <v>39693</v>
      </c>
      <c r="AP34">
        <f t="shared" si="5"/>
        <v>1.7000000000000011</v>
      </c>
      <c r="AQ34">
        <v>27</v>
      </c>
      <c r="AR34">
        <v>1.82216</v>
      </c>
      <c r="AS34">
        <v>3776.72</v>
      </c>
      <c r="AX34">
        <f t="shared" si="6"/>
        <v>1.7000000000000011</v>
      </c>
      <c r="AY34">
        <v>27</v>
      </c>
      <c r="AZ34">
        <v>8.3052700000000002</v>
      </c>
      <c r="BA34">
        <v>10119.6</v>
      </c>
      <c r="BF34">
        <f t="shared" si="7"/>
        <v>1.7000000000000011</v>
      </c>
      <c r="BG34">
        <v>27</v>
      </c>
      <c r="BH34">
        <v>-152.42400000000001</v>
      </c>
      <c r="BI34" s="3">
        <v>-1200080</v>
      </c>
      <c r="BN34">
        <f t="shared" si="8"/>
        <v>1.7000000000000011</v>
      </c>
      <c r="BO34">
        <v>27</v>
      </c>
      <c r="BP34">
        <v>-0.40740999999999999</v>
      </c>
      <c r="BQ34">
        <v>4146.8599999999997</v>
      </c>
      <c r="BV34">
        <f t="shared" si="9"/>
        <v>1.7000000000000011</v>
      </c>
      <c r="BW34">
        <v>27</v>
      </c>
      <c r="BX34">
        <v>5.4382400000000004</v>
      </c>
      <c r="BY34">
        <v>10775.4</v>
      </c>
    </row>
    <row r="35" spans="2:77" x14ac:dyDescent="0.2">
      <c r="B35">
        <f t="shared" si="0"/>
        <v>1.7500000000000011</v>
      </c>
      <c r="C35">
        <v>28</v>
      </c>
      <c r="D35" s="3">
        <v>-2.55931</v>
      </c>
      <c r="E35" s="3">
        <v>4064.81</v>
      </c>
      <c r="J35">
        <f t="shared" si="1"/>
        <v>1.7500000000000011</v>
      </c>
      <c r="K35">
        <v>28</v>
      </c>
      <c r="L35">
        <v>9.1331799999999994</v>
      </c>
      <c r="M35">
        <v>23296.7</v>
      </c>
      <c r="R35">
        <f t="shared" si="2"/>
        <v>1.7500000000000011</v>
      </c>
      <c r="S35">
        <v>28</v>
      </c>
      <c r="T35">
        <v>3.0079199999999999</v>
      </c>
      <c r="U35">
        <v>12272</v>
      </c>
      <c r="Z35">
        <f t="shared" si="3"/>
        <v>1.7500000000000011</v>
      </c>
      <c r="AA35">
        <v>28</v>
      </c>
      <c r="AB35">
        <v>-1.48102</v>
      </c>
      <c r="AC35">
        <v>2108.9699999999998</v>
      </c>
      <c r="AH35">
        <f t="shared" si="4"/>
        <v>1.7500000000000011</v>
      </c>
      <c r="AI35">
        <v>28</v>
      </c>
      <c r="AJ35">
        <v>12.225300000000001</v>
      </c>
      <c r="AK35">
        <v>34460.800000000003</v>
      </c>
      <c r="AP35">
        <f t="shared" si="5"/>
        <v>1.7500000000000011</v>
      </c>
      <c r="AQ35">
        <v>28</v>
      </c>
      <c r="AR35">
        <v>1.31423</v>
      </c>
      <c r="AS35">
        <v>2841.49</v>
      </c>
      <c r="AX35">
        <f t="shared" si="6"/>
        <v>1.7500000000000011</v>
      </c>
      <c r="AY35">
        <v>28</v>
      </c>
      <c r="AZ35">
        <v>7.6108500000000001</v>
      </c>
      <c r="BA35">
        <v>8044.05</v>
      </c>
      <c r="BF35">
        <f t="shared" si="7"/>
        <v>1.7500000000000011</v>
      </c>
      <c r="BG35">
        <v>28</v>
      </c>
      <c r="BH35">
        <v>-43.712200000000003</v>
      </c>
      <c r="BI35">
        <v>-364212</v>
      </c>
      <c r="BN35">
        <f t="shared" si="8"/>
        <v>1.7500000000000011</v>
      </c>
      <c r="BO35">
        <v>28</v>
      </c>
      <c r="BP35">
        <v>-0.88955700000000004</v>
      </c>
      <c r="BQ35">
        <v>2250.5</v>
      </c>
      <c r="BV35">
        <f t="shared" si="9"/>
        <v>1.7500000000000011</v>
      </c>
      <c r="BW35">
        <v>28</v>
      </c>
      <c r="BX35">
        <v>4.0039999999999996</v>
      </c>
      <c r="BY35">
        <v>8010.51</v>
      </c>
    </row>
    <row r="36" spans="2:77" x14ac:dyDescent="0.2">
      <c r="B36">
        <f t="shared" si="0"/>
        <v>1.8000000000000012</v>
      </c>
      <c r="C36">
        <v>29</v>
      </c>
      <c r="D36" s="3">
        <v>-2.8272599999999999</v>
      </c>
      <c r="E36" s="3">
        <v>3152.32</v>
      </c>
      <c r="J36">
        <f t="shared" si="1"/>
        <v>1.8000000000000012</v>
      </c>
      <c r="K36">
        <v>29</v>
      </c>
      <c r="L36">
        <v>7.4747399999999997</v>
      </c>
      <c r="M36">
        <v>21221.7</v>
      </c>
      <c r="R36">
        <f t="shared" si="2"/>
        <v>1.8000000000000012</v>
      </c>
      <c r="S36">
        <v>29</v>
      </c>
      <c r="T36">
        <v>2.1615199999999999</v>
      </c>
      <c r="U36">
        <v>10484.6</v>
      </c>
      <c r="Z36">
        <f t="shared" si="3"/>
        <v>1.8000000000000012</v>
      </c>
      <c r="AA36">
        <v>29</v>
      </c>
      <c r="AB36">
        <v>-1.77376</v>
      </c>
      <c r="AC36">
        <v>1830.99</v>
      </c>
      <c r="AH36">
        <f t="shared" si="4"/>
        <v>1.8000000000000012</v>
      </c>
      <c r="AI36">
        <v>29</v>
      </c>
      <c r="AJ36">
        <v>9.8405900000000006</v>
      </c>
      <c r="AK36">
        <v>29648.6</v>
      </c>
      <c r="AP36">
        <f t="shared" si="5"/>
        <v>1.8000000000000012</v>
      </c>
      <c r="AQ36">
        <v>29</v>
      </c>
      <c r="AR36">
        <v>0.95327899999999999</v>
      </c>
      <c r="AS36">
        <v>2046.26</v>
      </c>
      <c r="AX36">
        <f t="shared" si="6"/>
        <v>1.8000000000000012</v>
      </c>
      <c r="AY36">
        <v>29</v>
      </c>
      <c r="AZ36">
        <v>7.0772300000000001</v>
      </c>
      <c r="BA36">
        <v>6337.68</v>
      </c>
      <c r="BF36">
        <f t="shared" si="7"/>
        <v>1.8000000000000012</v>
      </c>
      <c r="BG36">
        <v>29</v>
      </c>
      <c r="BH36">
        <v>-12.955299999999999</v>
      </c>
      <c r="BI36">
        <v>-99735.9</v>
      </c>
      <c r="BN36">
        <f t="shared" si="8"/>
        <v>1.8000000000000012</v>
      </c>
      <c r="BO36">
        <v>29</v>
      </c>
      <c r="BP36">
        <v>-1.1309100000000001</v>
      </c>
      <c r="BQ36">
        <v>1108.68</v>
      </c>
      <c r="BV36">
        <f t="shared" si="9"/>
        <v>1.8000000000000012</v>
      </c>
      <c r="BW36">
        <v>29</v>
      </c>
      <c r="BX36">
        <v>2.97559</v>
      </c>
      <c r="BY36">
        <v>5913.19</v>
      </c>
    </row>
    <row r="37" spans="2:77" x14ac:dyDescent="0.2">
      <c r="B37">
        <f t="shared" si="0"/>
        <v>1.8500000000000012</v>
      </c>
      <c r="C37">
        <v>30</v>
      </c>
      <c r="D37">
        <v>-3.0267599999999999</v>
      </c>
      <c r="E37" s="3">
        <v>2378.38</v>
      </c>
      <c r="J37">
        <f t="shared" si="1"/>
        <v>1.8500000000000012</v>
      </c>
      <c r="K37">
        <v>30</v>
      </c>
      <c r="L37">
        <v>6.0148599999999997</v>
      </c>
      <c r="M37">
        <v>19112.5</v>
      </c>
      <c r="R37">
        <f t="shared" si="2"/>
        <v>1.8500000000000012</v>
      </c>
      <c r="S37">
        <v>30</v>
      </c>
      <c r="T37">
        <v>1.4611400000000001</v>
      </c>
      <c r="U37">
        <v>8895.31</v>
      </c>
      <c r="Z37">
        <f t="shared" si="3"/>
        <v>1.8500000000000012</v>
      </c>
      <c r="AA37">
        <v>30</v>
      </c>
      <c r="AB37">
        <v>-2.0233599999999998</v>
      </c>
      <c r="AC37">
        <v>1633.3</v>
      </c>
      <c r="AH37">
        <f t="shared" si="4"/>
        <v>1.8500000000000012</v>
      </c>
      <c r="AI37">
        <v>30</v>
      </c>
      <c r="AJ37">
        <v>7.8518499999999998</v>
      </c>
      <c r="AK37">
        <v>25382.1</v>
      </c>
      <c r="AP37">
        <f t="shared" si="5"/>
        <v>1.8500000000000012</v>
      </c>
      <c r="AQ37">
        <v>30</v>
      </c>
      <c r="AR37">
        <v>0.69327099999999997</v>
      </c>
      <c r="AS37">
        <v>1622.77</v>
      </c>
      <c r="AX37">
        <f t="shared" si="6"/>
        <v>1.8500000000000012</v>
      </c>
      <c r="AY37">
        <v>30</v>
      </c>
      <c r="AZ37">
        <v>6.6698899999999997</v>
      </c>
      <c r="BA37">
        <v>4965.7299999999996</v>
      </c>
      <c r="BF37">
        <f t="shared" si="7"/>
        <v>1.8500000000000012</v>
      </c>
      <c r="BG37">
        <v>30</v>
      </c>
      <c r="BH37">
        <v>-5.0363699999999998</v>
      </c>
      <c r="BI37">
        <v>-25555.5</v>
      </c>
      <c r="BN37">
        <f t="shared" si="8"/>
        <v>1.8500000000000012</v>
      </c>
      <c r="BO37">
        <v>30</v>
      </c>
      <c r="BP37">
        <v>-1.2501500000000001</v>
      </c>
      <c r="BQ37">
        <v>634.822</v>
      </c>
      <c r="BV37">
        <f t="shared" si="9"/>
        <v>1.8500000000000012</v>
      </c>
      <c r="BW37">
        <v>30</v>
      </c>
      <c r="BX37">
        <v>2.2224499999999998</v>
      </c>
      <c r="BY37">
        <v>4637.43</v>
      </c>
    </row>
    <row r="38" spans="2:77" x14ac:dyDescent="0.2">
      <c r="B38">
        <f t="shared" si="0"/>
        <v>1.9000000000000012</v>
      </c>
      <c r="C38">
        <v>31</v>
      </c>
      <c r="D38">
        <v>-3.1705199999999998</v>
      </c>
      <c r="E38" s="3">
        <v>1721.33</v>
      </c>
      <c r="J38">
        <f t="shared" si="1"/>
        <v>1.9000000000000012</v>
      </c>
      <c r="K38">
        <v>31</v>
      </c>
      <c r="L38">
        <v>4.7427999999999999</v>
      </c>
      <c r="M38">
        <v>17031.3</v>
      </c>
      <c r="R38">
        <f t="shared" si="2"/>
        <v>1.9000000000000012</v>
      </c>
      <c r="S38">
        <v>31</v>
      </c>
      <c r="T38">
        <v>0.88525200000000004</v>
      </c>
      <c r="U38">
        <v>7491.08</v>
      </c>
      <c r="Z38">
        <f t="shared" si="3"/>
        <v>1.9000000000000012</v>
      </c>
      <c r="AA38">
        <v>31</v>
      </c>
      <c r="AB38">
        <v>-2.2435399999999999</v>
      </c>
      <c r="AC38">
        <v>1497.56</v>
      </c>
      <c r="AH38">
        <f t="shared" si="4"/>
        <v>1.9000000000000012</v>
      </c>
      <c r="AI38">
        <v>31</v>
      </c>
      <c r="AJ38">
        <v>6.1991399999999999</v>
      </c>
      <c r="AK38">
        <v>21646.2</v>
      </c>
      <c r="AP38">
        <f t="shared" si="5"/>
        <v>1.9000000000000012</v>
      </c>
      <c r="AQ38">
        <v>31</v>
      </c>
      <c r="AR38">
        <v>0.47679199999999999</v>
      </c>
      <c r="AS38">
        <v>1454.17</v>
      </c>
      <c r="AX38">
        <f t="shared" si="6"/>
        <v>1.9000000000000012</v>
      </c>
      <c r="AY38">
        <v>31</v>
      </c>
      <c r="AZ38">
        <v>6.3596500000000002</v>
      </c>
      <c r="BA38">
        <v>3890.25</v>
      </c>
      <c r="BF38">
        <f t="shared" si="7"/>
        <v>1.9000000000000012</v>
      </c>
      <c r="BG38">
        <v>31</v>
      </c>
      <c r="BH38">
        <v>-3.0055299999999998</v>
      </c>
      <c r="BI38">
        <v>-7550.95</v>
      </c>
      <c r="BN38">
        <f t="shared" si="8"/>
        <v>1.9000000000000012</v>
      </c>
      <c r="BO38">
        <v>31</v>
      </c>
      <c r="BP38">
        <v>-1.3315699999999999</v>
      </c>
      <c r="BQ38">
        <v>554.23699999999997</v>
      </c>
      <c r="BV38">
        <f t="shared" si="9"/>
        <v>1.9000000000000012</v>
      </c>
      <c r="BW38">
        <v>31</v>
      </c>
      <c r="BX38">
        <v>1.62225</v>
      </c>
      <c r="BY38">
        <v>3915.58</v>
      </c>
    </row>
    <row r="39" spans="2:77" x14ac:dyDescent="0.2">
      <c r="B39">
        <f t="shared" si="0"/>
        <v>1.9500000000000013</v>
      </c>
      <c r="C39">
        <v>32</v>
      </c>
      <c r="D39">
        <v>-3.26892</v>
      </c>
      <c r="E39" s="3">
        <v>1164.06</v>
      </c>
      <c r="J39">
        <f t="shared" si="1"/>
        <v>1.9500000000000013</v>
      </c>
      <c r="K39">
        <v>32</v>
      </c>
      <c r="L39">
        <v>3.6449099999999999</v>
      </c>
      <c r="M39">
        <v>15025.8</v>
      </c>
      <c r="R39">
        <f t="shared" si="2"/>
        <v>1.9500000000000013</v>
      </c>
      <c r="S39">
        <v>32</v>
      </c>
      <c r="T39">
        <v>0.41506900000000002</v>
      </c>
      <c r="U39">
        <v>6256.05</v>
      </c>
      <c r="Z39">
        <f t="shared" si="3"/>
        <v>1.9500000000000013</v>
      </c>
      <c r="AA39">
        <v>32</v>
      </c>
      <c r="AB39">
        <v>-2.4407199999999998</v>
      </c>
      <c r="AC39">
        <v>1383.8</v>
      </c>
      <c r="AH39">
        <f t="shared" si="4"/>
        <v>1.9500000000000013</v>
      </c>
      <c r="AI39">
        <v>32</v>
      </c>
      <c r="AJ39">
        <v>4.82951</v>
      </c>
      <c r="AK39">
        <v>18400.400000000001</v>
      </c>
      <c r="AP39">
        <f t="shared" si="5"/>
        <v>1.9500000000000013</v>
      </c>
      <c r="AQ39">
        <v>32</v>
      </c>
      <c r="AR39">
        <v>0.28795999999999999</v>
      </c>
      <c r="AS39">
        <v>1305.52</v>
      </c>
      <c r="AX39">
        <f t="shared" si="6"/>
        <v>1.9500000000000013</v>
      </c>
      <c r="AY39">
        <v>32</v>
      </c>
      <c r="AZ39">
        <v>6.1225300000000002</v>
      </c>
      <c r="BA39">
        <v>3066.18</v>
      </c>
      <c r="BF39">
        <f t="shared" si="7"/>
        <v>1.9500000000000013</v>
      </c>
      <c r="BG39">
        <v>32</v>
      </c>
      <c r="BH39">
        <v>-2.3126099999999998</v>
      </c>
      <c r="BI39">
        <v>-3444.36</v>
      </c>
      <c r="BN39">
        <f t="shared" si="8"/>
        <v>1.9500000000000013</v>
      </c>
      <c r="BO39">
        <v>32</v>
      </c>
      <c r="BP39">
        <v>-1.41</v>
      </c>
      <c r="BQ39">
        <v>602.61900000000003</v>
      </c>
      <c r="BV39">
        <f t="shared" si="9"/>
        <v>1.9500000000000013</v>
      </c>
      <c r="BW39">
        <v>32</v>
      </c>
      <c r="BX39">
        <v>1.12582</v>
      </c>
      <c r="BY39">
        <v>3351.02</v>
      </c>
    </row>
    <row r="40" spans="2:77" x14ac:dyDescent="0.2">
      <c r="B40">
        <f t="shared" si="0"/>
        <v>2.0000000000000013</v>
      </c>
      <c r="C40">
        <v>33</v>
      </c>
      <c r="D40">
        <v>-3.3304800000000001</v>
      </c>
      <c r="E40" s="3">
        <v>691.89800000000002</v>
      </c>
      <c r="J40">
        <f t="shared" si="1"/>
        <v>2.0000000000000013</v>
      </c>
      <c r="K40">
        <v>33</v>
      </c>
      <c r="L40">
        <v>2.7058499999999999</v>
      </c>
      <c r="M40">
        <v>13131.7</v>
      </c>
      <c r="R40">
        <f t="shared" si="2"/>
        <v>2.0000000000000013</v>
      </c>
      <c r="S40">
        <v>33</v>
      </c>
      <c r="T40">
        <v>3.4359800000000003E-2</v>
      </c>
      <c r="U40">
        <v>5173.5200000000004</v>
      </c>
      <c r="Z40">
        <f t="shared" si="3"/>
        <v>2.0000000000000013</v>
      </c>
      <c r="AA40">
        <v>33</v>
      </c>
      <c r="AB40">
        <v>-2.6190600000000002</v>
      </c>
      <c r="AC40">
        <v>1291.77</v>
      </c>
      <c r="AH40">
        <f t="shared" si="4"/>
        <v>2.0000000000000013</v>
      </c>
      <c r="AI40">
        <v>33</v>
      </c>
      <c r="AJ40">
        <v>3.69693</v>
      </c>
      <c r="AK40">
        <v>15603.3</v>
      </c>
      <c r="AP40">
        <f t="shared" si="5"/>
        <v>2.0000000000000013</v>
      </c>
      <c r="AQ40">
        <v>33</v>
      </c>
      <c r="AR40">
        <v>0.12217699999999999</v>
      </c>
      <c r="AS40">
        <v>1182.5999999999999</v>
      </c>
      <c r="AX40">
        <f t="shared" si="6"/>
        <v>2.0000000000000013</v>
      </c>
      <c r="AY40">
        <v>33</v>
      </c>
      <c r="AZ40">
        <v>5.9395499999999997</v>
      </c>
      <c r="BA40">
        <v>2444.98</v>
      </c>
      <c r="BF40">
        <f t="shared" si="7"/>
        <v>2.0000000000000013</v>
      </c>
      <c r="BG40">
        <v>33</v>
      </c>
      <c r="BH40">
        <v>-1.96373</v>
      </c>
      <c r="BI40">
        <v>-1902.1</v>
      </c>
      <c r="BN40">
        <f t="shared" si="8"/>
        <v>2.0000000000000013</v>
      </c>
      <c r="BO40">
        <v>33</v>
      </c>
      <c r="BP40">
        <v>-1.4959100000000001</v>
      </c>
      <c r="BQ40">
        <v>686.14200000000005</v>
      </c>
      <c r="BV40">
        <f t="shared" si="9"/>
        <v>2.0000000000000013</v>
      </c>
      <c r="BW40">
        <v>33</v>
      </c>
      <c r="BX40">
        <v>0.70922399999999997</v>
      </c>
      <c r="BY40">
        <v>2907.16</v>
      </c>
    </row>
    <row r="41" spans="2:77" x14ac:dyDescent="0.2">
      <c r="B41">
        <f t="shared" si="0"/>
        <v>2.0500000000000012</v>
      </c>
      <c r="C41">
        <v>34</v>
      </c>
      <c r="D41">
        <v>-3.3621699999999999</v>
      </c>
      <c r="E41" s="3">
        <v>291.899</v>
      </c>
      <c r="J41">
        <f t="shared" si="1"/>
        <v>2.0500000000000012</v>
      </c>
      <c r="K41">
        <v>34</v>
      </c>
      <c r="L41">
        <v>1.9094500000000001</v>
      </c>
      <c r="M41">
        <v>11374.1</v>
      </c>
      <c r="R41">
        <f t="shared" si="2"/>
        <v>2.0500000000000012</v>
      </c>
      <c r="S41">
        <v>34</v>
      </c>
      <c r="T41">
        <v>-0.27079399999999998</v>
      </c>
      <c r="U41">
        <v>4227.25</v>
      </c>
      <c r="Z41">
        <f t="shared" si="3"/>
        <v>2.0500000000000012</v>
      </c>
      <c r="AA41">
        <v>34</v>
      </c>
      <c r="AB41">
        <v>-2.7822100000000001</v>
      </c>
      <c r="AC41">
        <v>1219.3800000000001</v>
      </c>
      <c r="AH41">
        <f t="shared" si="4"/>
        <v>2.0500000000000012</v>
      </c>
      <c r="AI41">
        <v>34</v>
      </c>
      <c r="AJ41">
        <v>2.7614999999999998</v>
      </c>
      <c r="AK41">
        <v>13216</v>
      </c>
      <c r="AP41">
        <f t="shared" si="5"/>
        <v>2.0500000000000012</v>
      </c>
      <c r="AQ41">
        <v>34</v>
      </c>
      <c r="AR41">
        <v>-2.5034600000000001E-2</v>
      </c>
      <c r="AS41">
        <v>1084.0999999999999</v>
      </c>
      <c r="AX41">
        <f t="shared" si="6"/>
        <v>2.0500000000000012</v>
      </c>
      <c r="AY41">
        <v>34</v>
      </c>
      <c r="AZ41">
        <v>5.7963100000000001</v>
      </c>
      <c r="BA41">
        <v>1980.03</v>
      </c>
      <c r="BF41">
        <f t="shared" si="7"/>
        <v>2.0500000000000012</v>
      </c>
      <c r="BG41">
        <v>34</v>
      </c>
      <c r="BH41">
        <v>-1.7941499999999999</v>
      </c>
      <c r="BI41">
        <v>-734.62099999999998</v>
      </c>
      <c r="BN41">
        <f t="shared" si="8"/>
        <v>2.0500000000000012</v>
      </c>
      <c r="BO41">
        <v>34</v>
      </c>
      <c r="BP41">
        <v>-1.5902499999999999</v>
      </c>
      <c r="BQ41">
        <v>761.49900000000002</v>
      </c>
      <c r="BV41">
        <f t="shared" si="9"/>
        <v>2.0500000000000012</v>
      </c>
      <c r="BW41">
        <v>34</v>
      </c>
      <c r="BX41">
        <v>0.354877</v>
      </c>
      <c r="BY41">
        <v>2551.75</v>
      </c>
    </row>
    <row r="42" spans="2:77" x14ac:dyDescent="0.2">
      <c r="B42">
        <f t="shared" si="0"/>
        <v>2.100000000000001</v>
      </c>
      <c r="C42">
        <v>35</v>
      </c>
      <c r="D42">
        <v>-3.3696700000000002</v>
      </c>
      <c r="E42" s="3">
        <v>-47.364400000000003</v>
      </c>
      <c r="J42">
        <f t="shared" si="1"/>
        <v>2.100000000000001</v>
      </c>
      <c r="K42">
        <v>35</v>
      </c>
      <c r="L42">
        <v>1.2394700000000001</v>
      </c>
      <c r="M42">
        <v>9768.39</v>
      </c>
      <c r="R42">
        <f t="shared" si="2"/>
        <v>2.100000000000001</v>
      </c>
      <c r="S42">
        <v>35</v>
      </c>
      <c r="T42">
        <v>-0.51228399999999996</v>
      </c>
      <c r="U42">
        <v>3402.06</v>
      </c>
      <c r="Z42">
        <f t="shared" si="3"/>
        <v>2.100000000000001</v>
      </c>
      <c r="AA42">
        <v>35</v>
      </c>
      <c r="AB42">
        <v>-2.93323</v>
      </c>
      <c r="AC42">
        <v>1163.58</v>
      </c>
      <c r="AH42">
        <f t="shared" si="4"/>
        <v>2.100000000000001</v>
      </c>
      <c r="AI42">
        <v>35</v>
      </c>
      <c r="AJ42">
        <v>1.98868</v>
      </c>
      <c r="AK42">
        <v>11200</v>
      </c>
      <c r="AP42">
        <f t="shared" si="5"/>
        <v>2.100000000000001</v>
      </c>
      <c r="AQ42">
        <v>35</v>
      </c>
      <c r="AR42">
        <v>-0.15745000000000001</v>
      </c>
      <c r="AS42">
        <v>1005.99</v>
      </c>
      <c r="AX42">
        <f t="shared" si="6"/>
        <v>2.100000000000001</v>
      </c>
      <c r="AY42">
        <v>35</v>
      </c>
      <c r="AZ42">
        <v>5.6822499999999998</v>
      </c>
      <c r="BA42">
        <v>1630.78</v>
      </c>
      <c r="BF42">
        <f t="shared" si="7"/>
        <v>2.100000000000001</v>
      </c>
      <c r="BG42">
        <v>35</v>
      </c>
      <c r="BH42">
        <v>-1.7618400000000001</v>
      </c>
      <c r="BI42">
        <v>177.238</v>
      </c>
      <c r="BN42">
        <f t="shared" si="8"/>
        <v>2.100000000000001</v>
      </c>
      <c r="BO42">
        <v>35</v>
      </c>
      <c r="BP42">
        <v>-1.69049</v>
      </c>
      <c r="BQ42">
        <v>815.11099999999999</v>
      </c>
      <c r="BV42">
        <f t="shared" si="9"/>
        <v>2.100000000000001</v>
      </c>
      <c r="BW42">
        <v>35</v>
      </c>
      <c r="BX42">
        <v>5.0162499999999999E-2</v>
      </c>
      <c r="BY42">
        <v>2259.36</v>
      </c>
    </row>
    <row r="43" spans="2:77" x14ac:dyDescent="0.2">
      <c r="B43">
        <f t="shared" si="0"/>
        <v>2.1500000000000008</v>
      </c>
      <c r="C43">
        <v>36</v>
      </c>
      <c r="D43">
        <v>-3.3576100000000002</v>
      </c>
      <c r="E43" s="3">
        <v>-335.81</v>
      </c>
      <c r="J43">
        <f t="shared" si="1"/>
        <v>2.1500000000000008</v>
      </c>
      <c r="K43">
        <v>36</v>
      </c>
      <c r="L43">
        <v>0.68018500000000004</v>
      </c>
      <c r="M43">
        <v>8321.0300000000007</v>
      </c>
      <c r="R43">
        <f t="shared" si="2"/>
        <v>2.1500000000000008</v>
      </c>
      <c r="S43">
        <v>36</v>
      </c>
      <c r="T43">
        <v>-0.70024200000000003</v>
      </c>
      <c r="U43">
        <v>2684.15</v>
      </c>
      <c r="Z43">
        <f t="shared" si="3"/>
        <v>2.1500000000000008</v>
      </c>
      <c r="AA43">
        <v>36</v>
      </c>
      <c r="AB43">
        <v>-3.0745499999999999</v>
      </c>
      <c r="AC43">
        <v>1120.95</v>
      </c>
      <c r="AH43">
        <f t="shared" si="4"/>
        <v>2.1500000000000008</v>
      </c>
      <c r="AI43">
        <v>36</v>
      </c>
      <c r="AJ43">
        <v>1.3488599999999999</v>
      </c>
      <c r="AK43">
        <v>9515.4</v>
      </c>
      <c r="AP43">
        <f t="shared" si="5"/>
        <v>2.1500000000000008</v>
      </c>
      <c r="AQ43">
        <v>36</v>
      </c>
      <c r="AR43">
        <v>-0.27802399999999999</v>
      </c>
      <c r="AS43">
        <v>943.71900000000005</v>
      </c>
      <c r="AX43">
        <f t="shared" si="6"/>
        <v>2.1500000000000008</v>
      </c>
      <c r="AY43">
        <v>36</v>
      </c>
      <c r="AZ43">
        <v>5.5898599999999998</v>
      </c>
      <c r="BA43">
        <v>1364.71</v>
      </c>
      <c r="BF43">
        <f t="shared" si="7"/>
        <v>2.1500000000000008</v>
      </c>
      <c r="BG43">
        <v>36</v>
      </c>
      <c r="BH43">
        <v>-1.8230200000000001</v>
      </c>
      <c r="BI43">
        <v>757.96400000000006</v>
      </c>
      <c r="BN43">
        <f t="shared" si="8"/>
        <v>2.1500000000000008</v>
      </c>
      <c r="BO43">
        <v>36</v>
      </c>
      <c r="BP43">
        <v>-1.7936000000000001</v>
      </c>
      <c r="BQ43">
        <v>847.29399999999998</v>
      </c>
      <c r="BV43">
        <f t="shared" si="9"/>
        <v>2.1500000000000008</v>
      </c>
      <c r="BW43">
        <v>36</v>
      </c>
      <c r="BX43">
        <v>-0.213925</v>
      </c>
      <c r="BY43">
        <v>2011.88</v>
      </c>
    </row>
    <row r="44" spans="2:77" x14ac:dyDescent="0.2">
      <c r="B44">
        <f t="shared" si="0"/>
        <v>2.2000000000000006</v>
      </c>
      <c r="C44">
        <v>37</v>
      </c>
      <c r="D44">
        <v>-3.3297099999999999</v>
      </c>
      <c r="E44" s="3">
        <v>-581.84900000000005</v>
      </c>
      <c r="J44">
        <f t="shared" si="1"/>
        <v>2.2000000000000006</v>
      </c>
      <c r="K44">
        <v>37</v>
      </c>
      <c r="L44">
        <v>0.21678800000000001</v>
      </c>
      <c r="M44">
        <v>7031.38</v>
      </c>
      <c r="R44">
        <f t="shared" si="2"/>
        <v>2.2000000000000006</v>
      </c>
      <c r="S44">
        <v>37</v>
      </c>
      <c r="T44">
        <v>-0.84329200000000004</v>
      </c>
      <c r="U44">
        <v>2061.06</v>
      </c>
      <c r="Z44">
        <f t="shared" si="3"/>
        <v>2.2000000000000006</v>
      </c>
      <c r="AA44">
        <v>37</v>
      </c>
      <c r="AB44">
        <v>-3.2080099999999998</v>
      </c>
      <c r="AC44">
        <v>1088.0899999999999</v>
      </c>
      <c r="AH44">
        <f t="shared" si="4"/>
        <v>2.2000000000000006</v>
      </c>
      <c r="AI44">
        <v>37</v>
      </c>
      <c r="AJ44">
        <v>0.81700899999999999</v>
      </c>
      <c r="AK44">
        <v>8120.07</v>
      </c>
      <c r="AP44">
        <f t="shared" si="5"/>
        <v>2.2000000000000006</v>
      </c>
      <c r="AQ44">
        <v>37</v>
      </c>
      <c r="AR44">
        <v>-0.38898100000000002</v>
      </c>
      <c r="AS44">
        <v>893.29499999999996</v>
      </c>
      <c r="AX44">
        <f t="shared" si="6"/>
        <v>2.2000000000000006</v>
      </c>
      <c r="AY44">
        <v>37</v>
      </c>
      <c r="AZ44">
        <v>5.5138499999999997</v>
      </c>
      <c r="BA44">
        <v>1157.33</v>
      </c>
      <c r="BF44">
        <f t="shared" si="7"/>
        <v>2.2000000000000006</v>
      </c>
      <c r="BG44">
        <v>37</v>
      </c>
      <c r="BH44">
        <v>-1.93435</v>
      </c>
      <c r="BI44">
        <v>1042.8900000000001</v>
      </c>
      <c r="BN44">
        <f t="shared" si="8"/>
        <v>2.2000000000000006</v>
      </c>
      <c r="BO44">
        <v>37</v>
      </c>
      <c r="BP44">
        <v>-1.8971100000000001</v>
      </c>
      <c r="BQ44">
        <v>862.88099999999997</v>
      </c>
      <c r="BV44">
        <f t="shared" si="9"/>
        <v>2.2000000000000006</v>
      </c>
      <c r="BW44">
        <v>37</v>
      </c>
      <c r="BX44">
        <v>-0.443969</v>
      </c>
      <c r="BY44">
        <v>1797.66</v>
      </c>
    </row>
    <row r="45" spans="2:77" x14ac:dyDescent="0.2">
      <c r="B45">
        <f t="shared" si="0"/>
        <v>2.2500000000000004</v>
      </c>
      <c r="C45">
        <v>38</v>
      </c>
      <c r="D45">
        <v>-3.2889900000000001</v>
      </c>
      <c r="E45">
        <v>-792.46199999999999</v>
      </c>
      <c r="J45">
        <f t="shared" si="1"/>
        <v>2.2500000000000004</v>
      </c>
      <c r="K45">
        <v>38</v>
      </c>
      <c r="L45">
        <v>-0.16427800000000001</v>
      </c>
      <c r="M45">
        <v>5893.07</v>
      </c>
      <c r="R45">
        <f t="shared" si="2"/>
        <v>2.2500000000000004</v>
      </c>
      <c r="S45">
        <v>38</v>
      </c>
      <c r="T45">
        <v>-0.94876400000000005</v>
      </c>
      <c r="U45">
        <v>1521.63</v>
      </c>
      <c r="Z45">
        <f t="shared" si="3"/>
        <v>2.2500000000000004</v>
      </c>
      <c r="AA45">
        <v>38</v>
      </c>
      <c r="AB45">
        <v>-3.33494</v>
      </c>
      <c r="AC45">
        <v>1061.8599999999999</v>
      </c>
      <c r="AH45">
        <f t="shared" si="4"/>
        <v>2.2500000000000004</v>
      </c>
      <c r="AI45">
        <v>38</v>
      </c>
      <c r="AJ45">
        <v>0.37234299999999998</v>
      </c>
      <c r="AK45">
        <v>6971.18</v>
      </c>
      <c r="AP45">
        <f t="shared" si="5"/>
        <v>2.2500000000000004</v>
      </c>
      <c r="AQ45">
        <v>38</v>
      </c>
      <c r="AR45">
        <v>-0.49197200000000002</v>
      </c>
      <c r="AS45">
        <v>851.61</v>
      </c>
      <c r="AX45">
        <f t="shared" si="6"/>
        <v>2.2500000000000004</v>
      </c>
      <c r="AY45">
        <v>38</v>
      </c>
      <c r="AZ45">
        <v>5.4505600000000003</v>
      </c>
      <c r="BA45">
        <v>991.12099999999998</v>
      </c>
      <c r="BF45">
        <f t="shared" si="7"/>
        <v>2.2500000000000004</v>
      </c>
      <c r="BG45">
        <v>38</v>
      </c>
      <c r="BH45">
        <v>-2.0640900000000002</v>
      </c>
      <c r="BI45">
        <v>1129.8699999999999</v>
      </c>
      <c r="BN45">
        <f t="shared" si="8"/>
        <v>2.2500000000000004</v>
      </c>
      <c r="BO45">
        <v>38</v>
      </c>
      <c r="BP45">
        <v>-1.99936</v>
      </c>
      <c r="BQ45">
        <v>866.78499999999997</v>
      </c>
      <c r="BV45">
        <f t="shared" si="9"/>
        <v>2.2500000000000004</v>
      </c>
      <c r="BW45">
        <v>38</v>
      </c>
      <c r="BX45">
        <v>-0.64502599999999999</v>
      </c>
      <c r="BY45">
        <v>1609.93</v>
      </c>
    </row>
    <row r="46" spans="2:77" x14ac:dyDescent="0.2">
      <c r="B46">
        <f t="shared" si="0"/>
        <v>2.3000000000000003</v>
      </c>
      <c r="C46">
        <v>39</v>
      </c>
      <c r="D46">
        <v>-3.2379099999999998</v>
      </c>
      <c r="E46">
        <v>-973.31700000000001</v>
      </c>
      <c r="J46">
        <f t="shared" si="1"/>
        <v>2.3000000000000003</v>
      </c>
      <c r="K46">
        <v>39</v>
      </c>
      <c r="L46">
        <v>-0.47517300000000001</v>
      </c>
      <c r="M46">
        <v>4895.8</v>
      </c>
      <c r="R46">
        <f t="shared" si="2"/>
        <v>2.3000000000000003</v>
      </c>
      <c r="S46">
        <v>39</v>
      </c>
      <c r="T46">
        <v>-1.02288</v>
      </c>
      <c r="U46">
        <v>1055.79</v>
      </c>
      <c r="Z46">
        <f t="shared" si="3"/>
        <v>2.3000000000000003</v>
      </c>
      <c r="AA46">
        <v>39</v>
      </c>
      <c r="AB46">
        <v>-3.4562400000000002</v>
      </c>
      <c r="AC46">
        <v>1039.53</v>
      </c>
      <c r="AH46">
        <f t="shared" si="4"/>
        <v>2.3000000000000003</v>
      </c>
      <c r="AI46">
        <v>39</v>
      </c>
      <c r="AJ46">
        <v>-2.0972600000000001E-3</v>
      </c>
      <c r="AK46">
        <v>6027.77</v>
      </c>
      <c r="AP46">
        <f t="shared" si="5"/>
        <v>2.3000000000000003</v>
      </c>
      <c r="AQ46">
        <v>39</v>
      </c>
      <c r="AR46">
        <v>-0.58822600000000003</v>
      </c>
      <c r="AS46">
        <v>816.428</v>
      </c>
      <c r="AX46">
        <f t="shared" si="6"/>
        <v>2.3000000000000003</v>
      </c>
      <c r="AY46">
        <v>39</v>
      </c>
      <c r="AZ46">
        <v>5.3974000000000002</v>
      </c>
      <c r="BA46">
        <v>853.97</v>
      </c>
      <c r="BF46">
        <f t="shared" si="7"/>
        <v>2.3000000000000003</v>
      </c>
      <c r="BG46">
        <v>39</v>
      </c>
      <c r="BH46">
        <v>-2.1942400000000002</v>
      </c>
      <c r="BI46">
        <v>1113.55</v>
      </c>
      <c r="BN46">
        <f t="shared" si="8"/>
        <v>2.3000000000000003</v>
      </c>
      <c r="BO46">
        <v>39</v>
      </c>
      <c r="BP46">
        <v>-2.0992700000000002</v>
      </c>
      <c r="BQ46">
        <v>862.50300000000004</v>
      </c>
      <c r="BV46">
        <f t="shared" si="9"/>
        <v>2.3000000000000003</v>
      </c>
      <c r="BW46">
        <v>39</v>
      </c>
      <c r="BX46">
        <v>-0.82122799999999996</v>
      </c>
      <c r="BY46">
        <v>1445.08</v>
      </c>
    </row>
    <row r="47" spans="2:77" x14ac:dyDescent="0.2">
      <c r="B47">
        <f t="shared" si="0"/>
        <v>2.35</v>
      </c>
      <c r="C47">
        <v>40</v>
      </c>
      <c r="D47">
        <v>-3.1784599999999998</v>
      </c>
      <c r="E47">
        <v>-1128.95</v>
      </c>
      <c r="J47">
        <f t="shared" si="1"/>
        <v>2.35</v>
      </c>
      <c r="K47">
        <v>40</v>
      </c>
      <c r="L47">
        <v>-0.72659499999999999</v>
      </c>
      <c r="M47">
        <v>4026.85</v>
      </c>
      <c r="R47">
        <f t="shared" si="2"/>
        <v>2.35</v>
      </c>
      <c r="S47">
        <v>40</v>
      </c>
      <c r="T47">
        <v>-1.0709299999999999</v>
      </c>
      <c r="U47">
        <v>654.50199999999995</v>
      </c>
      <c r="Z47">
        <f t="shared" si="3"/>
        <v>2.35</v>
      </c>
      <c r="AA47">
        <v>40</v>
      </c>
      <c r="AB47">
        <v>-3.57246</v>
      </c>
      <c r="AC47">
        <v>1018.89</v>
      </c>
      <c r="AH47">
        <f t="shared" si="4"/>
        <v>2.35</v>
      </c>
      <c r="AI47">
        <v>40</v>
      </c>
      <c r="AJ47">
        <v>-0.319942</v>
      </c>
      <c r="AK47">
        <v>5253.05</v>
      </c>
      <c r="AP47">
        <f t="shared" si="5"/>
        <v>2.35</v>
      </c>
      <c r="AQ47">
        <v>40</v>
      </c>
      <c r="AR47">
        <v>-0.67868200000000001</v>
      </c>
      <c r="AS47">
        <v>786.21</v>
      </c>
      <c r="AX47">
        <f t="shared" si="6"/>
        <v>2.35</v>
      </c>
      <c r="AY47">
        <v>40</v>
      </c>
      <c r="AZ47">
        <v>5.3525299999999998</v>
      </c>
      <c r="BA47">
        <v>737.69299999999998</v>
      </c>
      <c r="BF47">
        <f t="shared" si="7"/>
        <v>2.35</v>
      </c>
      <c r="BG47">
        <v>40</v>
      </c>
      <c r="BH47">
        <v>-2.31704</v>
      </c>
      <c r="BI47">
        <v>1058.4000000000001</v>
      </c>
      <c r="BN47">
        <f t="shared" si="8"/>
        <v>2.35</v>
      </c>
      <c r="BO47">
        <v>40</v>
      </c>
      <c r="BP47">
        <v>-2.1961300000000001</v>
      </c>
      <c r="BQ47">
        <v>852.06700000000001</v>
      </c>
      <c r="BV47">
        <f t="shared" si="9"/>
        <v>2.35</v>
      </c>
      <c r="BW47">
        <v>40</v>
      </c>
      <c r="BX47">
        <v>-0.97613000000000005</v>
      </c>
      <c r="BY47">
        <v>1301.1500000000001</v>
      </c>
    </row>
    <row r="48" spans="2:77" x14ac:dyDescent="0.2">
      <c r="B48">
        <f t="shared" si="0"/>
        <v>2.4</v>
      </c>
      <c r="C48">
        <v>41</v>
      </c>
      <c r="D48">
        <v>-3.1123099999999999</v>
      </c>
      <c r="E48">
        <v>-1262.93</v>
      </c>
      <c r="J48">
        <f t="shared" si="1"/>
        <v>2.4</v>
      </c>
      <c r="K48">
        <v>41</v>
      </c>
      <c r="L48">
        <v>-0.92781499999999995</v>
      </c>
      <c r="M48">
        <v>3272.39</v>
      </c>
      <c r="R48">
        <f t="shared" si="2"/>
        <v>2.4</v>
      </c>
      <c r="S48">
        <v>41</v>
      </c>
      <c r="T48">
        <v>-1.09735</v>
      </c>
      <c r="U48">
        <v>309.64600000000002</v>
      </c>
      <c r="Z48">
        <f t="shared" si="3"/>
        <v>2.4</v>
      </c>
      <c r="AA48">
        <v>41</v>
      </c>
      <c r="AB48">
        <v>-3.6839200000000001</v>
      </c>
      <c r="AC48">
        <v>998.23099999999999</v>
      </c>
      <c r="AH48">
        <f t="shared" si="4"/>
        <v>2.4</v>
      </c>
      <c r="AI48">
        <v>41</v>
      </c>
      <c r="AJ48">
        <v>-0.59206199999999998</v>
      </c>
      <c r="AK48">
        <v>4615.91</v>
      </c>
      <c r="AP48">
        <f t="shared" si="5"/>
        <v>2.4</v>
      </c>
      <c r="AQ48">
        <v>41</v>
      </c>
      <c r="AR48">
        <v>-0.76407700000000001</v>
      </c>
      <c r="AS48">
        <v>759.88800000000003</v>
      </c>
      <c r="AX48">
        <f t="shared" si="6"/>
        <v>2.4</v>
      </c>
      <c r="AY48">
        <v>41</v>
      </c>
      <c r="AZ48">
        <v>5.3146100000000001</v>
      </c>
      <c r="BA48">
        <v>636.85400000000004</v>
      </c>
      <c r="BF48">
        <f t="shared" si="7"/>
        <v>2.4</v>
      </c>
      <c r="BG48">
        <v>41</v>
      </c>
      <c r="BH48">
        <v>-2.43066</v>
      </c>
      <c r="BI48">
        <v>998.52099999999996</v>
      </c>
      <c r="BN48">
        <f t="shared" si="8"/>
        <v>2.4</v>
      </c>
      <c r="BO48">
        <v>41</v>
      </c>
      <c r="BP48">
        <v>-2.2894700000000001</v>
      </c>
      <c r="BQ48">
        <v>836.52300000000002</v>
      </c>
      <c r="BV48">
        <f t="shared" si="9"/>
        <v>2.4</v>
      </c>
      <c r="BW48">
        <v>41</v>
      </c>
      <c r="BX48">
        <v>-1.1128800000000001</v>
      </c>
      <c r="BY48">
        <v>1176.74</v>
      </c>
    </row>
    <row r="49" spans="2:77" x14ac:dyDescent="0.2">
      <c r="B49">
        <f t="shared" si="0"/>
        <v>2.4499999999999997</v>
      </c>
      <c r="C49">
        <v>42</v>
      </c>
      <c r="D49">
        <v>-3.0408200000000001</v>
      </c>
      <c r="E49">
        <v>-1378.07</v>
      </c>
      <c r="J49">
        <f t="shared" si="1"/>
        <v>2.4499999999999997</v>
      </c>
      <c r="K49">
        <v>42</v>
      </c>
      <c r="L49">
        <v>-1.0867599999999999</v>
      </c>
      <c r="M49">
        <v>2618.54</v>
      </c>
      <c r="R49">
        <f t="shared" si="2"/>
        <v>2.4499999999999997</v>
      </c>
      <c r="S49">
        <v>42</v>
      </c>
      <c r="T49">
        <v>-1.10592</v>
      </c>
      <c r="U49">
        <v>13.953900000000001</v>
      </c>
      <c r="Z49">
        <f t="shared" si="3"/>
        <v>2.4499999999999997</v>
      </c>
      <c r="AA49">
        <v>42</v>
      </c>
      <c r="AB49">
        <v>-3.79074</v>
      </c>
      <c r="AC49">
        <v>976.35900000000004</v>
      </c>
      <c r="AH49">
        <f t="shared" si="4"/>
        <v>2.4499999999999997</v>
      </c>
      <c r="AI49">
        <v>42</v>
      </c>
      <c r="AJ49">
        <v>-0.82711999999999997</v>
      </c>
      <c r="AK49">
        <v>4091.17</v>
      </c>
      <c r="AP49">
        <f t="shared" si="5"/>
        <v>2.4499999999999997</v>
      </c>
      <c r="AQ49">
        <v>42</v>
      </c>
      <c r="AR49">
        <v>-0.84499999999999997</v>
      </c>
      <c r="AS49">
        <v>736.68</v>
      </c>
      <c r="AX49">
        <f t="shared" si="6"/>
        <v>2.4499999999999997</v>
      </c>
      <c r="AY49">
        <v>42</v>
      </c>
      <c r="AZ49">
        <v>5.28261</v>
      </c>
      <c r="BA49">
        <v>547.96199999999999</v>
      </c>
      <c r="BF49">
        <f t="shared" si="7"/>
        <v>2.4499999999999997</v>
      </c>
      <c r="BG49">
        <v>42</v>
      </c>
      <c r="BH49">
        <v>-2.5358000000000001</v>
      </c>
      <c r="BI49">
        <v>947.12400000000002</v>
      </c>
      <c r="BN49">
        <f t="shared" si="8"/>
        <v>2.4499999999999997</v>
      </c>
      <c r="BO49">
        <v>42</v>
      </c>
      <c r="BP49">
        <v>-2.3789199999999999</v>
      </c>
      <c r="BQ49">
        <v>816.45299999999997</v>
      </c>
      <c r="BV49">
        <f t="shared" si="9"/>
        <v>2.4499999999999997</v>
      </c>
      <c r="BW49">
        <v>42</v>
      </c>
      <c r="BX49">
        <v>-1.2342900000000001</v>
      </c>
      <c r="BY49">
        <v>1070.4000000000001</v>
      </c>
    </row>
    <row r="50" spans="2:77" x14ac:dyDescent="0.2">
      <c r="B50">
        <f t="shared" si="0"/>
        <v>2.4999999999999996</v>
      </c>
      <c r="C50">
        <v>43</v>
      </c>
      <c r="D50">
        <v>-2.96515</v>
      </c>
      <c r="E50">
        <v>-1476.57</v>
      </c>
      <c r="J50">
        <f t="shared" si="1"/>
        <v>2.4999999999999996</v>
      </c>
      <c r="K50">
        <v>43</v>
      </c>
      <c r="L50">
        <v>-1.2101599999999999</v>
      </c>
      <c r="M50">
        <v>2052.11</v>
      </c>
      <c r="R50">
        <f t="shared" si="2"/>
        <v>2.4999999999999996</v>
      </c>
      <c r="S50">
        <v>43</v>
      </c>
      <c r="T50">
        <v>-1.09981</v>
      </c>
      <c r="U50">
        <v>-239.01300000000001</v>
      </c>
      <c r="Z50">
        <f t="shared" si="3"/>
        <v>2.4999999999999996</v>
      </c>
      <c r="AA50">
        <v>43</v>
      </c>
      <c r="AB50">
        <v>-3.8929399999999998</v>
      </c>
      <c r="AC50">
        <v>952.52</v>
      </c>
      <c r="AH50">
        <f t="shared" si="4"/>
        <v>2.4999999999999996</v>
      </c>
      <c r="AI50">
        <v>43</v>
      </c>
      <c r="AJ50">
        <v>-1.0320499999999999</v>
      </c>
      <c r="AK50">
        <v>3658.94</v>
      </c>
      <c r="AP50">
        <f t="shared" si="5"/>
        <v>2.4999999999999996</v>
      </c>
      <c r="AQ50">
        <v>43</v>
      </c>
      <c r="AR50">
        <v>-0.92193199999999997</v>
      </c>
      <c r="AS50">
        <v>715.95600000000002</v>
      </c>
      <c r="AX50">
        <f t="shared" si="6"/>
        <v>2.4999999999999996</v>
      </c>
      <c r="AY50">
        <v>43</v>
      </c>
      <c r="AZ50">
        <v>5.2557099999999997</v>
      </c>
      <c r="BA50">
        <v>468.96300000000002</v>
      </c>
      <c r="BF50">
        <f t="shared" si="7"/>
        <v>2.4999999999999996</v>
      </c>
      <c r="BG50">
        <v>43</v>
      </c>
      <c r="BH50">
        <v>-2.6339000000000001</v>
      </c>
      <c r="BI50">
        <v>906.31200000000001</v>
      </c>
      <c r="BN50">
        <f t="shared" si="8"/>
        <v>2.4999999999999996</v>
      </c>
      <c r="BO50">
        <v>43</v>
      </c>
      <c r="BP50">
        <v>-2.4641799999999998</v>
      </c>
      <c r="BQ50">
        <v>792.37599999999998</v>
      </c>
      <c r="BV50">
        <f t="shared" si="9"/>
        <v>2.4999999999999996</v>
      </c>
      <c r="BW50">
        <v>43</v>
      </c>
      <c r="BX50">
        <v>-1.3428</v>
      </c>
      <c r="BY50">
        <v>980.37199999999996</v>
      </c>
    </row>
    <row r="51" spans="2:77" x14ac:dyDescent="0.2">
      <c r="B51">
        <f t="shared" si="0"/>
        <v>2.5499999999999994</v>
      </c>
      <c r="C51">
        <v>44</v>
      </c>
      <c r="D51">
        <v>-2.8862899999999998</v>
      </c>
      <c r="E51">
        <v>-1560.14</v>
      </c>
      <c r="J51">
        <f t="shared" si="1"/>
        <v>2.5499999999999994</v>
      </c>
      <c r="K51">
        <v>44</v>
      </c>
      <c r="L51">
        <v>-1.3036700000000001</v>
      </c>
      <c r="M51">
        <v>1561.09</v>
      </c>
      <c r="R51">
        <f t="shared" si="2"/>
        <v>2.5499999999999994</v>
      </c>
      <c r="S51">
        <v>44</v>
      </c>
      <c r="T51">
        <v>-1.0816699999999999</v>
      </c>
      <c r="U51">
        <v>-454.90100000000001</v>
      </c>
      <c r="Z51">
        <f t="shared" si="3"/>
        <v>2.5499999999999994</v>
      </c>
      <c r="AA51">
        <v>44</v>
      </c>
      <c r="AB51">
        <v>-3.9904799999999998</v>
      </c>
      <c r="AC51">
        <v>926.34699999999998</v>
      </c>
      <c r="AH51">
        <f t="shared" si="4"/>
        <v>2.5499999999999994</v>
      </c>
      <c r="AI51">
        <v>44</v>
      </c>
      <c r="AJ51">
        <v>-1.2124600000000001</v>
      </c>
      <c r="AK51">
        <v>3303.46</v>
      </c>
      <c r="AP51">
        <f t="shared" si="5"/>
        <v>2.5499999999999994</v>
      </c>
      <c r="AQ51">
        <v>44</v>
      </c>
      <c r="AR51">
        <v>-0.99526300000000001</v>
      </c>
      <c r="AS51">
        <v>697.15899999999999</v>
      </c>
      <c r="AX51">
        <f t="shared" si="6"/>
        <v>2.5499999999999994</v>
      </c>
      <c r="AY51">
        <v>44</v>
      </c>
      <c r="AZ51">
        <v>5.2332200000000002</v>
      </c>
      <c r="BA51">
        <v>398.93099999999998</v>
      </c>
      <c r="BF51">
        <f t="shared" si="7"/>
        <v>2.5499999999999994</v>
      </c>
      <c r="BG51">
        <v>44</v>
      </c>
      <c r="BH51">
        <v>-2.7262400000000002</v>
      </c>
      <c r="BI51">
        <v>873.80100000000004</v>
      </c>
      <c r="BN51">
        <f t="shared" si="8"/>
        <v>2.5499999999999994</v>
      </c>
      <c r="BO51">
        <v>44</v>
      </c>
      <c r="BP51">
        <v>-2.5450300000000001</v>
      </c>
      <c r="BQ51">
        <v>764.96600000000001</v>
      </c>
      <c r="BV51">
        <f t="shared" si="9"/>
        <v>2.5499999999999994</v>
      </c>
      <c r="BW51">
        <v>44</v>
      </c>
      <c r="BX51">
        <v>-1.4405300000000001</v>
      </c>
      <c r="BY51">
        <v>904.56100000000004</v>
      </c>
    </row>
    <row r="52" spans="2:77" x14ac:dyDescent="0.2">
      <c r="B52">
        <f t="shared" si="0"/>
        <v>2.5999999999999992</v>
      </c>
      <c r="C52">
        <v>45</v>
      </c>
      <c r="D52">
        <v>-2.8050899999999999</v>
      </c>
      <c r="E52">
        <v>-1630.17</v>
      </c>
      <c r="J52">
        <f t="shared" si="1"/>
        <v>2.5999999999999992</v>
      </c>
      <c r="K52">
        <v>45</v>
      </c>
      <c r="L52">
        <v>-1.37202</v>
      </c>
      <c r="M52">
        <v>1134.9100000000001</v>
      </c>
      <c r="R52">
        <f t="shared" si="2"/>
        <v>2.5999999999999992</v>
      </c>
      <c r="S52">
        <v>45</v>
      </c>
      <c r="T52">
        <v>-1.05375</v>
      </c>
      <c r="U52">
        <v>-638.596</v>
      </c>
      <c r="Z52">
        <f t="shared" si="3"/>
        <v>2.5999999999999992</v>
      </c>
      <c r="AA52">
        <v>45</v>
      </c>
      <c r="AB52">
        <v>-4.0833000000000004</v>
      </c>
      <c r="AC52">
        <v>897.77300000000002</v>
      </c>
      <c r="AH52">
        <f t="shared" si="4"/>
        <v>2.5999999999999992</v>
      </c>
      <c r="AI52">
        <v>45</v>
      </c>
      <c r="AJ52">
        <v>-1.3728800000000001</v>
      </c>
      <c r="AK52">
        <v>3011.82</v>
      </c>
      <c r="AP52">
        <f t="shared" si="5"/>
        <v>2.5999999999999992</v>
      </c>
      <c r="AQ52">
        <v>45</v>
      </c>
      <c r="AR52">
        <v>-1.0652999999999999</v>
      </c>
      <c r="AS52">
        <v>679.77499999999998</v>
      </c>
      <c r="AX52">
        <f t="shared" si="6"/>
        <v>2.5999999999999992</v>
      </c>
      <c r="AY52">
        <v>45</v>
      </c>
      <c r="AZ52">
        <v>5.2145099999999998</v>
      </c>
      <c r="BA52">
        <v>337.83</v>
      </c>
      <c r="BF52">
        <f t="shared" si="7"/>
        <v>2.5999999999999992</v>
      </c>
      <c r="BG52">
        <v>45</v>
      </c>
      <c r="BH52">
        <v>-2.8137300000000001</v>
      </c>
      <c r="BI52">
        <v>846.57399999999996</v>
      </c>
      <c r="BN52">
        <f t="shared" si="8"/>
        <v>2.5999999999999992</v>
      </c>
      <c r="BO52">
        <v>45</v>
      </c>
      <c r="BP52">
        <v>-2.6213700000000002</v>
      </c>
      <c r="BQ52">
        <v>735.11599999999999</v>
      </c>
      <c r="BV52">
        <f t="shared" si="9"/>
        <v>2.5999999999999992</v>
      </c>
      <c r="BW52">
        <v>45</v>
      </c>
      <c r="BX52">
        <v>-1.5292399999999999</v>
      </c>
      <c r="BY52">
        <v>840.71199999999999</v>
      </c>
    </row>
    <row r="53" spans="2:77" x14ac:dyDescent="0.2">
      <c r="B53">
        <f t="shared" si="0"/>
        <v>2.649999999999999</v>
      </c>
      <c r="C53">
        <v>46</v>
      </c>
      <c r="D53">
        <v>-2.7222900000000001</v>
      </c>
      <c r="E53">
        <v>-1687.74</v>
      </c>
      <c r="J53">
        <f t="shared" si="1"/>
        <v>2.649999999999999</v>
      </c>
      <c r="K53">
        <v>46</v>
      </c>
      <c r="L53">
        <v>-1.4192100000000001</v>
      </c>
      <c r="M53">
        <v>764.50300000000004</v>
      </c>
      <c r="R53">
        <f t="shared" si="2"/>
        <v>2.649999999999999</v>
      </c>
      <c r="S53">
        <v>46</v>
      </c>
      <c r="T53">
        <v>-1.0179100000000001</v>
      </c>
      <c r="U53">
        <v>-794.28099999999995</v>
      </c>
      <c r="Z53">
        <f t="shared" si="3"/>
        <v>2.649999999999999</v>
      </c>
      <c r="AA53">
        <v>46</v>
      </c>
      <c r="AB53">
        <v>-4.17136</v>
      </c>
      <c r="AC53">
        <v>866.96100000000001</v>
      </c>
      <c r="AH53">
        <f t="shared" si="4"/>
        <v>2.649999999999999</v>
      </c>
      <c r="AI53">
        <v>46</v>
      </c>
      <c r="AJ53">
        <v>-1.5169900000000001</v>
      </c>
      <c r="AK53">
        <v>2773.02</v>
      </c>
      <c r="AP53">
        <f t="shared" si="5"/>
        <v>2.649999999999999</v>
      </c>
      <c r="AQ53">
        <v>46</v>
      </c>
      <c r="AR53">
        <v>-1.1323000000000001</v>
      </c>
      <c r="AS53">
        <v>663.33</v>
      </c>
      <c r="AX53">
        <f t="shared" si="6"/>
        <v>2.649999999999999</v>
      </c>
      <c r="AY53">
        <v>46</v>
      </c>
      <c r="AZ53">
        <v>5.1989900000000002</v>
      </c>
      <c r="BA53">
        <v>286.27199999999999</v>
      </c>
      <c r="BF53">
        <f t="shared" si="7"/>
        <v>2.649999999999999</v>
      </c>
      <c r="BG53">
        <v>46</v>
      </c>
      <c r="BH53">
        <v>-2.89697</v>
      </c>
      <c r="BI53">
        <v>822.375</v>
      </c>
      <c r="BN53">
        <f t="shared" si="8"/>
        <v>2.649999999999999</v>
      </c>
      <c r="BO53">
        <v>46</v>
      </c>
      <c r="BP53">
        <v>-2.6931699999999998</v>
      </c>
      <c r="BQ53">
        <v>703.89800000000002</v>
      </c>
      <c r="BV53">
        <f t="shared" si="9"/>
        <v>2.649999999999999</v>
      </c>
      <c r="BW53">
        <v>46</v>
      </c>
      <c r="BX53">
        <v>-1.6103499999999999</v>
      </c>
      <c r="BY53">
        <v>786.59100000000001</v>
      </c>
    </row>
    <row r="54" spans="2:77" x14ac:dyDescent="0.2">
      <c r="B54">
        <f t="shared" si="0"/>
        <v>2.6999999999999988</v>
      </c>
      <c r="C54">
        <v>47</v>
      </c>
      <c r="D54">
        <v>-2.6385299999999998</v>
      </c>
      <c r="E54">
        <v>-1733.78</v>
      </c>
      <c r="J54">
        <f t="shared" si="1"/>
        <v>2.6999999999999988</v>
      </c>
      <c r="K54">
        <v>47</v>
      </c>
      <c r="L54">
        <v>-1.44858</v>
      </c>
      <c r="M54">
        <v>442.322</v>
      </c>
      <c r="R54">
        <f t="shared" si="2"/>
        <v>2.6999999999999988</v>
      </c>
      <c r="S54">
        <v>47</v>
      </c>
      <c r="T54">
        <v>-0.97575000000000001</v>
      </c>
      <c r="U54">
        <v>-925.50400000000002</v>
      </c>
      <c r="Z54">
        <f t="shared" si="3"/>
        <v>2.6999999999999988</v>
      </c>
      <c r="AA54">
        <v>47</v>
      </c>
      <c r="AB54">
        <v>-4.2546200000000001</v>
      </c>
      <c r="AC54">
        <v>834.23099999999999</v>
      </c>
      <c r="AH54">
        <f t="shared" si="4"/>
        <v>2.6999999999999988</v>
      </c>
      <c r="AI54">
        <v>47</v>
      </c>
      <c r="AJ54">
        <v>-1.64775</v>
      </c>
      <c r="AK54">
        <v>2577.2800000000002</v>
      </c>
      <c r="AP54">
        <f t="shared" si="5"/>
        <v>2.6999999999999988</v>
      </c>
      <c r="AQ54">
        <v>47</v>
      </c>
      <c r="AR54">
        <v>-1.1964399999999999</v>
      </c>
      <c r="AS54">
        <v>647.4</v>
      </c>
      <c r="AX54">
        <f t="shared" si="6"/>
        <v>2.6999999999999988</v>
      </c>
      <c r="AY54">
        <v>47</v>
      </c>
      <c r="AZ54">
        <v>5.1860200000000001</v>
      </c>
      <c r="BA54">
        <v>245.22200000000001</v>
      </c>
      <c r="BF54">
        <f t="shared" si="7"/>
        <v>2.6999999999999988</v>
      </c>
      <c r="BG54">
        <v>47</v>
      </c>
      <c r="BH54">
        <v>-2.9763500000000001</v>
      </c>
      <c r="BI54">
        <v>800.00699999999995</v>
      </c>
      <c r="BN54">
        <f t="shared" si="8"/>
        <v>2.6999999999999988</v>
      </c>
      <c r="BO54">
        <v>47</v>
      </c>
      <c r="BP54">
        <v>-2.7605200000000001</v>
      </c>
      <c r="BQ54">
        <v>672.45100000000002</v>
      </c>
      <c r="BV54">
        <f t="shared" si="9"/>
        <v>2.6999999999999988</v>
      </c>
      <c r="BW54">
        <v>47</v>
      </c>
      <c r="BX54">
        <v>-1.6850099999999999</v>
      </c>
      <c r="BY54">
        <v>740.16399999999999</v>
      </c>
    </row>
    <row r="55" spans="2:77" x14ac:dyDescent="0.2">
      <c r="B55">
        <f t="shared" si="0"/>
        <v>2.7499999999999987</v>
      </c>
      <c r="C55">
        <v>48</v>
      </c>
      <c r="D55">
        <v>-2.5543900000000002</v>
      </c>
      <c r="E55">
        <v>-1769.08</v>
      </c>
      <c r="J55">
        <f t="shared" si="1"/>
        <v>2.7499999999999987</v>
      </c>
      <c r="K55">
        <v>48</v>
      </c>
      <c r="L55">
        <v>-1.46296</v>
      </c>
      <c r="M55">
        <v>162.155</v>
      </c>
      <c r="R55">
        <f t="shared" si="2"/>
        <v>2.7499999999999987</v>
      </c>
      <c r="S55">
        <v>48</v>
      </c>
      <c r="T55">
        <v>-0.92859899999999995</v>
      </c>
      <c r="U55">
        <v>-1035.27</v>
      </c>
      <c r="Z55">
        <f t="shared" si="3"/>
        <v>2.7499999999999987</v>
      </c>
      <c r="AA55">
        <v>48</v>
      </c>
      <c r="AB55">
        <v>-4.3331099999999996</v>
      </c>
      <c r="AC55">
        <v>800</v>
      </c>
      <c r="AH55">
        <f t="shared" si="4"/>
        <v>2.7499999999999987</v>
      </c>
      <c r="AI55">
        <v>48</v>
      </c>
      <c r="AJ55">
        <v>-1.76753</v>
      </c>
      <c r="AK55">
        <v>2415.7399999999998</v>
      </c>
      <c r="AP55">
        <f t="shared" si="5"/>
        <v>2.7499999999999987</v>
      </c>
      <c r="AQ55">
        <v>48</v>
      </c>
      <c r="AR55">
        <v>-1.25786</v>
      </c>
      <c r="AS55">
        <v>631.62699999999995</v>
      </c>
      <c r="AX55">
        <f t="shared" si="6"/>
        <v>2.7499999999999987</v>
      </c>
      <c r="AY55">
        <v>48</v>
      </c>
      <c r="AZ55">
        <v>5.1749999999999998</v>
      </c>
      <c r="BA55">
        <v>215.68</v>
      </c>
      <c r="BF55">
        <f t="shared" si="7"/>
        <v>2.7499999999999987</v>
      </c>
      <c r="BG55">
        <v>48</v>
      </c>
      <c r="BH55">
        <v>-3.0521699999999998</v>
      </c>
      <c r="BI55">
        <v>779.10299999999995</v>
      </c>
      <c r="BN55">
        <f t="shared" si="8"/>
        <v>2.7499999999999987</v>
      </c>
      <c r="BO55">
        <v>48</v>
      </c>
      <c r="BP55">
        <v>-2.8236300000000001</v>
      </c>
      <c r="BQ55">
        <v>641.86300000000006</v>
      </c>
      <c r="BV55">
        <f t="shared" si="9"/>
        <v>2.7499999999999987</v>
      </c>
      <c r="BW55">
        <v>48</v>
      </c>
      <c r="BX55">
        <v>-1.7541199999999999</v>
      </c>
      <c r="BY55">
        <v>699.72199999999998</v>
      </c>
    </row>
    <row r="56" spans="2:77" x14ac:dyDescent="0.2">
      <c r="B56">
        <f t="shared" si="0"/>
        <v>2.7999999999999985</v>
      </c>
      <c r="C56">
        <v>49</v>
      </c>
      <c r="D56">
        <v>-2.4703599999999999</v>
      </c>
      <c r="E56">
        <v>-1794.37</v>
      </c>
      <c r="J56">
        <f t="shared" si="1"/>
        <v>2.7999999999999985</v>
      </c>
      <c r="K56">
        <v>49</v>
      </c>
      <c r="L56">
        <v>-1.46475</v>
      </c>
      <c r="M56">
        <v>-81.049400000000006</v>
      </c>
      <c r="R56">
        <f t="shared" si="2"/>
        <v>2.7999999999999985</v>
      </c>
      <c r="S56">
        <v>49</v>
      </c>
      <c r="T56">
        <v>-0.87759299999999996</v>
      </c>
      <c r="U56">
        <v>-1126.1099999999999</v>
      </c>
      <c r="Z56">
        <f t="shared" si="3"/>
        <v>2.7999999999999985</v>
      </c>
      <c r="AA56">
        <v>49</v>
      </c>
      <c r="AB56">
        <v>-4.4068899999999998</v>
      </c>
      <c r="AC56">
        <v>764.73099999999999</v>
      </c>
      <c r="AH56">
        <f t="shared" si="4"/>
        <v>2.7999999999999985</v>
      </c>
      <c r="AI56">
        <v>49</v>
      </c>
      <c r="AJ56">
        <v>-1.8781399999999999</v>
      </c>
      <c r="AK56">
        <v>2280.4499999999998</v>
      </c>
      <c r="AP56">
        <f t="shared" si="5"/>
        <v>2.7999999999999985</v>
      </c>
      <c r="AQ56">
        <v>49</v>
      </c>
      <c r="AR56">
        <v>-1.31667</v>
      </c>
      <c r="AS56">
        <v>615.73</v>
      </c>
      <c r="AX56">
        <f t="shared" si="6"/>
        <v>2.7999999999999985</v>
      </c>
      <c r="AY56">
        <v>49</v>
      </c>
      <c r="AZ56">
        <v>5.1652899999999997</v>
      </c>
      <c r="BA56">
        <v>198.36199999999999</v>
      </c>
      <c r="BF56">
        <f t="shared" si="7"/>
        <v>2.7999999999999985</v>
      </c>
      <c r="BG56">
        <v>49</v>
      </c>
      <c r="BH56">
        <v>-3.1246999999999998</v>
      </c>
      <c r="BI56">
        <v>759.76700000000005</v>
      </c>
      <c r="BN56">
        <f t="shared" si="8"/>
        <v>2.7999999999999985</v>
      </c>
      <c r="BO56">
        <v>49</v>
      </c>
      <c r="BP56">
        <v>-2.8827699999999998</v>
      </c>
      <c r="BQ56">
        <v>613.04200000000003</v>
      </c>
      <c r="BV56">
        <f t="shared" si="9"/>
        <v>2.7999999999999985</v>
      </c>
      <c r="BW56">
        <v>49</v>
      </c>
      <c r="BX56">
        <v>-1.8183800000000001</v>
      </c>
      <c r="BY56">
        <v>663.93600000000004</v>
      </c>
    </row>
    <row r="57" spans="2:77" x14ac:dyDescent="0.2">
      <c r="B57">
        <f t="shared" si="0"/>
        <v>2.8499999999999983</v>
      </c>
      <c r="C57">
        <v>50</v>
      </c>
      <c r="D57">
        <v>-2.3868999999999998</v>
      </c>
      <c r="E57">
        <v>-1810.33</v>
      </c>
      <c r="J57">
        <f t="shared" si="1"/>
        <v>2.8499999999999983</v>
      </c>
      <c r="K57">
        <v>50</v>
      </c>
      <c r="L57">
        <v>-1.4560299999999999</v>
      </c>
      <c r="M57">
        <v>-291.40600000000001</v>
      </c>
      <c r="R57">
        <f t="shared" si="2"/>
        <v>2.8499999999999983</v>
      </c>
      <c r="S57">
        <v>50</v>
      </c>
      <c r="T57">
        <v>-0.82369499999999995</v>
      </c>
      <c r="U57">
        <v>-1200.23</v>
      </c>
      <c r="Z57">
        <f t="shared" si="3"/>
        <v>2.8499999999999983</v>
      </c>
      <c r="AA57">
        <v>50</v>
      </c>
      <c r="AB57">
        <v>-4.4760299999999997</v>
      </c>
      <c r="AC57">
        <v>728.88900000000001</v>
      </c>
      <c r="AH57">
        <f t="shared" si="4"/>
        <v>2.8499999999999983</v>
      </c>
      <c r="AI57">
        <v>50</v>
      </c>
      <c r="AJ57">
        <v>-1.9809600000000001</v>
      </c>
      <c r="AK57">
        <v>2164.4299999999998</v>
      </c>
      <c r="AP57">
        <f t="shared" si="5"/>
        <v>2.8499999999999983</v>
      </c>
      <c r="AQ57">
        <v>50</v>
      </c>
      <c r="AR57">
        <v>-1.37293</v>
      </c>
      <c r="AS57">
        <v>599.50900000000001</v>
      </c>
      <c r="AX57">
        <f t="shared" si="6"/>
        <v>2.8499999999999983</v>
      </c>
      <c r="AY57">
        <v>50</v>
      </c>
      <c r="AZ57">
        <v>5.1562700000000001</v>
      </c>
      <c r="BA57">
        <v>193.44</v>
      </c>
      <c r="BF57">
        <f t="shared" si="7"/>
        <v>2.8499999999999983</v>
      </c>
      <c r="BG57">
        <v>50</v>
      </c>
      <c r="BH57">
        <v>-3.1942200000000001</v>
      </c>
      <c r="BI57">
        <v>742.25800000000004</v>
      </c>
      <c r="BN57">
        <f t="shared" si="8"/>
        <v>2.8499999999999983</v>
      </c>
      <c r="BO57">
        <v>50</v>
      </c>
      <c r="BP57">
        <v>-2.9382899999999998</v>
      </c>
      <c r="BQ57">
        <v>586.63400000000001</v>
      </c>
      <c r="BV57">
        <f t="shared" si="9"/>
        <v>2.8499999999999983</v>
      </c>
      <c r="BW57">
        <v>50</v>
      </c>
      <c r="BX57">
        <v>-1.8783399999999999</v>
      </c>
      <c r="BY57">
        <v>631.85900000000004</v>
      </c>
    </row>
    <row r="58" spans="2:77" x14ac:dyDescent="0.2">
      <c r="B58">
        <f t="shared" si="0"/>
        <v>2.8999999999999981</v>
      </c>
      <c r="C58">
        <v>51</v>
      </c>
      <c r="D58">
        <v>-2.3043900000000002</v>
      </c>
      <c r="E58">
        <v>-1817.69</v>
      </c>
      <c r="J58">
        <f t="shared" si="1"/>
        <v>2.8999999999999981</v>
      </c>
      <c r="K58">
        <v>51</v>
      </c>
      <c r="L58">
        <v>-1.4385699999999999</v>
      </c>
      <c r="M58">
        <v>-472.31599999999997</v>
      </c>
      <c r="R58">
        <f t="shared" si="2"/>
        <v>2.8999999999999981</v>
      </c>
      <c r="S58">
        <v>51</v>
      </c>
      <c r="T58">
        <v>-0.76772300000000004</v>
      </c>
      <c r="U58">
        <v>-1259.55</v>
      </c>
      <c r="Z58">
        <f t="shared" si="3"/>
        <v>2.8999999999999981</v>
      </c>
      <c r="AA58">
        <v>51</v>
      </c>
      <c r="AB58">
        <v>-4.5406899999999997</v>
      </c>
      <c r="AC58">
        <v>692.91800000000001</v>
      </c>
      <c r="AH58">
        <f t="shared" si="4"/>
        <v>2.8999999999999981</v>
      </c>
      <c r="AI58">
        <v>51</v>
      </c>
      <c r="AJ58">
        <v>-2.07701</v>
      </c>
      <c r="AK58">
        <v>2061.83</v>
      </c>
      <c r="AP58">
        <f t="shared" si="5"/>
        <v>2.8999999999999981</v>
      </c>
      <c r="AQ58">
        <v>51</v>
      </c>
      <c r="AR58">
        <v>-1.42669</v>
      </c>
      <c r="AS58">
        <v>582.84199999999998</v>
      </c>
      <c r="AX58">
        <f t="shared" si="6"/>
        <v>2.8999999999999981</v>
      </c>
      <c r="AY58">
        <v>51</v>
      </c>
      <c r="AZ58">
        <v>5.1473599999999999</v>
      </c>
      <c r="BA58">
        <v>200.38399999999999</v>
      </c>
      <c r="BF58">
        <f t="shared" si="7"/>
        <v>2.8999999999999981</v>
      </c>
      <c r="BG58">
        <v>51</v>
      </c>
      <c r="BH58">
        <v>-3.2610000000000001</v>
      </c>
      <c r="BI58">
        <v>726.774</v>
      </c>
      <c r="BN58">
        <f t="shared" si="8"/>
        <v>2.8999999999999981</v>
      </c>
      <c r="BO58">
        <v>51</v>
      </c>
      <c r="BP58">
        <v>-2.9905400000000002</v>
      </c>
      <c r="BQ58">
        <v>562.97699999999998</v>
      </c>
      <c r="BV58">
        <f t="shared" si="9"/>
        <v>2.8999999999999981</v>
      </c>
      <c r="BW58">
        <v>51</v>
      </c>
      <c r="BX58">
        <v>-1.9344600000000001</v>
      </c>
      <c r="BY58">
        <v>602.88</v>
      </c>
    </row>
    <row r="59" spans="2:77" x14ac:dyDescent="0.2">
      <c r="B59">
        <f t="shared" si="0"/>
        <v>2.949999999999998</v>
      </c>
      <c r="C59">
        <v>52</v>
      </c>
      <c r="D59">
        <v>-2.22316</v>
      </c>
      <c r="E59">
        <v>-1817.19</v>
      </c>
      <c r="J59">
        <f t="shared" si="1"/>
        <v>2.949999999999998</v>
      </c>
      <c r="K59">
        <v>52</v>
      </c>
      <c r="L59">
        <v>-1.41394</v>
      </c>
      <c r="M59">
        <v>-626.67899999999997</v>
      </c>
      <c r="R59">
        <f t="shared" si="2"/>
        <v>2.949999999999998</v>
      </c>
      <c r="S59">
        <v>52</v>
      </c>
      <c r="T59">
        <v>-0.710372</v>
      </c>
      <c r="U59">
        <v>-1305.79</v>
      </c>
      <c r="Z59">
        <f t="shared" si="3"/>
        <v>2.949999999999998</v>
      </c>
      <c r="AA59">
        <v>52</v>
      </c>
      <c r="AB59">
        <v>-4.6010099999999996</v>
      </c>
      <c r="AC59">
        <v>657.21699999999998</v>
      </c>
      <c r="AH59">
        <f t="shared" si="4"/>
        <v>2.949999999999998</v>
      </c>
      <c r="AI59">
        <v>52</v>
      </c>
      <c r="AJ59">
        <v>-2.1670199999999999</v>
      </c>
      <c r="AK59">
        <v>1967.99</v>
      </c>
      <c r="AP59">
        <f t="shared" si="5"/>
        <v>2.949999999999998</v>
      </c>
      <c r="AQ59">
        <v>52</v>
      </c>
      <c r="AR59">
        <v>-1.47801</v>
      </c>
      <c r="AS59">
        <v>565.68200000000002</v>
      </c>
      <c r="AX59">
        <f t="shared" si="6"/>
        <v>2.949999999999998</v>
      </c>
      <c r="AY59">
        <v>52</v>
      </c>
      <c r="AZ59">
        <v>5.1380499999999998</v>
      </c>
      <c r="BA59">
        <v>217.923</v>
      </c>
      <c r="BF59">
        <f t="shared" si="7"/>
        <v>2.949999999999998</v>
      </c>
      <c r="BG59">
        <v>52</v>
      </c>
      <c r="BH59">
        <v>-3.3253300000000001</v>
      </c>
      <c r="BI59">
        <v>713.33699999999999</v>
      </c>
      <c r="BN59">
        <f t="shared" si="8"/>
        <v>2.949999999999998</v>
      </c>
      <c r="BO59">
        <v>52</v>
      </c>
      <c r="BP59">
        <v>-3.0398999999999998</v>
      </c>
      <c r="BQ59">
        <v>542.101</v>
      </c>
      <c r="BV59">
        <f t="shared" si="9"/>
        <v>2.949999999999998</v>
      </c>
      <c r="BW59">
        <v>52</v>
      </c>
      <c r="BX59">
        <v>-1.98715</v>
      </c>
      <c r="BY59">
        <v>576.64800000000002</v>
      </c>
    </row>
    <row r="60" spans="2:77" x14ac:dyDescent="0.2">
      <c r="B60">
        <f t="shared" si="0"/>
        <v>2.9999999999999978</v>
      </c>
      <c r="C60">
        <v>53</v>
      </c>
      <c r="D60">
        <v>-2.1434899999999999</v>
      </c>
      <c r="E60">
        <v>-1809.63</v>
      </c>
      <c r="J60">
        <f t="shared" si="1"/>
        <v>2.9999999999999978</v>
      </c>
      <c r="K60">
        <v>53</v>
      </c>
      <c r="L60">
        <v>-1.38348</v>
      </c>
      <c r="M60">
        <v>-757.07</v>
      </c>
      <c r="R60">
        <f t="shared" si="2"/>
        <v>2.9999999999999978</v>
      </c>
      <c r="S60">
        <v>53</v>
      </c>
      <c r="T60">
        <v>-0.65222599999999997</v>
      </c>
      <c r="U60">
        <v>-1340.57</v>
      </c>
      <c r="Z60">
        <f t="shared" si="3"/>
        <v>2.9999999999999978</v>
      </c>
      <c r="AA60">
        <v>53</v>
      </c>
      <c r="AB60">
        <v>-4.6571899999999999</v>
      </c>
      <c r="AC60">
        <v>622.125</v>
      </c>
      <c r="AH60">
        <f t="shared" si="4"/>
        <v>2.9999999999999978</v>
      </c>
      <c r="AI60">
        <v>53</v>
      </c>
      <c r="AJ60">
        <v>-2.25149</v>
      </c>
      <c r="AK60">
        <v>1879.52</v>
      </c>
      <c r="AP60">
        <f t="shared" si="5"/>
        <v>2.9999999999999978</v>
      </c>
      <c r="AQ60">
        <v>53</v>
      </c>
      <c r="AR60">
        <v>-1.5269299999999999</v>
      </c>
      <c r="AS60">
        <v>548.04200000000003</v>
      </c>
      <c r="AX60">
        <f t="shared" si="6"/>
        <v>2.9999999999999978</v>
      </c>
      <c r="AY60">
        <v>53</v>
      </c>
      <c r="AZ60">
        <v>5.1279399999999997</v>
      </c>
      <c r="BA60">
        <v>244.14099999999999</v>
      </c>
      <c r="BF60">
        <f t="shared" si="7"/>
        <v>2.9999999999999978</v>
      </c>
      <c r="BG60">
        <v>53</v>
      </c>
      <c r="BH60">
        <v>-3.38747</v>
      </c>
      <c r="BI60">
        <v>701.75800000000004</v>
      </c>
      <c r="BN60">
        <f t="shared" si="8"/>
        <v>2.9999999999999978</v>
      </c>
      <c r="BO60">
        <v>53</v>
      </c>
      <c r="BP60">
        <v>-3.0866899999999999</v>
      </c>
      <c r="BQ60">
        <v>523.77200000000005</v>
      </c>
      <c r="BV60">
        <f t="shared" si="9"/>
        <v>2.9999999999999978</v>
      </c>
      <c r="BW60">
        <v>53</v>
      </c>
      <c r="BX60">
        <v>-2.03674</v>
      </c>
      <c r="BY60">
        <v>552.995</v>
      </c>
    </row>
    <row r="61" spans="2:77" x14ac:dyDescent="0.2">
      <c r="B61">
        <f t="shared" si="0"/>
        <v>3.0499999999999976</v>
      </c>
      <c r="C61">
        <v>54</v>
      </c>
      <c r="D61">
        <v>-2.0656300000000001</v>
      </c>
      <c r="E61">
        <v>-1795.85</v>
      </c>
      <c r="J61">
        <f t="shared" si="1"/>
        <v>3.0499999999999976</v>
      </c>
      <c r="K61">
        <v>54</v>
      </c>
      <c r="L61">
        <v>-1.3483700000000001</v>
      </c>
      <c r="M61">
        <v>-865.88099999999997</v>
      </c>
      <c r="R61">
        <f t="shared" si="2"/>
        <v>3.0499999999999976</v>
      </c>
      <c r="S61">
        <v>54</v>
      </c>
      <c r="T61">
        <v>-0.59377599999999997</v>
      </c>
      <c r="U61">
        <v>-1365.39</v>
      </c>
      <c r="Z61">
        <f t="shared" si="3"/>
        <v>3.0499999999999976</v>
      </c>
      <c r="AA61">
        <v>54</v>
      </c>
      <c r="AB61">
        <v>-4.7094399999999998</v>
      </c>
      <c r="AC61">
        <v>587.92100000000005</v>
      </c>
      <c r="AH61">
        <f t="shared" si="4"/>
        <v>3.0499999999999976</v>
      </c>
      <c r="AI61">
        <v>54</v>
      </c>
      <c r="AJ61">
        <v>-2.3308</v>
      </c>
      <c r="AK61">
        <v>1794.18</v>
      </c>
      <c r="AP61">
        <f t="shared" si="5"/>
        <v>3.0499999999999976</v>
      </c>
      <c r="AQ61">
        <v>54</v>
      </c>
      <c r="AR61">
        <v>-1.57348</v>
      </c>
      <c r="AS61">
        <v>529.98800000000006</v>
      </c>
      <c r="AX61">
        <f t="shared" si="6"/>
        <v>3.0499999999999976</v>
      </c>
      <c r="AY61">
        <v>54</v>
      </c>
      <c r="AZ61">
        <v>5.1167100000000003</v>
      </c>
      <c r="BA61">
        <v>276.65699999999998</v>
      </c>
      <c r="BF61">
        <f t="shared" si="7"/>
        <v>3.0499999999999976</v>
      </c>
      <c r="BG61">
        <v>54</v>
      </c>
      <c r="BH61">
        <v>-3.4476200000000001</v>
      </c>
      <c r="BI61">
        <v>691.65099999999995</v>
      </c>
      <c r="BN61">
        <f t="shared" si="8"/>
        <v>3.0499999999999976</v>
      </c>
      <c r="BO61">
        <v>54</v>
      </c>
      <c r="BP61">
        <v>-3.1312099999999998</v>
      </c>
      <c r="BQ61">
        <v>507.56299999999999</v>
      </c>
      <c r="BV61">
        <f t="shared" si="9"/>
        <v>3.0499999999999976</v>
      </c>
      <c r="BW61">
        <v>54</v>
      </c>
      <c r="BX61">
        <v>-2.0835699999999999</v>
      </c>
      <c r="BY61">
        <v>531.85</v>
      </c>
    </row>
    <row r="62" spans="2:77" x14ac:dyDescent="0.2">
      <c r="B62">
        <f t="shared" si="0"/>
        <v>3.0999999999999974</v>
      </c>
      <c r="C62">
        <v>55</v>
      </c>
      <c r="D62">
        <v>-1.98976</v>
      </c>
      <c r="E62">
        <v>-1776.75</v>
      </c>
      <c r="J62">
        <f t="shared" si="1"/>
        <v>3.0999999999999974</v>
      </c>
      <c r="K62">
        <v>55</v>
      </c>
      <c r="L62">
        <v>-1.3096399999999999</v>
      </c>
      <c r="M62">
        <v>-955.41800000000001</v>
      </c>
      <c r="R62">
        <f t="shared" si="2"/>
        <v>3.0999999999999974</v>
      </c>
      <c r="S62">
        <v>55</v>
      </c>
      <c r="T62">
        <v>-0.53542299999999998</v>
      </c>
      <c r="U62">
        <v>-1381.73</v>
      </c>
      <c r="Z62">
        <f t="shared" si="3"/>
        <v>3.0999999999999974</v>
      </c>
      <c r="AA62">
        <v>55</v>
      </c>
      <c r="AB62">
        <v>-4.7579599999999997</v>
      </c>
      <c r="AC62">
        <v>554.81899999999996</v>
      </c>
      <c r="AH62">
        <f t="shared" si="4"/>
        <v>3.0999999999999974</v>
      </c>
      <c r="AI62">
        <v>55</v>
      </c>
      <c r="AJ62">
        <v>-2.4052099999999998</v>
      </c>
      <c r="AK62">
        <v>1710.79</v>
      </c>
      <c r="AP62">
        <f t="shared" si="5"/>
        <v>3.0999999999999974</v>
      </c>
      <c r="AQ62">
        <v>55</v>
      </c>
      <c r="AR62">
        <v>-1.61772</v>
      </c>
      <c r="AS62">
        <v>511.625</v>
      </c>
      <c r="AX62">
        <f t="shared" si="6"/>
        <v>3.0999999999999974</v>
      </c>
      <c r="AY62">
        <v>55</v>
      </c>
      <c r="AZ62">
        <v>5.1042100000000001</v>
      </c>
      <c r="BA62">
        <v>312.88200000000001</v>
      </c>
      <c r="BF62">
        <f t="shared" si="7"/>
        <v>3.0999999999999974</v>
      </c>
      <c r="BG62">
        <v>55</v>
      </c>
      <c r="BH62">
        <v>-3.50597</v>
      </c>
      <c r="BI62">
        <v>682.47699999999998</v>
      </c>
      <c r="BN62">
        <f t="shared" si="8"/>
        <v>3.0999999999999974</v>
      </c>
      <c r="BO62">
        <v>55</v>
      </c>
      <c r="BP62">
        <v>-3.1736900000000001</v>
      </c>
      <c r="BQ62">
        <v>492.94</v>
      </c>
      <c r="BV62">
        <f t="shared" si="9"/>
        <v>3.0999999999999974</v>
      </c>
      <c r="BW62">
        <v>55</v>
      </c>
      <c r="BX62">
        <v>-2.1279300000000001</v>
      </c>
      <c r="BY62">
        <v>513.17100000000005</v>
      </c>
    </row>
    <row r="63" spans="2:77" x14ac:dyDescent="0.2">
      <c r="B63">
        <f t="shared" si="0"/>
        <v>3.1499999999999972</v>
      </c>
      <c r="C63">
        <v>56</v>
      </c>
      <c r="D63">
        <v>-1.9160200000000001</v>
      </c>
      <c r="E63">
        <v>-1753.27</v>
      </c>
      <c r="J63">
        <f t="shared" si="1"/>
        <v>3.1499999999999972</v>
      </c>
      <c r="K63">
        <v>56</v>
      </c>
      <c r="L63">
        <v>-1.26817</v>
      </c>
      <c r="M63">
        <v>-1027.96</v>
      </c>
      <c r="R63">
        <f t="shared" si="2"/>
        <v>3.1499999999999972</v>
      </c>
      <c r="S63">
        <v>56</v>
      </c>
      <c r="T63">
        <v>-0.477489</v>
      </c>
      <c r="U63">
        <v>-1390.96</v>
      </c>
      <c r="Z63">
        <f t="shared" si="3"/>
        <v>3.1499999999999972</v>
      </c>
      <c r="AA63">
        <v>56</v>
      </c>
      <c r="AB63">
        <v>-4.8029700000000002</v>
      </c>
      <c r="AC63">
        <v>522.97</v>
      </c>
      <c r="AH63">
        <f t="shared" si="4"/>
        <v>3.1499999999999972</v>
      </c>
      <c r="AI63">
        <v>56</v>
      </c>
      <c r="AJ63">
        <v>-2.4749699999999999</v>
      </c>
      <c r="AK63">
        <v>1629.02</v>
      </c>
      <c r="AP63">
        <f t="shared" si="5"/>
        <v>3.1499999999999972</v>
      </c>
      <c r="AQ63">
        <v>56</v>
      </c>
      <c r="AR63">
        <v>-1.6596900000000001</v>
      </c>
      <c r="AS63">
        <v>493.09</v>
      </c>
      <c r="AX63">
        <f t="shared" si="6"/>
        <v>3.1499999999999972</v>
      </c>
      <c r="AY63">
        <v>56</v>
      </c>
      <c r="AZ63">
        <v>5.0903600000000004</v>
      </c>
      <c r="BA63">
        <v>350.28</v>
      </c>
      <c r="BF63">
        <f t="shared" si="7"/>
        <v>3.1499999999999972</v>
      </c>
      <c r="BG63">
        <v>56</v>
      </c>
      <c r="BH63">
        <v>-3.5626199999999999</v>
      </c>
      <c r="BI63">
        <v>673.61</v>
      </c>
      <c r="BN63">
        <f t="shared" si="8"/>
        <v>3.1499999999999972</v>
      </c>
      <c r="BO63">
        <v>56</v>
      </c>
      <c r="BP63">
        <v>-3.2143000000000002</v>
      </c>
      <c r="BQ63">
        <v>479.34899999999999</v>
      </c>
      <c r="BV63">
        <f t="shared" si="9"/>
        <v>3.1499999999999972</v>
      </c>
      <c r="BW63">
        <v>56</v>
      </c>
      <c r="BX63">
        <v>-2.1701100000000002</v>
      </c>
      <c r="BY63">
        <v>496.9</v>
      </c>
    </row>
    <row r="64" spans="2:77" x14ac:dyDescent="0.2">
      <c r="B64">
        <f t="shared" si="0"/>
        <v>3.1999999999999971</v>
      </c>
      <c r="C64">
        <v>57</v>
      </c>
      <c r="D64">
        <v>-1.84449</v>
      </c>
      <c r="E64">
        <v>-1726.34</v>
      </c>
      <c r="J64">
        <f t="shared" si="1"/>
        <v>3.1999999999999971</v>
      </c>
      <c r="K64">
        <v>57</v>
      </c>
      <c r="L64">
        <v>-1.22468</v>
      </c>
      <c r="M64">
        <v>-1085.77</v>
      </c>
      <c r="R64">
        <f t="shared" si="2"/>
        <v>3.1999999999999971</v>
      </c>
      <c r="S64">
        <v>57</v>
      </c>
      <c r="T64">
        <v>-0.42022500000000002</v>
      </c>
      <c r="U64">
        <v>-1394.43</v>
      </c>
      <c r="Z64">
        <f t="shared" si="3"/>
        <v>3.1999999999999971</v>
      </c>
      <c r="AA64">
        <v>57</v>
      </c>
      <c r="AB64">
        <v>-4.8447100000000001</v>
      </c>
      <c r="AC64">
        <v>492.47</v>
      </c>
      <c r="AH64">
        <f t="shared" si="4"/>
        <v>3.1999999999999971</v>
      </c>
      <c r="AI64">
        <v>57</v>
      </c>
      <c r="AJ64">
        <v>-2.5402900000000002</v>
      </c>
      <c r="AK64">
        <v>1549.21</v>
      </c>
      <c r="AP64">
        <f t="shared" si="5"/>
        <v>3.1999999999999971</v>
      </c>
      <c r="AQ64">
        <v>57</v>
      </c>
      <c r="AR64">
        <v>-1.69947</v>
      </c>
      <c r="AS64">
        <v>474.54300000000001</v>
      </c>
      <c r="AX64">
        <f t="shared" si="6"/>
        <v>3.1999999999999971</v>
      </c>
      <c r="AY64">
        <v>57</v>
      </c>
      <c r="AZ64">
        <v>5.0752100000000002</v>
      </c>
      <c r="BA64">
        <v>386.61099999999999</v>
      </c>
      <c r="BF64">
        <f t="shared" si="7"/>
        <v>3.1999999999999971</v>
      </c>
      <c r="BG64">
        <v>57</v>
      </c>
      <c r="BH64">
        <v>-3.6176300000000001</v>
      </c>
      <c r="BI64">
        <v>664.39800000000002</v>
      </c>
      <c r="BN64">
        <f t="shared" si="8"/>
        <v>3.1999999999999971</v>
      </c>
      <c r="BO64">
        <v>57</v>
      </c>
      <c r="BP64">
        <v>-3.2531699999999999</v>
      </c>
      <c r="BQ64">
        <v>466.29</v>
      </c>
      <c r="BV64">
        <f t="shared" si="9"/>
        <v>3.1999999999999971</v>
      </c>
      <c r="BW64">
        <v>57</v>
      </c>
      <c r="BX64">
        <v>-2.2103700000000002</v>
      </c>
      <c r="BY64">
        <v>482.928</v>
      </c>
    </row>
    <row r="65" spans="2:77" x14ac:dyDescent="0.2">
      <c r="B65">
        <f t="shared" si="0"/>
        <v>3.2499999999999969</v>
      </c>
      <c r="C65">
        <v>58</v>
      </c>
      <c r="D65">
        <v>-1.7752399999999999</v>
      </c>
      <c r="E65">
        <v>-1696.86</v>
      </c>
      <c r="J65">
        <f t="shared" si="1"/>
        <v>3.2499999999999969</v>
      </c>
      <c r="K65">
        <v>58</v>
      </c>
      <c r="L65">
        <v>-1.1798</v>
      </c>
      <c r="M65">
        <v>-1131.1300000000001</v>
      </c>
      <c r="R65">
        <f t="shared" si="2"/>
        <v>3.2499999999999969</v>
      </c>
      <c r="S65">
        <v>58</v>
      </c>
      <c r="T65">
        <v>-0.363817</v>
      </c>
      <c r="U65">
        <v>-1393.39</v>
      </c>
      <c r="Z65">
        <f t="shared" si="3"/>
        <v>3.2499999999999969</v>
      </c>
      <c r="AA65">
        <v>58</v>
      </c>
      <c r="AB65">
        <v>-4.8833700000000002</v>
      </c>
      <c r="AC65">
        <v>463.36599999999999</v>
      </c>
      <c r="AH65">
        <f t="shared" si="4"/>
        <v>3.2499999999999969</v>
      </c>
      <c r="AI65">
        <v>58</v>
      </c>
      <c r="AJ65">
        <v>-2.6013999999999999</v>
      </c>
      <c r="AK65">
        <v>1472.18</v>
      </c>
      <c r="AP65">
        <f t="shared" si="5"/>
        <v>3.2499999999999969</v>
      </c>
      <c r="AQ65">
        <v>58</v>
      </c>
      <c r="AR65">
        <v>-1.73712</v>
      </c>
      <c r="AS65">
        <v>456.15899999999999</v>
      </c>
      <c r="AX65">
        <f t="shared" si="6"/>
        <v>3.2499999999999969</v>
      </c>
      <c r="AY65">
        <v>58</v>
      </c>
      <c r="AZ65">
        <v>5.0588800000000003</v>
      </c>
      <c r="BA65">
        <v>420.11799999999999</v>
      </c>
      <c r="BF65">
        <f t="shared" si="7"/>
        <v>3.2499999999999969</v>
      </c>
      <c r="BG65">
        <v>58</v>
      </c>
      <c r="BH65">
        <v>-3.6709800000000001</v>
      </c>
      <c r="BI65">
        <v>654.22699999999998</v>
      </c>
      <c r="BN65">
        <f t="shared" si="8"/>
        <v>3.2499999999999969</v>
      </c>
      <c r="BO65">
        <v>58</v>
      </c>
      <c r="BP65">
        <v>-3.2903799999999999</v>
      </c>
      <c r="BQ65">
        <v>453.36399999999998</v>
      </c>
      <c r="BV65">
        <f t="shared" si="9"/>
        <v>3.2499999999999969</v>
      </c>
      <c r="BW65">
        <v>58</v>
      </c>
      <c r="BX65">
        <v>-2.2489499999999998</v>
      </c>
      <c r="BY65">
        <v>471.08800000000002</v>
      </c>
    </row>
    <row r="66" spans="2:77" x14ac:dyDescent="0.2">
      <c r="B66">
        <f t="shared" si="0"/>
        <v>3.2999999999999967</v>
      </c>
      <c r="C66">
        <v>59</v>
      </c>
      <c r="D66">
        <v>-1.7082599999999999</v>
      </c>
      <c r="E66">
        <v>-1665.72</v>
      </c>
      <c r="J66">
        <f t="shared" si="1"/>
        <v>3.2999999999999967</v>
      </c>
      <c r="K66">
        <v>59</v>
      </c>
      <c r="L66">
        <v>-1.13402</v>
      </c>
      <c r="M66">
        <v>-1166.25</v>
      </c>
      <c r="R66">
        <f t="shared" si="2"/>
        <v>3.2999999999999967</v>
      </c>
      <c r="S66">
        <v>59</v>
      </c>
      <c r="T66">
        <v>-0.308396</v>
      </c>
      <c r="U66">
        <v>-1389</v>
      </c>
      <c r="Z66">
        <f t="shared" si="3"/>
        <v>3.2999999999999967</v>
      </c>
      <c r="AA66">
        <v>59</v>
      </c>
      <c r="AB66">
        <v>-4.9191700000000003</v>
      </c>
      <c r="AC66">
        <v>435.661</v>
      </c>
      <c r="AH66">
        <f t="shared" si="4"/>
        <v>3.2999999999999967</v>
      </c>
      <c r="AI66">
        <v>59</v>
      </c>
      <c r="AJ66">
        <v>-2.6585700000000001</v>
      </c>
      <c r="AK66">
        <v>1398.95</v>
      </c>
      <c r="AP66">
        <f t="shared" si="5"/>
        <v>3.2999999999999967</v>
      </c>
      <c r="AQ66">
        <v>59</v>
      </c>
      <c r="AR66">
        <v>-1.77274</v>
      </c>
      <c r="AS66">
        <v>438.12</v>
      </c>
      <c r="AX66">
        <f t="shared" si="6"/>
        <v>3.2999999999999967</v>
      </c>
      <c r="AY66">
        <v>59</v>
      </c>
      <c r="AZ66">
        <v>5.0415400000000004</v>
      </c>
      <c r="BA66">
        <v>449.63900000000001</v>
      </c>
      <c r="BF66">
        <f t="shared" si="7"/>
        <v>3.2999999999999967</v>
      </c>
      <c r="BG66">
        <v>59</v>
      </c>
      <c r="BH66">
        <v>-3.7226499999999998</v>
      </c>
      <c r="BI66">
        <v>642.57899999999995</v>
      </c>
      <c r="BN66">
        <f t="shared" si="8"/>
        <v>3.2999999999999967</v>
      </c>
      <c r="BO66">
        <v>59</v>
      </c>
      <c r="BP66">
        <v>-3.3259799999999999</v>
      </c>
      <c r="BQ66">
        <v>440.30799999999999</v>
      </c>
      <c r="BV66">
        <f t="shared" si="9"/>
        <v>3.2999999999999967</v>
      </c>
      <c r="BW66">
        <v>59</v>
      </c>
      <c r="BX66">
        <v>-2.28607</v>
      </c>
      <c r="BY66">
        <v>461.15800000000002</v>
      </c>
    </row>
    <row r="67" spans="2:77" x14ac:dyDescent="0.2">
      <c r="B67">
        <f t="shared" si="0"/>
        <v>3.3499999999999965</v>
      </c>
      <c r="C67">
        <v>60</v>
      </c>
      <c r="D67">
        <v>-1.6435599999999999</v>
      </c>
      <c r="E67">
        <v>-1633.66</v>
      </c>
      <c r="J67">
        <f t="shared" si="1"/>
        <v>3.3499999999999965</v>
      </c>
      <c r="K67">
        <v>60</v>
      </c>
      <c r="L67">
        <v>-1.08772</v>
      </c>
      <c r="M67">
        <v>-1193.3</v>
      </c>
      <c r="R67">
        <f t="shared" si="2"/>
        <v>3.3499999999999965</v>
      </c>
      <c r="S67">
        <v>60</v>
      </c>
      <c r="T67">
        <v>-0.25404100000000002</v>
      </c>
      <c r="U67">
        <v>-1382.3</v>
      </c>
      <c r="Z67">
        <f t="shared" si="3"/>
        <v>3.3499999999999965</v>
      </c>
      <c r="AA67">
        <v>60</v>
      </c>
      <c r="AB67">
        <v>-4.9523099999999998</v>
      </c>
      <c r="AC67">
        <v>409.33</v>
      </c>
      <c r="AH67">
        <f t="shared" si="4"/>
        <v>3.3499999999999965</v>
      </c>
      <c r="AI67">
        <v>60</v>
      </c>
      <c r="AJ67">
        <v>-2.7120799999999998</v>
      </c>
      <c r="AK67">
        <v>1330.66</v>
      </c>
      <c r="AP67">
        <f t="shared" si="5"/>
        <v>3.3499999999999965</v>
      </c>
      <c r="AQ67">
        <v>60</v>
      </c>
      <c r="AR67">
        <v>-1.8064199999999999</v>
      </c>
      <c r="AS67">
        <v>420.61</v>
      </c>
      <c r="AX67">
        <f t="shared" si="6"/>
        <v>3.3499999999999965</v>
      </c>
      <c r="AY67">
        <v>60</v>
      </c>
      <c r="AZ67">
        <v>5.0233999999999996</v>
      </c>
      <c r="BA67">
        <v>474.63600000000002</v>
      </c>
      <c r="BF67">
        <f t="shared" si="7"/>
        <v>3.3499999999999965</v>
      </c>
      <c r="BG67">
        <v>60</v>
      </c>
      <c r="BH67">
        <v>-3.7725399999999998</v>
      </c>
      <c r="BI67">
        <v>629.07600000000002</v>
      </c>
      <c r="BN67">
        <f t="shared" si="8"/>
        <v>3.3499999999999965</v>
      </c>
      <c r="BO67">
        <v>60</v>
      </c>
      <c r="BP67">
        <v>-3.36</v>
      </c>
      <c r="BQ67">
        <v>426.98700000000002</v>
      </c>
      <c r="BV67">
        <f t="shared" si="9"/>
        <v>3.3499999999999965</v>
      </c>
      <c r="BW67">
        <v>60</v>
      </c>
      <c r="BX67">
        <v>-2.32192</v>
      </c>
      <c r="BY67">
        <v>452.875</v>
      </c>
    </row>
    <row r="68" spans="2:77" x14ac:dyDescent="0.2">
      <c r="B68">
        <f t="shared" si="0"/>
        <v>3.3999999999999964</v>
      </c>
      <c r="C68">
        <v>61</v>
      </c>
      <c r="D68">
        <v>-1.58107</v>
      </c>
      <c r="E68">
        <v>-1601.36</v>
      </c>
      <c r="J68">
        <f t="shared" si="1"/>
        <v>3.3999999999999964</v>
      </c>
      <c r="K68">
        <v>61</v>
      </c>
      <c r="L68">
        <v>-1.0411999999999999</v>
      </c>
      <c r="M68">
        <v>-1214.33</v>
      </c>
      <c r="R68">
        <f t="shared" si="2"/>
        <v>3.3999999999999964</v>
      </c>
      <c r="S68">
        <v>61</v>
      </c>
      <c r="T68">
        <v>-0.200793</v>
      </c>
      <c r="U68">
        <v>-1374.19</v>
      </c>
      <c r="Z68">
        <f t="shared" si="3"/>
        <v>3.3999999999999964</v>
      </c>
      <c r="AA68">
        <v>61</v>
      </c>
      <c r="AB68">
        <v>-4.9829699999999999</v>
      </c>
      <c r="AC68">
        <v>384.32400000000001</v>
      </c>
      <c r="AH68">
        <f t="shared" si="4"/>
        <v>3.3999999999999964</v>
      </c>
      <c r="AI68">
        <v>61</v>
      </c>
      <c r="AJ68">
        <v>-2.76227</v>
      </c>
      <c r="AK68">
        <v>1268.3699999999999</v>
      </c>
      <c r="AP68">
        <f t="shared" si="5"/>
        <v>3.3999999999999964</v>
      </c>
      <c r="AQ68">
        <v>61</v>
      </c>
      <c r="AR68">
        <v>-1.83826</v>
      </c>
      <c r="AS68">
        <v>403.80200000000002</v>
      </c>
      <c r="AX68">
        <f t="shared" si="6"/>
        <v>3.3999999999999964</v>
      </c>
      <c r="AY68">
        <v>61</v>
      </c>
      <c r="AZ68">
        <v>5.0046600000000003</v>
      </c>
      <c r="BA68">
        <v>495.15300000000002</v>
      </c>
      <c r="BF68">
        <f t="shared" si="7"/>
        <v>3.3999999999999964</v>
      </c>
      <c r="BG68">
        <v>61</v>
      </c>
      <c r="BH68">
        <v>-3.82056</v>
      </c>
      <c r="BI68">
        <v>613.50800000000004</v>
      </c>
      <c r="BN68">
        <f t="shared" si="8"/>
        <v>3.3999999999999964</v>
      </c>
      <c r="BO68">
        <v>61</v>
      </c>
      <c r="BP68">
        <v>-3.3924699999999999</v>
      </c>
      <c r="BQ68">
        <v>413.38400000000001</v>
      </c>
      <c r="BV68">
        <f t="shared" si="9"/>
        <v>3.3999999999999964</v>
      </c>
      <c r="BW68">
        <v>61</v>
      </c>
      <c r="BX68">
        <v>-2.35663</v>
      </c>
      <c r="BY68">
        <v>445.96</v>
      </c>
    </row>
    <row r="69" spans="2:77" x14ac:dyDescent="0.2">
      <c r="B69">
        <f t="shared" si="0"/>
        <v>3.4499999999999962</v>
      </c>
      <c r="C69">
        <v>62</v>
      </c>
      <c r="D69">
        <v>-1.5207299999999999</v>
      </c>
      <c r="E69">
        <v>-1569.32</v>
      </c>
      <c r="J69">
        <f t="shared" si="1"/>
        <v>3.4499999999999962</v>
      </c>
      <c r="K69">
        <v>62</v>
      </c>
      <c r="L69">
        <v>-0.99465400000000004</v>
      </c>
      <c r="M69">
        <v>-1231.24</v>
      </c>
      <c r="R69">
        <f t="shared" si="2"/>
        <v>3.4499999999999962</v>
      </c>
      <c r="S69">
        <v>62</v>
      </c>
      <c r="T69">
        <v>-0.14865600000000001</v>
      </c>
      <c r="U69">
        <v>-1365.44</v>
      </c>
      <c r="Z69">
        <f t="shared" si="3"/>
        <v>3.4499999999999962</v>
      </c>
      <c r="AA69">
        <v>62</v>
      </c>
      <c r="AB69">
        <v>-5.0113099999999999</v>
      </c>
      <c r="AC69">
        <v>360.577</v>
      </c>
      <c r="AH69">
        <f t="shared" si="4"/>
        <v>3.4499999999999962</v>
      </c>
      <c r="AI69">
        <v>62</v>
      </c>
      <c r="AJ69">
        <v>-2.8094700000000001</v>
      </c>
      <c r="AK69">
        <v>1212.92</v>
      </c>
      <c r="AP69">
        <f t="shared" si="5"/>
        <v>3.4499999999999962</v>
      </c>
      <c r="AQ69">
        <v>62</v>
      </c>
      <c r="AR69">
        <v>-1.86839</v>
      </c>
      <c r="AS69">
        <v>387.85500000000002</v>
      </c>
      <c r="AX69">
        <f t="shared" si="6"/>
        <v>3.4499999999999962</v>
      </c>
      <c r="AY69">
        <v>62</v>
      </c>
      <c r="AZ69">
        <v>4.9854900000000004</v>
      </c>
      <c r="BA69">
        <v>511.72300000000001</v>
      </c>
      <c r="BF69">
        <f t="shared" si="7"/>
        <v>3.4499999999999962</v>
      </c>
      <c r="BG69">
        <v>62</v>
      </c>
      <c r="BH69">
        <v>-3.8666</v>
      </c>
      <c r="BI69">
        <v>595.84400000000005</v>
      </c>
      <c r="BN69">
        <f t="shared" si="8"/>
        <v>3.4499999999999962</v>
      </c>
      <c r="BO69">
        <v>62</v>
      </c>
      <c r="BP69">
        <v>-3.4234100000000001</v>
      </c>
      <c r="BQ69">
        <v>399.57</v>
      </c>
      <c r="BV69">
        <f t="shared" si="9"/>
        <v>3.4499999999999962</v>
      </c>
      <c r="BW69">
        <v>62</v>
      </c>
      <c r="BX69">
        <v>-2.3903500000000002</v>
      </c>
      <c r="BY69">
        <v>440.13200000000001</v>
      </c>
    </row>
    <row r="70" spans="2:77" x14ac:dyDescent="0.2">
      <c r="B70">
        <f t="shared" si="0"/>
        <v>3.499999999999996</v>
      </c>
      <c r="C70">
        <v>63</v>
      </c>
      <c r="D70">
        <v>-1.4624600000000001</v>
      </c>
      <c r="E70">
        <v>-1537.88</v>
      </c>
      <c r="J70">
        <f t="shared" si="1"/>
        <v>3.499999999999996</v>
      </c>
      <c r="K70">
        <v>63</v>
      </c>
      <c r="L70">
        <v>-0.94820099999999996</v>
      </c>
      <c r="M70">
        <v>-1245.73</v>
      </c>
      <c r="R70">
        <f t="shared" si="2"/>
        <v>3.499999999999996</v>
      </c>
      <c r="S70">
        <v>63</v>
      </c>
      <c r="T70">
        <v>-9.7611400000000001E-2</v>
      </c>
      <c r="U70">
        <v>-1356.63</v>
      </c>
      <c r="Z70">
        <f t="shared" si="3"/>
        <v>3.499999999999996</v>
      </c>
      <c r="AA70">
        <v>63</v>
      </c>
      <c r="AB70">
        <v>-5.0375100000000002</v>
      </c>
      <c r="AC70">
        <v>338.02300000000002</v>
      </c>
      <c r="AH70">
        <f t="shared" si="4"/>
        <v>3.499999999999996</v>
      </c>
      <c r="AI70">
        <v>63</v>
      </c>
      <c r="AJ70">
        <v>-2.8540299999999998</v>
      </c>
      <c r="AK70">
        <v>1164.8900000000001</v>
      </c>
      <c r="AP70">
        <f t="shared" si="5"/>
        <v>3.499999999999996</v>
      </c>
      <c r="AQ70">
        <v>63</v>
      </c>
      <c r="AR70">
        <v>-1.8969199999999999</v>
      </c>
      <c r="AS70">
        <v>372.9</v>
      </c>
      <c r="AX70">
        <f t="shared" si="6"/>
        <v>3.499999999999996</v>
      </c>
      <c r="AY70">
        <v>63</v>
      </c>
      <c r="AZ70">
        <v>4.9660299999999999</v>
      </c>
      <c r="BA70">
        <v>525.22299999999996</v>
      </c>
      <c r="BF70">
        <f t="shared" si="7"/>
        <v>3.499999999999996</v>
      </c>
      <c r="BG70">
        <v>63</v>
      </c>
      <c r="BH70">
        <v>-3.9105699999999999</v>
      </c>
      <c r="BI70">
        <v>576.23199999999997</v>
      </c>
      <c r="BN70">
        <f t="shared" si="8"/>
        <v>3.499999999999996</v>
      </c>
      <c r="BO70">
        <v>63</v>
      </c>
      <c r="BP70">
        <v>-3.4528599999999998</v>
      </c>
      <c r="BQ70">
        <v>385.66500000000002</v>
      </c>
      <c r="BV70">
        <f t="shared" si="9"/>
        <v>3.499999999999996</v>
      </c>
      <c r="BW70">
        <v>63</v>
      </c>
      <c r="BX70">
        <v>-2.4231699999999998</v>
      </c>
      <c r="BY70">
        <v>435.13099999999997</v>
      </c>
    </row>
    <row r="71" spans="2:77" x14ac:dyDescent="0.2">
      <c r="B71">
        <f t="shared" si="0"/>
        <v>3.5499999999999958</v>
      </c>
      <c r="C71">
        <v>64</v>
      </c>
      <c r="D71">
        <v>-1.40618</v>
      </c>
      <c r="E71">
        <v>-1507.2</v>
      </c>
      <c r="J71">
        <f t="shared" si="1"/>
        <v>3.5499999999999958</v>
      </c>
      <c r="K71">
        <v>64</v>
      </c>
      <c r="L71">
        <v>-0.90190199999999998</v>
      </c>
      <c r="M71">
        <v>-1259.28</v>
      </c>
      <c r="R71">
        <f t="shared" si="2"/>
        <v>3.5499999999999958</v>
      </c>
      <c r="S71">
        <v>64</v>
      </c>
      <c r="T71">
        <v>-4.7621299999999998E-2</v>
      </c>
      <c r="U71">
        <v>-1348.18</v>
      </c>
      <c r="Z71">
        <f t="shared" si="3"/>
        <v>3.5499999999999958</v>
      </c>
      <c r="AA71">
        <v>64</v>
      </c>
      <c r="AB71">
        <v>-5.0617000000000001</v>
      </c>
      <c r="AC71">
        <v>316.59199999999998</v>
      </c>
      <c r="AH71">
        <f t="shared" si="4"/>
        <v>3.5499999999999958</v>
      </c>
      <c r="AI71">
        <v>64</v>
      </c>
      <c r="AJ71">
        <v>-2.8963299999999998</v>
      </c>
      <c r="AK71">
        <v>1124.54</v>
      </c>
      <c r="AP71">
        <f t="shared" si="5"/>
        <v>3.5499999999999958</v>
      </c>
      <c r="AQ71">
        <v>64</v>
      </c>
      <c r="AR71">
        <v>-1.92397</v>
      </c>
      <c r="AS71">
        <v>359.03300000000002</v>
      </c>
      <c r="AX71">
        <f t="shared" si="6"/>
        <v>3.5499999999999958</v>
      </c>
      <c r="AY71">
        <v>64</v>
      </c>
      <c r="AZ71">
        <v>4.9463999999999997</v>
      </c>
      <c r="BA71">
        <v>536.72199999999998</v>
      </c>
      <c r="BF71">
        <f t="shared" si="7"/>
        <v>3.5499999999999958</v>
      </c>
      <c r="BG71">
        <v>64</v>
      </c>
      <c r="BH71">
        <v>-3.9523999999999999</v>
      </c>
      <c r="BI71">
        <v>554.97400000000005</v>
      </c>
      <c r="BN71">
        <f t="shared" si="8"/>
        <v>3.5499999999999958</v>
      </c>
      <c r="BO71">
        <v>64</v>
      </c>
      <c r="BP71">
        <v>-3.4808599999999998</v>
      </c>
      <c r="BQ71">
        <v>371.80799999999999</v>
      </c>
      <c r="BV71">
        <f t="shared" si="9"/>
        <v>3.5499999999999958</v>
      </c>
      <c r="BW71">
        <v>64</v>
      </c>
      <c r="BX71">
        <v>-2.4551799999999999</v>
      </c>
      <c r="BY71">
        <v>430.721</v>
      </c>
    </row>
    <row r="72" spans="2:77" x14ac:dyDescent="0.2">
      <c r="B72">
        <f t="shared" si="0"/>
        <v>3.5999999999999956</v>
      </c>
      <c r="C72">
        <v>65</v>
      </c>
      <c r="D72">
        <v>-1.35181</v>
      </c>
      <c r="E72">
        <v>-1477.24</v>
      </c>
      <c r="J72">
        <f t="shared" si="1"/>
        <v>3.5999999999999956</v>
      </c>
      <c r="K72">
        <v>65</v>
      </c>
      <c r="L72">
        <v>-0.85576399999999997</v>
      </c>
      <c r="M72">
        <v>-1273.0899999999999</v>
      </c>
      <c r="R72">
        <f t="shared" si="2"/>
        <v>3.5999999999999956</v>
      </c>
      <c r="S72">
        <v>65</v>
      </c>
      <c r="T72">
        <v>1.3619299999999999E-3</v>
      </c>
      <c r="U72">
        <v>-1340.31</v>
      </c>
      <c r="Z72">
        <f t="shared" si="3"/>
        <v>3.5999999999999956</v>
      </c>
      <c r="AA72">
        <v>65</v>
      </c>
      <c r="AB72">
        <v>-5.0840300000000003</v>
      </c>
      <c r="AC72">
        <v>296.22699999999998</v>
      </c>
      <c r="AH72">
        <f t="shared" si="4"/>
        <v>3.5999999999999956</v>
      </c>
      <c r="AI72">
        <v>65</v>
      </c>
      <c r="AJ72">
        <v>-2.93669</v>
      </c>
      <c r="AK72">
        <v>1091.73</v>
      </c>
      <c r="AP72">
        <f t="shared" si="5"/>
        <v>3.5999999999999956</v>
      </c>
      <c r="AQ72">
        <v>65</v>
      </c>
      <c r="AR72">
        <v>-1.9496599999999999</v>
      </c>
      <c r="AS72">
        <v>346.30700000000002</v>
      </c>
      <c r="AX72">
        <f t="shared" si="6"/>
        <v>3.5999999999999956</v>
      </c>
      <c r="AY72">
        <v>65</v>
      </c>
      <c r="AZ72">
        <v>4.9266500000000004</v>
      </c>
      <c r="BA72">
        <v>547.32100000000003</v>
      </c>
      <c r="BF72">
        <f t="shared" si="7"/>
        <v>3.5999999999999956</v>
      </c>
      <c r="BG72">
        <v>65</v>
      </c>
      <c r="BH72">
        <v>-3.9920300000000002</v>
      </c>
      <c r="BI72">
        <v>532.49199999999996</v>
      </c>
      <c r="BN72">
        <f t="shared" si="8"/>
        <v>3.5999999999999956</v>
      </c>
      <c r="BO72">
        <v>65</v>
      </c>
      <c r="BP72">
        <v>-3.50746</v>
      </c>
      <c r="BQ72">
        <v>358.12700000000001</v>
      </c>
      <c r="BV72">
        <f t="shared" si="9"/>
        <v>3.5999999999999956</v>
      </c>
      <c r="BW72">
        <v>65</v>
      </c>
      <c r="BX72">
        <v>-2.4864199999999999</v>
      </c>
      <c r="BY72">
        <v>426.69299999999998</v>
      </c>
    </row>
    <row r="73" spans="2:77" x14ac:dyDescent="0.2">
      <c r="B73">
        <f t="shared" ref="B73:B107" si="10">B72+0.05</f>
        <v>3.6499999999999955</v>
      </c>
      <c r="C73">
        <v>66</v>
      </c>
      <c r="D73">
        <v>-1.2992600000000001</v>
      </c>
      <c r="E73">
        <v>-1447.78</v>
      </c>
      <c r="J73">
        <f t="shared" ref="J73:J107" si="11">J72+0.05</f>
        <v>3.6499999999999955</v>
      </c>
      <c r="K73">
        <v>66</v>
      </c>
      <c r="L73">
        <v>-0.80975799999999998</v>
      </c>
      <c r="M73">
        <v>-1288.04</v>
      </c>
      <c r="R73">
        <f t="shared" ref="R73:R107" si="12">R72+0.05</f>
        <v>3.6499999999999955</v>
      </c>
      <c r="S73">
        <v>66</v>
      </c>
      <c r="T73">
        <v>4.9388399999999999E-2</v>
      </c>
      <c r="U73">
        <v>-1333.05</v>
      </c>
      <c r="Z73">
        <f t="shared" ref="Z73:Z107" si="13">Z72+0.05</f>
        <v>3.6499999999999955</v>
      </c>
      <c r="AA73">
        <v>66</v>
      </c>
      <c r="AB73">
        <v>-5.1046100000000001</v>
      </c>
      <c r="AC73">
        <v>276.88200000000001</v>
      </c>
      <c r="AH73">
        <f t="shared" ref="AH73:AH107" si="14">AH72+0.05</f>
        <v>3.6499999999999955</v>
      </c>
      <c r="AI73">
        <v>66</v>
      </c>
      <c r="AJ73">
        <v>-2.9754299999999998</v>
      </c>
      <c r="AK73">
        <v>1065.98</v>
      </c>
      <c r="AP73">
        <f t="shared" ref="AP73:AP107" si="15">AP72+0.05</f>
        <v>3.6499999999999955</v>
      </c>
      <c r="AQ73">
        <v>66</v>
      </c>
      <c r="AR73">
        <v>-1.9741299999999999</v>
      </c>
      <c r="AS73">
        <v>334.72300000000001</v>
      </c>
      <c r="AX73">
        <f t="shared" ref="AX73:AX107" si="16">AX72+0.05</f>
        <v>3.6499999999999955</v>
      </c>
      <c r="AY73">
        <v>66</v>
      </c>
      <c r="AZ73">
        <v>4.90679</v>
      </c>
      <c r="BA73">
        <v>558.01300000000003</v>
      </c>
      <c r="BF73">
        <f t="shared" ref="BF73:BF107" si="17">BF72+0.05</f>
        <v>3.6499999999999955</v>
      </c>
      <c r="BG73">
        <v>66</v>
      </c>
      <c r="BH73">
        <v>-4.0294699999999999</v>
      </c>
      <c r="BI73">
        <v>509.28</v>
      </c>
      <c r="BN73">
        <f t="shared" ref="BN73:BN107" si="18">BN72+0.05</f>
        <v>3.6499999999999955</v>
      </c>
      <c r="BO73">
        <v>66</v>
      </c>
      <c r="BP73">
        <v>-3.5327099999999998</v>
      </c>
      <c r="BQ73">
        <v>344.71800000000002</v>
      </c>
      <c r="BV73">
        <f t="shared" ref="BV73:BV107" si="19">BV72+0.05</f>
        <v>3.6499999999999955</v>
      </c>
      <c r="BW73">
        <v>66</v>
      </c>
      <c r="BX73">
        <v>-2.51695</v>
      </c>
      <c r="BY73">
        <v>422.86</v>
      </c>
    </row>
    <row r="74" spans="2:77" x14ac:dyDescent="0.2">
      <c r="B74">
        <f t="shared" si="10"/>
        <v>3.6999999999999953</v>
      </c>
      <c r="C74">
        <v>67</v>
      </c>
      <c r="D74">
        <v>-1.24847</v>
      </c>
      <c r="E74">
        <v>-1418.42</v>
      </c>
      <c r="J74">
        <f t="shared" si="11"/>
        <v>3.6999999999999953</v>
      </c>
      <c r="K74">
        <v>67</v>
      </c>
      <c r="L74">
        <v>-0.76382799999999995</v>
      </c>
      <c r="M74">
        <v>-1304.6500000000001</v>
      </c>
      <c r="R74">
        <f t="shared" si="12"/>
        <v>3.6999999999999953</v>
      </c>
      <c r="S74">
        <v>67</v>
      </c>
      <c r="T74">
        <v>9.6504300000000001E-2</v>
      </c>
      <c r="U74">
        <v>-1326.26</v>
      </c>
      <c r="Z74">
        <f t="shared" si="13"/>
        <v>3.6999999999999953</v>
      </c>
      <c r="AA74">
        <v>67</v>
      </c>
      <c r="AB74">
        <v>-5.1235799999999996</v>
      </c>
      <c r="AC74">
        <v>258.529</v>
      </c>
      <c r="AH74">
        <f t="shared" si="14"/>
        <v>3.6999999999999953</v>
      </c>
      <c r="AI74">
        <v>67</v>
      </c>
      <c r="AJ74">
        <v>-3.0128400000000002</v>
      </c>
      <c r="AK74">
        <v>1046.48</v>
      </c>
      <c r="AP74">
        <f t="shared" si="15"/>
        <v>3.6999999999999953</v>
      </c>
      <c r="AQ74">
        <v>67</v>
      </c>
      <c r="AR74">
        <v>-1.9974700000000001</v>
      </c>
      <c r="AS74">
        <v>324.23</v>
      </c>
      <c r="AX74">
        <f t="shared" si="16"/>
        <v>3.6999999999999953</v>
      </c>
      <c r="AY74">
        <v>67</v>
      </c>
      <c r="AZ74">
        <v>4.8868200000000002</v>
      </c>
      <c r="BA74">
        <v>569.56500000000005</v>
      </c>
      <c r="BF74">
        <f t="shared" si="17"/>
        <v>3.6999999999999953</v>
      </c>
      <c r="BG74">
        <v>67</v>
      </c>
      <c r="BH74">
        <v>-4.06473</v>
      </c>
      <c r="BI74">
        <v>485.85700000000003</v>
      </c>
      <c r="BN74">
        <f t="shared" si="18"/>
        <v>3.6999999999999953</v>
      </c>
      <c r="BO74">
        <v>67</v>
      </c>
      <c r="BP74">
        <v>-3.5566800000000001</v>
      </c>
      <c r="BQ74">
        <v>331.63499999999999</v>
      </c>
      <c r="BV74">
        <f t="shared" si="19"/>
        <v>3.6999999999999953</v>
      </c>
      <c r="BW74">
        <v>67</v>
      </c>
      <c r="BX74">
        <v>-2.54678</v>
      </c>
      <c r="BY74">
        <v>419.04300000000001</v>
      </c>
    </row>
    <row r="75" spans="2:77" x14ac:dyDescent="0.2">
      <c r="B75">
        <f t="shared" si="10"/>
        <v>3.7499999999999951</v>
      </c>
      <c r="C75">
        <v>68</v>
      </c>
      <c r="D75">
        <v>-1.1994100000000001</v>
      </c>
      <c r="E75">
        <v>-1388.6</v>
      </c>
      <c r="J75">
        <f t="shared" si="11"/>
        <v>3.7499999999999951</v>
      </c>
      <c r="K75">
        <v>68</v>
      </c>
      <c r="L75">
        <v>-0.71791099999999997</v>
      </c>
      <c r="M75">
        <v>-1323.04</v>
      </c>
      <c r="R75">
        <f t="shared" si="12"/>
        <v>3.7499999999999951</v>
      </c>
      <c r="S75">
        <v>68</v>
      </c>
      <c r="T75">
        <v>0.14274500000000001</v>
      </c>
      <c r="U75">
        <v>-1319.61</v>
      </c>
      <c r="Z75">
        <f t="shared" si="13"/>
        <v>3.7499999999999951</v>
      </c>
      <c r="AA75">
        <v>68</v>
      </c>
      <c r="AB75">
        <v>-5.1410400000000003</v>
      </c>
      <c r="AC75">
        <v>241.15700000000001</v>
      </c>
      <c r="AH75">
        <f t="shared" si="14"/>
        <v>3.7499999999999951</v>
      </c>
      <c r="AI75">
        <v>68</v>
      </c>
      <c r="AJ75">
        <v>-3.0491600000000001</v>
      </c>
      <c r="AK75">
        <v>1032.1099999999999</v>
      </c>
      <c r="AP75">
        <f t="shared" si="15"/>
        <v>3.7499999999999951</v>
      </c>
      <c r="AQ75">
        <v>68</v>
      </c>
      <c r="AR75">
        <v>-2.0198</v>
      </c>
      <c r="AS75">
        <v>314.72199999999998</v>
      </c>
      <c r="AX75">
        <f t="shared" si="16"/>
        <v>3.7499999999999951</v>
      </c>
      <c r="AY75">
        <v>68</v>
      </c>
      <c r="AZ75">
        <v>4.8666900000000002</v>
      </c>
      <c r="BA75">
        <v>582.43799999999999</v>
      </c>
      <c r="BF75">
        <f t="shared" si="17"/>
        <v>3.7499999999999951</v>
      </c>
      <c r="BG75">
        <v>68</v>
      </c>
      <c r="BH75">
        <v>-4.0978899999999996</v>
      </c>
      <c r="BI75">
        <v>462.72</v>
      </c>
      <c r="BN75">
        <f t="shared" si="18"/>
        <v>3.7499999999999951</v>
      </c>
      <c r="BO75">
        <v>68</v>
      </c>
      <c r="BP75">
        <v>-3.5794100000000002</v>
      </c>
      <c r="BQ75">
        <v>318.88299999999998</v>
      </c>
      <c r="BV75">
        <f t="shared" si="19"/>
        <v>3.7499999999999951</v>
      </c>
      <c r="BW75">
        <v>68</v>
      </c>
      <c r="BX75">
        <v>-2.5759400000000001</v>
      </c>
      <c r="BY75">
        <v>415.06099999999998</v>
      </c>
    </row>
    <row r="76" spans="2:77" x14ac:dyDescent="0.2">
      <c r="B76">
        <f t="shared" si="10"/>
        <v>3.7999999999999949</v>
      </c>
      <c r="C76">
        <v>69</v>
      </c>
      <c r="D76">
        <v>-1.1520600000000001</v>
      </c>
      <c r="E76">
        <v>-1357.68</v>
      </c>
      <c r="J76">
        <f t="shared" si="11"/>
        <v>3.7999999999999949</v>
      </c>
      <c r="K76">
        <v>69</v>
      </c>
      <c r="L76">
        <v>-0.67194900000000002</v>
      </c>
      <c r="M76">
        <v>-1342.92</v>
      </c>
      <c r="R76">
        <f t="shared" si="12"/>
        <v>3.7999999999999949</v>
      </c>
      <c r="S76">
        <v>69</v>
      </c>
      <c r="T76">
        <v>0.18813199999999999</v>
      </c>
      <c r="U76">
        <v>-1312.61</v>
      </c>
      <c r="Z76">
        <f t="shared" si="13"/>
        <v>3.7999999999999949</v>
      </c>
      <c r="AA76">
        <v>69</v>
      </c>
      <c r="AB76">
        <v>-5.1571100000000003</v>
      </c>
      <c r="AC76">
        <v>224.774</v>
      </c>
      <c r="AH76">
        <f t="shared" si="14"/>
        <v>3.7999999999999949</v>
      </c>
      <c r="AI76">
        <v>69</v>
      </c>
      <c r="AJ76">
        <v>-3.0845600000000002</v>
      </c>
      <c r="AK76">
        <v>1021.52</v>
      </c>
      <c r="AP76">
        <f t="shared" si="15"/>
        <v>3.7999999999999949</v>
      </c>
      <c r="AQ76">
        <v>69</v>
      </c>
      <c r="AR76">
        <v>-2.0411999999999999</v>
      </c>
      <c r="AS76">
        <v>306.03899999999999</v>
      </c>
      <c r="AX76">
        <f t="shared" si="16"/>
        <v>3.7999999999999949</v>
      </c>
      <c r="AY76">
        <v>69</v>
      </c>
      <c r="AZ76">
        <v>4.8463700000000003</v>
      </c>
      <c r="BA76">
        <v>596.74300000000005</v>
      </c>
      <c r="BF76">
        <f t="shared" si="17"/>
        <v>3.7999999999999949</v>
      </c>
      <c r="BG76">
        <v>69</v>
      </c>
      <c r="BH76">
        <v>-4.1290199999999997</v>
      </c>
      <c r="BI76">
        <v>440.29599999999999</v>
      </c>
      <c r="BN76">
        <f t="shared" si="18"/>
        <v>3.7999999999999949</v>
      </c>
      <c r="BO76">
        <v>69</v>
      </c>
      <c r="BP76">
        <v>-3.6009799999999998</v>
      </c>
      <c r="BQ76">
        <v>306.42500000000001</v>
      </c>
      <c r="BV76">
        <f t="shared" si="19"/>
        <v>3.7999999999999949</v>
      </c>
      <c r="BW76">
        <v>69</v>
      </c>
      <c r="BX76">
        <v>-2.6044100000000001</v>
      </c>
      <c r="BY76">
        <v>410.71300000000002</v>
      </c>
    </row>
    <row r="77" spans="2:77" x14ac:dyDescent="0.2">
      <c r="B77">
        <f t="shared" si="10"/>
        <v>3.8499999999999948</v>
      </c>
      <c r="C77">
        <v>70</v>
      </c>
      <c r="D77">
        <v>-1.1064099999999999</v>
      </c>
      <c r="E77">
        <v>-1324.93</v>
      </c>
      <c r="J77">
        <f t="shared" si="11"/>
        <v>3.8499999999999948</v>
      </c>
      <c r="K77">
        <v>70</v>
      </c>
      <c r="L77">
        <v>-0.62590299999999999</v>
      </c>
      <c r="M77">
        <v>-1363.58</v>
      </c>
      <c r="R77">
        <f t="shared" si="12"/>
        <v>3.8499999999999948</v>
      </c>
      <c r="S77">
        <v>70</v>
      </c>
      <c r="T77">
        <v>0.23266500000000001</v>
      </c>
      <c r="U77">
        <v>-1304.67</v>
      </c>
      <c r="Z77">
        <f t="shared" si="13"/>
        <v>3.8499999999999948</v>
      </c>
      <c r="AA77">
        <v>70</v>
      </c>
      <c r="AB77">
        <v>-5.1718700000000002</v>
      </c>
      <c r="AC77">
        <v>209.404</v>
      </c>
      <c r="AH77">
        <f t="shared" si="14"/>
        <v>3.8499999999999948</v>
      </c>
      <c r="AI77">
        <v>70</v>
      </c>
      <c r="AJ77">
        <v>-3.11917</v>
      </c>
      <c r="AK77">
        <v>1013.22</v>
      </c>
      <c r="AP77">
        <f t="shared" si="15"/>
        <v>3.8499999999999948</v>
      </c>
      <c r="AQ77">
        <v>70</v>
      </c>
      <c r="AR77">
        <v>-2.06175</v>
      </c>
      <c r="AS77">
        <v>297.976</v>
      </c>
      <c r="AX77">
        <f t="shared" si="16"/>
        <v>3.8499999999999948</v>
      </c>
      <c r="AY77">
        <v>70</v>
      </c>
      <c r="AZ77">
        <v>4.8258000000000001</v>
      </c>
      <c r="BA77">
        <v>612.23900000000003</v>
      </c>
      <c r="BF77">
        <f t="shared" si="17"/>
        <v>3.8499999999999948</v>
      </c>
      <c r="BG77">
        <v>70</v>
      </c>
      <c r="BH77">
        <v>-4.1582600000000003</v>
      </c>
      <c r="BI77">
        <v>418.916</v>
      </c>
      <c r="BN77">
        <f t="shared" si="18"/>
        <v>3.8499999999999948</v>
      </c>
      <c r="BO77">
        <v>70</v>
      </c>
      <c r="BP77">
        <v>-3.62141</v>
      </c>
      <c r="BQ77">
        <v>294.18400000000003</v>
      </c>
      <c r="BV77">
        <f t="shared" si="19"/>
        <v>3.8499999999999948</v>
      </c>
      <c r="BW77">
        <v>70</v>
      </c>
      <c r="BX77">
        <v>-2.6322000000000001</v>
      </c>
      <c r="BY77">
        <v>405.774</v>
      </c>
    </row>
    <row r="78" spans="2:77" x14ac:dyDescent="0.2">
      <c r="B78">
        <f t="shared" si="10"/>
        <v>3.8999999999999946</v>
      </c>
      <c r="C78">
        <v>71</v>
      </c>
      <c r="D78">
        <v>-1.0625</v>
      </c>
      <c r="E78">
        <v>-1289.6199999999999</v>
      </c>
      <c r="J78">
        <f t="shared" si="11"/>
        <v>3.8999999999999946</v>
      </c>
      <c r="K78">
        <v>71</v>
      </c>
      <c r="L78">
        <v>-0.57976700000000003</v>
      </c>
      <c r="M78">
        <v>-1383.92</v>
      </c>
      <c r="R78">
        <f t="shared" si="12"/>
        <v>3.8999999999999946</v>
      </c>
      <c r="S78">
        <v>71</v>
      </c>
      <c r="T78">
        <v>0.27632400000000001</v>
      </c>
      <c r="U78">
        <v>-1295.1099999999999</v>
      </c>
      <c r="Z78">
        <f t="shared" si="13"/>
        <v>3.8999999999999946</v>
      </c>
      <c r="AA78">
        <v>71</v>
      </c>
      <c r="AB78">
        <v>-5.1854500000000003</v>
      </c>
      <c r="AC78">
        <v>195.083</v>
      </c>
      <c r="AH78">
        <f t="shared" si="14"/>
        <v>3.8999999999999946</v>
      </c>
      <c r="AI78">
        <v>71</v>
      </c>
      <c r="AJ78">
        <v>-3.15307</v>
      </c>
      <c r="AK78">
        <v>1005.66</v>
      </c>
      <c r="AP78">
        <f t="shared" si="15"/>
        <v>3.8999999999999946</v>
      </c>
      <c r="AQ78">
        <v>71</v>
      </c>
      <c r="AR78">
        <v>-2.0815100000000002</v>
      </c>
      <c r="AS78">
        <v>290.29599999999999</v>
      </c>
      <c r="AX78">
        <f t="shared" si="16"/>
        <v>3.8999999999999946</v>
      </c>
      <c r="AY78">
        <v>71</v>
      </c>
      <c r="AZ78">
        <v>4.80497</v>
      </c>
      <c r="BA78">
        <v>628.36400000000003</v>
      </c>
      <c r="BF78">
        <f t="shared" si="17"/>
        <v>3.8999999999999946</v>
      </c>
      <c r="BG78">
        <v>71</v>
      </c>
      <c r="BH78">
        <v>-4.1857100000000003</v>
      </c>
      <c r="BI78">
        <v>398.79599999999999</v>
      </c>
      <c r="BN78">
        <f t="shared" si="18"/>
        <v>3.8999999999999946</v>
      </c>
      <c r="BO78">
        <v>71</v>
      </c>
      <c r="BP78">
        <v>-3.6407699999999998</v>
      </c>
      <c r="BQ78">
        <v>282.05500000000001</v>
      </c>
      <c r="BV78">
        <f t="shared" si="19"/>
        <v>3.8999999999999946</v>
      </c>
      <c r="BW78">
        <v>71</v>
      </c>
      <c r="BX78">
        <v>-2.6592699999999998</v>
      </c>
      <c r="BY78">
        <v>399.99599999999998</v>
      </c>
    </row>
    <row r="79" spans="2:77" x14ac:dyDescent="0.2">
      <c r="B79">
        <f t="shared" si="10"/>
        <v>3.9499999999999944</v>
      </c>
      <c r="C79">
        <v>72</v>
      </c>
      <c r="D79">
        <v>-1.02037</v>
      </c>
      <c r="E79">
        <v>-1251.1199999999999</v>
      </c>
      <c r="J79">
        <f t="shared" si="11"/>
        <v>3.9499999999999944</v>
      </c>
      <c r="K79">
        <v>72</v>
      </c>
      <c r="L79">
        <v>-0.53357699999999997</v>
      </c>
      <c r="M79">
        <v>-1402.52</v>
      </c>
      <c r="R79">
        <f t="shared" si="12"/>
        <v>3.9499999999999944</v>
      </c>
      <c r="S79">
        <v>72</v>
      </c>
      <c r="T79">
        <v>0.31906699999999999</v>
      </c>
      <c r="U79">
        <v>-1283.27</v>
      </c>
      <c r="Z79">
        <f t="shared" si="13"/>
        <v>3.9499999999999944</v>
      </c>
      <c r="AA79">
        <v>72</v>
      </c>
      <c r="AB79">
        <v>-5.19794</v>
      </c>
      <c r="AC79">
        <v>181.84800000000001</v>
      </c>
      <c r="AH79">
        <f t="shared" si="14"/>
        <v>3.9499999999999944</v>
      </c>
      <c r="AI79">
        <v>72</v>
      </c>
      <c r="AJ79">
        <v>-3.1862699999999999</v>
      </c>
      <c r="AK79">
        <v>997.31399999999996</v>
      </c>
      <c r="AP79">
        <f t="shared" si="15"/>
        <v>3.9499999999999944</v>
      </c>
      <c r="AQ79">
        <v>72</v>
      </c>
      <c r="AR79">
        <v>-2.1004999999999998</v>
      </c>
      <c r="AS79">
        <v>282.74</v>
      </c>
      <c r="AX79">
        <f t="shared" si="16"/>
        <v>3.9499999999999944</v>
      </c>
      <c r="AY79">
        <v>72</v>
      </c>
      <c r="AZ79">
        <v>4.7838799999999999</v>
      </c>
      <c r="BA79">
        <v>644.30499999999995</v>
      </c>
      <c r="BF79">
        <f t="shared" si="17"/>
        <v>3.9499999999999944</v>
      </c>
      <c r="BG79">
        <v>72</v>
      </c>
      <c r="BH79">
        <v>-4.2115200000000002</v>
      </c>
      <c r="BI79">
        <v>380.03199999999998</v>
      </c>
      <c r="BN79">
        <f t="shared" si="18"/>
        <v>3.9499999999999944</v>
      </c>
      <c r="BO79">
        <v>72</v>
      </c>
      <c r="BP79">
        <v>-3.6590600000000002</v>
      </c>
      <c r="BQ79">
        <v>269.91399999999999</v>
      </c>
      <c r="BV79">
        <f t="shared" si="19"/>
        <v>3.9499999999999944</v>
      </c>
      <c r="BW79">
        <v>72</v>
      </c>
      <c r="BX79">
        <v>-2.6855600000000002</v>
      </c>
      <c r="BY79">
        <v>393.11200000000002</v>
      </c>
    </row>
    <row r="80" spans="2:77" x14ac:dyDescent="0.2">
      <c r="B80">
        <f t="shared" si="10"/>
        <v>3.9999999999999942</v>
      </c>
      <c r="C80">
        <v>73</v>
      </c>
      <c r="D80">
        <v>-0.98010799999999998</v>
      </c>
      <c r="E80">
        <v>-1208.93</v>
      </c>
      <c r="J80">
        <f t="shared" si="11"/>
        <v>3.9999999999999942</v>
      </c>
      <c r="K80">
        <v>73</v>
      </c>
      <c r="L80">
        <v>-0.48741699999999999</v>
      </c>
      <c r="M80">
        <v>-1417.75</v>
      </c>
      <c r="R80">
        <f t="shared" si="12"/>
        <v>3.9999999999999942</v>
      </c>
      <c r="S80">
        <v>73</v>
      </c>
      <c r="T80">
        <v>0.36083199999999999</v>
      </c>
      <c r="U80">
        <v>-1268.54</v>
      </c>
      <c r="Z80">
        <f t="shared" si="13"/>
        <v>3.9999999999999942</v>
      </c>
      <c r="AA80">
        <v>73</v>
      </c>
      <c r="AB80">
        <v>-5.2094399999999998</v>
      </c>
      <c r="AC80">
        <v>169.73699999999999</v>
      </c>
      <c r="AH80">
        <f t="shared" si="14"/>
        <v>3.9999999999999942</v>
      </c>
      <c r="AI80">
        <v>73</v>
      </c>
      <c r="AJ80">
        <v>-3.21875</v>
      </c>
      <c r="AK80">
        <v>986.82100000000003</v>
      </c>
      <c r="AP80">
        <f t="shared" si="15"/>
        <v>3.9999999999999942</v>
      </c>
      <c r="AQ80">
        <v>73</v>
      </c>
      <c r="AR80">
        <v>-2.11876</v>
      </c>
      <c r="AS80">
        <v>275.05200000000002</v>
      </c>
      <c r="AX80">
        <f t="shared" si="16"/>
        <v>3.9999999999999942</v>
      </c>
      <c r="AY80">
        <v>73</v>
      </c>
      <c r="AZ80">
        <v>4.7625400000000004</v>
      </c>
      <c r="BA80">
        <v>659.09199999999998</v>
      </c>
      <c r="BF80">
        <f t="shared" si="17"/>
        <v>3.9999999999999942</v>
      </c>
      <c r="BG80">
        <v>73</v>
      </c>
      <c r="BH80">
        <v>-4.2358200000000004</v>
      </c>
      <c r="BI80">
        <v>362.60899999999998</v>
      </c>
      <c r="BN80">
        <f t="shared" si="18"/>
        <v>3.9999999999999942</v>
      </c>
      <c r="BO80">
        <v>73</v>
      </c>
      <c r="BP80">
        <v>-3.6763300000000001</v>
      </c>
      <c r="BQ80">
        <v>257.63</v>
      </c>
      <c r="BV80">
        <f t="shared" si="19"/>
        <v>3.9999999999999942</v>
      </c>
      <c r="BW80">
        <v>73</v>
      </c>
      <c r="BX80">
        <v>-2.7110300000000001</v>
      </c>
      <c r="BY80">
        <v>384.858</v>
      </c>
    </row>
    <row r="81" spans="2:77" x14ac:dyDescent="0.2">
      <c r="B81">
        <f t="shared" si="10"/>
        <v>4.0499999999999945</v>
      </c>
      <c r="C81">
        <v>74</v>
      </c>
      <c r="D81">
        <v>-0.941774</v>
      </c>
      <c r="E81">
        <v>-1162.82</v>
      </c>
      <c r="J81">
        <f t="shared" si="11"/>
        <v>4.0499999999999945</v>
      </c>
      <c r="K81">
        <v>74</v>
      </c>
      <c r="L81">
        <v>-0.44142199999999998</v>
      </c>
      <c r="M81">
        <v>-1427.98</v>
      </c>
      <c r="R81">
        <f t="shared" si="12"/>
        <v>4.0499999999999945</v>
      </c>
      <c r="S81">
        <v>74</v>
      </c>
      <c r="T81">
        <v>0.40154299999999998</v>
      </c>
      <c r="U81">
        <v>-1250.48</v>
      </c>
      <c r="Z81">
        <f t="shared" si="13"/>
        <v>4.0499999999999945</v>
      </c>
      <c r="AA81">
        <v>74</v>
      </c>
      <c r="AB81">
        <v>-5.2200499999999996</v>
      </c>
      <c r="AC81">
        <v>158.76900000000001</v>
      </c>
      <c r="AH81">
        <f t="shared" si="14"/>
        <v>4.0499999999999945</v>
      </c>
      <c r="AI81">
        <v>74</v>
      </c>
      <c r="AJ81">
        <v>-3.2504300000000002</v>
      </c>
      <c r="AK81">
        <v>973.05700000000002</v>
      </c>
      <c r="AP81">
        <f t="shared" si="15"/>
        <v>4.0499999999999945</v>
      </c>
      <c r="AQ81">
        <v>74</v>
      </c>
      <c r="AR81">
        <v>-2.1362800000000002</v>
      </c>
      <c r="AS81">
        <v>266.99599999999998</v>
      </c>
      <c r="AX81">
        <f t="shared" si="16"/>
        <v>4.0499999999999945</v>
      </c>
      <c r="AY81">
        <v>74</v>
      </c>
      <c r="AZ81">
        <v>4.7410300000000003</v>
      </c>
      <c r="BA81">
        <v>671.721</v>
      </c>
      <c r="BF81">
        <f t="shared" si="17"/>
        <v>4.0499999999999945</v>
      </c>
      <c r="BG81">
        <v>74</v>
      </c>
      <c r="BH81">
        <v>-4.2587299999999999</v>
      </c>
      <c r="BI81">
        <v>346.42</v>
      </c>
      <c r="BN81">
        <f t="shared" si="18"/>
        <v>4.0499999999999945</v>
      </c>
      <c r="BO81">
        <v>74</v>
      </c>
      <c r="BP81">
        <v>-3.69258</v>
      </c>
      <c r="BQ81">
        <v>245.07599999999999</v>
      </c>
      <c r="BV81">
        <f t="shared" si="19"/>
        <v>4.0499999999999945</v>
      </c>
      <c r="BW81">
        <v>74</v>
      </c>
      <c r="BX81">
        <v>-2.7355999999999998</v>
      </c>
      <c r="BY81">
        <v>374.99799999999999</v>
      </c>
    </row>
    <row r="82" spans="2:77" x14ac:dyDescent="0.2">
      <c r="B82">
        <f t="shared" si="10"/>
        <v>4.0999999999999943</v>
      </c>
      <c r="C82">
        <v>75</v>
      </c>
      <c r="D82">
        <v>-0.90544999999999998</v>
      </c>
      <c r="E82">
        <v>-1112.8699999999999</v>
      </c>
      <c r="J82">
        <f t="shared" si="11"/>
        <v>4.0999999999999943</v>
      </c>
      <c r="K82">
        <v>75</v>
      </c>
      <c r="L82">
        <v>-0.39577200000000001</v>
      </c>
      <c r="M82">
        <v>-1431.76</v>
      </c>
      <c r="R82">
        <f t="shared" si="12"/>
        <v>4.0999999999999943</v>
      </c>
      <c r="S82">
        <v>75</v>
      </c>
      <c r="T82">
        <v>0.44111600000000001</v>
      </c>
      <c r="U82">
        <v>-1228.9100000000001</v>
      </c>
      <c r="Z82">
        <f t="shared" si="13"/>
        <v>4.0999999999999943</v>
      </c>
      <c r="AA82">
        <v>75</v>
      </c>
      <c r="AB82">
        <v>-5.22987</v>
      </c>
      <c r="AC82">
        <v>148.94399999999999</v>
      </c>
      <c r="AH82">
        <f t="shared" si="14"/>
        <v>4.0999999999999943</v>
      </c>
      <c r="AI82">
        <v>75</v>
      </c>
      <c r="AJ82">
        <v>-3.2812100000000002</v>
      </c>
      <c r="AK82">
        <v>955.24199999999996</v>
      </c>
      <c r="AP82">
        <f t="shared" si="15"/>
        <v>4.0999999999999943</v>
      </c>
      <c r="AQ82">
        <v>75</v>
      </c>
      <c r="AR82">
        <v>-2.1530499999999999</v>
      </c>
      <c r="AS82">
        <v>258.38400000000001</v>
      </c>
      <c r="AX82">
        <f t="shared" si="16"/>
        <v>4.0999999999999943</v>
      </c>
      <c r="AY82">
        <v>75</v>
      </c>
      <c r="AZ82">
        <v>4.7194399999999996</v>
      </c>
      <c r="BA82">
        <v>681.28200000000004</v>
      </c>
      <c r="BF82">
        <f t="shared" si="17"/>
        <v>4.0999999999999943</v>
      </c>
      <c r="BG82">
        <v>75</v>
      </c>
      <c r="BH82">
        <v>-4.2803500000000003</v>
      </c>
      <c r="BI82">
        <v>331.29</v>
      </c>
      <c r="BN82">
        <f t="shared" si="18"/>
        <v>4.0999999999999943</v>
      </c>
      <c r="BO82">
        <v>75</v>
      </c>
      <c r="BP82">
        <v>-3.7078099999999998</v>
      </c>
      <c r="BQ82">
        <v>232.142</v>
      </c>
      <c r="BV82">
        <f t="shared" si="19"/>
        <v>4.0999999999999943</v>
      </c>
      <c r="BW82">
        <v>75</v>
      </c>
      <c r="BX82">
        <v>-2.7591700000000001</v>
      </c>
      <c r="BY82">
        <v>363.35599999999999</v>
      </c>
    </row>
    <row r="83" spans="2:77" x14ac:dyDescent="0.2">
      <c r="B83">
        <f t="shared" si="10"/>
        <v>4.1499999999999941</v>
      </c>
      <c r="C83">
        <v>76</v>
      </c>
      <c r="D83">
        <v>-0.871201</v>
      </c>
      <c r="E83">
        <v>-1059.56</v>
      </c>
      <c r="J83">
        <f t="shared" si="11"/>
        <v>4.1499999999999941</v>
      </c>
      <c r="K83">
        <v>76</v>
      </c>
      <c r="L83">
        <v>-0.35067700000000002</v>
      </c>
      <c r="M83">
        <v>-1428.07</v>
      </c>
      <c r="R83">
        <f t="shared" si="12"/>
        <v>4.1499999999999941</v>
      </c>
      <c r="S83">
        <v>76</v>
      </c>
      <c r="T83">
        <v>0.47947000000000001</v>
      </c>
      <c r="U83">
        <v>-1203.97</v>
      </c>
      <c r="Z83">
        <f t="shared" si="13"/>
        <v>4.1499999999999941</v>
      </c>
      <c r="AA83">
        <v>76</v>
      </c>
      <c r="AB83">
        <v>-5.2389799999999997</v>
      </c>
      <c r="AC83">
        <v>140.221</v>
      </c>
      <c r="AH83">
        <f t="shared" si="14"/>
        <v>4.1499999999999941</v>
      </c>
      <c r="AI83">
        <v>76</v>
      </c>
      <c r="AJ83">
        <v>-3.3109799999999998</v>
      </c>
      <c r="AK83">
        <v>933.01900000000001</v>
      </c>
      <c r="AP83">
        <f t="shared" si="15"/>
        <v>4.1499999999999941</v>
      </c>
      <c r="AQ83">
        <v>76</v>
      </c>
      <c r="AR83">
        <v>-2.1690499999999999</v>
      </c>
      <c r="AS83">
        <v>249.09899999999999</v>
      </c>
      <c r="AX83">
        <f t="shared" si="16"/>
        <v>4.1499999999999941</v>
      </c>
      <c r="AY83">
        <v>76</v>
      </c>
      <c r="AZ83">
        <v>4.6978600000000004</v>
      </c>
      <c r="BA83">
        <v>687.10299999999995</v>
      </c>
      <c r="BF83">
        <f t="shared" si="17"/>
        <v>4.1499999999999941</v>
      </c>
      <c r="BG83">
        <v>76</v>
      </c>
      <c r="BH83">
        <v>-4.3007799999999996</v>
      </c>
      <c r="BI83">
        <v>317.00099999999998</v>
      </c>
      <c r="BN83">
        <f t="shared" si="18"/>
        <v>4.1499999999999941</v>
      </c>
      <c r="BO83">
        <v>76</v>
      </c>
      <c r="BP83">
        <v>-3.7220300000000002</v>
      </c>
      <c r="BQ83">
        <v>218.74299999999999</v>
      </c>
      <c r="BV83">
        <f t="shared" si="19"/>
        <v>4.1499999999999941</v>
      </c>
      <c r="BW83">
        <v>76</v>
      </c>
      <c r="BX83">
        <v>-2.78166</v>
      </c>
      <c r="BY83">
        <v>349.84899999999999</v>
      </c>
    </row>
    <row r="84" spans="2:77" x14ac:dyDescent="0.2">
      <c r="B84">
        <f t="shared" si="10"/>
        <v>4.199999999999994</v>
      </c>
      <c r="C84">
        <v>77</v>
      </c>
      <c r="D84">
        <v>-0.83906800000000004</v>
      </c>
      <c r="E84">
        <v>-1003.83</v>
      </c>
      <c r="J84">
        <f t="shared" si="11"/>
        <v>4.199999999999994</v>
      </c>
      <c r="K84">
        <v>77</v>
      </c>
      <c r="L84">
        <v>-0.30636600000000003</v>
      </c>
      <c r="M84">
        <v>-1416.58</v>
      </c>
      <c r="R84">
        <f t="shared" si="12"/>
        <v>4.199999999999994</v>
      </c>
      <c r="S84">
        <v>77</v>
      </c>
      <c r="T84">
        <v>0.516536</v>
      </c>
      <c r="U84">
        <v>-1176.17</v>
      </c>
      <c r="Z84">
        <f t="shared" si="13"/>
        <v>4.199999999999994</v>
      </c>
      <c r="AA84">
        <v>77</v>
      </c>
      <c r="AB84">
        <v>-5.2474699999999999</v>
      </c>
      <c r="AC84">
        <v>132.51300000000001</v>
      </c>
      <c r="AH84">
        <f t="shared" si="14"/>
        <v>4.199999999999994</v>
      </c>
      <c r="AI84">
        <v>77</v>
      </c>
      <c r="AJ84">
        <v>-3.3396300000000001</v>
      </c>
      <c r="AK84">
        <v>906.52</v>
      </c>
      <c r="AP84">
        <f t="shared" si="15"/>
        <v>4.199999999999994</v>
      </c>
      <c r="AQ84">
        <v>77</v>
      </c>
      <c r="AR84">
        <v>-2.1842600000000001</v>
      </c>
      <c r="AS84">
        <v>239.12</v>
      </c>
      <c r="AX84">
        <f t="shared" si="16"/>
        <v>4.199999999999994</v>
      </c>
      <c r="AY84">
        <v>77</v>
      </c>
      <c r="AZ84">
        <v>4.6764200000000002</v>
      </c>
      <c r="BA84">
        <v>688.875</v>
      </c>
      <c r="BF84">
        <f t="shared" si="17"/>
        <v>4.199999999999994</v>
      </c>
      <c r="BG84">
        <v>77</v>
      </c>
      <c r="BH84">
        <v>-4.3201000000000001</v>
      </c>
      <c r="BI84">
        <v>303.31400000000002</v>
      </c>
      <c r="BN84">
        <f t="shared" si="18"/>
        <v>4.199999999999994</v>
      </c>
      <c r="BO84">
        <v>77</v>
      </c>
      <c r="BP84">
        <v>-3.73522</v>
      </c>
      <c r="BQ84">
        <v>204.84</v>
      </c>
      <c r="BV84">
        <f t="shared" si="19"/>
        <v>4.199999999999994</v>
      </c>
      <c r="BW84">
        <v>77</v>
      </c>
      <c r="BX84">
        <v>-2.8029899999999999</v>
      </c>
      <c r="BY84">
        <v>334.52199999999999</v>
      </c>
    </row>
    <row r="85" spans="2:77" x14ac:dyDescent="0.2">
      <c r="B85">
        <f t="shared" si="10"/>
        <v>4.2499999999999938</v>
      </c>
      <c r="C85">
        <v>78</v>
      </c>
      <c r="D85">
        <v>-0.80905300000000002</v>
      </c>
      <c r="E85">
        <v>-947.11400000000003</v>
      </c>
      <c r="J85">
        <f t="shared" si="11"/>
        <v>4.2499999999999938</v>
      </c>
      <c r="K85">
        <v>78</v>
      </c>
      <c r="L85">
        <v>-0.26305299999999998</v>
      </c>
      <c r="M85">
        <v>-1397.86</v>
      </c>
      <c r="R85">
        <f t="shared" si="12"/>
        <v>4.2499999999999938</v>
      </c>
      <c r="S85">
        <v>78</v>
      </c>
      <c r="T85">
        <v>0.55227000000000004</v>
      </c>
      <c r="U85">
        <v>-1146.47</v>
      </c>
      <c r="Z85">
        <f t="shared" si="13"/>
        <v>4.2499999999999938</v>
      </c>
      <c r="AA85">
        <v>78</v>
      </c>
      <c r="AB85">
        <v>-5.2554100000000004</v>
      </c>
      <c r="AC85">
        <v>125.68</v>
      </c>
      <c r="AH85">
        <f t="shared" si="14"/>
        <v>4.2499999999999938</v>
      </c>
      <c r="AI85">
        <v>78</v>
      </c>
      <c r="AJ85">
        <v>-3.36707</v>
      </c>
      <c r="AK85">
        <v>876.39099999999996</v>
      </c>
      <c r="AP85">
        <f t="shared" si="15"/>
        <v>4.2499999999999938</v>
      </c>
      <c r="AQ85">
        <v>78</v>
      </c>
      <c r="AR85">
        <v>-2.1986500000000002</v>
      </c>
      <c r="AS85">
        <v>228.54400000000001</v>
      </c>
      <c r="AX85">
        <f t="shared" si="16"/>
        <v>4.2499999999999938</v>
      </c>
      <c r="AY85">
        <v>78</v>
      </c>
      <c r="AZ85">
        <v>4.6552499999999997</v>
      </c>
      <c r="BA85">
        <v>686.76900000000001</v>
      </c>
      <c r="BF85">
        <f t="shared" si="17"/>
        <v>4.2499999999999938</v>
      </c>
      <c r="BG85">
        <v>78</v>
      </c>
      <c r="BH85">
        <v>-4.3383500000000002</v>
      </c>
      <c r="BI85">
        <v>289.98700000000002</v>
      </c>
      <c r="BN85">
        <f t="shared" si="18"/>
        <v>4.2499999999999938</v>
      </c>
      <c r="BO85">
        <v>78</v>
      </c>
      <c r="BP85">
        <v>-3.7473900000000002</v>
      </c>
      <c r="BQ85">
        <v>190.447</v>
      </c>
      <c r="BV85">
        <f t="shared" si="19"/>
        <v>4.2499999999999938</v>
      </c>
      <c r="BW85">
        <v>78</v>
      </c>
      <c r="BX85">
        <v>-2.8230599999999999</v>
      </c>
      <c r="BY85">
        <v>317.58100000000002</v>
      </c>
    </row>
    <row r="86" spans="2:77" x14ac:dyDescent="0.2">
      <c r="B86">
        <f t="shared" si="10"/>
        <v>4.2999999999999936</v>
      </c>
      <c r="C86">
        <v>79</v>
      </c>
      <c r="D86" s="3">
        <v>-0.78110999999999997</v>
      </c>
      <c r="E86">
        <v>-891.30700000000002</v>
      </c>
      <c r="J86">
        <f t="shared" si="11"/>
        <v>4.2999999999999936</v>
      </c>
      <c r="K86">
        <v>79</v>
      </c>
      <c r="L86">
        <v>-0.220912</v>
      </c>
      <c r="M86">
        <v>-1373.52</v>
      </c>
      <c r="R86">
        <f t="shared" si="12"/>
        <v>4.2999999999999936</v>
      </c>
      <c r="S86">
        <v>79</v>
      </c>
      <c r="T86">
        <v>0.58666700000000005</v>
      </c>
      <c r="U86">
        <v>-1116.25</v>
      </c>
      <c r="Z86">
        <f t="shared" si="13"/>
        <v>4.2999999999999936</v>
      </c>
      <c r="AA86">
        <v>79</v>
      </c>
      <c r="AB86">
        <v>-5.2628599999999999</v>
      </c>
      <c r="AC86">
        <v>119.515</v>
      </c>
      <c r="AH86">
        <f t="shared" si="14"/>
        <v>4.2999999999999936</v>
      </c>
      <c r="AI86">
        <v>79</v>
      </c>
      <c r="AJ86">
        <v>-3.3932199999999999</v>
      </c>
      <c r="AK86">
        <v>843.79600000000005</v>
      </c>
      <c r="AP86">
        <f t="shared" si="15"/>
        <v>4.2999999999999936</v>
      </c>
      <c r="AQ86">
        <v>79</v>
      </c>
      <c r="AR86">
        <v>-2.2122199999999999</v>
      </c>
      <c r="AS86">
        <v>217.596</v>
      </c>
      <c r="AX86">
        <f t="shared" si="16"/>
        <v>4.2999999999999936</v>
      </c>
      <c r="AY86">
        <v>79</v>
      </c>
      <c r="AZ86">
        <v>4.6344500000000002</v>
      </c>
      <c r="BA86">
        <v>681.51800000000003</v>
      </c>
      <c r="BF86">
        <f t="shared" si="17"/>
        <v>4.2999999999999936</v>
      </c>
      <c r="BG86">
        <v>79</v>
      </c>
      <c r="BH86">
        <v>-4.3555799999999998</v>
      </c>
      <c r="BI86">
        <v>276.79000000000002</v>
      </c>
      <c r="BN86">
        <f t="shared" si="18"/>
        <v>4.2999999999999936</v>
      </c>
      <c r="BO86">
        <v>79</v>
      </c>
      <c r="BP86">
        <v>-3.7585199999999999</v>
      </c>
      <c r="BQ86">
        <v>175.642</v>
      </c>
      <c r="BV86">
        <f t="shared" si="19"/>
        <v>4.2999999999999936</v>
      </c>
      <c r="BW86">
        <v>79</v>
      </c>
      <c r="BX86">
        <v>-2.8418199999999998</v>
      </c>
      <c r="BY86">
        <v>299.40499999999997</v>
      </c>
    </row>
    <row r="87" spans="2:77" x14ac:dyDescent="0.2">
      <c r="B87">
        <f t="shared" si="10"/>
        <v>4.3499999999999934</v>
      </c>
      <c r="C87">
        <v>80</v>
      </c>
      <c r="D87">
        <v>-0.75512800000000002</v>
      </c>
      <c r="E87">
        <v>-838.73500000000001</v>
      </c>
      <c r="J87">
        <f t="shared" si="11"/>
        <v>4.3499999999999934</v>
      </c>
      <c r="K87">
        <v>80</v>
      </c>
      <c r="L87">
        <v>-0.18004700000000001</v>
      </c>
      <c r="M87">
        <v>-1346.3</v>
      </c>
      <c r="R87">
        <f t="shared" si="12"/>
        <v>4.3499999999999934</v>
      </c>
      <c r="S87">
        <v>80</v>
      </c>
      <c r="T87">
        <v>0.61976699999999996</v>
      </c>
      <c r="U87">
        <v>-1087.27</v>
      </c>
      <c r="Z87">
        <f t="shared" si="13"/>
        <v>4.3499999999999934</v>
      </c>
      <c r="AA87">
        <v>80</v>
      </c>
      <c r="AB87">
        <v>-5.2698700000000001</v>
      </c>
      <c r="AC87">
        <v>113.746</v>
      </c>
      <c r="AH87">
        <f t="shared" si="14"/>
        <v>4.3499999999999934</v>
      </c>
      <c r="AI87">
        <v>80</v>
      </c>
      <c r="AJ87">
        <v>-3.4180799999999998</v>
      </c>
      <c r="AK87">
        <v>810.36500000000001</v>
      </c>
      <c r="AP87">
        <f t="shared" si="15"/>
        <v>4.3499999999999934</v>
      </c>
      <c r="AQ87">
        <v>80</v>
      </c>
      <c r="AR87">
        <v>-2.2249599999999998</v>
      </c>
      <c r="AS87">
        <v>206.63900000000001</v>
      </c>
      <c r="AX87">
        <f t="shared" si="16"/>
        <v>4.3499999999999934</v>
      </c>
      <c r="AY87">
        <v>80</v>
      </c>
      <c r="AZ87">
        <v>4.6140699999999999</v>
      </c>
      <c r="BA87">
        <v>674.44799999999998</v>
      </c>
      <c r="BF87">
        <f t="shared" si="17"/>
        <v>4.3499999999999934</v>
      </c>
      <c r="BG87">
        <v>80</v>
      </c>
      <c r="BH87">
        <v>-4.3718199999999996</v>
      </c>
      <c r="BI87">
        <v>263.51100000000002</v>
      </c>
      <c r="BN87">
        <f t="shared" si="18"/>
        <v>4.3499999999999934</v>
      </c>
      <c r="BO87">
        <v>80</v>
      </c>
      <c r="BP87">
        <v>-3.7686199999999999</v>
      </c>
      <c r="BQ87">
        <v>160.578</v>
      </c>
      <c r="BV87">
        <f t="shared" si="19"/>
        <v>4.3499999999999934</v>
      </c>
      <c r="BW87">
        <v>80</v>
      </c>
      <c r="BX87">
        <v>-2.8592499999999998</v>
      </c>
      <c r="BY87">
        <v>280.56200000000001</v>
      </c>
    </row>
    <row r="88" spans="2:77" x14ac:dyDescent="0.2">
      <c r="B88">
        <f t="shared" si="10"/>
        <v>4.3999999999999932</v>
      </c>
      <c r="C88">
        <v>81</v>
      </c>
      <c r="D88">
        <v>-0.73092800000000002</v>
      </c>
      <c r="E88">
        <v>-792.02700000000004</v>
      </c>
      <c r="J88">
        <f t="shared" si="11"/>
        <v>4.3999999999999932</v>
      </c>
      <c r="K88">
        <v>81</v>
      </c>
      <c r="L88">
        <v>-0.14046</v>
      </c>
      <c r="M88">
        <v>-1319.97</v>
      </c>
      <c r="R88">
        <f t="shared" si="12"/>
        <v>4.3999999999999932</v>
      </c>
      <c r="S88">
        <v>81</v>
      </c>
      <c r="T88">
        <v>0.651667</v>
      </c>
      <c r="U88">
        <v>-1061.5899999999999</v>
      </c>
      <c r="Z88">
        <f t="shared" si="13"/>
        <v>4.3999999999999932</v>
      </c>
      <c r="AA88">
        <v>81</v>
      </c>
      <c r="AB88">
        <v>-5.2764600000000002</v>
      </c>
      <c r="AC88">
        <v>108.041</v>
      </c>
      <c r="AH88">
        <f t="shared" si="14"/>
        <v>4.3999999999999932</v>
      </c>
      <c r="AI88">
        <v>81</v>
      </c>
      <c r="AJ88">
        <v>-3.4416600000000002</v>
      </c>
      <c r="AK88">
        <v>778.1</v>
      </c>
      <c r="AP88">
        <f t="shared" si="15"/>
        <v>4.3999999999999932</v>
      </c>
      <c r="AQ88">
        <v>81</v>
      </c>
      <c r="AR88">
        <v>-2.23692</v>
      </c>
      <c r="AS88">
        <v>196.16300000000001</v>
      </c>
      <c r="AX88">
        <f t="shared" si="16"/>
        <v>4.3999999999999932</v>
      </c>
      <c r="AY88">
        <v>81</v>
      </c>
      <c r="AZ88">
        <v>4.59415</v>
      </c>
      <c r="BA88">
        <v>667.44899999999996</v>
      </c>
      <c r="BF88">
        <f t="shared" si="17"/>
        <v>4.3999999999999932</v>
      </c>
      <c r="BG88">
        <v>81</v>
      </c>
      <c r="BH88">
        <v>-4.3870699999999996</v>
      </c>
      <c r="BI88">
        <v>249.96799999999999</v>
      </c>
      <c r="BN88">
        <f t="shared" si="18"/>
        <v>4.3999999999999932</v>
      </c>
      <c r="BO88">
        <v>81</v>
      </c>
      <c r="BP88">
        <v>-3.7777099999999999</v>
      </c>
      <c r="BQ88">
        <v>145.48099999999999</v>
      </c>
      <c r="BV88">
        <f t="shared" si="19"/>
        <v>4.3999999999999932</v>
      </c>
      <c r="BW88">
        <v>81</v>
      </c>
      <c r="BX88">
        <v>-2.8753600000000001</v>
      </c>
      <c r="BY88">
        <v>261.79599999999999</v>
      </c>
    </row>
    <row r="89" spans="2:77" x14ac:dyDescent="0.2">
      <c r="B89">
        <f t="shared" si="10"/>
        <v>4.4499999999999931</v>
      </c>
      <c r="C89">
        <v>82</v>
      </c>
      <c r="D89">
        <v>-0.70825700000000003</v>
      </c>
      <c r="E89">
        <v>-753.923</v>
      </c>
      <c r="J89">
        <f t="shared" si="11"/>
        <v>4.4499999999999931</v>
      </c>
      <c r="K89">
        <v>82</v>
      </c>
      <c r="L89">
        <v>-0.10203</v>
      </c>
      <c r="M89">
        <v>-1299.1099999999999</v>
      </c>
      <c r="R89">
        <f t="shared" si="12"/>
        <v>4.4499999999999931</v>
      </c>
      <c r="S89">
        <v>82</v>
      </c>
      <c r="T89">
        <v>0.68252400000000002</v>
      </c>
      <c r="U89">
        <v>-1041.3800000000001</v>
      </c>
      <c r="Z89">
        <f t="shared" si="13"/>
        <v>4.4499999999999931</v>
      </c>
      <c r="AA89">
        <v>82</v>
      </c>
      <c r="AB89">
        <v>-5.2826300000000002</v>
      </c>
      <c r="AC89">
        <v>102.012</v>
      </c>
      <c r="AH89">
        <f t="shared" si="14"/>
        <v>4.4499999999999931</v>
      </c>
      <c r="AI89">
        <v>82</v>
      </c>
      <c r="AJ89">
        <v>-3.46407</v>
      </c>
      <c r="AK89">
        <v>749.21600000000001</v>
      </c>
      <c r="AP89">
        <f t="shared" si="15"/>
        <v>4.4499999999999931</v>
      </c>
      <c r="AQ89">
        <v>82</v>
      </c>
      <c r="AR89">
        <v>-2.2481599999999999</v>
      </c>
      <c r="AS89">
        <v>186.75899999999999</v>
      </c>
      <c r="AX89">
        <f t="shared" si="16"/>
        <v>4.4499999999999931</v>
      </c>
      <c r="AY89">
        <v>82</v>
      </c>
      <c r="AZ89">
        <v>4.57463</v>
      </c>
      <c r="BA89">
        <v>662.86199999999997</v>
      </c>
      <c r="BF89">
        <f t="shared" si="17"/>
        <v>4.4499999999999931</v>
      </c>
      <c r="BG89">
        <v>82</v>
      </c>
      <c r="BH89">
        <v>-4.4013400000000003</v>
      </c>
      <c r="BI89">
        <v>236.017</v>
      </c>
      <c r="BN89">
        <f t="shared" si="18"/>
        <v>4.4499999999999931</v>
      </c>
      <c r="BO89">
        <v>82</v>
      </c>
      <c r="BP89">
        <v>-3.7858200000000002</v>
      </c>
      <c r="BQ89">
        <v>130.643</v>
      </c>
      <c r="BV89">
        <f t="shared" si="19"/>
        <v>4.4499999999999931</v>
      </c>
      <c r="BW89">
        <v>82</v>
      </c>
      <c r="BX89">
        <v>-2.8902000000000001</v>
      </c>
      <c r="BY89">
        <v>243.99700000000001</v>
      </c>
    </row>
    <row r="90" spans="2:77" x14ac:dyDescent="0.2">
      <c r="B90">
        <f t="shared" si="10"/>
        <v>4.4999999999999929</v>
      </c>
      <c r="C90">
        <v>83</v>
      </c>
      <c r="D90">
        <v>-0.68679100000000004</v>
      </c>
      <c r="E90">
        <v>-727.01300000000003</v>
      </c>
      <c r="J90">
        <f t="shared" si="11"/>
        <v>4.4999999999999929</v>
      </c>
      <c r="K90">
        <v>83</v>
      </c>
      <c r="L90">
        <v>-6.4499799999999996E-2</v>
      </c>
      <c r="M90">
        <v>-1288.79</v>
      </c>
      <c r="R90">
        <f t="shared" si="12"/>
        <v>4.4999999999999929</v>
      </c>
      <c r="S90">
        <v>83</v>
      </c>
      <c r="T90">
        <v>0.71255000000000002</v>
      </c>
      <c r="U90">
        <v>-1028.73</v>
      </c>
      <c r="Z90">
        <f t="shared" si="13"/>
        <v>4.4999999999999929</v>
      </c>
      <c r="AA90">
        <v>83</v>
      </c>
      <c r="AB90">
        <v>-5.2883599999999999</v>
      </c>
      <c r="AC90">
        <v>95.239000000000004</v>
      </c>
      <c r="AH90">
        <f t="shared" si="14"/>
        <v>4.4999999999999929</v>
      </c>
      <c r="AI90">
        <v>83</v>
      </c>
      <c r="AJ90">
        <v>-3.4854699999999998</v>
      </c>
      <c r="AK90">
        <v>725.91600000000005</v>
      </c>
      <c r="AP90">
        <f t="shared" si="15"/>
        <v>4.4999999999999929</v>
      </c>
      <c r="AQ90">
        <v>83</v>
      </c>
      <c r="AR90">
        <v>-2.2587700000000002</v>
      </c>
      <c r="AS90">
        <v>179.071</v>
      </c>
      <c r="AX90">
        <f t="shared" si="16"/>
        <v>4.4999999999999929</v>
      </c>
      <c r="AY90">
        <v>83</v>
      </c>
      <c r="AZ90">
        <v>4.5553900000000001</v>
      </c>
      <c r="BA90">
        <v>663.26300000000003</v>
      </c>
      <c r="BF90">
        <f t="shared" si="17"/>
        <v>4.4999999999999929</v>
      </c>
      <c r="BG90">
        <v>83</v>
      </c>
      <c r="BH90">
        <v>-4.4146299999999998</v>
      </c>
      <c r="BI90">
        <v>221.559</v>
      </c>
      <c r="BN90">
        <f t="shared" si="18"/>
        <v>4.4999999999999929</v>
      </c>
      <c r="BO90">
        <v>83</v>
      </c>
      <c r="BP90">
        <v>-3.7929900000000001</v>
      </c>
      <c r="BQ90">
        <v>116.40600000000001</v>
      </c>
      <c r="BV90">
        <f t="shared" si="19"/>
        <v>4.4999999999999929</v>
      </c>
      <c r="BW90">
        <v>83</v>
      </c>
      <c r="BX90">
        <v>-2.9039000000000001</v>
      </c>
      <c r="BY90">
        <v>228.13800000000001</v>
      </c>
    </row>
    <row r="91" spans="2:77" x14ac:dyDescent="0.2">
      <c r="B91">
        <f t="shared" si="10"/>
        <v>4.5499999999999927</v>
      </c>
      <c r="C91">
        <v>84</v>
      </c>
      <c r="D91">
        <v>-0.66615199999999997</v>
      </c>
      <c r="E91">
        <v>-713.37</v>
      </c>
      <c r="J91">
        <f t="shared" si="11"/>
        <v>4.5499999999999927</v>
      </c>
      <c r="K91">
        <v>84</v>
      </c>
      <c r="L91">
        <v>-2.7474599999999998E-2</v>
      </c>
      <c r="M91">
        <v>-1293.94</v>
      </c>
      <c r="R91">
        <f t="shared" si="12"/>
        <v>4.5499999999999927</v>
      </c>
      <c r="S91">
        <v>84</v>
      </c>
      <c r="T91">
        <v>0.74200600000000005</v>
      </c>
      <c r="U91">
        <v>-1025.3</v>
      </c>
      <c r="Z91">
        <f t="shared" si="13"/>
        <v>4.5499999999999927</v>
      </c>
      <c r="AA91">
        <v>84</v>
      </c>
      <c r="AB91">
        <v>-5.2935999999999996</v>
      </c>
      <c r="AC91">
        <v>87.299199999999999</v>
      </c>
      <c r="AH91">
        <f t="shared" si="14"/>
        <v>4.5499999999999927</v>
      </c>
      <c r="AI91">
        <v>84</v>
      </c>
      <c r="AJ91">
        <v>-3.5060600000000002</v>
      </c>
      <c r="AK91">
        <v>710.08100000000002</v>
      </c>
      <c r="AP91">
        <f t="shared" si="15"/>
        <v>4.5499999999999927</v>
      </c>
      <c r="AQ91">
        <v>84</v>
      </c>
      <c r="AR91">
        <v>-2.2688799999999998</v>
      </c>
      <c r="AS91">
        <v>173.71600000000001</v>
      </c>
      <c r="AX91">
        <f t="shared" si="16"/>
        <v>4.5499999999999927</v>
      </c>
      <c r="AY91">
        <v>84</v>
      </c>
      <c r="AZ91">
        <v>4.5362600000000004</v>
      </c>
      <c r="BA91">
        <v>671.12</v>
      </c>
      <c r="BF91">
        <f t="shared" si="17"/>
        <v>4.5499999999999927</v>
      </c>
      <c r="BG91">
        <v>84</v>
      </c>
      <c r="BH91">
        <v>-4.42692</v>
      </c>
      <c r="BI91">
        <v>206.554</v>
      </c>
      <c r="BN91">
        <f t="shared" si="18"/>
        <v>4.5499999999999927</v>
      </c>
      <c r="BO91">
        <v>84</v>
      </c>
      <c r="BP91">
        <v>-3.7992900000000001</v>
      </c>
      <c r="BQ91">
        <v>103.134</v>
      </c>
      <c r="BV91">
        <f t="shared" si="19"/>
        <v>4.5499999999999927</v>
      </c>
      <c r="BW91">
        <v>84</v>
      </c>
      <c r="BX91">
        <v>-2.9166099999999999</v>
      </c>
      <c r="BY91">
        <v>215.191</v>
      </c>
    </row>
    <row r="92" spans="2:77" x14ac:dyDescent="0.2">
      <c r="B92">
        <f t="shared" si="10"/>
        <v>4.5999999999999925</v>
      </c>
      <c r="C92">
        <v>85</v>
      </c>
      <c r="D92">
        <v>-0.64592499999999997</v>
      </c>
      <c r="E92">
        <v>-714.08500000000004</v>
      </c>
      <c r="J92">
        <f t="shared" si="11"/>
        <v>4.5999999999999925</v>
      </c>
      <c r="K92">
        <v>85</v>
      </c>
      <c r="L92">
        <v>9.5566499999999999E-3</v>
      </c>
      <c r="M92">
        <v>-1318.63</v>
      </c>
      <c r="R92">
        <f t="shared" si="12"/>
        <v>4.5999999999999925</v>
      </c>
      <c r="S92">
        <v>85</v>
      </c>
      <c r="T92">
        <v>0.77118100000000001</v>
      </c>
      <c r="U92">
        <v>-1031.8599999999999</v>
      </c>
      <c r="Z92">
        <f t="shared" si="13"/>
        <v>4.5999999999999925</v>
      </c>
      <c r="AA92">
        <v>85</v>
      </c>
      <c r="AB92">
        <v>-5.2983000000000002</v>
      </c>
      <c r="AC92">
        <v>77.809799999999996</v>
      </c>
      <c r="AH92">
        <f t="shared" si="14"/>
        <v>4.5999999999999925</v>
      </c>
      <c r="AI92">
        <v>85</v>
      </c>
      <c r="AJ92">
        <v>-3.5260899999999999</v>
      </c>
      <c r="AK92">
        <v>702.88</v>
      </c>
      <c r="AP92">
        <f t="shared" si="15"/>
        <v>4.5999999999999925</v>
      </c>
      <c r="AQ92">
        <v>85</v>
      </c>
      <c r="AR92">
        <v>-2.2786599999999999</v>
      </c>
      <c r="AS92">
        <v>171.179</v>
      </c>
      <c r="AX92">
        <f t="shared" si="16"/>
        <v>4.5999999999999925</v>
      </c>
      <c r="AY92">
        <v>85</v>
      </c>
      <c r="AZ92">
        <v>4.5169899999999998</v>
      </c>
      <c r="BA92">
        <v>688.3</v>
      </c>
      <c r="BF92">
        <f t="shared" si="17"/>
        <v>4.5999999999999925</v>
      </c>
      <c r="BG92">
        <v>85</v>
      </c>
      <c r="BH92">
        <v>-4.4382099999999998</v>
      </c>
      <c r="BI92">
        <v>191.02099999999999</v>
      </c>
      <c r="BN92">
        <f t="shared" si="18"/>
        <v>4.5999999999999925</v>
      </c>
      <c r="BO92">
        <v>85</v>
      </c>
      <c r="BP92">
        <v>-3.8048000000000002</v>
      </c>
      <c r="BQ92">
        <v>91.177999999999997</v>
      </c>
      <c r="BV92">
        <f t="shared" si="19"/>
        <v>4.5999999999999925</v>
      </c>
      <c r="BW92">
        <v>85</v>
      </c>
      <c r="BX92">
        <v>-2.9285399999999999</v>
      </c>
      <c r="BY92">
        <v>205.98400000000001</v>
      </c>
    </row>
    <row r="93" spans="2:77" x14ac:dyDescent="0.2">
      <c r="B93">
        <f t="shared" si="10"/>
        <v>4.6499999999999924</v>
      </c>
      <c r="C93">
        <v>86</v>
      </c>
      <c r="D93">
        <v>-0.62570199999999998</v>
      </c>
      <c r="E93">
        <v>-728.67899999999997</v>
      </c>
      <c r="J93">
        <f t="shared" si="11"/>
        <v>4.6499999999999924</v>
      </c>
      <c r="K93">
        <v>86</v>
      </c>
      <c r="L93">
        <v>4.7177400000000001E-2</v>
      </c>
      <c r="M93">
        <v>-1364.91</v>
      </c>
      <c r="R93">
        <f t="shared" si="12"/>
        <v>4.6499999999999924</v>
      </c>
      <c r="S93">
        <v>86</v>
      </c>
      <c r="T93">
        <v>0.80035500000000004</v>
      </c>
      <c r="U93">
        <v>-1047.7</v>
      </c>
      <c r="Z93">
        <f t="shared" si="13"/>
        <v>4.6499999999999924</v>
      </c>
      <c r="AA93">
        <v>86</v>
      </c>
      <c r="AB93">
        <v>-5.3023600000000002</v>
      </c>
      <c r="AC93">
        <v>66.489000000000004</v>
      </c>
      <c r="AH93">
        <f t="shared" si="14"/>
        <v>4.6499999999999924</v>
      </c>
      <c r="AI93">
        <v>86</v>
      </c>
      <c r="AJ93">
        <v>-3.54583</v>
      </c>
      <c r="AK93">
        <v>704.27099999999996</v>
      </c>
      <c r="AP93">
        <f t="shared" si="15"/>
        <v>4.6499999999999924</v>
      </c>
      <c r="AQ93">
        <v>86</v>
      </c>
      <c r="AR93">
        <v>-2.2882699999999998</v>
      </c>
      <c r="AS93">
        <v>171.661</v>
      </c>
      <c r="AX93">
        <f t="shared" si="16"/>
        <v>4.6499999999999924</v>
      </c>
      <c r="AY93">
        <v>86</v>
      </c>
      <c r="AZ93">
        <v>4.4973099999999997</v>
      </c>
      <c r="BA93">
        <v>715.39200000000005</v>
      </c>
      <c r="BF93">
        <f t="shared" si="17"/>
        <v>4.6499999999999924</v>
      </c>
      <c r="BG93">
        <v>86</v>
      </c>
      <c r="BH93">
        <v>-4.4484899999999996</v>
      </c>
      <c r="BI93">
        <v>175.02199999999999</v>
      </c>
      <c r="BN93">
        <f t="shared" si="18"/>
        <v>4.6499999999999924</v>
      </c>
      <c r="BO93">
        <v>86</v>
      </c>
      <c r="BP93">
        <v>-3.8096199999999998</v>
      </c>
      <c r="BQ93">
        <v>80.823499999999996</v>
      </c>
      <c r="BV93">
        <f t="shared" si="19"/>
        <v>4.6499999999999924</v>
      </c>
      <c r="BW93">
        <v>86</v>
      </c>
      <c r="BX93">
        <v>-2.9399500000000001</v>
      </c>
      <c r="BY93">
        <v>201.02600000000001</v>
      </c>
    </row>
    <row r="94" spans="2:77" x14ac:dyDescent="0.2">
      <c r="B94">
        <f t="shared" si="10"/>
        <v>4.6999999999999922</v>
      </c>
      <c r="C94">
        <v>87</v>
      </c>
      <c r="D94">
        <v>-0.60512900000000003</v>
      </c>
      <c r="E94">
        <v>-754.35799999999995</v>
      </c>
      <c r="J94">
        <f t="shared" si="11"/>
        <v>4.6999999999999922</v>
      </c>
      <c r="K94">
        <v>87</v>
      </c>
      <c r="L94">
        <v>8.5963700000000004E-2</v>
      </c>
      <c r="M94">
        <v>-1431.22</v>
      </c>
      <c r="R94">
        <f t="shared" si="12"/>
        <v>4.6999999999999922</v>
      </c>
      <c r="S94">
        <v>87</v>
      </c>
      <c r="T94">
        <v>0.82975100000000002</v>
      </c>
      <c r="U94">
        <v>-1069.8</v>
      </c>
      <c r="Z94">
        <f t="shared" si="13"/>
        <v>4.6999999999999922</v>
      </c>
      <c r="AA94">
        <v>87</v>
      </c>
      <c r="AB94">
        <v>-5.3056900000000002</v>
      </c>
      <c r="AC94">
        <v>53.235900000000001</v>
      </c>
      <c r="AH94">
        <f t="shared" si="14"/>
        <v>4.6999999999999922</v>
      </c>
      <c r="AI94">
        <v>87</v>
      </c>
      <c r="AJ94">
        <v>-3.56549</v>
      </c>
      <c r="AK94">
        <v>712.37900000000002</v>
      </c>
      <c r="AP94">
        <f t="shared" si="15"/>
        <v>4.6999999999999922</v>
      </c>
      <c r="AQ94">
        <v>87</v>
      </c>
      <c r="AR94">
        <v>-2.2978900000000002</v>
      </c>
      <c r="AS94">
        <v>174.88399999999999</v>
      </c>
      <c r="AX94">
        <f t="shared" si="16"/>
        <v>4.6999999999999922</v>
      </c>
      <c r="AY94">
        <v>87</v>
      </c>
      <c r="AZ94">
        <v>4.4769699999999997</v>
      </c>
      <c r="BA94">
        <v>750.82500000000005</v>
      </c>
      <c r="BF94">
        <f t="shared" si="17"/>
        <v>4.6999999999999922</v>
      </c>
      <c r="BG94">
        <v>87</v>
      </c>
      <c r="BH94">
        <v>-4.4577600000000004</v>
      </c>
      <c r="BI94">
        <v>158.62799999999999</v>
      </c>
      <c r="BN94">
        <f t="shared" si="18"/>
        <v>4.6999999999999922</v>
      </c>
      <c r="BO94">
        <v>87</v>
      </c>
      <c r="BP94">
        <v>-3.81386</v>
      </c>
      <c r="BQ94">
        <v>72.235299999999995</v>
      </c>
      <c r="BV94">
        <f t="shared" si="19"/>
        <v>4.6999999999999922</v>
      </c>
      <c r="BW94">
        <v>87</v>
      </c>
      <c r="BX94">
        <v>-2.9510800000000001</v>
      </c>
      <c r="BY94">
        <v>200.25299999999999</v>
      </c>
    </row>
    <row r="95" spans="2:77" x14ac:dyDescent="0.2">
      <c r="B95">
        <f t="shared" si="10"/>
        <v>4.749999999999992</v>
      </c>
      <c r="C95">
        <v>88</v>
      </c>
      <c r="D95">
        <v>-0.583982</v>
      </c>
      <c r="E95">
        <v>-785.10900000000004</v>
      </c>
      <c r="J95">
        <f t="shared" si="11"/>
        <v>4.749999999999992</v>
      </c>
      <c r="K95">
        <v>88</v>
      </c>
      <c r="L95">
        <v>0.126355</v>
      </c>
      <c r="M95">
        <v>-1510.07</v>
      </c>
      <c r="R95">
        <f t="shared" si="12"/>
        <v>4.749999999999992</v>
      </c>
      <c r="S95">
        <v>88</v>
      </c>
      <c r="T95">
        <v>0.859456</v>
      </c>
      <c r="U95">
        <v>-1091.68</v>
      </c>
      <c r="Z95">
        <f t="shared" si="13"/>
        <v>4.749999999999992</v>
      </c>
      <c r="AA95">
        <v>88</v>
      </c>
      <c r="AB95">
        <v>-5.3082200000000004</v>
      </c>
      <c r="AC95">
        <v>38.235599999999998</v>
      </c>
      <c r="AH95">
        <f t="shared" si="14"/>
        <v>4.749999999999992</v>
      </c>
      <c r="AI95">
        <v>88</v>
      </c>
      <c r="AJ95">
        <v>-3.5851999999999999</v>
      </c>
      <c r="AK95">
        <v>722.75199999999995</v>
      </c>
      <c r="AP95">
        <f t="shared" si="15"/>
        <v>4.749999999999992</v>
      </c>
      <c r="AQ95">
        <v>88</v>
      </c>
      <c r="AR95">
        <v>-2.3076300000000001</v>
      </c>
      <c r="AS95">
        <v>179.84</v>
      </c>
      <c r="AX95">
        <f t="shared" si="16"/>
        <v>4.749999999999992</v>
      </c>
      <c r="AY95">
        <v>88</v>
      </c>
      <c r="AZ95">
        <v>4.4558</v>
      </c>
      <c r="BA95">
        <v>789.74599999999998</v>
      </c>
      <c r="BF95">
        <f t="shared" si="17"/>
        <v>4.749999999999992</v>
      </c>
      <c r="BG95">
        <v>88</v>
      </c>
      <c r="BH95">
        <v>-4.4660200000000003</v>
      </c>
      <c r="BI95">
        <v>141.84700000000001</v>
      </c>
      <c r="BN95">
        <f t="shared" si="18"/>
        <v>4.749999999999992</v>
      </c>
      <c r="BO95">
        <v>88</v>
      </c>
      <c r="BP95">
        <v>-3.8176299999999999</v>
      </c>
      <c r="BQ95">
        <v>65.379400000000004</v>
      </c>
      <c r="BV95">
        <f t="shared" si="19"/>
        <v>4.749999999999992</v>
      </c>
      <c r="BW95">
        <v>88</v>
      </c>
      <c r="BX95">
        <v>-2.9621400000000002</v>
      </c>
      <c r="BY95">
        <v>202.71799999999999</v>
      </c>
    </row>
    <row r="96" spans="2:77" x14ac:dyDescent="0.2">
      <c r="B96">
        <f t="shared" si="10"/>
        <v>4.7999999999999918</v>
      </c>
      <c r="C96">
        <v>89</v>
      </c>
      <c r="D96">
        <v>-0.56226500000000001</v>
      </c>
      <c r="E96">
        <v>-810.57799999999997</v>
      </c>
      <c r="J96">
        <f t="shared" si="11"/>
        <v>4.7999999999999918</v>
      </c>
      <c r="K96">
        <v>89</v>
      </c>
      <c r="L96">
        <v>0.168457</v>
      </c>
      <c r="M96">
        <v>-1584.63</v>
      </c>
      <c r="R96">
        <f t="shared" si="12"/>
        <v>4.7999999999999918</v>
      </c>
      <c r="S96">
        <v>89</v>
      </c>
      <c r="T96">
        <v>0.88931700000000002</v>
      </c>
      <c r="U96">
        <v>-1102.01</v>
      </c>
      <c r="Z96">
        <f t="shared" si="13"/>
        <v>4.7999999999999918</v>
      </c>
      <c r="AA96">
        <v>89</v>
      </c>
      <c r="AB96">
        <v>-5.3098599999999996</v>
      </c>
      <c r="AC96">
        <v>22.0929</v>
      </c>
      <c r="AH96">
        <f t="shared" si="14"/>
        <v>4.7999999999999918</v>
      </c>
      <c r="AI96">
        <v>89</v>
      </c>
      <c r="AJ96">
        <v>-3.60494</v>
      </c>
      <c r="AK96">
        <v>727.46699999999998</v>
      </c>
      <c r="AP96">
        <f t="shared" si="15"/>
        <v>4.7999999999999918</v>
      </c>
      <c r="AQ96">
        <v>89</v>
      </c>
      <c r="AR96">
        <v>-2.3175400000000002</v>
      </c>
      <c r="AS96">
        <v>184.46899999999999</v>
      </c>
      <c r="AX96">
        <f t="shared" si="16"/>
        <v>4.7999999999999918</v>
      </c>
      <c r="AY96">
        <v>89</v>
      </c>
      <c r="AZ96">
        <v>4.4338600000000001</v>
      </c>
      <c r="BA96">
        <v>822.63599999999997</v>
      </c>
      <c r="BF96">
        <f t="shared" si="17"/>
        <v>4.7999999999999918</v>
      </c>
      <c r="BG96">
        <v>89</v>
      </c>
      <c r="BH96">
        <v>-4.4732700000000003</v>
      </c>
      <c r="BI96">
        <v>124.53100000000001</v>
      </c>
      <c r="BN96">
        <f t="shared" si="18"/>
        <v>4.7999999999999918</v>
      </c>
      <c r="BO96">
        <v>89</v>
      </c>
      <c r="BP96">
        <v>-3.82104</v>
      </c>
      <c r="BQ96">
        <v>59.925800000000002</v>
      </c>
      <c r="BV96">
        <f t="shared" si="19"/>
        <v>4.7999999999999918</v>
      </c>
      <c r="BW96">
        <v>89</v>
      </c>
      <c r="BX96">
        <v>-2.9732599999999998</v>
      </c>
      <c r="BY96">
        <v>206.18600000000001</v>
      </c>
    </row>
    <row r="97" spans="2:77" x14ac:dyDescent="0.2">
      <c r="B97">
        <f t="shared" si="10"/>
        <v>4.8499999999999917</v>
      </c>
      <c r="C97">
        <v>90</v>
      </c>
      <c r="D97">
        <v>-0.54033399999999998</v>
      </c>
      <c r="E97">
        <v>-814.70600000000002</v>
      </c>
      <c r="J97">
        <f t="shared" si="11"/>
        <v>4.8499999999999917</v>
      </c>
      <c r="K97">
        <v>90</v>
      </c>
      <c r="L97">
        <v>0.21174000000000001</v>
      </c>
      <c r="M97">
        <v>-1623.98</v>
      </c>
      <c r="R97">
        <f t="shared" si="12"/>
        <v>4.8499999999999917</v>
      </c>
      <c r="S97">
        <v>90</v>
      </c>
      <c r="T97">
        <v>0.91879599999999995</v>
      </c>
      <c r="U97">
        <v>-1082.75</v>
      </c>
      <c r="Z97">
        <f t="shared" si="13"/>
        <v>4.8499999999999917</v>
      </c>
      <c r="AA97">
        <v>90</v>
      </c>
      <c r="AB97">
        <v>-5.3106099999999996</v>
      </c>
      <c r="AC97">
        <v>6.0035800000000004</v>
      </c>
      <c r="AH97">
        <f t="shared" si="14"/>
        <v>4.8499999999999917</v>
      </c>
      <c r="AI97">
        <v>90</v>
      </c>
      <c r="AJ97">
        <v>-3.62439</v>
      </c>
      <c r="AK97">
        <v>714.07500000000005</v>
      </c>
      <c r="AP97">
        <f t="shared" si="15"/>
        <v>4.8499999999999917</v>
      </c>
      <c r="AQ97">
        <v>90</v>
      </c>
      <c r="AR97">
        <v>-2.3275100000000002</v>
      </c>
      <c r="AS97">
        <v>185.25899999999999</v>
      </c>
      <c r="AX97">
        <f t="shared" si="16"/>
        <v>4.8499999999999917</v>
      </c>
      <c r="AY97">
        <v>90</v>
      </c>
      <c r="AZ97">
        <v>4.4115099999999998</v>
      </c>
      <c r="BA97">
        <v>833.63199999999995</v>
      </c>
      <c r="BF97">
        <f t="shared" si="17"/>
        <v>4.8499999999999917</v>
      </c>
      <c r="BG97">
        <v>90</v>
      </c>
      <c r="BH97">
        <v>-4.4794799999999997</v>
      </c>
      <c r="BI97">
        <v>106.271</v>
      </c>
      <c r="BN97">
        <f t="shared" si="18"/>
        <v>4.8499999999999917</v>
      </c>
      <c r="BO97">
        <v>90</v>
      </c>
      <c r="BP97">
        <v>-3.8241299999999998</v>
      </c>
      <c r="BQ97">
        <v>55.114699999999999</v>
      </c>
      <c r="BV97">
        <f t="shared" si="19"/>
        <v>4.8499999999999917</v>
      </c>
      <c r="BW97">
        <v>90</v>
      </c>
      <c r="BX97">
        <v>-2.9843899999999999</v>
      </c>
      <c r="BY97">
        <v>206.63800000000001</v>
      </c>
    </row>
    <row r="98" spans="2:77" x14ac:dyDescent="0.2">
      <c r="B98">
        <f t="shared" si="10"/>
        <v>4.8999999999999915</v>
      </c>
      <c r="C98">
        <v>91</v>
      </c>
      <c r="D98">
        <v>-0.51905299999999999</v>
      </c>
      <c r="E98">
        <v>-774.10699999999997</v>
      </c>
      <c r="J98">
        <f t="shared" si="11"/>
        <v>4.8999999999999915</v>
      </c>
      <c r="K98">
        <v>91</v>
      </c>
      <c r="L98">
        <v>0.25461699999999998</v>
      </c>
      <c r="M98">
        <v>-1577.18</v>
      </c>
      <c r="R98">
        <f t="shared" si="12"/>
        <v>4.8999999999999915</v>
      </c>
      <c r="S98">
        <v>91</v>
      </c>
      <c r="T98">
        <v>0.94677800000000001</v>
      </c>
      <c r="U98">
        <v>-1007.09</v>
      </c>
      <c r="Z98">
        <f t="shared" si="13"/>
        <v>4.8999999999999915</v>
      </c>
      <c r="AA98">
        <v>91</v>
      </c>
      <c r="AB98">
        <v>-5.3105399999999996</v>
      </c>
      <c r="AC98">
        <v>-8.0333000000000006</v>
      </c>
      <c r="AH98">
        <f t="shared" si="14"/>
        <v>4.8999999999999915</v>
      </c>
      <c r="AI98">
        <v>91</v>
      </c>
      <c r="AJ98">
        <v>-3.6428400000000001</v>
      </c>
      <c r="AK98">
        <v>664.38800000000003</v>
      </c>
      <c r="AP98">
        <f t="shared" si="15"/>
        <v>4.8999999999999915</v>
      </c>
      <c r="AQ98">
        <v>91</v>
      </c>
      <c r="AR98">
        <v>-2.3372099999999998</v>
      </c>
      <c r="AS98">
        <v>176.76499999999999</v>
      </c>
      <c r="AX98">
        <f t="shared" si="16"/>
        <v>4.8999999999999915</v>
      </c>
      <c r="AY98">
        <v>91</v>
      </c>
      <c r="AZ98">
        <v>4.38964</v>
      </c>
      <c r="BA98">
        <v>798.56399999999996</v>
      </c>
      <c r="BF98">
        <f t="shared" si="17"/>
        <v>4.8999999999999915</v>
      </c>
      <c r="BG98">
        <v>91</v>
      </c>
      <c r="BH98">
        <v>-4.4846199999999996</v>
      </c>
      <c r="BI98">
        <v>86.293199999999999</v>
      </c>
      <c r="BN98">
        <f t="shared" si="18"/>
        <v>4.8999999999999915</v>
      </c>
      <c r="BO98">
        <v>91</v>
      </c>
      <c r="BP98">
        <v>-3.8269199999999999</v>
      </c>
      <c r="BQ98">
        <v>49.572600000000001</v>
      </c>
      <c r="BV98">
        <f t="shared" si="19"/>
        <v>4.8999999999999915</v>
      </c>
      <c r="BW98">
        <v>91</v>
      </c>
      <c r="BX98">
        <v>-2.9952100000000002</v>
      </c>
      <c r="BY98">
        <v>197.685</v>
      </c>
    </row>
    <row r="99" spans="2:77" x14ac:dyDescent="0.2">
      <c r="B99">
        <f t="shared" si="10"/>
        <v>4.9499999999999913</v>
      </c>
      <c r="C99">
        <v>92</v>
      </c>
      <c r="D99">
        <v>-0.49999399999999999</v>
      </c>
      <c r="E99">
        <v>-656.197</v>
      </c>
      <c r="J99">
        <f t="shared" si="11"/>
        <v>4.9499999999999913</v>
      </c>
      <c r="K99">
        <v>92</v>
      </c>
      <c r="L99">
        <v>0.293873</v>
      </c>
      <c r="M99">
        <v>-1366.88</v>
      </c>
      <c r="R99">
        <f t="shared" si="12"/>
        <v>4.9499999999999913</v>
      </c>
      <c r="S99">
        <v>92</v>
      </c>
      <c r="T99">
        <v>0.97133700000000001</v>
      </c>
      <c r="U99">
        <v>-837.25800000000004</v>
      </c>
      <c r="Z99">
        <f t="shared" si="13"/>
        <v>4.9499999999999913</v>
      </c>
      <c r="AA99">
        <v>92</v>
      </c>
      <c r="AB99">
        <v>-5.3098599999999996</v>
      </c>
      <c r="AC99">
        <v>-16.954799999999999</v>
      </c>
      <c r="AH99">
        <f t="shared" si="14"/>
        <v>4.9499999999999913</v>
      </c>
      <c r="AI99">
        <v>92</v>
      </c>
      <c r="AJ99">
        <v>-3.6590600000000002</v>
      </c>
      <c r="AK99">
        <v>553.11400000000003</v>
      </c>
      <c r="AP99">
        <f t="shared" si="15"/>
        <v>4.9499999999999913</v>
      </c>
      <c r="AQ99">
        <v>92</v>
      </c>
      <c r="AR99">
        <v>-2.3459400000000001</v>
      </c>
      <c r="AS99">
        <v>151.036</v>
      </c>
      <c r="AX99">
        <f t="shared" si="16"/>
        <v>4.9499999999999913</v>
      </c>
      <c r="AY99">
        <v>92</v>
      </c>
      <c r="AZ99">
        <v>4.3699000000000003</v>
      </c>
      <c r="BA99">
        <v>682.65800000000002</v>
      </c>
      <c r="BF99">
        <f t="shared" si="17"/>
        <v>4.9499999999999913</v>
      </c>
      <c r="BG99">
        <v>92</v>
      </c>
      <c r="BH99">
        <v>-4.4885799999999998</v>
      </c>
      <c r="BI99">
        <v>63.362099999999998</v>
      </c>
      <c r="BN99">
        <f t="shared" si="18"/>
        <v>4.9499999999999913</v>
      </c>
      <c r="BO99">
        <v>92</v>
      </c>
      <c r="BP99">
        <v>-3.8293300000000001</v>
      </c>
      <c r="BQ99">
        <v>41.064100000000003</v>
      </c>
      <c r="BV99">
        <f t="shared" si="19"/>
        <v>4.9499999999999913</v>
      </c>
      <c r="BW99">
        <v>92</v>
      </c>
      <c r="BX99">
        <v>-3.00501</v>
      </c>
      <c r="BY99">
        <v>169.87700000000001</v>
      </c>
    </row>
    <row r="100" spans="2:77" x14ac:dyDescent="0.2">
      <c r="B100">
        <f t="shared" si="10"/>
        <v>4.9999999999999911</v>
      </c>
      <c r="C100">
        <v>93</v>
      </c>
      <c r="D100">
        <v>-0.48567199999999999</v>
      </c>
      <c r="E100">
        <v>-417.161</v>
      </c>
      <c r="J100">
        <f t="shared" si="11"/>
        <v>4.9999999999999911</v>
      </c>
      <c r="K100">
        <v>93</v>
      </c>
      <c r="L100">
        <v>0.32398199999999999</v>
      </c>
      <c r="M100">
        <v>-885.47900000000004</v>
      </c>
      <c r="R100">
        <f t="shared" si="12"/>
        <v>4.9999999999999911</v>
      </c>
      <c r="S100">
        <v>93</v>
      </c>
      <c r="T100">
        <v>0.98945799999999995</v>
      </c>
      <c r="U100">
        <v>-522.74800000000005</v>
      </c>
      <c r="Z100">
        <f t="shared" si="13"/>
        <v>4.9999999999999911</v>
      </c>
      <c r="AA100">
        <v>93</v>
      </c>
      <c r="AB100">
        <v>-5.3089300000000001</v>
      </c>
      <c r="AC100">
        <v>-16.326799999999999</v>
      </c>
      <c r="AH100">
        <f t="shared" si="14"/>
        <v>4.9999999999999911</v>
      </c>
      <c r="AI100">
        <v>93</v>
      </c>
      <c r="AJ100">
        <v>-3.6710400000000001</v>
      </c>
      <c r="AK100">
        <v>346.34899999999999</v>
      </c>
      <c r="AP100">
        <f t="shared" si="15"/>
        <v>4.9999999999999911</v>
      </c>
      <c r="AQ100">
        <v>93</v>
      </c>
      <c r="AR100">
        <v>-2.3525700000000001</v>
      </c>
      <c r="AS100">
        <v>97.013499999999993</v>
      </c>
      <c r="AX100">
        <f t="shared" si="16"/>
        <v>4.9999999999999911</v>
      </c>
      <c r="AY100">
        <v>93</v>
      </c>
      <c r="AZ100">
        <v>4.35494</v>
      </c>
      <c r="BA100">
        <v>437.89800000000002</v>
      </c>
      <c r="BF100">
        <f t="shared" si="17"/>
        <v>4.9999999999999911</v>
      </c>
      <c r="BG100">
        <v>93</v>
      </c>
      <c r="BH100">
        <v>-4.4911899999999996</v>
      </c>
      <c r="BI100">
        <v>35.604599999999998</v>
      </c>
      <c r="BN100">
        <f t="shared" si="18"/>
        <v>4.9999999999999911</v>
      </c>
      <c r="BO100">
        <v>93</v>
      </c>
      <c r="BP100">
        <v>-3.8311199999999999</v>
      </c>
      <c r="BQ100">
        <v>26.18</v>
      </c>
      <c r="BV100">
        <f t="shared" si="19"/>
        <v>4.9999999999999911</v>
      </c>
      <c r="BW100">
        <v>93</v>
      </c>
      <c r="BX100">
        <v>-3.01248</v>
      </c>
      <c r="BY100">
        <v>109.944</v>
      </c>
    </row>
    <row r="101" spans="2:77" x14ac:dyDescent="0.2">
      <c r="B101">
        <f t="shared" si="10"/>
        <v>5.0499999999999909</v>
      </c>
      <c r="C101">
        <v>94</v>
      </c>
      <c r="D101">
        <v>-0.479823</v>
      </c>
      <c r="E101" s="3">
        <v>-1.69089E-10</v>
      </c>
      <c r="J101">
        <f t="shared" si="11"/>
        <v>5.0499999999999909</v>
      </c>
      <c r="K101">
        <v>94</v>
      </c>
      <c r="L101">
        <v>0.336453</v>
      </c>
      <c r="M101" s="3">
        <v>-3.6263299999999999E-10</v>
      </c>
      <c r="R101">
        <f t="shared" si="12"/>
        <v>5.0499999999999909</v>
      </c>
      <c r="S101">
        <v>94</v>
      </c>
      <c r="T101">
        <v>0.99674200000000002</v>
      </c>
      <c r="U101" s="3">
        <v>-2.0813399999999999E-10</v>
      </c>
      <c r="Z101">
        <f t="shared" si="13"/>
        <v>5.0499999999999909</v>
      </c>
      <c r="AA101">
        <v>94</v>
      </c>
      <c r="AB101">
        <v>-5.3084300000000004</v>
      </c>
      <c r="AC101" s="3">
        <v>-8.5453400000000004E-12</v>
      </c>
      <c r="AH101">
        <f t="shared" si="14"/>
        <v>5.0499999999999909</v>
      </c>
      <c r="AI101">
        <v>94</v>
      </c>
      <c r="AJ101">
        <v>-3.6758799999999998</v>
      </c>
      <c r="AK101" s="3">
        <v>1.3867199999999999E-10</v>
      </c>
      <c r="AP101">
        <f t="shared" si="15"/>
        <v>5.0499999999999909</v>
      </c>
      <c r="AQ101">
        <v>94</v>
      </c>
      <c r="AR101">
        <v>-2.3553000000000002</v>
      </c>
      <c r="AS101" s="3">
        <v>3.9769699999999997E-11</v>
      </c>
      <c r="AX101">
        <f t="shared" si="16"/>
        <v>5.0499999999999909</v>
      </c>
      <c r="AY101">
        <v>94</v>
      </c>
      <c r="AZ101">
        <v>4.3487799999999996</v>
      </c>
      <c r="BA101" s="3">
        <v>1.79259E-10</v>
      </c>
      <c r="BF101">
        <f t="shared" si="17"/>
        <v>5.0499999999999909</v>
      </c>
      <c r="BG101">
        <v>94</v>
      </c>
      <c r="BH101">
        <v>-4.4921499999999996</v>
      </c>
      <c r="BI101" s="3">
        <v>1.3128499999999999E-11</v>
      </c>
      <c r="BN101">
        <f t="shared" si="18"/>
        <v>5.0499999999999909</v>
      </c>
      <c r="BO101">
        <v>94</v>
      </c>
      <c r="BP101">
        <v>-3.8318599999999998</v>
      </c>
      <c r="BQ101" s="3">
        <v>1.08408E-11</v>
      </c>
      <c r="BV101">
        <f t="shared" si="19"/>
        <v>5.0499999999999909</v>
      </c>
      <c r="BW101">
        <v>94</v>
      </c>
      <c r="BX101">
        <v>-3.01559</v>
      </c>
      <c r="BY101" s="3">
        <v>4.5474599999999999E-11</v>
      </c>
    </row>
    <row r="102" spans="2:77" x14ac:dyDescent="0.2">
      <c r="B102">
        <f t="shared" si="10"/>
        <v>5.0999999999999908</v>
      </c>
      <c r="C102">
        <v>95</v>
      </c>
      <c r="D102">
        <v>-0.479823</v>
      </c>
      <c r="E102">
        <v>0</v>
      </c>
      <c r="J102">
        <f t="shared" si="11"/>
        <v>5.0999999999999908</v>
      </c>
      <c r="K102">
        <v>95</v>
      </c>
      <c r="L102">
        <v>0.336453</v>
      </c>
      <c r="M102">
        <v>0</v>
      </c>
      <c r="R102">
        <f t="shared" si="12"/>
        <v>5.0999999999999908</v>
      </c>
      <c r="S102">
        <v>95</v>
      </c>
      <c r="T102">
        <v>0.99674200000000002</v>
      </c>
      <c r="U102">
        <v>0</v>
      </c>
      <c r="Z102">
        <f t="shared" si="13"/>
        <v>5.0999999999999908</v>
      </c>
      <c r="AA102">
        <v>95</v>
      </c>
      <c r="AB102">
        <v>-5.3084300000000004</v>
      </c>
      <c r="AC102">
        <v>0</v>
      </c>
      <c r="AH102">
        <f t="shared" si="14"/>
        <v>5.0999999999999908</v>
      </c>
      <c r="AI102">
        <v>95</v>
      </c>
      <c r="AJ102">
        <v>-3.6758799999999998</v>
      </c>
      <c r="AK102">
        <v>0</v>
      </c>
      <c r="AP102">
        <f t="shared" si="15"/>
        <v>5.0999999999999908</v>
      </c>
      <c r="AQ102">
        <v>95</v>
      </c>
      <c r="AR102">
        <v>-2.3553000000000002</v>
      </c>
      <c r="AS102">
        <v>0</v>
      </c>
      <c r="AX102">
        <f t="shared" si="16"/>
        <v>5.0999999999999908</v>
      </c>
      <c r="AY102">
        <v>95</v>
      </c>
      <c r="AZ102">
        <v>4.3487799999999996</v>
      </c>
      <c r="BA102">
        <v>0</v>
      </c>
      <c r="BF102">
        <f t="shared" si="17"/>
        <v>5.0999999999999908</v>
      </c>
      <c r="BG102">
        <v>95</v>
      </c>
      <c r="BH102">
        <v>-4.4921499999999996</v>
      </c>
      <c r="BI102">
        <v>0</v>
      </c>
      <c r="BN102">
        <f t="shared" si="18"/>
        <v>5.0999999999999908</v>
      </c>
      <c r="BO102">
        <v>95</v>
      </c>
      <c r="BP102">
        <v>-3.8318599999999998</v>
      </c>
      <c r="BQ102">
        <v>0</v>
      </c>
      <c r="BV102">
        <f t="shared" si="19"/>
        <v>5.0999999999999908</v>
      </c>
      <c r="BW102">
        <v>95</v>
      </c>
      <c r="BX102">
        <v>-3.01559</v>
      </c>
      <c r="BY102">
        <v>0</v>
      </c>
    </row>
    <row r="103" spans="2:77" x14ac:dyDescent="0.2">
      <c r="B103">
        <f t="shared" si="10"/>
        <v>5.1499999999999906</v>
      </c>
      <c r="C103">
        <v>96</v>
      </c>
      <c r="D103">
        <v>-0.479823</v>
      </c>
      <c r="E103">
        <v>0</v>
      </c>
      <c r="J103">
        <f t="shared" si="11"/>
        <v>5.1499999999999906</v>
      </c>
      <c r="K103">
        <v>96</v>
      </c>
      <c r="L103">
        <v>0.336453</v>
      </c>
      <c r="M103">
        <v>0</v>
      </c>
      <c r="R103">
        <f t="shared" si="12"/>
        <v>5.1499999999999906</v>
      </c>
      <c r="S103">
        <v>96</v>
      </c>
      <c r="T103">
        <v>0.99674200000000002</v>
      </c>
      <c r="U103">
        <v>0</v>
      </c>
      <c r="Z103">
        <f t="shared" si="13"/>
        <v>5.1499999999999906</v>
      </c>
      <c r="AA103">
        <v>96</v>
      </c>
      <c r="AB103">
        <v>-5.3084300000000004</v>
      </c>
      <c r="AC103">
        <v>0</v>
      </c>
      <c r="AH103">
        <f t="shared" si="14"/>
        <v>5.1499999999999906</v>
      </c>
      <c r="AI103">
        <v>96</v>
      </c>
      <c r="AJ103">
        <v>-3.6758799999999998</v>
      </c>
      <c r="AK103">
        <v>0</v>
      </c>
      <c r="AP103">
        <f t="shared" si="15"/>
        <v>5.1499999999999906</v>
      </c>
      <c r="AQ103">
        <v>96</v>
      </c>
      <c r="AR103">
        <v>-2.3553000000000002</v>
      </c>
      <c r="AS103">
        <v>0</v>
      </c>
      <c r="AX103">
        <f t="shared" si="16"/>
        <v>5.1499999999999906</v>
      </c>
      <c r="AY103">
        <v>96</v>
      </c>
      <c r="AZ103">
        <v>4.3487799999999996</v>
      </c>
      <c r="BA103">
        <v>0</v>
      </c>
      <c r="BF103">
        <f t="shared" si="17"/>
        <v>5.1499999999999906</v>
      </c>
      <c r="BG103">
        <v>96</v>
      </c>
      <c r="BH103">
        <v>-4.4921499999999996</v>
      </c>
      <c r="BI103">
        <v>0</v>
      </c>
      <c r="BN103">
        <f t="shared" si="18"/>
        <v>5.1499999999999906</v>
      </c>
      <c r="BO103">
        <v>96</v>
      </c>
      <c r="BP103">
        <v>-3.8318599999999998</v>
      </c>
      <c r="BQ103">
        <v>0</v>
      </c>
      <c r="BV103">
        <f t="shared" si="19"/>
        <v>5.1499999999999906</v>
      </c>
      <c r="BW103">
        <v>96</v>
      </c>
      <c r="BX103">
        <v>-3.01559</v>
      </c>
      <c r="BY103">
        <v>0</v>
      </c>
    </row>
    <row r="104" spans="2:77" x14ac:dyDescent="0.2">
      <c r="B104">
        <f t="shared" si="10"/>
        <v>5.1999999999999904</v>
      </c>
      <c r="C104">
        <v>97</v>
      </c>
      <c r="D104">
        <v>-0.479823</v>
      </c>
      <c r="E104">
        <v>0</v>
      </c>
      <c r="J104">
        <f t="shared" si="11"/>
        <v>5.1999999999999904</v>
      </c>
      <c r="K104">
        <v>97</v>
      </c>
      <c r="L104">
        <v>0.336453</v>
      </c>
      <c r="M104">
        <v>0</v>
      </c>
      <c r="R104">
        <f t="shared" si="12"/>
        <v>5.1999999999999904</v>
      </c>
      <c r="S104">
        <v>97</v>
      </c>
      <c r="T104">
        <v>0.99674200000000002</v>
      </c>
      <c r="U104">
        <v>0</v>
      </c>
      <c r="Z104">
        <f t="shared" si="13"/>
        <v>5.1999999999999904</v>
      </c>
      <c r="AA104">
        <v>97</v>
      </c>
      <c r="AB104">
        <v>-5.3084300000000004</v>
      </c>
      <c r="AC104">
        <v>0</v>
      </c>
      <c r="AH104">
        <f t="shared" si="14"/>
        <v>5.1999999999999904</v>
      </c>
      <c r="AI104">
        <v>97</v>
      </c>
      <c r="AJ104">
        <v>-3.6758799999999998</v>
      </c>
      <c r="AK104">
        <v>0</v>
      </c>
      <c r="AP104">
        <f t="shared" si="15"/>
        <v>5.1999999999999904</v>
      </c>
      <c r="AQ104">
        <v>97</v>
      </c>
      <c r="AR104">
        <v>-2.3553000000000002</v>
      </c>
      <c r="AS104">
        <v>0</v>
      </c>
      <c r="AX104">
        <f t="shared" si="16"/>
        <v>5.1999999999999904</v>
      </c>
      <c r="AY104">
        <v>97</v>
      </c>
      <c r="AZ104">
        <v>4.3487799999999996</v>
      </c>
      <c r="BA104">
        <v>0</v>
      </c>
      <c r="BF104">
        <f t="shared" si="17"/>
        <v>5.1999999999999904</v>
      </c>
      <c r="BG104">
        <v>97</v>
      </c>
      <c r="BH104">
        <v>-4.4921499999999996</v>
      </c>
      <c r="BI104">
        <v>0</v>
      </c>
      <c r="BN104">
        <f t="shared" si="18"/>
        <v>5.1999999999999904</v>
      </c>
      <c r="BO104">
        <v>97</v>
      </c>
      <c r="BP104">
        <v>-3.8318599999999998</v>
      </c>
      <c r="BQ104">
        <v>0</v>
      </c>
      <c r="BV104">
        <f t="shared" si="19"/>
        <v>5.1999999999999904</v>
      </c>
      <c r="BW104">
        <v>97</v>
      </c>
      <c r="BX104">
        <v>-3.01559</v>
      </c>
      <c r="BY104">
        <v>0</v>
      </c>
    </row>
    <row r="105" spans="2:77" x14ac:dyDescent="0.2">
      <c r="B105">
        <f t="shared" si="10"/>
        <v>5.2499999999999902</v>
      </c>
      <c r="C105">
        <v>98</v>
      </c>
      <c r="D105">
        <v>-0.479823</v>
      </c>
      <c r="E105">
        <v>0</v>
      </c>
      <c r="J105">
        <f t="shared" si="11"/>
        <v>5.2499999999999902</v>
      </c>
      <c r="K105">
        <v>98</v>
      </c>
      <c r="L105">
        <v>0.336453</v>
      </c>
      <c r="M105">
        <v>0</v>
      </c>
      <c r="R105">
        <f t="shared" si="12"/>
        <v>5.2499999999999902</v>
      </c>
      <c r="S105">
        <v>98</v>
      </c>
      <c r="T105">
        <v>0.99674200000000002</v>
      </c>
      <c r="U105">
        <v>0</v>
      </c>
      <c r="Z105">
        <f t="shared" si="13"/>
        <v>5.2499999999999902</v>
      </c>
      <c r="AA105">
        <v>98</v>
      </c>
      <c r="AB105">
        <v>-5.3084300000000004</v>
      </c>
      <c r="AC105">
        <v>0</v>
      </c>
      <c r="AH105">
        <f t="shared" si="14"/>
        <v>5.2499999999999902</v>
      </c>
      <c r="AI105">
        <v>98</v>
      </c>
      <c r="AJ105">
        <v>-3.6758799999999998</v>
      </c>
      <c r="AK105">
        <v>0</v>
      </c>
      <c r="AP105">
        <f t="shared" si="15"/>
        <v>5.2499999999999902</v>
      </c>
      <c r="AQ105">
        <v>98</v>
      </c>
      <c r="AR105">
        <v>-2.3553000000000002</v>
      </c>
      <c r="AS105">
        <v>0</v>
      </c>
      <c r="AX105">
        <f t="shared" si="16"/>
        <v>5.2499999999999902</v>
      </c>
      <c r="AY105">
        <v>98</v>
      </c>
      <c r="AZ105">
        <v>4.3487799999999996</v>
      </c>
      <c r="BA105">
        <v>0</v>
      </c>
      <c r="BF105">
        <f t="shared" si="17"/>
        <v>5.2499999999999902</v>
      </c>
      <c r="BG105">
        <v>98</v>
      </c>
      <c r="BH105">
        <v>-4.4921499999999996</v>
      </c>
      <c r="BI105">
        <v>0</v>
      </c>
      <c r="BN105">
        <f t="shared" si="18"/>
        <v>5.2499999999999902</v>
      </c>
      <c r="BO105">
        <v>98</v>
      </c>
      <c r="BP105">
        <v>-3.8318599999999998</v>
      </c>
      <c r="BQ105">
        <v>0</v>
      </c>
      <c r="BV105">
        <f t="shared" si="19"/>
        <v>5.2499999999999902</v>
      </c>
      <c r="BW105">
        <v>98</v>
      </c>
      <c r="BX105">
        <v>-3.01559</v>
      </c>
      <c r="BY105">
        <v>0</v>
      </c>
    </row>
    <row r="106" spans="2:77" x14ac:dyDescent="0.2">
      <c r="B106">
        <f t="shared" si="10"/>
        <v>5.2999999999999901</v>
      </c>
      <c r="C106">
        <v>99</v>
      </c>
      <c r="D106">
        <v>-0.479823</v>
      </c>
      <c r="E106">
        <v>0</v>
      </c>
      <c r="J106">
        <f t="shared" si="11"/>
        <v>5.2999999999999901</v>
      </c>
      <c r="K106">
        <v>99</v>
      </c>
      <c r="L106">
        <v>0.336453</v>
      </c>
      <c r="M106">
        <v>0</v>
      </c>
      <c r="R106">
        <f t="shared" si="12"/>
        <v>5.2999999999999901</v>
      </c>
      <c r="S106">
        <v>99</v>
      </c>
      <c r="T106">
        <v>0.99674200000000002</v>
      </c>
      <c r="U106">
        <v>0</v>
      </c>
      <c r="Z106">
        <f t="shared" si="13"/>
        <v>5.2999999999999901</v>
      </c>
      <c r="AA106">
        <v>99</v>
      </c>
      <c r="AB106">
        <v>-5.3084300000000004</v>
      </c>
      <c r="AC106">
        <v>0</v>
      </c>
      <c r="AH106">
        <f t="shared" si="14"/>
        <v>5.2999999999999901</v>
      </c>
      <c r="AI106">
        <v>99</v>
      </c>
      <c r="AJ106">
        <v>-3.6758799999999998</v>
      </c>
      <c r="AK106">
        <v>0</v>
      </c>
      <c r="AP106">
        <f t="shared" si="15"/>
        <v>5.2999999999999901</v>
      </c>
      <c r="AQ106">
        <v>99</v>
      </c>
      <c r="AR106">
        <v>-2.3553000000000002</v>
      </c>
      <c r="AS106">
        <v>0</v>
      </c>
      <c r="AX106">
        <f t="shared" si="16"/>
        <v>5.2999999999999901</v>
      </c>
      <c r="AY106">
        <v>99</v>
      </c>
      <c r="AZ106">
        <v>4.3487799999999996</v>
      </c>
      <c r="BA106">
        <v>0</v>
      </c>
      <c r="BF106">
        <f t="shared" si="17"/>
        <v>5.2999999999999901</v>
      </c>
      <c r="BG106">
        <v>99</v>
      </c>
      <c r="BH106">
        <v>-4.4921499999999996</v>
      </c>
      <c r="BI106">
        <v>0</v>
      </c>
      <c r="BN106">
        <f t="shared" si="18"/>
        <v>5.2999999999999901</v>
      </c>
      <c r="BO106">
        <v>99</v>
      </c>
      <c r="BP106">
        <v>-3.8318599999999998</v>
      </c>
      <c r="BQ106">
        <v>0</v>
      </c>
      <c r="BV106">
        <f t="shared" si="19"/>
        <v>5.2999999999999901</v>
      </c>
      <c r="BW106">
        <v>99</v>
      </c>
      <c r="BX106">
        <v>-3.01559</v>
      </c>
      <c r="BY106">
        <v>0</v>
      </c>
    </row>
    <row r="107" spans="2:77" x14ac:dyDescent="0.2">
      <c r="B107">
        <f t="shared" si="10"/>
        <v>5.3499999999999899</v>
      </c>
      <c r="C107">
        <v>100</v>
      </c>
      <c r="D107">
        <v>-0.479823</v>
      </c>
      <c r="E107">
        <v>0</v>
      </c>
      <c r="J107">
        <f t="shared" si="11"/>
        <v>5.3499999999999899</v>
      </c>
      <c r="K107">
        <v>100</v>
      </c>
      <c r="L107">
        <v>0.336453</v>
      </c>
      <c r="M107">
        <v>0</v>
      </c>
      <c r="R107">
        <f t="shared" si="12"/>
        <v>5.3499999999999899</v>
      </c>
      <c r="S107">
        <v>100</v>
      </c>
      <c r="T107">
        <v>0.99674200000000002</v>
      </c>
      <c r="U107">
        <v>0</v>
      </c>
      <c r="Z107">
        <f t="shared" si="13"/>
        <v>5.3499999999999899</v>
      </c>
      <c r="AA107">
        <v>100</v>
      </c>
      <c r="AB107">
        <v>-5.3084300000000004</v>
      </c>
      <c r="AC107">
        <v>0</v>
      </c>
      <c r="AH107">
        <f t="shared" si="14"/>
        <v>5.3499999999999899</v>
      </c>
      <c r="AI107">
        <v>100</v>
      </c>
      <c r="AJ107">
        <v>-3.6758799999999998</v>
      </c>
      <c r="AK107">
        <v>0</v>
      </c>
      <c r="AP107">
        <f t="shared" si="15"/>
        <v>5.3499999999999899</v>
      </c>
      <c r="AQ107">
        <v>100</v>
      </c>
      <c r="AR107">
        <v>-2.3553000000000002</v>
      </c>
      <c r="AS107">
        <v>0</v>
      </c>
      <c r="AX107">
        <f t="shared" si="16"/>
        <v>5.3499999999999899</v>
      </c>
      <c r="AY107">
        <v>100</v>
      </c>
      <c r="AZ107">
        <v>4.3487799999999996</v>
      </c>
      <c r="BA107">
        <v>0</v>
      </c>
      <c r="BF107">
        <f t="shared" si="17"/>
        <v>5.3499999999999899</v>
      </c>
      <c r="BG107">
        <v>100</v>
      </c>
      <c r="BH107">
        <v>-4.4921499999999996</v>
      </c>
      <c r="BI107">
        <v>0</v>
      </c>
      <c r="BN107">
        <f t="shared" si="18"/>
        <v>5.3499999999999899</v>
      </c>
      <c r="BO107">
        <v>100</v>
      </c>
      <c r="BP107">
        <v>-3.8318599999999998</v>
      </c>
      <c r="BQ107">
        <v>0</v>
      </c>
      <c r="BV107">
        <f t="shared" si="19"/>
        <v>5.3499999999999899</v>
      </c>
      <c r="BW107">
        <v>100</v>
      </c>
      <c r="BX107">
        <v>-3.01559</v>
      </c>
      <c r="BY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LiKNaCl MTP 14B</vt:lpstr>
      <vt:lpstr>LiCl-KCl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2025-11-17T23:14:48Z</dcterms:modified>
</cp:coreProperties>
</file>