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6C79C413-6F63-804B-8240-5E02723CAF2F}" xr6:coauthVersionLast="47" xr6:coauthVersionMax="47" xr10:uidLastSave="{00000000-0000-0000-0000-000000000000}"/>
  <bookViews>
    <workbookView minimized="1" xWindow="5540" yWindow="5720" windowWidth="27640" windowHeight="16020" activeTab="1" xr2:uid="{263A2D24-7DC2-114A-B34B-DF7FAD104BF4}"/>
  </bookViews>
  <sheets>
    <sheet name="LiKNaCl MTP 14B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 a="1"/>
  <c r="L33" i="1" s="1"/>
  <c r="L34" i="1" s="1"/>
  <c r="G33" i="1" a="1"/>
  <c r="G33" i="1" s="1"/>
  <c r="G34" i="1" s="1"/>
  <c r="M31" i="1"/>
  <c r="K31" i="1"/>
  <c r="L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G11" i="1" a="1"/>
  <c r="G11" i="1" s="1"/>
  <c r="G12" i="1" s="1"/>
  <c r="L9" i="1"/>
  <c r="K9" i="1"/>
  <c r="L20" i="1"/>
  <c r="K20" i="1"/>
  <c r="M20" i="1"/>
  <c r="M19" i="1"/>
  <c r="K19" i="1"/>
  <c r="L19" i="1" s="1"/>
  <c r="M18" i="1"/>
  <c r="K18" i="1"/>
  <c r="L18" i="1" s="1"/>
  <c r="M17" i="1"/>
  <c r="K17" i="1"/>
  <c r="L17" i="1" s="1"/>
  <c r="AX10" i="2" l="1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/>
  <c r="K7" i="1"/>
  <c r="L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<sst xmlns="http://schemas.openxmlformats.org/spreadsheetml/2006/main" count="104" uniqueCount="38">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</sst>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14B'!$Q$6:$Q$9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14B'!$S$6:$S$9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14B'!$Q$6:$Q$9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14B'!$R$6:$R$9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1510.02</c:v>
                </c:pt>
                <c:pt idx="1">
                  <c:v>1397.91</c:v>
                </c:pt>
                <c:pt idx="2">
                  <c:v>1298.8399999999999</c:v>
                </c:pt>
                <c:pt idx="3">
                  <c:v>1200.08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1.3822819753256126</c:v>
                </c:pt>
                <c:pt idx="1">
                  <c:v>1.4111467018165507</c:v>
                </c:pt>
                <c:pt idx="2">
                  <c:v>1.4368297734231477</c:v>
                </c:pt>
                <c:pt idx="3">
                  <c:v>1.4633889840881273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14B'!$B$38:$B$137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14B'!$D$38:$D$137</c:f>
              <c:numCache>
                <c:formatCode>General</c:formatCode>
                <c:ptCount val="100"/>
                <c:pt idx="0">
                  <c:v>-4023.46</c:v>
                </c:pt>
                <c:pt idx="1">
                  <c:v>-4034.92</c:v>
                </c:pt>
                <c:pt idx="2">
                  <c:v>-4050.83</c:v>
                </c:pt>
                <c:pt idx="3">
                  <c:v>-4061.77</c:v>
                </c:pt>
                <c:pt idx="4">
                  <c:v>-4068.51</c:v>
                </c:pt>
                <c:pt idx="5">
                  <c:v>-4075.31</c:v>
                </c:pt>
                <c:pt idx="6">
                  <c:v>-4074.18</c:v>
                </c:pt>
                <c:pt idx="7">
                  <c:v>-4059.13</c:v>
                </c:pt>
                <c:pt idx="8">
                  <c:v>-4065.51</c:v>
                </c:pt>
                <c:pt idx="9">
                  <c:v>-4066.39</c:v>
                </c:pt>
                <c:pt idx="10">
                  <c:v>-4069.93</c:v>
                </c:pt>
                <c:pt idx="11">
                  <c:v>-4079</c:v>
                </c:pt>
                <c:pt idx="12">
                  <c:v>-4070.87</c:v>
                </c:pt>
                <c:pt idx="13">
                  <c:v>-4065.87</c:v>
                </c:pt>
                <c:pt idx="14">
                  <c:v>-4063.24</c:v>
                </c:pt>
                <c:pt idx="15">
                  <c:v>-4065.43</c:v>
                </c:pt>
                <c:pt idx="16">
                  <c:v>-4066.97</c:v>
                </c:pt>
                <c:pt idx="17">
                  <c:v>-4072.21</c:v>
                </c:pt>
                <c:pt idx="18">
                  <c:v>-4066.14</c:v>
                </c:pt>
                <c:pt idx="19">
                  <c:v>-4056.59</c:v>
                </c:pt>
                <c:pt idx="20">
                  <c:v>-4063.85</c:v>
                </c:pt>
                <c:pt idx="21">
                  <c:v>-4068.45</c:v>
                </c:pt>
                <c:pt idx="22">
                  <c:v>-4067.71</c:v>
                </c:pt>
                <c:pt idx="23">
                  <c:v>-4076.58</c:v>
                </c:pt>
                <c:pt idx="24">
                  <c:v>-4065.58</c:v>
                </c:pt>
                <c:pt idx="25">
                  <c:v>-4057.72</c:v>
                </c:pt>
                <c:pt idx="26">
                  <c:v>-4065.36</c:v>
                </c:pt>
                <c:pt idx="27">
                  <c:v>-4070.54</c:v>
                </c:pt>
                <c:pt idx="28">
                  <c:v>-4069.64</c:v>
                </c:pt>
                <c:pt idx="29">
                  <c:v>-4072.65</c:v>
                </c:pt>
                <c:pt idx="30">
                  <c:v>-4069.46</c:v>
                </c:pt>
                <c:pt idx="31">
                  <c:v>-4060.98</c:v>
                </c:pt>
                <c:pt idx="32">
                  <c:v>-4060.86</c:v>
                </c:pt>
                <c:pt idx="33">
                  <c:v>-4066.93</c:v>
                </c:pt>
                <c:pt idx="34">
                  <c:v>-4069.62</c:v>
                </c:pt>
                <c:pt idx="35">
                  <c:v>-4072.18</c:v>
                </c:pt>
                <c:pt idx="36">
                  <c:v>-4061.92</c:v>
                </c:pt>
                <c:pt idx="37">
                  <c:v>-4063.53</c:v>
                </c:pt>
                <c:pt idx="38">
                  <c:v>-4060.07</c:v>
                </c:pt>
                <c:pt idx="39">
                  <c:v>-4064.02</c:v>
                </c:pt>
                <c:pt idx="40">
                  <c:v>-4066.19</c:v>
                </c:pt>
                <c:pt idx="41">
                  <c:v>-4065.13</c:v>
                </c:pt>
                <c:pt idx="42">
                  <c:v>-4066.63</c:v>
                </c:pt>
                <c:pt idx="43">
                  <c:v>-4070.82</c:v>
                </c:pt>
                <c:pt idx="44">
                  <c:v>-4064.14</c:v>
                </c:pt>
                <c:pt idx="45">
                  <c:v>-4064.91</c:v>
                </c:pt>
                <c:pt idx="46">
                  <c:v>-4068.08</c:v>
                </c:pt>
                <c:pt idx="47">
                  <c:v>-4076.32</c:v>
                </c:pt>
                <c:pt idx="48">
                  <c:v>-4067.92</c:v>
                </c:pt>
                <c:pt idx="49">
                  <c:v>-4070.71</c:v>
                </c:pt>
                <c:pt idx="50">
                  <c:v>-4062.57</c:v>
                </c:pt>
                <c:pt idx="51">
                  <c:v>-4059.24</c:v>
                </c:pt>
                <c:pt idx="52">
                  <c:v>-4066.06</c:v>
                </c:pt>
                <c:pt idx="53">
                  <c:v>-4071.03</c:v>
                </c:pt>
                <c:pt idx="54">
                  <c:v>-4078.1</c:v>
                </c:pt>
                <c:pt idx="55">
                  <c:v>-4069.2</c:v>
                </c:pt>
                <c:pt idx="56">
                  <c:v>-4052.93</c:v>
                </c:pt>
                <c:pt idx="57">
                  <c:v>-4061.48</c:v>
                </c:pt>
                <c:pt idx="58">
                  <c:v>-4062.78</c:v>
                </c:pt>
                <c:pt idx="59">
                  <c:v>-4073.35</c:v>
                </c:pt>
                <c:pt idx="60">
                  <c:v>-4070.39</c:v>
                </c:pt>
                <c:pt idx="61">
                  <c:v>-4067.88</c:v>
                </c:pt>
                <c:pt idx="62">
                  <c:v>-4070.96</c:v>
                </c:pt>
                <c:pt idx="63">
                  <c:v>-4072.2</c:v>
                </c:pt>
                <c:pt idx="64">
                  <c:v>-4072.79</c:v>
                </c:pt>
                <c:pt idx="65">
                  <c:v>-4062.29</c:v>
                </c:pt>
                <c:pt idx="66">
                  <c:v>-4061.54</c:v>
                </c:pt>
                <c:pt idx="67">
                  <c:v>-4066.51</c:v>
                </c:pt>
                <c:pt idx="68">
                  <c:v>-4073.32</c:v>
                </c:pt>
                <c:pt idx="69">
                  <c:v>-4079.52</c:v>
                </c:pt>
                <c:pt idx="70">
                  <c:v>-4073.7</c:v>
                </c:pt>
                <c:pt idx="71">
                  <c:v>-4065.6</c:v>
                </c:pt>
                <c:pt idx="72">
                  <c:v>-4061.03</c:v>
                </c:pt>
                <c:pt idx="73">
                  <c:v>-4066.18</c:v>
                </c:pt>
                <c:pt idx="74">
                  <c:v>-4071.84</c:v>
                </c:pt>
                <c:pt idx="75">
                  <c:v>-4076.14</c:v>
                </c:pt>
                <c:pt idx="76">
                  <c:v>-4073.12</c:v>
                </c:pt>
                <c:pt idx="77">
                  <c:v>-4058.31</c:v>
                </c:pt>
                <c:pt idx="78">
                  <c:v>-4063.34</c:v>
                </c:pt>
                <c:pt idx="79">
                  <c:v>-4065.15</c:v>
                </c:pt>
                <c:pt idx="80">
                  <c:v>-4077.03</c:v>
                </c:pt>
                <c:pt idx="81">
                  <c:v>-4066.63</c:v>
                </c:pt>
                <c:pt idx="82">
                  <c:v>-4067.85</c:v>
                </c:pt>
                <c:pt idx="83">
                  <c:v>-4060.23</c:v>
                </c:pt>
                <c:pt idx="84">
                  <c:v>-4065.14</c:v>
                </c:pt>
                <c:pt idx="85">
                  <c:v>-4070.81</c:v>
                </c:pt>
                <c:pt idx="86">
                  <c:v>-4074.17</c:v>
                </c:pt>
                <c:pt idx="87">
                  <c:v>-4068.42</c:v>
                </c:pt>
                <c:pt idx="88">
                  <c:v>-4063.8</c:v>
                </c:pt>
                <c:pt idx="89">
                  <c:v>-4057.22</c:v>
                </c:pt>
                <c:pt idx="90">
                  <c:v>-4050.71</c:v>
                </c:pt>
                <c:pt idx="91">
                  <c:v>-4055.41</c:v>
                </c:pt>
                <c:pt idx="92">
                  <c:v>-4064.06</c:v>
                </c:pt>
                <c:pt idx="93">
                  <c:v>-4068.88</c:v>
                </c:pt>
                <c:pt idx="94">
                  <c:v>-4071.79</c:v>
                </c:pt>
                <c:pt idx="95">
                  <c:v>-4071.1</c:v>
                </c:pt>
                <c:pt idx="96">
                  <c:v>-4067.09</c:v>
                </c:pt>
                <c:pt idx="97">
                  <c:v>-4062.71</c:v>
                </c:pt>
                <c:pt idx="98">
                  <c:v>-4062.49</c:v>
                </c:pt>
                <c:pt idx="99">
                  <c:v>-4066.36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14B'!$B$38:$B$137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14B'!$E$38:$E$137</c:f>
              <c:numCache>
                <c:formatCode>General</c:formatCode>
                <c:ptCount val="100"/>
                <c:pt idx="0">
                  <c:v>42171.3</c:v>
                </c:pt>
                <c:pt idx="1">
                  <c:v>41644.699999999997</c:v>
                </c:pt>
                <c:pt idx="2">
                  <c:v>41157.300000000003</c:v>
                </c:pt>
                <c:pt idx="3">
                  <c:v>40780.6</c:v>
                </c:pt>
                <c:pt idx="4">
                  <c:v>41058.400000000001</c:v>
                </c:pt>
                <c:pt idx="5">
                  <c:v>40631.4</c:v>
                </c:pt>
                <c:pt idx="6">
                  <c:v>40729</c:v>
                </c:pt>
                <c:pt idx="7">
                  <c:v>40274.6</c:v>
                </c:pt>
                <c:pt idx="8">
                  <c:v>40822.400000000001</c:v>
                </c:pt>
                <c:pt idx="9">
                  <c:v>41020.1</c:v>
                </c:pt>
                <c:pt idx="10">
                  <c:v>40045.4</c:v>
                </c:pt>
                <c:pt idx="11">
                  <c:v>40225.300000000003</c:v>
                </c:pt>
                <c:pt idx="12">
                  <c:v>40613.599999999999</c:v>
                </c:pt>
                <c:pt idx="13">
                  <c:v>40751.599999999999</c:v>
                </c:pt>
                <c:pt idx="14">
                  <c:v>40136</c:v>
                </c:pt>
                <c:pt idx="15">
                  <c:v>40857.4</c:v>
                </c:pt>
                <c:pt idx="16">
                  <c:v>40548.300000000003</c:v>
                </c:pt>
                <c:pt idx="17">
                  <c:v>40563.699999999997</c:v>
                </c:pt>
                <c:pt idx="18">
                  <c:v>40753.9</c:v>
                </c:pt>
                <c:pt idx="19">
                  <c:v>40759.300000000003</c:v>
                </c:pt>
                <c:pt idx="20">
                  <c:v>40751.300000000003</c:v>
                </c:pt>
                <c:pt idx="21">
                  <c:v>40920.400000000001</c:v>
                </c:pt>
                <c:pt idx="22">
                  <c:v>40512.699999999997</c:v>
                </c:pt>
                <c:pt idx="23">
                  <c:v>40399.300000000003</c:v>
                </c:pt>
                <c:pt idx="24">
                  <c:v>40246.300000000003</c:v>
                </c:pt>
                <c:pt idx="25">
                  <c:v>40852.300000000003</c:v>
                </c:pt>
                <c:pt idx="26">
                  <c:v>40930.199999999997</c:v>
                </c:pt>
                <c:pt idx="27">
                  <c:v>40595</c:v>
                </c:pt>
                <c:pt idx="28">
                  <c:v>40357.9</c:v>
                </c:pt>
                <c:pt idx="29">
                  <c:v>40462.800000000003</c:v>
                </c:pt>
                <c:pt idx="30">
                  <c:v>40489.300000000003</c:v>
                </c:pt>
                <c:pt idx="31">
                  <c:v>40938.199999999997</c:v>
                </c:pt>
                <c:pt idx="32">
                  <c:v>40719.300000000003</c:v>
                </c:pt>
                <c:pt idx="33">
                  <c:v>40364.1</c:v>
                </c:pt>
                <c:pt idx="34">
                  <c:v>40681.300000000003</c:v>
                </c:pt>
                <c:pt idx="35">
                  <c:v>40937</c:v>
                </c:pt>
                <c:pt idx="36">
                  <c:v>41044.800000000003</c:v>
                </c:pt>
                <c:pt idx="37">
                  <c:v>41040.9</c:v>
                </c:pt>
                <c:pt idx="38">
                  <c:v>40691.5</c:v>
                </c:pt>
                <c:pt idx="39">
                  <c:v>40980.6</c:v>
                </c:pt>
                <c:pt idx="40">
                  <c:v>40617.4</c:v>
                </c:pt>
                <c:pt idx="41">
                  <c:v>40706.5</c:v>
                </c:pt>
                <c:pt idx="42">
                  <c:v>40829.599999999999</c:v>
                </c:pt>
                <c:pt idx="43">
                  <c:v>40731.5</c:v>
                </c:pt>
                <c:pt idx="44">
                  <c:v>40871.9</c:v>
                </c:pt>
                <c:pt idx="45">
                  <c:v>40708.800000000003</c:v>
                </c:pt>
                <c:pt idx="46">
                  <c:v>40268.5</c:v>
                </c:pt>
                <c:pt idx="47">
                  <c:v>40234.199999999997</c:v>
                </c:pt>
                <c:pt idx="48">
                  <c:v>40290.699999999997</c:v>
                </c:pt>
                <c:pt idx="49">
                  <c:v>40641.5</c:v>
                </c:pt>
                <c:pt idx="50">
                  <c:v>40783.4</c:v>
                </c:pt>
                <c:pt idx="51">
                  <c:v>41047.800000000003</c:v>
                </c:pt>
                <c:pt idx="52">
                  <c:v>40490.5</c:v>
                </c:pt>
                <c:pt idx="53">
                  <c:v>40300</c:v>
                </c:pt>
                <c:pt idx="54">
                  <c:v>40453.599999999999</c:v>
                </c:pt>
                <c:pt idx="55">
                  <c:v>40285.4</c:v>
                </c:pt>
                <c:pt idx="56">
                  <c:v>40925.1</c:v>
                </c:pt>
                <c:pt idx="57">
                  <c:v>40813.300000000003</c:v>
                </c:pt>
                <c:pt idx="58">
                  <c:v>40535.699999999997</c:v>
                </c:pt>
                <c:pt idx="59">
                  <c:v>40659</c:v>
                </c:pt>
                <c:pt idx="60">
                  <c:v>40727.199999999997</c:v>
                </c:pt>
                <c:pt idx="61">
                  <c:v>40866.6</c:v>
                </c:pt>
                <c:pt idx="62">
                  <c:v>40522.6</c:v>
                </c:pt>
                <c:pt idx="63">
                  <c:v>40789.4</c:v>
                </c:pt>
                <c:pt idx="64">
                  <c:v>40444.9</c:v>
                </c:pt>
                <c:pt idx="65">
                  <c:v>40677.300000000003</c:v>
                </c:pt>
                <c:pt idx="66">
                  <c:v>40897.9</c:v>
                </c:pt>
                <c:pt idx="67">
                  <c:v>40793</c:v>
                </c:pt>
                <c:pt idx="68">
                  <c:v>40093.199999999997</c:v>
                </c:pt>
                <c:pt idx="69">
                  <c:v>40090.800000000003</c:v>
                </c:pt>
                <c:pt idx="70">
                  <c:v>40630.199999999997</c:v>
                </c:pt>
                <c:pt idx="71">
                  <c:v>40817.199999999997</c:v>
                </c:pt>
                <c:pt idx="72">
                  <c:v>40925.199999999997</c:v>
                </c:pt>
                <c:pt idx="73">
                  <c:v>40704.699999999997</c:v>
                </c:pt>
                <c:pt idx="74">
                  <c:v>40276.5</c:v>
                </c:pt>
                <c:pt idx="75">
                  <c:v>40406.300000000003</c:v>
                </c:pt>
                <c:pt idx="76">
                  <c:v>40662</c:v>
                </c:pt>
                <c:pt idx="77">
                  <c:v>40976.800000000003</c:v>
                </c:pt>
                <c:pt idx="78">
                  <c:v>40860.5</c:v>
                </c:pt>
                <c:pt idx="79">
                  <c:v>40708.300000000003</c:v>
                </c:pt>
                <c:pt idx="80">
                  <c:v>40334.800000000003</c:v>
                </c:pt>
                <c:pt idx="81">
                  <c:v>40718.699999999997</c:v>
                </c:pt>
                <c:pt idx="82">
                  <c:v>40779.800000000003</c:v>
                </c:pt>
                <c:pt idx="83">
                  <c:v>40880.199999999997</c:v>
                </c:pt>
                <c:pt idx="84">
                  <c:v>40823.4</c:v>
                </c:pt>
                <c:pt idx="85">
                  <c:v>41005.5</c:v>
                </c:pt>
                <c:pt idx="86">
                  <c:v>40527.599999999999</c:v>
                </c:pt>
                <c:pt idx="87">
                  <c:v>40837.800000000003</c:v>
                </c:pt>
                <c:pt idx="88">
                  <c:v>41050.9</c:v>
                </c:pt>
                <c:pt idx="89">
                  <c:v>40356.800000000003</c:v>
                </c:pt>
                <c:pt idx="90">
                  <c:v>41263</c:v>
                </c:pt>
                <c:pt idx="91">
                  <c:v>41627.9</c:v>
                </c:pt>
                <c:pt idx="92">
                  <c:v>40765.199999999997</c:v>
                </c:pt>
                <c:pt idx="93">
                  <c:v>40506.800000000003</c:v>
                </c:pt>
                <c:pt idx="94">
                  <c:v>40650.6</c:v>
                </c:pt>
                <c:pt idx="95">
                  <c:v>40337.9</c:v>
                </c:pt>
                <c:pt idx="96">
                  <c:v>40183.199999999997</c:v>
                </c:pt>
                <c:pt idx="97">
                  <c:v>41225.800000000003</c:v>
                </c:pt>
                <c:pt idx="98">
                  <c:v>40736.6</c:v>
                </c:pt>
                <c:pt idx="99">
                  <c:v>40706.9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Sheet2!$D$7:$D$107</c:f>
              <c:numCache>
                <c:formatCode>0.00E+00</c:formatCode>
                <c:ptCount val="101"/>
                <c:pt idx="0">
                  <c:v>-25014100</c:v>
                </c:pt>
                <c:pt idx="1">
                  <c:v>-25014100</c:v>
                </c:pt>
                <c:pt idx="2">
                  <c:v>-12335600</c:v>
                </c:pt>
                <c:pt idx="3">
                  <c:v>-5969750</c:v>
                </c:pt>
                <c:pt idx="4">
                  <c:v>-2830420</c:v>
                </c:pt>
                <c:pt idx="5">
                  <c:v>-1312110</c:v>
                </c:pt>
                <c:pt idx="6">
                  <c:v>-593228</c:v>
                </c:pt>
                <c:pt idx="7">
                  <c:v>-260721</c:v>
                </c:pt>
                <c:pt idx="8">
                  <c:v>-110892</c:v>
                </c:pt>
                <c:pt idx="9">
                  <c:v>-45353.7</c:v>
                </c:pt>
                <c:pt idx="10">
                  <c:v>-17660.2</c:v>
                </c:pt>
                <c:pt idx="11">
                  <c:v>-6435.88</c:v>
                </c:pt>
                <c:pt idx="12">
                  <c:v>-2120.83</c:v>
                </c:pt>
                <c:pt idx="13">
                  <c:v>-578.00199999999995</c:v>
                </c:pt>
                <c:pt idx="14">
                  <c:v>-85.507199999999997</c:v>
                </c:pt>
                <c:pt idx="15">
                  <c:v>39.7639</c:v>
                </c:pt>
                <c:pt idx="16">
                  <c:v>52.335299999999997</c:v>
                </c:pt>
                <c:pt idx="17">
                  <c:v>38.845700000000001</c:v>
                </c:pt>
                <c:pt idx="18">
                  <c:v>24.572800000000001</c:v>
                </c:pt>
                <c:pt idx="19">
                  <c:v>14.5679</c:v>
                </c:pt>
                <c:pt idx="20">
                  <c:v>8.3582199999999993</c:v>
                </c:pt>
                <c:pt idx="21">
                  <c:v>4.6075900000000001</c:v>
                </c:pt>
                <c:pt idx="22">
                  <c:v>2.2807200000000001</c:v>
                </c:pt>
                <c:pt idx="23">
                  <c:v>0.75153199999999998</c:v>
                </c:pt>
                <c:pt idx="24">
                  <c:v>-0.32057400000000003</c:v>
                </c:pt>
                <c:pt idx="25">
                  <c:v>-1.1129199999999999</c:v>
                </c:pt>
                <c:pt idx="26">
                  <c:v>-1.7180800000000001</c:v>
                </c:pt>
                <c:pt idx="27">
                  <c:v>-2.18689</c:v>
                </c:pt>
                <c:pt idx="28">
                  <c:v>-2.5499200000000002</c:v>
                </c:pt>
                <c:pt idx="29">
                  <c:v>-2.8277800000000002</c:v>
                </c:pt>
                <c:pt idx="30" formatCode="General">
                  <c:v>-3.0358499999999999</c:v>
                </c:pt>
                <c:pt idx="31" formatCode="General">
                  <c:v>-3.18642</c:v>
                </c:pt>
                <c:pt idx="32" formatCode="General">
                  <c:v>-3.2896999999999998</c:v>
                </c:pt>
                <c:pt idx="33" formatCode="General">
                  <c:v>-3.3542800000000002</c:v>
                </c:pt>
                <c:pt idx="34" formatCode="General">
                  <c:v>-3.3873899999999999</c:v>
                </c:pt>
                <c:pt idx="35" formatCode="General">
                  <c:v>-3.3950399999999998</c:v>
                </c:pt>
                <c:pt idx="36" formatCode="General">
                  <c:v>-3.3822000000000001</c:v>
                </c:pt>
                <c:pt idx="37" formatCode="General">
                  <c:v>-3.3529399999999998</c:v>
                </c:pt>
                <c:pt idx="38" formatCode="General">
                  <c:v>-3.3105600000000002</c:v>
                </c:pt>
                <c:pt idx="39" formatCode="General">
                  <c:v>-3.25773</c:v>
                </c:pt>
                <c:pt idx="40" formatCode="General">
                  <c:v>-3.19659</c:v>
                </c:pt>
                <c:pt idx="41" formatCode="General">
                  <c:v>-3.1289099999999999</c:v>
                </c:pt>
                <c:pt idx="42" formatCode="General">
                  <c:v>-3.0560900000000002</c:v>
                </c:pt>
                <c:pt idx="43" formatCode="General">
                  <c:v>-2.97933</c:v>
                </c:pt>
                <c:pt idx="44" formatCode="General">
                  <c:v>-2.8996</c:v>
                </c:pt>
                <c:pt idx="45" formatCode="General">
                  <c:v>-2.8177500000000002</c:v>
                </c:pt>
                <c:pt idx="46" formatCode="General">
                  <c:v>-2.7344900000000001</c:v>
                </c:pt>
                <c:pt idx="47" formatCode="General">
                  <c:v>-2.6504699999999999</c:v>
                </c:pt>
                <c:pt idx="48" formatCode="General">
                  <c:v>-2.56623</c:v>
                </c:pt>
                <c:pt idx="49" formatCode="General">
                  <c:v>-2.4822799999999998</c:v>
                </c:pt>
                <c:pt idx="50" formatCode="General">
                  <c:v>-2.3990499999999999</c:v>
                </c:pt>
                <c:pt idx="51" formatCode="General">
                  <c:v>-2.3169300000000002</c:v>
                </c:pt>
                <c:pt idx="52" formatCode="General">
                  <c:v>-2.2362600000000001</c:v>
                </c:pt>
                <c:pt idx="53" formatCode="General">
                  <c:v>-2.15733</c:v>
                </c:pt>
                <c:pt idx="54" formatCode="General">
                  <c:v>-2.0803799999999999</c:v>
                </c:pt>
                <c:pt idx="55" formatCode="General">
                  <c:v>-2.0056099999999999</c:v>
                </c:pt>
                <c:pt idx="56" formatCode="General">
                  <c:v>-1.9331700000000001</c:v>
                </c:pt>
                <c:pt idx="57" formatCode="General">
                  <c:v>-1.86314</c:v>
                </c:pt>
                <c:pt idx="58" formatCode="General">
                  <c:v>-1.79559</c:v>
                </c:pt>
                <c:pt idx="59" formatCode="General">
                  <c:v>-1.7305200000000001</c:v>
                </c:pt>
                <c:pt idx="60" formatCode="General">
                  <c:v>-1.6678999999999999</c:v>
                </c:pt>
                <c:pt idx="61" formatCode="General">
                  <c:v>-1.6076699999999999</c:v>
                </c:pt>
                <c:pt idx="62" formatCode="General">
                  <c:v>-1.5497399999999999</c:v>
                </c:pt>
                <c:pt idx="63" formatCode="General">
                  <c:v>-1.494</c:v>
                </c:pt>
                <c:pt idx="64" formatCode="General">
                  <c:v>-1.44032</c:v>
                </c:pt>
                <c:pt idx="65" formatCode="General">
                  <c:v>-1.38859</c:v>
                </c:pt>
                <c:pt idx="66" formatCode="General">
                  <c:v>-1.3386899999999999</c:v>
                </c:pt>
                <c:pt idx="67" formatCode="General">
                  <c:v>-1.2905199999999999</c:v>
                </c:pt>
                <c:pt idx="68" formatCode="General">
                  <c:v>-1.2439800000000001</c:v>
                </c:pt>
                <c:pt idx="69" formatCode="General">
                  <c:v>-1.1990400000000001</c:v>
                </c:pt>
                <c:pt idx="70" formatCode="General">
                  <c:v>-1.1556599999999999</c:v>
                </c:pt>
                <c:pt idx="71" formatCode="General">
                  <c:v>-1.11385</c:v>
                </c:pt>
                <c:pt idx="72" formatCode="General">
                  <c:v>-1.0736399999999999</c:v>
                </c:pt>
                <c:pt idx="73" formatCode="General">
                  <c:v>-1.03511</c:v>
                </c:pt>
                <c:pt idx="74" formatCode="General">
                  <c:v>-0.99831599999999998</c:v>
                </c:pt>
                <c:pt idx="75" formatCode="General">
                  <c:v>-0.96336200000000005</c:v>
                </c:pt>
                <c:pt idx="76" formatCode="General">
                  <c:v>-0.93032899999999996</c:v>
                </c:pt>
                <c:pt idx="77" formatCode="General">
                  <c:v>-0.89928300000000005</c:v>
                </c:pt>
                <c:pt idx="78" formatCode="General">
                  <c:v>-0.87025699999999995</c:v>
                </c:pt>
                <c:pt idx="79">
                  <c:v>-0.84323599999999999</c:v>
                </c:pt>
                <c:pt idx="80" formatCode="General">
                  <c:v>-0.81814200000000004</c:v>
                </c:pt>
                <c:pt idx="81" formatCode="General">
                  <c:v>-0.79482299999999995</c:v>
                </c:pt>
                <c:pt idx="82" formatCode="General">
                  <c:v>-0.77304799999999996</c:v>
                </c:pt>
                <c:pt idx="83" formatCode="General">
                  <c:v>-0.75250700000000004</c:v>
                </c:pt>
                <c:pt idx="84" formatCode="General">
                  <c:v>-0.732823</c:v>
                </c:pt>
                <c:pt idx="85" formatCode="General">
                  <c:v>-0.71357000000000004</c:v>
                </c:pt>
                <c:pt idx="86" formatCode="General">
                  <c:v>-0.69431100000000001</c:v>
                </c:pt>
                <c:pt idx="87" formatCode="General">
                  <c:v>-0.674655</c:v>
                </c:pt>
                <c:pt idx="88" formatCode="General">
                  <c:v>-0.65432999999999997</c:v>
                </c:pt>
                <c:pt idx="89" formatCode="General">
                  <c:v>-0.63329000000000002</c:v>
                </c:pt>
                <c:pt idx="90" formatCode="General">
                  <c:v>-0.61184499999999997</c:v>
                </c:pt>
                <c:pt idx="91" formatCode="General">
                  <c:v>-0.59083399999999997</c:v>
                </c:pt>
                <c:pt idx="92" formatCode="General">
                  <c:v>-0.57183899999999999</c:v>
                </c:pt>
                <c:pt idx="93" formatCode="General">
                  <c:v>-0.55743900000000002</c:v>
                </c:pt>
                <c:pt idx="94" formatCode="General">
                  <c:v>-0.55151399999999995</c:v>
                </c:pt>
                <c:pt idx="95" formatCode="General">
                  <c:v>-0.55151399999999995</c:v>
                </c:pt>
                <c:pt idx="96" formatCode="General">
                  <c:v>-0.55151399999999995</c:v>
                </c:pt>
                <c:pt idx="97" formatCode="General">
                  <c:v>-0.55151399999999995</c:v>
                </c:pt>
                <c:pt idx="98" formatCode="General">
                  <c:v>-0.55151399999999995</c:v>
                </c:pt>
                <c:pt idx="99" formatCode="General">
                  <c:v>-0.55151399999999995</c:v>
                </c:pt>
                <c:pt idx="100" formatCode="General">
                  <c:v>-0.55151399999999995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Sheet2!$L$7:$L$107</c:f>
              <c:numCache>
                <c:formatCode>0.00E+00</c:formatCode>
                <c:ptCount val="101"/>
                <c:pt idx="0">
                  <c:v>-24486500000</c:v>
                </c:pt>
                <c:pt idx="1">
                  <c:v>-24486500000</c:v>
                </c:pt>
                <c:pt idx="2">
                  <c:v>-12870000000</c:v>
                </c:pt>
                <c:pt idx="3">
                  <c:v>-6673600000</c:v>
                </c:pt>
                <c:pt idx="4">
                  <c:v>-3411670000</c:v>
                </c:pt>
                <c:pt idx="5">
                  <c:v>-1718190000</c:v>
                </c:pt>
                <c:pt idx="6">
                  <c:v>-851751000</c:v>
                </c:pt>
                <c:pt idx="7">
                  <c:v>-415230000</c:v>
                </c:pt>
                <c:pt idx="8">
                  <c:v>-198864000</c:v>
                </c:pt>
                <c:pt idx="9">
                  <c:v>-93457900</c:v>
                </c:pt>
                <c:pt idx="10">
                  <c:v>-43043600</c:v>
                </c:pt>
                <c:pt idx="11">
                  <c:v>-19399800</c:v>
                </c:pt>
                <c:pt idx="12">
                  <c:v>-8541880</c:v>
                </c:pt>
                <c:pt idx="13">
                  <c:v>-3667210</c:v>
                </c:pt>
                <c:pt idx="14">
                  <c:v>-1531650</c:v>
                </c:pt>
                <c:pt idx="15" formatCode="General">
                  <c:v>-620658</c:v>
                </c:pt>
                <c:pt idx="16" formatCode="General">
                  <c:v>-243222</c:v>
                </c:pt>
                <c:pt idx="17" formatCode="General">
                  <c:v>-91802</c:v>
                </c:pt>
                <c:pt idx="18" formatCode="General">
                  <c:v>-33200.1</c:v>
                </c:pt>
                <c:pt idx="19" formatCode="General">
                  <c:v>-11422.5</c:v>
                </c:pt>
                <c:pt idx="20" formatCode="General">
                  <c:v>-3698.2</c:v>
                </c:pt>
                <c:pt idx="21" formatCode="General">
                  <c:v>-1104.6199999999999</c:v>
                </c:pt>
                <c:pt idx="22" formatCode="General">
                  <c:v>-290.21800000000002</c:v>
                </c:pt>
                <c:pt idx="23" formatCode="General">
                  <c:v>-56.004800000000003</c:v>
                </c:pt>
                <c:pt idx="24" formatCode="General">
                  <c:v>2.8870200000000001</c:v>
                </c:pt>
                <c:pt idx="25" formatCode="General">
                  <c:v>13.8895</c:v>
                </c:pt>
                <c:pt idx="26" formatCode="General">
                  <c:v>13.6686</c:v>
                </c:pt>
                <c:pt idx="27" formatCode="General">
                  <c:v>11.5467</c:v>
                </c:pt>
                <c:pt idx="28" formatCode="General">
                  <c:v>9.4672000000000001</c:v>
                </c:pt>
                <c:pt idx="29" formatCode="General">
                  <c:v>7.6825999999999999</c:v>
                </c:pt>
                <c:pt idx="30" formatCode="General">
                  <c:v>6.1597600000000003</c:v>
                </c:pt>
                <c:pt idx="31" formatCode="General">
                  <c:v>4.8530100000000003</c:v>
                </c:pt>
                <c:pt idx="32" formatCode="General">
                  <c:v>3.7319</c:v>
                </c:pt>
                <c:pt idx="33" formatCode="General">
                  <c:v>2.7744300000000002</c:v>
                </c:pt>
                <c:pt idx="34" formatCode="General">
                  <c:v>1.96208</c:v>
                </c:pt>
                <c:pt idx="35" formatCode="General">
                  <c:v>1.278</c:v>
                </c:pt>
                <c:pt idx="36" formatCode="General">
                  <c:v>0.70652300000000001</c:v>
                </c:pt>
                <c:pt idx="37" formatCode="General">
                  <c:v>0.232989</c:v>
                </c:pt>
                <c:pt idx="38" formatCode="General">
                  <c:v>-0.15615999999999999</c:v>
                </c:pt>
                <c:pt idx="39" formatCode="General">
                  <c:v>-0.47327200000000003</c:v>
                </c:pt>
                <c:pt idx="40" formatCode="General">
                  <c:v>-0.72936400000000001</c:v>
                </c:pt>
                <c:pt idx="41" formatCode="General">
                  <c:v>-0.93406400000000001</c:v>
                </c:pt>
                <c:pt idx="42" formatCode="General">
                  <c:v>-1.0956399999999999</c:v>
                </c:pt>
                <c:pt idx="43" formatCode="General">
                  <c:v>-1.2211000000000001</c:v>
                </c:pt>
                <c:pt idx="44" formatCode="General">
                  <c:v>-1.31633</c:v>
                </c:pt>
                <c:pt idx="45" formatCode="General">
                  <c:v>-1.3862699999999999</c:v>
                </c:pt>
                <c:pt idx="46" formatCode="General">
                  <c:v>-1.43502</c:v>
                </c:pt>
                <c:pt idx="47" formatCode="General">
                  <c:v>-1.4660500000000001</c:v>
                </c:pt>
                <c:pt idx="48" formatCode="General">
                  <c:v>-1.4822299999999999</c:v>
                </c:pt>
                <c:pt idx="49" formatCode="General">
                  <c:v>-1.4860100000000001</c:v>
                </c:pt>
                <c:pt idx="50" formatCode="General">
                  <c:v>-1.4794499999999999</c:v>
                </c:pt>
                <c:pt idx="51" formatCode="General">
                  <c:v>-1.46431</c:v>
                </c:pt>
                <c:pt idx="52" formatCode="General">
                  <c:v>-1.44211</c:v>
                </c:pt>
                <c:pt idx="53" formatCode="General">
                  <c:v>-1.4141600000000001</c:v>
                </c:pt>
                <c:pt idx="54" formatCode="General">
                  <c:v>-1.38158</c:v>
                </c:pt>
                <c:pt idx="55" formatCode="General">
                  <c:v>-1.3453599999999999</c:v>
                </c:pt>
                <c:pt idx="56" formatCode="General">
                  <c:v>-1.30636</c:v>
                </c:pt>
                <c:pt idx="57" formatCode="General">
                  <c:v>-1.26532</c:v>
                </c:pt>
                <c:pt idx="58" formatCode="General">
                  <c:v>-1.2228600000000001</c:v>
                </c:pt>
                <c:pt idx="59" formatCode="General">
                  <c:v>-1.1795100000000001</c:v>
                </c:pt>
                <c:pt idx="60" formatCode="General">
                  <c:v>-1.1356999999999999</c:v>
                </c:pt>
                <c:pt idx="61" formatCode="General">
                  <c:v>-1.09175</c:v>
                </c:pt>
                <c:pt idx="62" formatCode="General">
                  <c:v>-1.04792</c:v>
                </c:pt>
                <c:pt idx="63" formatCode="General">
                  <c:v>-1.0043800000000001</c:v>
                </c:pt>
                <c:pt idx="64" formatCode="General">
                  <c:v>-0.96121800000000002</c:v>
                </c:pt>
                <c:pt idx="65" formatCode="General">
                  <c:v>-0.918493</c:v>
                </c:pt>
                <c:pt idx="66" formatCode="General">
                  <c:v>-0.87620699999999996</c:v>
                </c:pt>
                <c:pt idx="67" formatCode="General">
                  <c:v>-0.83433100000000004</c:v>
                </c:pt>
                <c:pt idx="68" formatCode="General">
                  <c:v>-0.79281500000000005</c:v>
                </c:pt>
                <c:pt idx="69" formatCode="General">
                  <c:v>-0.75160099999999996</c:v>
                </c:pt>
                <c:pt idx="70" formatCode="General">
                  <c:v>-0.71063200000000004</c:v>
                </c:pt>
                <c:pt idx="71" formatCode="General">
                  <c:v>-0.66986500000000004</c:v>
                </c:pt>
                <c:pt idx="72" formatCode="General">
                  <c:v>-0.62928099999999998</c:v>
                </c:pt>
                <c:pt idx="73" formatCode="General">
                  <c:v>-0.58889400000000003</c:v>
                </c:pt>
                <c:pt idx="74" formatCode="General">
                  <c:v>-0.54875799999999997</c:v>
                </c:pt>
                <c:pt idx="75" formatCode="General">
                  <c:v>-0.50897099999999995</c:v>
                </c:pt>
                <c:pt idx="76" formatCode="General">
                  <c:v>-0.46967100000000001</c:v>
                </c:pt>
                <c:pt idx="77" formatCode="General">
                  <c:v>-0.431029</c:v>
                </c:pt>
                <c:pt idx="78" formatCode="General">
                  <c:v>-0.39323200000000003</c:v>
                </c:pt>
                <c:pt idx="79" formatCode="General">
                  <c:v>-0.356464</c:v>
                </c:pt>
                <c:pt idx="80" formatCode="General">
                  <c:v>-0.32087300000000002</c:v>
                </c:pt>
                <c:pt idx="81" formatCode="General">
                  <c:v>-0.28654099999999999</c:v>
                </c:pt>
                <c:pt idx="82" formatCode="General">
                  <c:v>-0.25345800000000002</c:v>
                </c:pt>
                <c:pt idx="83" formatCode="General">
                  <c:v>-0.221493</c:v>
                </c:pt>
                <c:pt idx="84" formatCode="General">
                  <c:v>-0.19038099999999999</c:v>
                </c:pt>
                <c:pt idx="85" formatCode="General">
                  <c:v>-0.15973000000000001</c:v>
                </c:pt>
                <c:pt idx="86" formatCode="General">
                  <c:v>-0.12904499999999999</c:v>
                </c:pt>
                <c:pt idx="87" formatCode="General">
                  <c:v>-9.7791000000000003E-2</c:v>
                </c:pt>
                <c:pt idx="88" formatCode="General">
                  <c:v>-6.5496200000000004E-2</c:v>
                </c:pt>
                <c:pt idx="89" formatCode="General">
                  <c:v>-3.19201E-2</c:v>
                </c:pt>
                <c:pt idx="90" formatCode="General">
                  <c:v>2.6884999999999999E-3</c:v>
                </c:pt>
                <c:pt idx="91" formatCode="General">
                  <c:v>3.7213400000000001E-2</c:v>
                </c:pt>
                <c:pt idx="92" formatCode="General">
                  <c:v>6.9146399999999997E-2</c:v>
                </c:pt>
                <c:pt idx="93" formatCode="General">
                  <c:v>9.3933900000000001E-2</c:v>
                </c:pt>
                <c:pt idx="94" formatCode="General">
                  <c:v>0.10431799999999999</c:v>
                </c:pt>
                <c:pt idx="95" formatCode="General">
                  <c:v>0.10431799999999999</c:v>
                </c:pt>
                <c:pt idx="96" formatCode="General">
                  <c:v>0.10431799999999999</c:v>
                </c:pt>
                <c:pt idx="97" formatCode="General">
                  <c:v>0.10431799999999999</c:v>
                </c:pt>
                <c:pt idx="98" formatCode="General">
                  <c:v>0.10431799999999999</c:v>
                </c:pt>
                <c:pt idx="99" formatCode="General">
                  <c:v>0.10431799999999999</c:v>
                </c:pt>
                <c:pt idx="100" formatCode="General">
                  <c:v>0.10431799999999999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Sheet2!$T$7:$T$107</c:f>
              <c:numCache>
                <c:formatCode>0.00E+00</c:formatCode>
                <c:ptCount val="101"/>
                <c:pt idx="0">
                  <c:v>-63255200</c:v>
                </c:pt>
                <c:pt idx="1">
                  <c:v>-63255200</c:v>
                </c:pt>
                <c:pt idx="2">
                  <c:v>-32672000</c:v>
                </c:pt>
                <c:pt idx="3">
                  <c:v>-16631900</c:v>
                </c:pt>
                <c:pt idx="4">
                  <c:v>-8337040</c:v>
                </c:pt>
                <c:pt idx="5">
                  <c:v>-4111110</c:v>
                </c:pt>
                <c:pt idx="6">
                  <c:v>-1992000</c:v>
                </c:pt>
                <c:pt idx="7">
                  <c:v>-947147</c:v>
                </c:pt>
                <c:pt idx="8" formatCode="General">
                  <c:v>-441216</c:v>
                </c:pt>
                <c:pt idx="9" formatCode="General">
                  <c:v>-200971</c:v>
                </c:pt>
                <c:pt idx="10" formatCode="General">
                  <c:v>-89283.4</c:v>
                </c:pt>
                <c:pt idx="11" formatCode="General">
                  <c:v>-38556.5</c:v>
                </c:pt>
                <c:pt idx="12" formatCode="General">
                  <c:v>-16107.3</c:v>
                </c:pt>
                <c:pt idx="13" formatCode="General">
                  <c:v>-6460.91</c:v>
                </c:pt>
                <c:pt idx="14" formatCode="General">
                  <c:v>-2456.09</c:v>
                </c:pt>
                <c:pt idx="15" formatCode="General">
                  <c:v>-861.72500000000002</c:v>
                </c:pt>
                <c:pt idx="16" formatCode="General">
                  <c:v>-260.70999999999998</c:v>
                </c:pt>
                <c:pt idx="17" formatCode="General">
                  <c:v>-51.41</c:v>
                </c:pt>
                <c:pt idx="18" formatCode="General">
                  <c:v>12.015700000000001</c:v>
                </c:pt>
                <c:pt idx="19" formatCode="General">
                  <c:v>25.4133</c:v>
                </c:pt>
                <c:pt idx="20" formatCode="General">
                  <c:v>23.9207</c:v>
                </c:pt>
                <c:pt idx="21" formatCode="General">
                  <c:v>19.318000000000001</c:v>
                </c:pt>
                <c:pt idx="22" formatCode="General">
                  <c:v>14.9826</c:v>
                </c:pt>
                <c:pt idx="23" formatCode="General">
                  <c:v>11.557600000000001</c:v>
                </c:pt>
                <c:pt idx="24" formatCode="General">
                  <c:v>8.9451599999999996</c:v>
                </c:pt>
                <c:pt idx="25" formatCode="General">
                  <c:v>6.9320199999999996</c:v>
                </c:pt>
                <c:pt idx="26" formatCode="General">
                  <c:v>5.3453099999999996</c:v>
                </c:pt>
                <c:pt idx="27" formatCode="General">
                  <c:v>4.0686600000000004</c:v>
                </c:pt>
                <c:pt idx="28" formatCode="General">
                  <c:v>3.0270700000000001</c:v>
                </c:pt>
                <c:pt idx="29" formatCode="General">
                  <c:v>2.17109</c:v>
                </c:pt>
                <c:pt idx="30" formatCode="General">
                  <c:v>1.4662999999999999</c:v>
                </c:pt>
                <c:pt idx="31" formatCode="General">
                  <c:v>0.88715699999999997</c:v>
                </c:pt>
                <c:pt idx="32" formatCode="General">
                  <c:v>0.41365299999999999</c:v>
                </c:pt>
                <c:pt idx="33" formatCode="General">
                  <c:v>2.94325E-2</c:v>
                </c:pt>
                <c:pt idx="34" formatCode="General">
                  <c:v>-0.27921200000000002</c:v>
                </c:pt>
                <c:pt idx="35" formatCode="General">
                  <c:v>-0.52393999999999996</c:v>
                </c:pt>
                <c:pt idx="36" formatCode="General">
                  <c:v>-0.71473699999999996</c:v>
                </c:pt>
                <c:pt idx="37" formatCode="General">
                  <c:v>-0.86017500000000002</c:v>
                </c:pt>
                <c:pt idx="38" formatCode="General">
                  <c:v>-0.96760299999999999</c:v>
                </c:pt>
                <c:pt idx="39" formatCode="General">
                  <c:v>-1.04331</c:v>
                </c:pt>
                <c:pt idx="40" formatCode="General">
                  <c:v>-1.0926499999999999</c:v>
                </c:pt>
                <c:pt idx="41" formatCode="General">
                  <c:v>-1.12018</c:v>
                </c:pt>
                <c:pt idx="42" formatCode="General">
                  <c:v>-1.1297600000000001</c:v>
                </c:pt>
                <c:pt idx="43" formatCode="General">
                  <c:v>-1.12463</c:v>
                </c:pt>
                <c:pt idx="44" formatCode="General">
                  <c:v>-1.10754</c:v>
                </c:pt>
                <c:pt idx="45" formatCode="General">
                  <c:v>-1.0807899999999999</c:v>
                </c:pt>
                <c:pt idx="46" formatCode="General">
                  <c:v>-1.0462899999999999</c:v>
                </c:pt>
                <c:pt idx="47" formatCode="General">
                  <c:v>-1.0056700000000001</c:v>
                </c:pt>
                <c:pt idx="48" formatCode="General">
                  <c:v>-0.96026400000000001</c:v>
                </c:pt>
                <c:pt idx="49" formatCode="General">
                  <c:v>-0.91120599999999996</c:v>
                </c:pt>
                <c:pt idx="50" formatCode="General">
                  <c:v>-0.85943700000000001</c:v>
                </c:pt>
                <c:pt idx="51" formatCode="General">
                  <c:v>-0.80574500000000004</c:v>
                </c:pt>
                <c:pt idx="52" formatCode="General">
                  <c:v>-0.75078800000000001</c:v>
                </c:pt>
                <c:pt idx="53" formatCode="General">
                  <c:v>-0.69511500000000004</c:v>
                </c:pt>
                <c:pt idx="54" formatCode="General">
                  <c:v>-0.63917999999999997</c:v>
                </c:pt>
                <c:pt idx="55" formatCode="General">
                  <c:v>-0.58335599999999999</c:v>
                </c:pt>
                <c:pt idx="56" formatCode="General">
                  <c:v>-0.52794399999999997</c:v>
                </c:pt>
                <c:pt idx="57" formatCode="General">
                  <c:v>-0.47318300000000002</c:v>
                </c:pt>
                <c:pt idx="58" formatCode="General">
                  <c:v>-0.41925699999999999</c:v>
                </c:pt>
                <c:pt idx="59" formatCode="General">
                  <c:v>-0.36629800000000001</c:v>
                </c:pt>
                <c:pt idx="60" formatCode="General">
                  <c:v>-0.31439699999999998</c:v>
                </c:pt>
                <c:pt idx="61" formatCode="General">
                  <c:v>-0.26360499999999998</c:v>
                </c:pt>
                <c:pt idx="62" formatCode="General">
                  <c:v>-0.213946</c:v>
                </c:pt>
                <c:pt idx="63" formatCode="General">
                  <c:v>-0.16541600000000001</c:v>
                </c:pt>
                <c:pt idx="64" formatCode="General">
                  <c:v>-0.117993</c:v>
                </c:pt>
                <c:pt idx="65" formatCode="General">
                  <c:v>-7.1643399999999996E-2</c:v>
                </c:pt>
                <c:pt idx="66" formatCode="General">
                  <c:v>-2.6328000000000001E-2</c:v>
                </c:pt>
                <c:pt idx="67" formatCode="General">
                  <c:v>1.79922E-2</c:v>
                </c:pt>
                <c:pt idx="68" formatCode="General">
                  <c:v>6.1350700000000001E-2</c:v>
                </c:pt>
                <c:pt idx="69" formatCode="General">
                  <c:v>0.10377</c:v>
                </c:pt>
                <c:pt idx="70" formatCode="General">
                  <c:v>0.145258</c:v>
                </c:pt>
                <c:pt idx="71" formatCode="General">
                  <c:v>0.185805</c:v>
                </c:pt>
                <c:pt idx="72" formatCode="General">
                  <c:v>0.225383</c:v>
                </c:pt>
                <c:pt idx="73" formatCode="General">
                  <c:v>0.26394699999999999</c:v>
                </c:pt>
                <c:pt idx="74" formatCode="General">
                  <c:v>0.30143599999999998</c:v>
                </c:pt>
                <c:pt idx="75" formatCode="General">
                  <c:v>0.33777699999999999</c:v>
                </c:pt>
                <c:pt idx="76" formatCode="General">
                  <c:v>0.37289800000000001</c:v>
                </c:pt>
                <c:pt idx="77" formatCode="General">
                  <c:v>0.40672799999999998</c:v>
                </c:pt>
                <c:pt idx="78" formatCode="General">
                  <c:v>0.439216</c:v>
                </c:pt>
                <c:pt idx="79" formatCode="General">
                  <c:v>0.47033900000000001</c:v>
                </c:pt>
                <c:pt idx="80" formatCode="General">
                  <c:v>0.500112</c:v>
                </c:pt>
                <c:pt idx="81" formatCode="General">
                  <c:v>0.52859900000000004</c:v>
                </c:pt>
                <c:pt idx="82" formatCode="General">
                  <c:v>0.555921</c:v>
                </c:pt>
                <c:pt idx="83" formatCode="General">
                  <c:v>0.58225300000000002</c:v>
                </c:pt>
                <c:pt idx="84" formatCode="General">
                  <c:v>0.607823</c:v>
                </c:pt>
                <c:pt idx="85" formatCode="General">
                  <c:v>0.63288999999999995</c:v>
                </c:pt>
                <c:pt idx="86" formatCode="General">
                  <c:v>0.65771900000000005</c:v>
                </c:pt>
                <c:pt idx="87" formatCode="General">
                  <c:v>0.68253699999999995</c:v>
                </c:pt>
                <c:pt idx="88" formatCode="General">
                  <c:v>0.70746299999999995</c:v>
                </c:pt>
                <c:pt idx="89" formatCode="General">
                  <c:v>0.73242099999999999</c:v>
                </c:pt>
                <c:pt idx="90" formatCode="General">
                  <c:v>0.75701499999999999</c:v>
                </c:pt>
                <c:pt idx="91" formatCode="General">
                  <c:v>0.78036399999999995</c:v>
                </c:pt>
                <c:pt idx="92" formatCode="General">
                  <c:v>0.80089399999999999</c:v>
                </c:pt>
                <c:pt idx="93" formatCode="General">
                  <c:v>0.81608899999999995</c:v>
                </c:pt>
                <c:pt idx="94" formatCode="General">
                  <c:v>0.82221900000000003</c:v>
                </c:pt>
                <c:pt idx="95" formatCode="General">
                  <c:v>0.82221900000000003</c:v>
                </c:pt>
                <c:pt idx="96" formatCode="General">
                  <c:v>0.82221900000000003</c:v>
                </c:pt>
                <c:pt idx="97" formatCode="General">
                  <c:v>0.82221900000000003</c:v>
                </c:pt>
                <c:pt idx="98" formatCode="General">
                  <c:v>0.82221900000000003</c:v>
                </c:pt>
                <c:pt idx="99" formatCode="General">
                  <c:v>0.82221900000000003</c:v>
                </c:pt>
                <c:pt idx="100" formatCode="General">
                  <c:v>0.82221900000000003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Sheet2!$AB$7:$AB$107</c:f>
              <c:numCache>
                <c:formatCode>0.00E+00</c:formatCode>
                <c:ptCount val="101"/>
                <c:pt idx="0">
                  <c:v>453571</c:v>
                </c:pt>
                <c:pt idx="1">
                  <c:v>453571</c:v>
                </c:pt>
                <c:pt idx="2">
                  <c:v>250853</c:v>
                </c:pt>
                <c:pt idx="3">
                  <c:v>137758</c:v>
                </c:pt>
                <c:pt idx="4" formatCode="General">
                  <c:v>75160.100000000006</c:v>
                </c:pt>
                <c:pt idx="5" formatCode="General">
                  <c:v>40771.800000000003</c:v>
                </c:pt>
                <c:pt idx="6" formatCode="General">
                  <c:v>22010.799999999999</c:v>
                </c:pt>
                <c:pt idx="7" formatCode="General">
                  <c:v>11838.7</c:v>
                </c:pt>
                <c:pt idx="8" formatCode="General">
                  <c:v>6352.35</c:v>
                </c:pt>
                <c:pt idx="9" formatCode="General">
                  <c:v>3405.55</c:v>
                </c:pt>
                <c:pt idx="10" formatCode="General">
                  <c:v>1827.27</c:v>
                </c:pt>
                <c:pt idx="11" formatCode="General">
                  <c:v>983.10400000000004</c:v>
                </c:pt>
                <c:pt idx="12" formatCode="General">
                  <c:v>531.471</c:v>
                </c:pt>
                <c:pt idx="13" formatCode="General">
                  <c:v>289.35199999999998</c:v>
                </c:pt>
                <c:pt idx="14" formatCode="General">
                  <c:v>159.03899999999999</c:v>
                </c:pt>
                <c:pt idx="15" formatCode="General">
                  <c:v>88.474800000000002</c:v>
                </c:pt>
                <c:pt idx="16" formatCode="General">
                  <c:v>49.9375</c:v>
                </c:pt>
                <c:pt idx="17" formatCode="General">
                  <c:v>28.645199999999999</c:v>
                </c:pt>
                <c:pt idx="18" formatCode="General">
                  <c:v>16.695</c:v>
                </c:pt>
                <c:pt idx="19" formatCode="General">
                  <c:v>9.8445699999999992</c:v>
                </c:pt>
                <c:pt idx="20" formatCode="General">
                  <c:v>5.8048799999999998</c:v>
                </c:pt>
                <c:pt idx="21" formatCode="General">
                  <c:v>3.3333300000000001</c:v>
                </c:pt>
                <c:pt idx="22" formatCode="General">
                  <c:v>1.75085</c:v>
                </c:pt>
                <c:pt idx="23" formatCode="General">
                  <c:v>0.68348699999999996</c:v>
                </c:pt>
                <c:pt idx="24" formatCode="General">
                  <c:v>-7.6582399999999995E-2</c:v>
                </c:pt>
                <c:pt idx="25" formatCode="General">
                  <c:v>-0.64626899999999998</c:v>
                </c:pt>
                <c:pt idx="26" formatCode="General">
                  <c:v>-1.0924799999999999</c:v>
                </c:pt>
                <c:pt idx="27" formatCode="General">
                  <c:v>-1.45452</c:v>
                </c:pt>
                <c:pt idx="28" formatCode="General">
                  <c:v>-1.7563599999999999</c:v>
                </c:pt>
                <c:pt idx="29" formatCode="General">
                  <c:v>-2.0134099999999999</c:v>
                </c:pt>
                <c:pt idx="30" formatCode="General">
                  <c:v>-2.2362199999999999</c:v>
                </c:pt>
                <c:pt idx="31" formatCode="General">
                  <c:v>-2.4324300000000001</c:v>
                </c:pt>
                <c:pt idx="32" formatCode="General">
                  <c:v>-2.60791</c:v>
                </c:pt>
                <c:pt idx="33" formatCode="General">
                  <c:v>-2.7672500000000002</c:v>
                </c:pt>
                <c:pt idx="34" formatCode="General">
                  <c:v>-2.91412</c:v>
                </c:pt>
                <c:pt idx="35" formatCode="General">
                  <c:v>-3.05138</c:v>
                </c:pt>
                <c:pt idx="36" formatCode="General">
                  <c:v>-3.1812499999999999</c:v>
                </c:pt>
                <c:pt idx="37" formatCode="General">
                  <c:v>-3.3053300000000001</c:v>
                </c:pt>
                <c:pt idx="38" formatCode="General">
                  <c:v>-3.4247200000000002</c:v>
                </c:pt>
                <c:pt idx="39" formatCode="General">
                  <c:v>-3.5401400000000001</c:v>
                </c:pt>
                <c:pt idx="40" formatCode="General">
                  <c:v>-3.6519400000000002</c:v>
                </c:pt>
                <c:pt idx="41" formatCode="General">
                  <c:v>-3.76024</c:v>
                </c:pt>
                <c:pt idx="42" formatCode="General">
                  <c:v>-3.8649900000000001</c:v>
                </c:pt>
                <c:pt idx="43" formatCode="General">
                  <c:v>-3.9660500000000001</c:v>
                </c:pt>
                <c:pt idx="44" formatCode="General">
                  <c:v>-4.0632099999999998</c:v>
                </c:pt>
                <c:pt idx="45" formatCode="General">
                  <c:v>-4.15625</c:v>
                </c:pt>
                <c:pt idx="46" formatCode="General">
                  <c:v>-4.2450099999999997</c:v>
                </c:pt>
                <c:pt idx="47" formatCode="General">
                  <c:v>-4.3293100000000004</c:v>
                </c:pt>
                <c:pt idx="48" formatCode="General">
                  <c:v>-4.4090800000000003</c:v>
                </c:pt>
                <c:pt idx="49" formatCode="General">
                  <c:v>-4.4842599999999999</c:v>
                </c:pt>
                <c:pt idx="50" formatCode="General">
                  <c:v>-4.5548599999999997</c:v>
                </c:pt>
                <c:pt idx="51" formatCode="General">
                  <c:v>-4.62094</c:v>
                </c:pt>
                <c:pt idx="52" formatCode="General">
                  <c:v>-4.6825999999999999</c:v>
                </c:pt>
                <c:pt idx="53" formatCode="General">
                  <c:v>-4.73996</c:v>
                </c:pt>
                <c:pt idx="54" formatCode="General">
                  <c:v>-4.7931999999999997</c:v>
                </c:pt>
                <c:pt idx="55" formatCode="General">
                  <c:v>-4.8424899999999997</c:v>
                </c:pt>
                <c:pt idx="56" formatCode="General">
                  <c:v>-4.8880299999999997</c:v>
                </c:pt>
                <c:pt idx="57" formatCode="General">
                  <c:v>-4.9300199999999998</c:v>
                </c:pt>
                <c:pt idx="58" formatCode="General">
                  <c:v>-4.9686700000000004</c:v>
                </c:pt>
                <c:pt idx="59" formatCode="General">
                  <c:v>-5.0042099999999996</c:v>
                </c:pt>
                <c:pt idx="60" formatCode="General">
                  <c:v>-5.0368399999999998</c:v>
                </c:pt>
                <c:pt idx="61" formatCode="General">
                  <c:v>-5.0667600000000004</c:v>
                </c:pt>
                <c:pt idx="62" formatCode="General">
                  <c:v>-5.0941999999999998</c:v>
                </c:pt>
                <c:pt idx="63" formatCode="General">
                  <c:v>-5.1193400000000002</c:v>
                </c:pt>
                <c:pt idx="64" formatCode="General">
                  <c:v>-5.1423699999999997</c:v>
                </c:pt>
                <c:pt idx="65" formatCode="General">
                  <c:v>-5.1634700000000002</c:v>
                </c:pt>
                <c:pt idx="66" formatCode="General">
                  <c:v>-5.18283</c:v>
                </c:pt>
                <c:pt idx="67" formatCode="General">
                  <c:v>-5.20059</c:v>
                </c:pt>
                <c:pt idx="68" formatCode="General">
                  <c:v>-5.21692</c:v>
                </c:pt>
                <c:pt idx="69" formatCode="General">
                  <c:v>-5.2319599999999999</c:v>
                </c:pt>
                <c:pt idx="70" formatCode="General">
                  <c:v>-5.2458499999999999</c:v>
                </c:pt>
                <c:pt idx="71" formatCode="General">
                  <c:v>-5.2587000000000002</c:v>
                </c:pt>
                <c:pt idx="72" formatCode="General">
                  <c:v>-5.2706299999999997</c:v>
                </c:pt>
                <c:pt idx="73" formatCode="General">
                  <c:v>-5.2817600000000002</c:v>
                </c:pt>
                <c:pt idx="74" formatCode="General">
                  <c:v>-5.2921699999999996</c:v>
                </c:pt>
                <c:pt idx="75" formatCode="General">
                  <c:v>-5.3019600000000002</c:v>
                </c:pt>
                <c:pt idx="76" formatCode="General">
                  <c:v>-5.3111899999999999</c:v>
                </c:pt>
                <c:pt idx="77" formatCode="General">
                  <c:v>-5.3199399999999999</c:v>
                </c:pt>
                <c:pt idx="78" formatCode="General">
                  <c:v>-5.3282600000000002</c:v>
                </c:pt>
                <c:pt idx="79" formatCode="General">
                  <c:v>-5.3361900000000002</c:v>
                </c:pt>
                <c:pt idx="80" formatCode="General">
                  <c:v>-5.3437599999999996</c:v>
                </c:pt>
                <c:pt idx="81" formatCode="General">
                  <c:v>-5.3509900000000004</c:v>
                </c:pt>
                <c:pt idx="82" formatCode="General">
                  <c:v>-5.3578599999999996</c:v>
                </c:pt>
                <c:pt idx="83" formatCode="General">
                  <c:v>-5.3643799999999997</c:v>
                </c:pt>
                <c:pt idx="84" formatCode="General">
                  <c:v>-5.37052</c:v>
                </c:pt>
                <c:pt idx="85" formatCode="General">
                  <c:v>-5.3762299999999996</c:v>
                </c:pt>
                <c:pt idx="86" formatCode="General">
                  <c:v>-5.3814599999999997</c:v>
                </c:pt>
                <c:pt idx="87" formatCode="General">
                  <c:v>-5.3861699999999999</c:v>
                </c:pt>
                <c:pt idx="88" formatCode="General">
                  <c:v>-5.3902700000000001</c:v>
                </c:pt>
                <c:pt idx="89" formatCode="General">
                  <c:v>-5.3937200000000001</c:v>
                </c:pt>
                <c:pt idx="90" formatCode="General">
                  <c:v>-5.3964600000000003</c:v>
                </c:pt>
                <c:pt idx="91" formatCode="General">
                  <c:v>-5.3984800000000002</c:v>
                </c:pt>
                <c:pt idx="92" formatCode="General">
                  <c:v>-5.3997700000000002</c:v>
                </c:pt>
                <c:pt idx="93" formatCode="General">
                  <c:v>-5.4004200000000004</c:v>
                </c:pt>
                <c:pt idx="94" formatCode="General">
                  <c:v>-5.4005799999999997</c:v>
                </c:pt>
                <c:pt idx="95" formatCode="General">
                  <c:v>-5.4005799999999997</c:v>
                </c:pt>
                <c:pt idx="96" formatCode="General">
                  <c:v>-5.4005799999999997</c:v>
                </c:pt>
                <c:pt idx="97" formatCode="General">
                  <c:v>-5.4005799999999997</c:v>
                </c:pt>
                <c:pt idx="98" formatCode="General">
                  <c:v>-5.4005799999999997</c:v>
                </c:pt>
                <c:pt idx="99" formatCode="General">
                  <c:v>-5.4005799999999997</c:v>
                </c:pt>
                <c:pt idx="100" formatCode="General">
                  <c:v>-5.4005799999999997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Sheet2!$AJ$7:$AJ$107</c:f>
              <c:numCache>
                <c:formatCode>0.00E+00</c:formatCode>
                <c:ptCount val="101"/>
                <c:pt idx="0">
                  <c:v>-2189350</c:v>
                </c:pt>
                <c:pt idx="1">
                  <c:v>-2189350</c:v>
                </c:pt>
                <c:pt idx="2">
                  <c:v>-1286820</c:v>
                </c:pt>
                <c:pt idx="3">
                  <c:v>-745142</c:v>
                </c:pt>
                <c:pt idx="4">
                  <c:v>-425002</c:v>
                </c:pt>
                <c:pt idx="5">
                  <c:v>-238730</c:v>
                </c:pt>
                <c:pt idx="6">
                  <c:v>-132054</c:v>
                </c:pt>
                <c:pt idx="7">
                  <c:v>-71932.2</c:v>
                </c:pt>
                <c:pt idx="8">
                  <c:v>-38586.5</c:v>
                </c:pt>
                <c:pt idx="9">
                  <c:v>-20383</c:v>
                </c:pt>
                <c:pt idx="10">
                  <c:v>-10598.9</c:v>
                </c:pt>
                <c:pt idx="11">
                  <c:v>-5418.34</c:v>
                </c:pt>
                <c:pt idx="12" formatCode="General">
                  <c:v>-2714.34</c:v>
                </c:pt>
                <c:pt idx="13" formatCode="General">
                  <c:v>-1322.39</c:v>
                </c:pt>
                <c:pt idx="14" formatCode="General">
                  <c:v>-615.83100000000002</c:v>
                </c:pt>
                <c:pt idx="15" formatCode="General">
                  <c:v>-262.87299999999999</c:v>
                </c:pt>
                <c:pt idx="16" formatCode="General">
                  <c:v>-90.375699999999995</c:v>
                </c:pt>
                <c:pt idx="17" formatCode="General">
                  <c:v>-9.0757999999999992</c:v>
                </c:pt>
                <c:pt idx="18" formatCode="General">
                  <c:v>26.625499999999999</c:v>
                </c:pt>
                <c:pt idx="19" formatCode="General">
                  <c:v>39.872500000000002</c:v>
                </c:pt>
                <c:pt idx="20" formatCode="General">
                  <c:v>42.358800000000002</c:v>
                </c:pt>
                <c:pt idx="21" formatCode="General">
                  <c:v>39.9617</c:v>
                </c:pt>
                <c:pt idx="22" formatCode="General">
                  <c:v>35.606000000000002</c:v>
                </c:pt>
                <c:pt idx="23" formatCode="General">
                  <c:v>30.7163</c:v>
                </c:pt>
                <c:pt idx="24" formatCode="General">
                  <c:v>25.9572</c:v>
                </c:pt>
                <c:pt idx="25" formatCode="General">
                  <c:v>21.611999999999998</c:v>
                </c:pt>
                <c:pt idx="26" formatCode="General">
                  <c:v>17.777000000000001</c:v>
                </c:pt>
                <c:pt idx="27" formatCode="General">
                  <c:v>14.4603</c:v>
                </c:pt>
                <c:pt idx="28" formatCode="General">
                  <c:v>11.631</c:v>
                </c:pt>
                <c:pt idx="29" formatCode="General">
                  <c:v>9.2427499999999991</c:v>
                </c:pt>
                <c:pt idx="30" formatCode="General">
                  <c:v>7.2442700000000002</c:v>
                </c:pt>
                <c:pt idx="31" formatCode="General">
                  <c:v>5.5843400000000001</c:v>
                </c:pt>
                <c:pt idx="32" formatCode="General">
                  <c:v>4.2138400000000003</c:v>
                </c:pt>
                <c:pt idx="33" formatCode="General">
                  <c:v>3.0870099999999998</c:v>
                </c:pt>
                <c:pt idx="34" formatCode="General">
                  <c:v>2.1622699999999999</c:v>
                </c:pt>
                <c:pt idx="35" formatCode="General">
                  <c:v>1.4028099999999999</c:v>
                </c:pt>
                <c:pt idx="36" formatCode="General">
                  <c:v>0.77691200000000005</c:v>
                </c:pt>
                <c:pt idx="37" formatCode="General">
                  <c:v>0.25796400000000003</c:v>
                </c:pt>
                <c:pt idx="38" formatCode="General">
                  <c:v>-0.17579500000000001</c:v>
                </c:pt>
                <c:pt idx="39" formatCode="General">
                  <c:v>-0.54176899999999995</c:v>
                </c:pt>
                <c:pt idx="40" formatCode="General">
                  <c:v>-0.85363100000000003</c:v>
                </c:pt>
                <c:pt idx="41" formatCode="General">
                  <c:v>-1.12199</c:v>
                </c:pt>
                <c:pt idx="42" formatCode="General">
                  <c:v>-1.3550500000000001</c:v>
                </c:pt>
                <c:pt idx="43" formatCode="General">
                  <c:v>-1.5591699999999999</c:v>
                </c:pt>
                <c:pt idx="44" formatCode="General">
                  <c:v>-1.7393099999999999</c:v>
                </c:pt>
                <c:pt idx="45" formatCode="General">
                  <c:v>-1.8994200000000001</c:v>
                </c:pt>
                <c:pt idx="46" formatCode="General">
                  <c:v>-2.0426899999999999</c:v>
                </c:pt>
                <c:pt idx="47" formatCode="General">
                  <c:v>-2.1717200000000001</c:v>
                </c:pt>
                <c:pt idx="48" formatCode="General">
                  <c:v>-2.2886700000000002</c:v>
                </c:pt>
                <c:pt idx="49" formatCode="General">
                  <c:v>-2.3953000000000002</c:v>
                </c:pt>
                <c:pt idx="50" formatCode="General">
                  <c:v>-2.4930699999999999</c:v>
                </c:pt>
                <c:pt idx="51" formatCode="General">
                  <c:v>-2.5831900000000001</c:v>
                </c:pt>
                <c:pt idx="52" formatCode="General">
                  <c:v>-2.6666300000000001</c:v>
                </c:pt>
                <c:pt idx="53" formatCode="General">
                  <c:v>-2.7441599999999999</c:v>
                </c:pt>
                <c:pt idx="54" formatCode="General">
                  <c:v>-2.8164199999999999</c:v>
                </c:pt>
                <c:pt idx="55" formatCode="General">
                  <c:v>-2.8839299999999999</c:v>
                </c:pt>
                <c:pt idx="56" formatCode="General">
                  <c:v>-2.9471099999999999</c:v>
                </c:pt>
                <c:pt idx="57" formatCode="General">
                  <c:v>-3.0063200000000001</c:v>
                </c:pt>
                <c:pt idx="58" formatCode="General">
                  <c:v>-3.0619000000000001</c:v>
                </c:pt>
                <c:pt idx="59" formatCode="General">
                  <c:v>-3.11415</c:v>
                </c:pt>
                <c:pt idx="60" formatCode="General">
                  <c:v>-3.16337</c:v>
                </c:pt>
                <c:pt idx="61" formatCode="General">
                  <c:v>-3.2098399999999998</c:v>
                </c:pt>
                <c:pt idx="62" formatCode="General">
                  <c:v>-3.25386</c:v>
                </c:pt>
                <c:pt idx="63" formatCode="General">
                  <c:v>-3.2957000000000001</c:v>
                </c:pt>
                <c:pt idx="64" formatCode="General">
                  <c:v>-3.3356300000000001</c:v>
                </c:pt>
                <c:pt idx="65" formatCode="General">
                  <c:v>-3.37392</c:v>
                </c:pt>
                <c:pt idx="66" formatCode="General">
                  <c:v>-3.41079</c:v>
                </c:pt>
                <c:pt idx="67" formatCode="General">
                  <c:v>-3.4464600000000001</c:v>
                </c:pt>
                <c:pt idx="68" formatCode="General">
                  <c:v>-3.4811000000000001</c:v>
                </c:pt>
                <c:pt idx="69" formatCode="General">
                  <c:v>-3.51485</c:v>
                </c:pt>
                <c:pt idx="70" formatCode="General">
                  <c:v>-3.54779</c:v>
                </c:pt>
                <c:pt idx="71" formatCode="General">
                  <c:v>-3.57999</c:v>
                </c:pt>
                <c:pt idx="72" formatCode="General">
                  <c:v>-3.61145</c:v>
                </c:pt>
                <c:pt idx="73" formatCode="General">
                  <c:v>-3.6421600000000001</c:v>
                </c:pt>
                <c:pt idx="74" formatCode="General">
                  <c:v>-3.6720600000000001</c:v>
                </c:pt>
                <c:pt idx="75" formatCode="General">
                  <c:v>-3.7010800000000001</c:v>
                </c:pt>
                <c:pt idx="76" formatCode="General">
                  <c:v>-3.7291400000000001</c:v>
                </c:pt>
                <c:pt idx="77" formatCode="General">
                  <c:v>-3.7561399999999998</c:v>
                </c:pt>
                <c:pt idx="78" formatCode="General">
                  <c:v>-3.7820200000000002</c:v>
                </c:pt>
                <c:pt idx="79" formatCode="General">
                  <c:v>-3.8067299999999999</c:v>
                </c:pt>
                <c:pt idx="80" formatCode="General">
                  <c:v>-3.8302800000000001</c:v>
                </c:pt>
                <c:pt idx="81" formatCode="General">
                  <c:v>-3.8527200000000001</c:v>
                </c:pt>
                <c:pt idx="82" formatCode="General">
                  <c:v>-3.8741500000000002</c:v>
                </c:pt>
                <c:pt idx="83" formatCode="General">
                  <c:v>-3.8947400000000001</c:v>
                </c:pt>
                <c:pt idx="84" formatCode="General">
                  <c:v>-3.9147099999999999</c:v>
                </c:pt>
                <c:pt idx="85" formatCode="General">
                  <c:v>-3.9343300000000001</c:v>
                </c:pt>
                <c:pt idx="86" formatCode="General">
                  <c:v>-3.9538700000000002</c:v>
                </c:pt>
                <c:pt idx="87" formatCode="General">
                  <c:v>-3.97357</c:v>
                </c:pt>
                <c:pt idx="88" formatCode="General">
                  <c:v>-3.9935700000000001</c:v>
                </c:pt>
                <c:pt idx="89" formatCode="General">
                  <c:v>-4.0138499999999997</c:v>
                </c:pt>
                <c:pt idx="90" formatCode="General">
                  <c:v>-4.0340699999999998</c:v>
                </c:pt>
                <c:pt idx="91" formatCode="General">
                  <c:v>-4.0534999999999997</c:v>
                </c:pt>
                <c:pt idx="92" formatCode="General">
                  <c:v>-4.0707599999999999</c:v>
                </c:pt>
                <c:pt idx="93" formatCode="General">
                  <c:v>-4.0836600000000001</c:v>
                </c:pt>
                <c:pt idx="94" formatCode="General">
                  <c:v>-4.0889199999999999</c:v>
                </c:pt>
                <c:pt idx="95" formatCode="General">
                  <c:v>-4.0889199999999999</c:v>
                </c:pt>
                <c:pt idx="96" formatCode="General">
                  <c:v>-4.0889199999999999</c:v>
                </c:pt>
                <c:pt idx="97" formatCode="General">
                  <c:v>-4.0889199999999999</c:v>
                </c:pt>
                <c:pt idx="98" formatCode="General">
                  <c:v>-4.0889199999999999</c:v>
                </c:pt>
                <c:pt idx="99" formatCode="General">
                  <c:v>-4.0889199999999999</c:v>
                </c:pt>
                <c:pt idx="100" formatCode="General">
                  <c:v>-4.0889199999999999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Sheet2!$AR$7:$AR$107</c:f>
              <c:numCache>
                <c:formatCode>0.00E+00</c:formatCode>
                <c:ptCount val="101"/>
                <c:pt idx="0">
                  <c:v>-135102000</c:v>
                </c:pt>
                <c:pt idx="1">
                  <c:v>-135102000</c:v>
                </c:pt>
                <c:pt idx="2">
                  <c:v>-74582600</c:v>
                </c:pt>
                <c:pt idx="3">
                  <c:v>-40765400</c:v>
                </c:pt>
                <c:pt idx="4">
                  <c:v>-22056700</c:v>
                </c:pt>
                <c:pt idx="5">
                  <c:v>-11811800</c:v>
                </c:pt>
                <c:pt idx="6">
                  <c:v>-6259840</c:v>
                </c:pt>
                <c:pt idx="7">
                  <c:v>-3282860</c:v>
                </c:pt>
                <c:pt idx="8">
                  <c:v>-1703660</c:v>
                </c:pt>
                <c:pt idx="9">
                  <c:v>-874957</c:v>
                </c:pt>
                <c:pt idx="10">
                  <c:v>-444780</c:v>
                </c:pt>
                <c:pt idx="11">
                  <c:v>-223867</c:v>
                </c:pt>
                <c:pt idx="12">
                  <c:v>-111613</c:v>
                </c:pt>
                <c:pt idx="13">
                  <c:v>-55154.8</c:v>
                </c:pt>
                <c:pt idx="14">
                  <c:v>-27034.6</c:v>
                </c:pt>
                <c:pt idx="15" formatCode="General">
                  <c:v>-13155.7</c:v>
                </c:pt>
                <c:pt idx="16" formatCode="General">
                  <c:v>-6361.9</c:v>
                </c:pt>
                <c:pt idx="17" formatCode="General">
                  <c:v>-3060.07</c:v>
                </c:pt>
                <c:pt idx="18" formatCode="General">
                  <c:v>-1464.96</c:v>
                </c:pt>
                <c:pt idx="19" formatCode="General">
                  <c:v>-697.99300000000005</c:v>
                </c:pt>
                <c:pt idx="20" formatCode="General">
                  <c:v>-330.54700000000003</c:v>
                </c:pt>
                <c:pt idx="21" formatCode="General">
                  <c:v>-155.01499999999999</c:v>
                </c:pt>
                <c:pt idx="22" formatCode="General">
                  <c:v>-71.420400000000001</c:v>
                </c:pt>
                <c:pt idx="23" formatCode="General">
                  <c:v>-31.810099999999998</c:v>
                </c:pt>
                <c:pt idx="24" formatCode="General">
                  <c:v>-13.2296</c:v>
                </c:pt>
                <c:pt idx="25" formatCode="General">
                  <c:v>-4.6943900000000003</c:v>
                </c:pt>
                <c:pt idx="26" formatCode="General">
                  <c:v>-0.94150599999999995</c:v>
                </c:pt>
                <c:pt idx="27" formatCode="General">
                  <c:v>0.55528900000000003</c:v>
                </c:pt>
                <c:pt idx="28" formatCode="General">
                  <c:v>1.00989</c:v>
                </c:pt>
                <c:pt idx="29" formatCode="General">
                  <c:v>1.00424</c:v>
                </c:pt>
                <c:pt idx="30" formatCode="General">
                  <c:v>0.81461099999999997</c:v>
                </c:pt>
                <c:pt idx="31" formatCode="General">
                  <c:v>0.56895799999999996</c:v>
                </c:pt>
                <c:pt idx="32" formatCode="General">
                  <c:v>0.32337100000000002</c:v>
                </c:pt>
                <c:pt idx="33" formatCode="General">
                  <c:v>9.9524100000000004E-2</c:v>
                </c:pt>
                <c:pt idx="34" formatCode="General">
                  <c:v>-9.6898799999999993E-2</c:v>
                </c:pt>
                <c:pt idx="35" formatCode="General">
                  <c:v>-0.26714700000000002</c:v>
                </c:pt>
                <c:pt idx="36" formatCode="General">
                  <c:v>-0.41501300000000002</c:v>
                </c:pt>
                <c:pt idx="37" formatCode="General">
                  <c:v>-0.54478599999999999</c:v>
                </c:pt>
                <c:pt idx="38" formatCode="General">
                  <c:v>-0.66037699999999999</c:v>
                </c:pt>
                <c:pt idx="39" formatCode="General">
                  <c:v>-0.76502700000000001</c:v>
                </c:pt>
                <c:pt idx="40" formatCode="General">
                  <c:v>-0.86127600000000004</c:v>
                </c:pt>
                <c:pt idx="41" formatCode="General">
                  <c:v>-0.95103800000000005</c:v>
                </c:pt>
                <c:pt idx="42" formatCode="General">
                  <c:v>-1.03572</c:v>
                </c:pt>
                <c:pt idx="43" formatCode="General">
                  <c:v>-1.11633</c:v>
                </c:pt>
                <c:pt idx="44" formatCode="General">
                  <c:v>-1.19356</c:v>
                </c:pt>
                <c:pt idx="45" formatCode="General">
                  <c:v>-1.2678700000000001</c:v>
                </c:pt>
                <c:pt idx="46" formatCode="General">
                  <c:v>-1.3395699999999999</c:v>
                </c:pt>
                <c:pt idx="47" formatCode="General">
                  <c:v>-1.4088099999999999</c:v>
                </c:pt>
                <c:pt idx="48" formatCode="General">
                  <c:v>-1.4756800000000001</c:v>
                </c:pt>
                <c:pt idx="49" formatCode="General">
                  <c:v>-1.5401800000000001</c:v>
                </c:pt>
                <c:pt idx="50" formatCode="General">
                  <c:v>-1.6022799999999999</c:v>
                </c:pt>
                <c:pt idx="51" formatCode="General">
                  <c:v>-1.66194</c:v>
                </c:pt>
                <c:pt idx="52" formatCode="General">
                  <c:v>-1.7191000000000001</c:v>
                </c:pt>
                <c:pt idx="53" formatCode="General">
                  <c:v>-1.7737000000000001</c:v>
                </c:pt>
                <c:pt idx="54" formatCode="General">
                  <c:v>-1.8257000000000001</c:v>
                </c:pt>
                <c:pt idx="55" formatCode="General">
                  <c:v>-1.87507</c:v>
                </c:pt>
                <c:pt idx="56" formatCode="General">
                  <c:v>-1.92181</c:v>
                </c:pt>
                <c:pt idx="57" formatCode="General">
                  <c:v>-1.96594</c:v>
                </c:pt>
                <c:pt idx="58" formatCode="General">
                  <c:v>-2.0074800000000002</c:v>
                </c:pt>
                <c:pt idx="59" formatCode="General">
                  <c:v>-2.0465300000000002</c:v>
                </c:pt>
                <c:pt idx="60" formatCode="General">
                  <c:v>-2.0831599999999999</c:v>
                </c:pt>
                <c:pt idx="61" formatCode="General">
                  <c:v>-2.1175000000000002</c:v>
                </c:pt>
                <c:pt idx="62" formatCode="General">
                  <c:v>-2.14968</c:v>
                </c:pt>
                <c:pt idx="63" formatCode="General">
                  <c:v>-2.1798500000000001</c:v>
                </c:pt>
                <c:pt idx="64" formatCode="General">
                  <c:v>-2.2081900000000001</c:v>
                </c:pt>
                <c:pt idx="65" formatCode="General">
                  <c:v>-2.2348699999999999</c:v>
                </c:pt>
                <c:pt idx="66" formatCode="General">
                  <c:v>-2.2600699999999998</c:v>
                </c:pt>
                <c:pt idx="67" formatCode="General">
                  <c:v>-2.2839499999999999</c:v>
                </c:pt>
                <c:pt idx="68" formatCode="General">
                  <c:v>-2.3066800000000001</c:v>
                </c:pt>
                <c:pt idx="69" formatCode="General">
                  <c:v>-2.3283999999999998</c:v>
                </c:pt>
                <c:pt idx="70" formatCode="General">
                  <c:v>-2.3492299999999999</c:v>
                </c:pt>
                <c:pt idx="71" formatCode="General">
                  <c:v>-2.3692899999999999</c:v>
                </c:pt>
                <c:pt idx="72" formatCode="General">
                  <c:v>-2.38862</c:v>
                </c:pt>
                <c:pt idx="73" formatCode="General">
                  <c:v>-2.4072900000000002</c:v>
                </c:pt>
                <c:pt idx="74" formatCode="General">
                  <c:v>-2.4253100000000001</c:v>
                </c:pt>
                <c:pt idx="75" formatCode="General">
                  <c:v>-2.4426600000000001</c:v>
                </c:pt>
                <c:pt idx="76" formatCode="General">
                  <c:v>-2.4593099999999999</c:v>
                </c:pt>
                <c:pt idx="77" formatCode="General">
                  <c:v>-2.4752399999999999</c:v>
                </c:pt>
                <c:pt idx="78" formatCode="General">
                  <c:v>-2.49038</c:v>
                </c:pt>
                <c:pt idx="79" formatCode="General">
                  <c:v>-2.5047100000000002</c:v>
                </c:pt>
                <c:pt idx="80" formatCode="General">
                  <c:v>-2.5181900000000002</c:v>
                </c:pt>
                <c:pt idx="81" formatCode="General">
                  <c:v>-2.5308299999999999</c:v>
                </c:pt>
                <c:pt idx="82" formatCode="General">
                  <c:v>-2.5426700000000002</c:v>
                </c:pt>
                <c:pt idx="83" formatCode="General">
                  <c:v>-2.5537700000000001</c:v>
                </c:pt>
                <c:pt idx="84" formatCode="General">
                  <c:v>-2.5642800000000001</c:v>
                </c:pt>
                <c:pt idx="85" formatCode="General">
                  <c:v>-2.5743399999999999</c:v>
                </c:pt>
                <c:pt idx="86" formatCode="General">
                  <c:v>-2.5841500000000002</c:v>
                </c:pt>
                <c:pt idx="87" formatCode="General">
                  <c:v>-2.5939100000000002</c:v>
                </c:pt>
                <c:pt idx="88" formatCode="General">
                  <c:v>-2.60378</c:v>
                </c:pt>
                <c:pt idx="89" formatCode="General">
                  <c:v>-2.6138499999999998</c:v>
                </c:pt>
                <c:pt idx="90" formatCode="General">
                  <c:v>-2.6240600000000001</c:v>
                </c:pt>
                <c:pt idx="91" formatCode="General">
                  <c:v>-2.6340699999999999</c:v>
                </c:pt>
                <c:pt idx="92" formatCode="General">
                  <c:v>-2.6432000000000002</c:v>
                </c:pt>
                <c:pt idx="93" formatCode="General">
                  <c:v>-2.6501999999999999</c:v>
                </c:pt>
                <c:pt idx="94" formatCode="General">
                  <c:v>-2.6531099999999999</c:v>
                </c:pt>
                <c:pt idx="95" formatCode="General">
                  <c:v>-2.6531099999999999</c:v>
                </c:pt>
                <c:pt idx="96" formatCode="General">
                  <c:v>-2.6531099999999999</c:v>
                </c:pt>
                <c:pt idx="97" formatCode="General">
                  <c:v>-2.6531099999999999</c:v>
                </c:pt>
                <c:pt idx="98" formatCode="General">
                  <c:v>-2.6531099999999999</c:v>
                </c:pt>
                <c:pt idx="99" formatCode="General">
                  <c:v>-2.6531099999999999</c:v>
                </c:pt>
                <c:pt idx="100" formatCode="General">
                  <c:v>-2.6531099999999999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Sheet2!$AZ$7:$AZ$107</c:f>
              <c:numCache>
                <c:formatCode>0.00E+00</c:formatCode>
                <c:ptCount val="101"/>
                <c:pt idx="0">
                  <c:v>-1969250</c:v>
                </c:pt>
                <c:pt idx="1">
                  <c:v>-1969250</c:v>
                </c:pt>
                <c:pt idx="2">
                  <c:v>-761547</c:v>
                </c:pt>
                <c:pt idx="3">
                  <c:v>-268106</c:v>
                </c:pt>
                <c:pt idx="4">
                  <c:v>-78387.899999999994</c:v>
                </c:pt>
                <c:pt idx="5">
                  <c:v>-12050.9</c:v>
                </c:pt>
                <c:pt idx="6">
                  <c:v>7192.59</c:v>
                </c:pt>
                <c:pt idx="7">
                  <c:v>10125.799999999999</c:v>
                </c:pt>
                <c:pt idx="8">
                  <c:v>8395.7000000000007</c:v>
                </c:pt>
                <c:pt idx="9" formatCode="General">
                  <c:v>5986.58</c:v>
                </c:pt>
                <c:pt idx="10" formatCode="General">
                  <c:v>4013.32</c:v>
                </c:pt>
                <c:pt idx="11" formatCode="General">
                  <c:v>2623.98</c:v>
                </c:pt>
                <c:pt idx="12" formatCode="General">
                  <c:v>1703.95</c:v>
                </c:pt>
                <c:pt idx="13" formatCode="General">
                  <c:v>1108.8900000000001</c:v>
                </c:pt>
                <c:pt idx="14" formatCode="General">
                  <c:v>725.66300000000001</c:v>
                </c:pt>
                <c:pt idx="15" formatCode="General">
                  <c:v>477.54599999999999</c:v>
                </c:pt>
                <c:pt idx="16" formatCode="General">
                  <c:v>315.50799999999998</c:v>
                </c:pt>
                <c:pt idx="17" formatCode="General">
                  <c:v>208.863</c:v>
                </c:pt>
                <c:pt idx="18" formatCode="General">
                  <c:v>138.36699999999999</c:v>
                </c:pt>
                <c:pt idx="19" formatCode="General">
                  <c:v>91.761399999999995</c:v>
                </c:pt>
                <c:pt idx="20" formatCode="General">
                  <c:v>61.073099999999997</c:v>
                </c:pt>
                <c:pt idx="21" formatCode="General">
                  <c:v>41.013800000000003</c:v>
                </c:pt>
                <c:pt idx="22" formatCode="General">
                  <c:v>28.029499999999999</c:v>
                </c:pt>
                <c:pt idx="23" formatCode="General">
                  <c:v>19.7193</c:v>
                </c:pt>
                <c:pt idx="24" formatCode="General">
                  <c:v>14.465199999999999</c:v>
                </c:pt>
                <c:pt idx="25" formatCode="General">
                  <c:v>11.184799999999999</c:v>
                </c:pt>
                <c:pt idx="26" formatCode="General">
                  <c:v>9.1617999999999995</c:v>
                </c:pt>
                <c:pt idx="27" formatCode="General">
                  <c:v>7.9278199999999996</c:v>
                </c:pt>
                <c:pt idx="28" formatCode="General">
                  <c:v>7.1804800000000002</c:v>
                </c:pt>
                <c:pt idx="29" formatCode="General">
                  <c:v>6.7273100000000001</c:v>
                </c:pt>
                <c:pt idx="30" formatCode="General">
                  <c:v>6.4478799999999996</c:v>
                </c:pt>
                <c:pt idx="31" formatCode="General">
                  <c:v>6.26837</c:v>
                </c:pt>
                <c:pt idx="32" formatCode="General">
                  <c:v>6.1447399999999996</c:v>
                </c:pt>
                <c:pt idx="33" formatCode="General">
                  <c:v>6.0515999999999996</c:v>
                </c:pt>
                <c:pt idx="34" formatCode="General">
                  <c:v>5.97485</c:v>
                </c:pt>
                <c:pt idx="35" formatCode="General">
                  <c:v>5.9070099999999996</c:v>
                </c:pt>
                <c:pt idx="36" formatCode="General">
                  <c:v>5.84429</c:v>
                </c:pt>
                <c:pt idx="37" formatCode="General">
                  <c:v>5.7848499999999996</c:v>
                </c:pt>
                <c:pt idx="38" formatCode="General">
                  <c:v>5.7279</c:v>
                </c:pt>
                <c:pt idx="39" formatCode="General">
                  <c:v>5.67319</c:v>
                </c:pt>
                <c:pt idx="40" formatCode="General">
                  <c:v>5.6207799999999999</c:v>
                </c:pt>
                <c:pt idx="41" formatCode="General">
                  <c:v>5.5709</c:v>
                </c:pt>
                <c:pt idx="42" formatCode="General">
                  <c:v>5.5238800000000001</c:v>
                </c:pt>
                <c:pt idx="43" formatCode="General">
                  <c:v>5.4799899999999999</c:v>
                </c:pt>
                <c:pt idx="44" formatCode="General">
                  <c:v>5.4394099999999996</c:v>
                </c:pt>
                <c:pt idx="45" formatCode="General">
                  <c:v>5.4021400000000002</c:v>
                </c:pt>
                <c:pt idx="46" formatCode="General">
                  <c:v>5.3679600000000001</c:v>
                </c:pt>
                <c:pt idx="47" formatCode="General">
                  <c:v>5.3364700000000003</c:v>
                </c:pt>
                <c:pt idx="48" formatCode="General">
                  <c:v>5.3071400000000004</c:v>
                </c:pt>
                <c:pt idx="49" formatCode="General">
                  <c:v>5.2793599999999996</c:v>
                </c:pt>
                <c:pt idx="50" formatCode="General">
                  <c:v>5.2525000000000004</c:v>
                </c:pt>
                <c:pt idx="51" formatCode="General">
                  <c:v>5.2260400000000002</c:v>
                </c:pt>
                <c:pt idx="52" formatCode="General">
                  <c:v>5.1995500000000003</c:v>
                </c:pt>
                <c:pt idx="53" formatCode="General">
                  <c:v>5.1727699999999999</c:v>
                </c:pt>
                <c:pt idx="54" formatCode="General">
                  <c:v>5.1455799999999998</c:v>
                </c:pt>
                <c:pt idx="55" formatCode="General">
                  <c:v>5.1179899999999998</c:v>
                </c:pt>
                <c:pt idx="56" formatCode="General">
                  <c:v>5.0901300000000003</c:v>
                </c:pt>
                <c:pt idx="57" formatCode="General">
                  <c:v>5.0621999999999998</c:v>
                </c:pt>
                <c:pt idx="58" formatCode="General">
                  <c:v>5.0344199999999999</c:v>
                </c:pt>
                <c:pt idx="59" formatCode="General">
                  <c:v>5.0070300000000003</c:v>
                </c:pt>
                <c:pt idx="60" formatCode="General">
                  <c:v>4.9802099999999996</c:v>
                </c:pt>
                <c:pt idx="61" formatCode="General">
                  <c:v>4.9541199999999996</c:v>
                </c:pt>
                <c:pt idx="62" formatCode="General">
                  <c:v>4.9288400000000001</c:v>
                </c:pt>
                <c:pt idx="63" formatCode="General">
                  <c:v>4.9043900000000002</c:v>
                </c:pt>
                <c:pt idx="64" formatCode="General">
                  <c:v>4.8807299999999998</c:v>
                </c:pt>
                <c:pt idx="65" formatCode="General">
                  <c:v>4.85778</c:v>
                </c:pt>
                <c:pt idx="66" formatCode="General">
                  <c:v>4.8353999999999999</c:v>
                </c:pt>
                <c:pt idx="67" formatCode="General">
                  <c:v>4.8134499999999996</c:v>
                </c:pt>
                <c:pt idx="68" formatCode="General">
                  <c:v>4.7917699999999996</c:v>
                </c:pt>
                <c:pt idx="69" formatCode="General">
                  <c:v>4.7702299999999997</c:v>
                </c:pt>
                <c:pt idx="70" formatCode="General">
                  <c:v>4.74871</c:v>
                </c:pt>
                <c:pt idx="71" formatCode="General">
                  <c:v>4.72715</c:v>
                </c:pt>
                <c:pt idx="72" formatCode="General">
                  <c:v>4.7054999999999998</c:v>
                </c:pt>
                <c:pt idx="73" formatCode="General">
                  <c:v>4.6837799999999996</c:v>
                </c:pt>
                <c:pt idx="74" formatCode="General">
                  <c:v>4.6620499999999998</c:v>
                </c:pt>
                <c:pt idx="75" formatCode="General">
                  <c:v>4.6404100000000001</c:v>
                </c:pt>
                <c:pt idx="76" formatCode="General">
                  <c:v>4.6189900000000002</c:v>
                </c:pt>
                <c:pt idx="77" formatCode="General">
                  <c:v>4.5979099999999997</c:v>
                </c:pt>
                <c:pt idx="78" formatCode="General">
                  <c:v>4.5773200000000003</c:v>
                </c:pt>
                <c:pt idx="79" formatCode="General">
                  <c:v>4.5573399999999999</c:v>
                </c:pt>
                <c:pt idx="80" formatCode="General">
                  <c:v>4.5380200000000004</c:v>
                </c:pt>
                <c:pt idx="81" formatCode="General">
                  <c:v>4.5193899999999996</c:v>
                </c:pt>
                <c:pt idx="82" formatCode="General">
                  <c:v>4.5013899999999998</c:v>
                </c:pt>
                <c:pt idx="83" formatCode="General">
                  <c:v>4.4838899999999997</c:v>
                </c:pt>
                <c:pt idx="84" formatCode="General">
                  <c:v>4.4666699999999997</c:v>
                </c:pt>
                <c:pt idx="85" formatCode="General">
                  <c:v>4.4494600000000002</c:v>
                </c:pt>
                <c:pt idx="86" formatCode="General">
                  <c:v>4.4319600000000001</c:v>
                </c:pt>
                <c:pt idx="87" formatCode="General">
                  <c:v>4.4138700000000002</c:v>
                </c:pt>
                <c:pt idx="88" formatCode="General">
                  <c:v>4.39499</c:v>
                </c:pt>
                <c:pt idx="89" formatCode="General">
                  <c:v>4.3753099999999998</c:v>
                </c:pt>
                <c:pt idx="90" formatCode="General">
                  <c:v>4.3551200000000003</c:v>
                </c:pt>
                <c:pt idx="91" formatCode="General">
                  <c:v>4.33521</c:v>
                </c:pt>
                <c:pt idx="92" formatCode="General">
                  <c:v>4.3170999999999999</c:v>
                </c:pt>
                <c:pt idx="93" formatCode="General">
                  <c:v>4.30328</c:v>
                </c:pt>
                <c:pt idx="94" formatCode="General">
                  <c:v>4.2975500000000002</c:v>
                </c:pt>
                <c:pt idx="95" formatCode="General">
                  <c:v>4.2975500000000002</c:v>
                </c:pt>
                <c:pt idx="96" formatCode="General">
                  <c:v>4.2975500000000002</c:v>
                </c:pt>
                <c:pt idx="97" formatCode="General">
                  <c:v>4.2975500000000002</c:v>
                </c:pt>
                <c:pt idx="98" formatCode="General">
                  <c:v>4.2975500000000002</c:v>
                </c:pt>
                <c:pt idx="99" formatCode="General">
                  <c:v>4.2975500000000002</c:v>
                </c:pt>
                <c:pt idx="100" formatCode="General">
                  <c:v>4.2975500000000002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120650</xdr:colOff>
      <xdr:row>10</xdr:row>
      <xdr:rowOff>101600</xdr:rowOff>
    </xdr:from>
    <xdr:to>
      <xdr:col>19</xdr:col>
      <xdr:colOff>565150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12</xdr:row>
      <xdr:rowOff>0</xdr:rowOff>
    </xdr:from>
    <xdr:to>
      <xdr:col>46</xdr:col>
      <xdr:colOff>444500</xdr:colOff>
      <xdr:row>25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7"/>
  <sheetViews>
    <sheetView topLeftCell="A3" workbookViewId="0">
      <selection activeCell="B18" sqref="B18:J18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R4" t="s">
        <v>18</v>
      </c>
      <c r="S4" t="s">
        <v>19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1510.02</v>
      </c>
      <c r="D6">
        <v>-4065.09</v>
      </c>
      <c r="E6">
        <v>40738.6</v>
      </c>
      <c r="F6">
        <v>11.302199999999999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1.3822819753256126</v>
      </c>
      <c r="M6">
        <f>D6+SUM(G6:J6)*1.5*(0.000086173)*C6</f>
        <v>-3752.7949116960003</v>
      </c>
      <c r="Q6">
        <v>1500</v>
      </c>
      <c r="R6" s="1">
        <v>1.2958796517248168</v>
      </c>
      <c r="S6" s="1">
        <v>1.2304999999999999</v>
      </c>
    </row>
    <row r="7" spans="2:19" x14ac:dyDescent="0.2">
      <c r="B7">
        <v>100000</v>
      </c>
      <c r="C7">
        <v>1397.91</v>
      </c>
      <c r="D7">
        <v>-4094.14</v>
      </c>
      <c r="E7">
        <v>39905.300000000003</v>
      </c>
      <c r="F7">
        <v>-7.7556900000000004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1.4111467018165507</v>
      </c>
      <c r="M7">
        <f t="shared" ref="M7:M9" si="0">D7+SUM(G7:J7)*1.5*(0.000086173)*C7</f>
        <v>-3805.0309637679998</v>
      </c>
      <c r="Q7">
        <v>1400</v>
      </c>
      <c r="R7" s="1">
        <v>1.3370693256097848</v>
      </c>
      <c r="S7" s="1">
        <v>1.2738</v>
      </c>
    </row>
    <row r="8" spans="2:19" x14ac:dyDescent="0.2">
      <c r="B8">
        <v>100000</v>
      </c>
      <c r="C8">
        <v>1298.8399999999999</v>
      </c>
      <c r="D8">
        <v>-4120.17</v>
      </c>
      <c r="E8">
        <v>39192</v>
      </c>
      <c r="F8">
        <v>1.81874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1.4368297734231477</v>
      </c>
      <c r="M8">
        <f t="shared" si="0"/>
        <v>-3851.5501456319998</v>
      </c>
      <c r="Q8">
        <v>1300</v>
      </c>
      <c r="R8" s="1">
        <v>1.3854045245553943</v>
      </c>
      <c r="S8" s="1">
        <v>1.3170999999999999</v>
      </c>
    </row>
    <row r="9" spans="2:19" x14ac:dyDescent="0.2">
      <c r="B9">
        <v>100000</v>
      </c>
      <c r="C9">
        <v>1200.08</v>
      </c>
      <c r="D9">
        <v>-4146.71</v>
      </c>
      <c r="E9">
        <v>38480.699999999997</v>
      </c>
      <c r="F9">
        <v>-2.7935300000000001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1.4633889840881273</v>
      </c>
      <c r="M9">
        <f t="shared" si="0"/>
        <v>-3898.5152147839999</v>
      </c>
      <c r="Q9">
        <v>1200</v>
      </c>
      <c r="R9" s="1">
        <v>1.4003834985078594</v>
      </c>
      <c r="S9" s="1">
        <v>1.3603999999999998</v>
      </c>
    </row>
    <row r="11" spans="2:19" x14ac:dyDescent="0.2">
      <c r="F11" t="s">
        <v>20</v>
      </c>
      <c r="G11" cm="1">
        <f t="array" ref="G11:H11">LINEST(E6:E9,C6:C9)</f>
        <v>7.278644390436904</v>
      </c>
      <c r="H11">
        <v>29740.51539439155</v>
      </c>
      <c r="K11" t="s">
        <v>22</v>
      </c>
      <c r="L11" cm="1">
        <f t="array" ref="L11:M11">LINEST(M6:M9,C6:C9)</f>
        <v>0.47003777990481072</v>
      </c>
      <c r="M11">
        <v>-4462.3287515395814</v>
      </c>
    </row>
    <row r="12" spans="2:19" x14ac:dyDescent="0.2">
      <c r="G12" s="2">
        <f>G11/E9</f>
        <v>1.8915051936261307E-4</v>
      </c>
      <c r="L12">
        <f>L11/SUM(G6:I6)*(1.602E-19)*(6.022E+23)</f>
        <v>56.682114399500072</v>
      </c>
    </row>
    <row r="15" spans="2:19" x14ac:dyDescent="0.2">
      <c r="B15" t="s">
        <v>17</v>
      </c>
    </row>
    <row r="16" spans="2:19" x14ac:dyDescent="0.2">
      <c r="K16" t="s">
        <v>15</v>
      </c>
      <c r="L16" t="s">
        <v>16</v>
      </c>
      <c r="M16" t="s">
        <v>21</v>
      </c>
    </row>
    <row r="17" spans="2:13" x14ac:dyDescent="0.2">
      <c r="K17">
        <f>G17*G$2+H17*H$2+I17*I$2+J17*J$2</f>
        <v>0</v>
      </c>
      <c r="L17" t="e">
        <f>K17*(1.66054E-24)/(E17)/(1E-24)</f>
        <v>#DIV/0!</v>
      </c>
      <c r="M17">
        <f>D17+SUM(G17:J17)*1.5*(0.000086173)*C17</f>
        <v>0</v>
      </c>
    </row>
    <row r="18" spans="2:13" x14ac:dyDescent="0.2">
      <c r="B18">
        <v>100000</v>
      </c>
      <c r="C18">
        <v>1402.31</v>
      </c>
      <c r="D18">
        <v>-2311.33</v>
      </c>
      <c r="E18">
        <v>70157.8</v>
      </c>
      <c r="F18">
        <v>-2.0748899999999999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1.4115600651103655</v>
      </c>
      <c r="M18">
        <f t="shared" ref="M18:M20" si="1">D18+SUM(G18:J18)*1.5*(0.000086173)*C18</f>
        <v>-2021.3109768879999</v>
      </c>
    </row>
    <row r="19" spans="2:13" x14ac:dyDescent="0.2">
      <c r="B19">
        <v>100000</v>
      </c>
      <c r="C19">
        <v>1300.51</v>
      </c>
      <c r="D19">
        <v>-2342.33</v>
      </c>
      <c r="E19">
        <v>68383.8</v>
      </c>
      <c r="F19">
        <v>-2.3746299999999998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1.4481784974803975</v>
      </c>
      <c r="M19">
        <f t="shared" si="1"/>
        <v>-2073.364764248</v>
      </c>
    </row>
    <row r="20" spans="2:13" x14ac:dyDescent="0.2">
      <c r="B20">
        <v>100000</v>
      </c>
      <c r="C20">
        <v>1200.19</v>
      </c>
      <c r="D20">
        <v>-2374.2199999999998</v>
      </c>
      <c r="E20">
        <v>66673</v>
      </c>
      <c r="F20">
        <v>-2.7622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1.4853381239182279</v>
      </c>
      <c r="M20">
        <f t="shared" si="1"/>
        <v>-2126.0024651119998</v>
      </c>
    </row>
    <row r="22" spans="2:13" x14ac:dyDescent="0.2">
      <c r="F22" t="s">
        <v>20</v>
      </c>
      <c r="G22" t="e" cm="1">
        <f t="array" ref="G22">LINEST(E17:E20,C17:C20)</f>
        <v>#VALUE!</v>
      </c>
      <c r="K22" t="s">
        <v>22</v>
      </c>
      <c r="L22" t="e" cm="1">
        <f t="array" ref="L22">LINEST(M17:M20,C17:C20)</f>
        <v>#VALUE!</v>
      </c>
    </row>
    <row r="23" spans="2:13" x14ac:dyDescent="0.2">
      <c r="G23" s="2" t="e">
        <f>G22/E20</f>
        <v>#VALUE!</v>
      </c>
      <c r="L23" t="e">
        <f>L22/SUM(G17:I17)*(1.602E-19)*(6.022E+23)</f>
        <v>#VALUE!</v>
      </c>
    </row>
    <row r="26" spans="2:13" x14ac:dyDescent="0.2">
      <c r="B26" t="s">
        <v>37</v>
      </c>
    </row>
    <row r="27" spans="2:13" x14ac:dyDescent="0.2">
      <c r="K27" t="s">
        <v>15</v>
      </c>
      <c r="L27" t="s">
        <v>16</v>
      </c>
      <c r="M27" t="s">
        <v>21</v>
      </c>
    </row>
    <row r="28" spans="2:13" x14ac:dyDescent="0.2">
      <c r="K28">
        <f>G28*G$2+H28*H$2+I28*I$2+J28*J$2</f>
        <v>0</v>
      </c>
      <c r="L28" t="e">
        <f>K28*(1.66054E-24)/(E28)/(1E-24)</f>
        <v>#DIV/0!</v>
      </c>
      <c r="M28">
        <f>D28+SUM(G28:J28)*1.5*(0.000086173)*C28</f>
        <v>0</v>
      </c>
    </row>
    <row r="29" spans="2:13" x14ac:dyDescent="0.2">
      <c r="K29">
        <f>G29*G$2+H29*H$2+I29*I$2+J29*J$2</f>
        <v>0</v>
      </c>
      <c r="L29" t="e">
        <f>K29*(1.66054E-24)/(E29)/(1E-24)</f>
        <v>#DIV/0!</v>
      </c>
      <c r="M29">
        <f t="shared" ref="M29:M31" si="2">D29+SUM(G29:J29)*1.5*(0.000086173)*C29</f>
        <v>0</v>
      </c>
    </row>
    <row r="30" spans="2:13" x14ac:dyDescent="0.2">
      <c r="B30">
        <v>100000</v>
      </c>
      <c r="K30">
        <f>G30*G$2+H30*H$2+I30*I$2+J30*J$2</f>
        <v>0</v>
      </c>
      <c r="L30" t="e">
        <f>K30*(1.66054E-24)/(E30)/(1E-24)</f>
        <v>#DIV/0!</v>
      </c>
      <c r="M30">
        <f t="shared" si="2"/>
        <v>0</v>
      </c>
    </row>
    <row r="31" spans="2:13" x14ac:dyDescent="0.2">
      <c r="B31">
        <v>100000</v>
      </c>
      <c r="K31">
        <f>G31*G$2+H31*H$2+I31*I$2+J31*J$2</f>
        <v>0</v>
      </c>
      <c r="L31" t="e">
        <f>K31*(1.66054E-24)/(E31)/(1E-24)</f>
        <v>#DIV/0!</v>
      </c>
      <c r="M31">
        <f t="shared" si="2"/>
        <v>0</v>
      </c>
    </row>
    <row r="33" spans="2:12" x14ac:dyDescent="0.2">
      <c r="F33" t="s">
        <v>20</v>
      </c>
      <c r="G33" t="e" cm="1">
        <f t="array" ref="G33">LINEST(E28:E31,C28:C31)</f>
        <v>#VALUE!</v>
      </c>
      <c r="K33" t="s">
        <v>22</v>
      </c>
      <c r="L33" t="e" cm="1">
        <f t="array" ref="L33">LINEST(M28:M31,C28:C31)</f>
        <v>#VALUE!</v>
      </c>
    </row>
    <row r="34" spans="2:12" x14ac:dyDescent="0.2">
      <c r="G34" s="2" t="e">
        <f>G33/E31</f>
        <v>#VALUE!</v>
      </c>
      <c r="L34" t="e">
        <f>L33/SUM(G28:I28)*(1.602E-19)*(6.022E+23)</f>
        <v>#VALUE!</v>
      </c>
    </row>
    <row r="38" spans="2:12" x14ac:dyDescent="0.2">
      <c r="B38">
        <v>1000</v>
      </c>
      <c r="C38">
        <v>1731.25</v>
      </c>
      <c r="D38">
        <v>-4023.46</v>
      </c>
      <c r="E38">
        <v>42171.3</v>
      </c>
      <c r="F38">
        <v>608.41300000000001</v>
      </c>
      <c r="G38">
        <v>800</v>
      </c>
      <c r="H38">
        <v>0</v>
      </c>
      <c r="I38">
        <v>0</v>
      </c>
      <c r="J38">
        <v>800</v>
      </c>
    </row>
    <row r="39" spans="2:12" x14ac:dyDescent="0.2">
      <c r="B39">
        <v>2000</v>
      </c>
      <c r="C39">
        <v>1630.47</v>
      </c>
      <c r="D39">
        <v>-4034.92</v>
      </c>
      <c r="E39">
        <v>41644.699999999997</v>
      </c>
      <c r="F39">
        <v>877.24</v>
      </c>
      <c r="G39">
        <v>800</v>
      </c>
      <c r="H39">
        <v>0</v>
      </c>
      <c r="I39">
        <v>0</v>
      </c>
      <c r="J39">
        <v>800</v>
      </c>
    </row>
    <row r="40" spans="2:12" x14ac:dyDescent="0.2">
      <c r="B40">
        <v>3000</v>
      </c>
      <c r="C40">
        <v>1561.27</v>
      </c>
      <c r="D40">
        <v>-4050.83</v>
      </c>
      <c r="E40">
        <v>41157.300000000003</v>
      </c>
      <c r="F40">
        <v>-829.86400000000003</v>
      </c>
      <c r="G40">
        <v>800</v>
      </c>
      <c r="H40">
        <v>0</v>
      </c>
      <c r="I40">
        <v>0</v>
      </c>
      <c r="J40">
        <v>800</v>
      </c>
    </row>
    <row r="41" spans="2:12" x14ac:dyDescent="0.2">
      <c r="B41">
        <v>4000</v>
      </c>
      <c r="C41">
        <v>1498.42</v>
      </c>
      <c r="D41">
        <v>-4061.77</v>
      </c>
      <c r="E41">
        <v>40780.6</v>
      </c>
      <c r="F41">
        <v>409.60599999999999</v>
      </c>
      <c r="G41">
        <v>800</v>
      </c>
      <c r="H41">
        <v>0</v>
      </c>
      <c r="I41">
        <v>0</v>
      </c>
      <c r="J41">
        <v>800</v>
      </c>
    </row>
    <row r="42" spans="2:12" x14ac:dyDescent="0.2">
      <c r="B42">
        <v>5000</v>
      </c>
      <c r="C42">
        <v>1453.67</v>
      </c>
      <c r="D42">
        <v>-4068.51</v>
      </c>
      <c r="E42">
        <v>41058.400000000001</v>
      </c>
      <c r="F42">
        <v>-1732.97</v>
      </c>
      <c r="G42">
        <v>800</v>
      </c>
      <c r="H42">
        <v>0</v>
      </c>
      <c r="I42">
        <v>0</v>
      </c>
      <c r="J42">
        <v>800</v>
      </c>
    </row>
    <row r="43" spans="2:12" x14ac:dyDescent="0.2">
      <c r="B43">
        <v>6000</v>
      </c>
      <c r="C43">
        <v>1472.78</v>
      </c>
      <c r="D43">
        <v>-4075.31</v>
      </c>
      <c r="E43">
        <v>40631.4</v>
      </c>
      <c r="F43">
        <v>-287.94900000000001</v>
      </c>
      <c r="G43">
        <v>800</v>
      </c>
      <c r="H43">
        <v>0</v>
      </c>
      <c r="I43">
        <v>0</v>
      </c>
      <c r="J43">
        <v>800</v>
      </c>
    </row>
    <row r="44" spans="2:12" x14ac:dyDescent="0.2">
      <c r="B44">
        <v>7000</v>
      </c>
      <c r="C44">
        <v>1508.02</v>
      </c>
      <c r="D44">
        <v>-4074.18</v>
      </c>
      <c r="E44">
        <v>40729</v>
      </c>
      <c r="F44">
        <v>-1721.38</v>
      </c>
      <c r="G44">
        <v>800</v>
      </c>
      <c r="H44">
        <v>0</v>
      </c>
      <c r="I44">
        <v>0</v>
      </c>
      <c r="J44">
        <v>800</v>
      </c>
    </row>
    <row r="45" spans="2:12" x14ac:dyDescent="0.2">
      <c r="B45">
        <v>8000</v>
      </c>
      <c r="C45">
        <v>1492.93</v>
      </c>
      <c r="D45">
        <v>-4059.13</v>
      </c>
      <c r="E45">
        <v>40274.6</v>
      </c>
      <c r="F45">
        <v>1456.26</v>
      </c>
      <c r="G45">
        <v>800</v>
      </c>
      <c r="H45">
        <v>0</v>
      </c>
      <c r="I45">
        <v>0</v>
      </c>
      <c r="J45">
        <v>800</v>
      </c>
    </row>
    <row r="46" spans="2:12" x14ac:dyDescent="0.2">
      <c r="B46">
        <v>9000</v>
      </c>
      <c r="C46">
        <v>1529.93</v>
      </c>
      <c r="D46">
        <v>-4065.51</v>
      </c>
      <c r="E46">
        <v>40822.400000000001</v>
      </c>
      <c r="F46">
        <v>1433.99</v>
      </c>
      <c r="G46">
        <v>800</v>
      </c>
      <c r="H46">
        <v>0</v>
      </c>
      <c r="I46">
        <v>0</v>
      </c>
      <c r="J46">
        <v>800</v>
      </c>
    </row>
    <row r="47" spans="2:12" x14ac:dyDescent="0.2">
      <c r="B47">
        <v>10000</v>
      </c>
      <c r="C47">
        <v>1501.56</v>
      </c>
      <c r="D47">
        <v>-4066.39</v>
      </c>
      <c r="E47">
        <v>41020.1</v>
      </c>
      <c r="F47">
        <v>-1292.75</v>
      </c>
      <c r="G47">
        <v>800</v>
      </c>
      <c r="H47">
        <v>0</v>
      </c>
      <c r="I47">
        <v>0</v>
      </c>
      <c r="J47">
        <v>800</v>
      </c>
    </row>
    <row r="48" spans="2:12" x14ac:dyDescent="0.2">
      <c r="B48">
        <v>11000</v>
      </c>
      <c r="C48">
        <v>1483.99</v>
      </c>
      <c r="D48">
        <v>-4069.93</v>
      </c>
      <c r="E48">
        <v>40045.4</v>
      </c>
      <c r="F48">
        <v>2108.96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12000</v>
      </c>
      <c r="C49">
        <v>1500.86</v>
      </c>
      <c r="D49">
        <v>-4079</v>
      </c>
      <c r="E49">
        <v>40225.300000000003</v>
      </c>
      <c r="F49">
        <v>447.62299999999999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13000</v>
      </c>
      <c r="C50">
        <v>1465.4</v>
      </c>
      <c r="D50">
        <v>-4070.87</v>
      </c>
      <c r="E50">
        <v>40613.599999999999</v>
      </c>
      <c r="F50">
        <v>-1600.39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14000</v>
      </c>
      <c r="C51">
        <v>1517.54</v>
      </c>
      <c r="D51">
        <v>-4065.87</v>
      </c>
      <c r="E51">
        <v>40751.599999999999</v>
      </c>
      <c r="F51">
        <v>323.69299999999998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15000</v>
      </c>
      <c r="C52">
        <v>1538.37</v>
      </c>
      <c r="D52">
        <v>-4063.24</v>
      </c>
      <c r="E52">
        <v>40136</v>
      </c>
      <c r="F52">
        <v>-492.64400000000001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16000</v>
      </c>
      <c r="C53">
        <v>1499.9</v>
      </c>
      <c r="D53">
        <v>-4065.43</v>
      </c>
      <c r="E53">
        <v>40857.4</v>
      </c>
      <c r="F53">
        <v>-837.16399999999999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17000</v>
      </c>
      <c r="C54">
        <v>1474.28</v>
      </c>
      <c r="D54">
        <v>-4066.97</v>
      </c>
      <c r="E54">
        <v>40548.300000000003</v>
      </c>
      <c r="F54">
        <v>-1362.26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18000</v>
      </c>
      <c r="C55">
        <v>1497.6</v>
      </c>
      <c r="D55">
        <v>-4072.21</v>
      </c>
      <c r="E55">
        <v>40563.699999999997</v>
      </c>
      <c r="F55">
        <v>693.077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19000</v>
      </c>
      <c r="C56">
        <v>1529.19</v>
      </c>
      <c r="D56">
        <v>-4066.14</v>
      </c>
      <c r="E56">
        <v>40753.9</v>
      </c>
      <c r="F56">
        <v>808.59400000000005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20000</v>
      </c>
      <c r="C57">
        <v>1546.23</v>
      </c>
      <c r="D57">
        <v>-4056.59</v>
      </c>
      <c r="E57">
        <v>40759.300000000003</v>
      </c>
      <c r="F57">
        <v>-1247.1600000000001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21000</v>
      </c>
      <c r="C58">
        <v>1532.88</v>
      </c>
      <c r="D58">
        <v>-4063.85</v>
      </c>
      <c r="E58">
        <v>40751.300000000003</v>
      </c>
      <c r="F58">
        <v>958.83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22000</v>
      </c>
      <c r="C59">
        <v>1497.88</v>
      </c>
      <c r="D59">
        <v>-4068.45</v>
      </c>
      <c r="E59">
        <v>40920.400000000001</v>
      </c>
      <c r="F59">
        <v>-1081.81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23000</v>
      </c>
      <c r="C60">
        <v>1468.98</v>
      </c>
      <c r="D60">
        <v>-4067.71</v>
      </c>
      <c r="E60">
        <v>40512.699999999997</v>
      </c>
      <c r="F60">
        <v>2274.35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24000</v>
      </c>
      <c r="C61">
        <v>1513.42</v>
      </c>
      <c r="D61">
        <v>-4076.58</v>
      </c>
      <c r="E61">
        <v>40399.300000000003</v>
      </c>
      <c r="F61">
        <v>1742.06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25000</v>
      </c>
      <c r="C62">
        <v>1514.2</v>
      </c>
      <c r="D62">
        <v>-4065.58</v>
      </c>
      <c r="E62">
        <v>40246.300000000003</v>
      </c>
      <c r="F62">
        <v>2033.53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26000</v>
      </c>
      <c r="C63">
        <v>1520.62</v>
      </c>
      <c r="D63">
        <v>-4057.72</v>
      </c>
      <c r="E63">
        <v>40852.300000000003</v>
      </c>
      <c r="F63">
        <v>-1009.44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27000</v>
      </c>
      <c r="C64">
        <v>1524.69</v>
      </c>
      <c r="D64">
        <v>-4065.36</v>
      </c>
      <c r="E64">
        <v>40930.199999999997</v>
      </c>
      <c r="F64">
        <v>-975.08900000000006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28000</v>
      </c>
      <c r="C65">
        <v>1501.05</v>
      </c>
      <c r="D65">
        <v>-4070.54</v>
      </c>
      <c r="E65">
        <v>40595</v>
      </c>
      <c r="F65">
        <v>2004.32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29000</v>
      </c>
      <c r="C66">
        <v>1489.86</v>
      </c>
      <c r="D66">
        <v>-4069.64</v>
      </c>
      <c r="E66">
        <v>40357.9</v>
      </c>
      <c r="F66">
        <v>1000.26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30000</v>
      </c>
      <c r="C67">
        <v>1503.68</v>
      </c>
      <c r="D67">
        <v>-4072.65</v>
      </c>
      <c r="E67">
        <v>40462.800000000003</v>
      </c>
      <c r="F67">
        <v>780.57500000000005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31000</v>
      </c>
      <c r="C68">
        <v>1492.08</v>
      </c>
      <c r="D68">
        <v>-4069.46</v>
      </c>
      <c r="E68">
        <v>40489.300000000003</v>
      </c>
      <c r="F68">
        <v>1659.9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32000</v>
      </c>
      <c r="C69">
        <v>1512.77</v>
      </c>
      <c r="D69">
        <v>-4060.98</v>
      </c>
      <c r="E69">
        <v>40938.199999999997</v>
      </c>
      <c r="F69">
        <v>-689.79499999999996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33000</v>
      </c>
      <c r="C70">
        <v>1560.45</v>
      </c>
      <c r="D70">
        <v>-4060.86</v>
      </c>
      <c r="E70">
        <v>40719.300000000003</v>
      </c>
      <c r="F70">
        <v>1949.47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34000</v>
      </c>
      <c r="C71">
        <v>1539.61</v>
      </c>
      <c r="D71">
        <v>-4066.93</v>
      </c>
      <c r="E71">
        <v>40364.1</v>
      </c>
      <c r="F71">
        <v>1689.76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35000</v>
      </c>
      <c r="C72">
        <v>1498.77</v>
      </c>
      <c r="D72">
        <v>-4069.62</v>
      </c>
      <c r="E72">
        <v>40681.300000000003</v>
      </c>
      <c r="F72">
        <v>197.404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36000</v>
      </c>
      <c r="C73">
        <v>1497.25</v>
      </c>
      <c r="D73">
        <v>-4072.18</v>
      </c>
      <c r="E73">
        <v>40937</v>
      </c>
      <c r="F73">
        <v>73.808499999999995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37000</v>
      </c>
      <c r="C74">
        <v>1455.51</v>
      </c>
      <c r="D74">
        <v>-4061.92</v>
      </c>
      <c r="E74">
        <v>41044.800000000003</v>
      </c>
      <c r="F74">
        <v>-400.892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38000</v>
      </c>
      <c r="C75">
        <v>1531.25</v>
      </c>
      <c r="D75">
        <v>-4063.53</v>
      </c>
      <c r="E75">
        <v>41040.9</v>
      </c>
      <c r="F75">
        <v>107.44799999999999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39000</v>
      </c>
      <c r="C76">
        <v>1544.11</v>
      </c>
      <c r="D76">
        <v>-4060.07</v>
      </c>
      <c r="E76">
        <v>40691.5</v>
      </c>
      <c r="F76">
        <v>1279.81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40000</v>
      </c>
      <c r="C77">
        <v>1516.57</v>
      </c>
      <c r="D77">
        <v>-4064.02</v>
      </c>
      <c r="E77">
        <v>40980.6</v>
      </c>
      <c r="F77">
        <v>-1381.13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41000</v>
      </c>
      <c r="C78">
        <v>1493.8</v>
      </c>
      <c r="D78">
        <v>-4066.19</v>
      </c>
      <c r="E78">
        <v>40617.4</v>
      </c>
      <c r="F78">
        <v>-949.70699999999999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42000</v>
      </c>
      <c r="C79">
        <v>1480.99</v>
      </c>
      <c r="D79">
        <v>-4065.13</v>
      </c>
      <c r="E79">
        <v>40706.5</v>
      </c>
      <c r="F79">
        <v>676.39800000000002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43000</v>
      </c>
      <c r="C80">
        <v>1493.79</v>
      </c>
      <c r="D80">
        <v>-4066.63</v>
      </c>
      <c r="E80">
        <v>40829.599999999999</v>
      </c>
      <c r="F80">
        <v>811.57100000000003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44000</v>
      </c>
      <c r="C81">
        <v>1525.82</v>
      </c>
      <c r="D81">
        <v>-4070.82</v>
      </c>
      <c r="E81">
        <v>40731.5</v>
      </c>
      <c r="F81">
        <v>1227.04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45000</v>
      </c>
      <c r="C82">
        <v>1521.47</v>
      </c>
      <c r="D82">
        <v>-4064.14</v>
      </c>
      <c r="E82">
        <v>40871.9</v>
      </c>
      <c r="F82">
        <v>8.3911899999999999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46000</v>
      </c>
      <c r="C83">
        <v>1538.65</v>
      </c>
      <c r="D83">
        <v>-4064.91</v>
      </c>
      <c r="E83">
        <v>40708.800000000003</v>
      </c>
      <c r="F83">
        <v>-1376.8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47000</v>
      </c>
      <c r="C84">
        <v>1499.38</v>
      </c>
      <c r="D84">
        <v>-4068.08</v>
      </c>
      <c r="E84">
        <v>40268.5</v>
      </c>
      <c r="F84">
        <v>1509.66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48000</v>
      </c>
      <c r="C85">
        <v>1495</v>
      </c>
      <c r="D85">
        <v>-4076.32</v>
      </c>
      <c r="E85">
        <v>40234.199999999997</v>
      </c>
      <c r="F85">
        <v>743.28399999999999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49000</v>
      </c>
      <c r="C86">
        <v>1456.71</v>
      </c>
      <c r="D86">
        <v>-4067.92</v>
      </c>
      <c r="E86">
        <v>40290.699999999997</v>
      </c>
      <c r="F86">
        <v>1495.31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50000</v>
      </c>
      <c r="C87">
        <v>1511.65</v>
      </c>
      <c r="D87">
        <v>-4070.71</v>
      </c>
      <c r="E87">
        <v>40641.5</v>
      </c>
      <c r="F87">
        <v>-264.80200000000002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51000</v>
      </c>
      <c r="C88">
        <v>1535.21</v>
      </c>
      <c r="D88">
        <v>-4062.57</v>
      </c>
      <c r="E88">
        <v>40783.4</v>
      </c>
      <c r="F88">
        <v>735.62099999999998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52000</v>
      </c>
      <c r="C89">
        <v>1514.84</v>
      </c>
      <c r="D89">
        <v>-4059.24</v>
      </c>
      <c r="E89">
        <v>41047.800000000003</v>
      </c>
      <c r="F89">
        <v>-1673.92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53000</v>
      </c>
      <c r="C90">
        <v>1513.2</v>
      </c>
      <c r="D90">
        <v>-4066.06</v>
      </c>
      <c r="E90">
        <v>40490.5</v>
      </c>
      <c r="F90">
        <v>644.43799999999999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54000</v>
      </c>
      <c r="C91">
        <v>1493.93</v>
      </c>
      <c r="D91">
        <v>-4071.03</v>
      </c>
      <c r="E91">
        <v>40300</v>
      </c>
      <c r="F91">
        <v>-1314.01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55000</v>
      </c>
      <c r="C92">
        <v>1519.41</v>
      </c>
      <c r="D92">
        <v>-4078.1</v>
      </c>
      <c r="E92">
        <v>40453.599999999999</v>
      </c>
      <c r="F92">
        <v>487.42599999999999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56000</v>
      </c>
      <c r="C93">
        <v>1505.7</v>
      </c>
      <c r="D93">
        <v>-4069.2</v>
      </c>
      <c r="E93">
        <v>40285.4</v>
      </c>
      <c r="F93">
        <v>662.76499999999999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57000</v>
      </c>
      <c r="C94">
        <v>1504.92</v>
      </c>
      <c r="D94">
        <v>-4052.93</v>
      </c>
      <c r="E94">
        <v>40925.1</v>
      </c>
      <c r="F94">
        <v>-221.625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58000</v>
      </c>
      <c r="C95">
        <v>1532.39</v>
      </c>
      <c r="D95">
        <v>-4061.48</v>
      </c>
      <c r="E95">
        <v>40813.300000000003</v>
      </c>
      <c r="F95">
        <v>2682.04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59000</v>
      </c>
      <c r="C96">
        <v>1495.9</v>
      </c>
      <c r="D96">
        <v>-4062.78</v>
      </c>
      <c r="E96">
        <v>40535.699999999997</v>
      </c>
      <c r="F96">
        <v>1993.63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60000</v>
      </c>
      <c r="C97">
        <v>1509.15</v>
      </c>
      <c r="D97">
        <v>-4073.35</v>
      </c>
      <c r="E97">
        <v>40659</v>
      </c>
      <c r="F97">
        <v>233.29499999999999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61000</v>
      </c>
      <c r="C98">
        <v>1478.59</v>
      </c>
      <c r="D98">
        <v>-4070.39</v>
      </c>
      <c r="E98">
        <v>40727.199999999997</v>
      </c>
      <c r="F98">
        <v>-1308.5899999999999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62000</v>
      </c>
      <c r="C99">
        <v>1475.52</v>
      </c>
      <c r="D99">
        <v>-4067.88</v>
      </c>
      <c r="E99">
        <v>40866.6</v>
      </c>
      <c r="F99">
        <v>243.071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63000</v>
      </c>
      <c r="C100">
        <v>1507.03</v>
      </c>
      <c r="D100">
        <v>-4070.96</v>
      </c>
      <c r="E100">
        <v>40522.6</v>
      </c>
      <c r="F100">
        <v>1964.94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64000</v>
      </c>
      <c r="C101">
        <v>1520.87</v>
      </c>
      <c r="D101">
        <v>-4072.2</v>
      </c>
      <c r="E101">
        <v>40789.4</v>
      </c>
      <c r="F101">
        <v>-809.16600000000005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65000</v>
      </c>
      <c r="C102">
        <v>1540.27</v>
      </c>
      <c r="D102">
        <v>-4072.79</v>
      </c>
      <c r="E102">
        <v>40444.9</v>
      </c>
      <c r="F102">
        <v>1070.01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66000</v>
      </c>
      <c r="C103">
        <v>1500.02</v>
      </c>
      <c r="D103">
        <v>-4062.29</v>
      </c>
      <c r="E103">
        <v>40677.300000000003</v>
      </c>
      <c r="F103">
        <v>463.21300000000002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67000</v>
      </c>
      <c r="C104">
        <v>1499.69</v>
      </c>
      <c r="D104">
        <v>-4061.54</v>
      </c>
      <c r="E104">
        <v>40897.9</v>
      </c>
      <c r="F104">
        <v>-553.846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68000</v>
      </c>
      <c r="C105">
        <v>1495.53</v>
      </c>
      <c r="D105">
        <v>-4066.51</v>
      </c>
      <c r="E105">
        <v>40793</v>
      </c>
      <c r="F105">
        <v>659.58399999999995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69000</v>
      </c>
      <c r="C106">
        <v>1493.13</v>
      </c>
      <c r="D106">
        <v>-4073.32</v>
      </c>
      <c r="E106">
        <v>40093.199999999997</v>
      </c>
      <c r="F106">
        <v>-65.709000000000003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70000</v>
      </c>
      <c r="C107">
        <v>1484.05</v>
      </c>
      <c r="D107">
        <v>-4079.52</v>
      </c>
      <c r="E107">
        <v>40090.800000000003</v>
      </c>
      <c r="F107">
        <v>413.67500000000001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71000</v>
      </c>
      <c r="C108">
        <v>1465.76</v>
      </c>
      <c r="D108">
        <v>-4073.7</v>
      </c>
      <c r="E108">
        <v>40630.199999999997</v>
      </c>
      <c r="F108">
        <v>-1637.38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72000</v>
      </c>
      <c r="C109">
        <v>1515.58</v>
      </c>
      <c r="D109">
        <v>-4065.6</v>
      </c>
      <c r="E109">
        <v>40817.199999999997</v>
      </c>
      <c r="F109">
        <v>1735.29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73000</v>
      </c>
      <c r="C110">
        <v>1504.42</v>
      </c>
      <c r="D110">
        <v>-4061.03</v>
      </c>
      <c r="E110">
        <v>40925.199999999997</v>
      </c>
      <c r="F110">
        <v>-3558.65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74000</v>
      </c>
      <c r="C111">
        <v>1488.11</v>
      </c>
      <c r="D111">
        <v>-4066.18</v>
      </c>
      <c r="E111">
        <v>40704.699999999997</v>
      </c>
      <c r="F111">
        <v>-1964.1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75000</v>
      </c>
      <c r="C112">
        <v>1478.88</v>
      </c>
      <c r="D112">
        <v>-4071.84</v>
      </c>
      <c r="E112">
        <v>40276.5</v>
      </c>
      <c r="F112">
        <v>455.22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76000</v>
      </c>
      <c r="C113">
        <v>1498.78</v>
      </c>
      <c r="D113">
        <v>-4076.14</v>
      </c>
      <c r="E113">
        <v>40406.300000000003</v>
      </c>
      <c r="F113">
        <v>-453.48899999999998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77000</v>
      </c>
      <c r="C114">
        <v>1531.63</v>
      </c>
      <c r="D114">
        <v>-4073.12</v>
      </c>
      <c r="E114">
        <v>40662</v>
      </c>
      <c r="F114">
        <v>2433.4899999999998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78000</v>
      </c>
      <c r="C115">
        <v>1538.44</v>
      </c>
      <c r="D115">
        <v>-4058.31</v>
      </c>
      <c r="E115">
        <v>40976.800000000003</v>
      </c>
      <c r="F115">
        <v>-1037.8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79000</v>
      </c>
      <c r="C116">
        <v>1532.78</v>
      </c>
      <c r="D116">
        <v>-4063.34</v>
      </c>
      <c r="E116">
        <v>40860.5</v>
      </c>
      <c r="F116">
        <v>-1887.86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80000</v>
      </c>
      <c r="C117">
        <v>1482.38</v>
      </c>
      <c r="D117">
        <v>-4065.15</v>
      </c>
      <c r="E117">
        <v>40708.300000000003</v>
      </c>
      <c r="F117">
        <v>-1123.3599999999999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81000</v>
      </c>
      <c r="C118">
        <v>1521.08</v>
      </c>
      <c r="D118">
        <v>-4077.03</v>
      </c>
      <c r="E118">
        <v>40334.800000000003</v>
      </c>
      <c r="F118">
        <v>1121.5899999999999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82000</v>
      </c>
      <c r="C119">
        <v>1463.41</v>
      </c>
      <c r="D119">
        <v>-4066.63</v>
      </c>
      <c r="E119">
        <v>40718.699999999997</v>
      </c>
      <c r="F119">
        <v>1020.94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83000</v>
      </c>
      <c r="C120">
        <v>1536.09</v>
      </c>
      <c r="D120">
        <v>-4067.85</v>
      </c>
      <c r="E120">
        <v>40779.800000000003</v>
      </c>
      <c r="F120">
        <v>-778.94899999999996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84000</v>
      </c>
      <c r="C121">
        <v>1538.77</v>
      </c>
      <c r="D121">
        <v>-4060.23</v>
      </c>
      <c r="E121">
        <v>40880.199999999997</v>
      </c>
      <c r="F121">
        <v>93.884600000000006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85000</v>
      </c>
      <c r="C122">
        <v>1532.14</v>
      </c>
      <c r="D122">
        <v>-4065.14</v>
      </c>
      <c r="E122">
        <v>40823.4</v>
      </c>
      <c r="F122">
        <v>-163.33600000000001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86000</v>
      </c>
      <c r="C123">
        <v>1515.84</v>
      </c>
      <c r="D123">
        <v>-4070.81</v>
      </c>
      <c r="E123">
        <v>41005.5</v>
      </c>
      <c r="F123">
        <v>-1509.94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87000</v>
      </c>
      <c r="C124">
        <v>1522.25</v>
      </c>
      <c r="D124">
        <v>-4074.17</v>
      </c>
      <c r="E124">
        <v>40527.599999999999</v>
      </c>
      <c r="F124">
        <v>-516.45600000000002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88000</v>
      </c>
      <c r="C125">
        <v>1490.24</v>
      </c>
      <c r="D125">
        <v>-4068.42</v>
      </c>
      <c r="E125">
        <v>40837.800000000003</v>
      </c>
      <c r="F125">
        <v>-1534.09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89000</v>
      </c>
      <c r="C126">
        <v>1486.64</v>
      </c>
      <c r="D126">
        <v>-4063.8</v>
      </c>
      <c r="E126">
        <v>41050.9</v>
      </c>
      <c r="F126">
        <v>-908.95699999999999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90000</v>
      </c>
      <c r="C127">
        <v>1536.14</v>
      </c>
      <c r="D127">
        <v>-4057.22</v>
      </c>
      <c r="E127">
        <v>40356.800000000003</v>
      </c>
      <c r="F127">
        <v>-181.399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91000</v>
      </c>
      <c r="C128">
        <v>1541.6</v>
      </c>
      <c r="D128">
        <v>-4050.71</v>
      </c>
      <c r="E128">
        <v>41263</v>
      </c>
      <c r="F128">
        <v>-705.58699999999999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92000</v>
      </c>
      <c r="C129">
        <v>1509.84</v>
      </c>
      <c r="D129">
        <v>-4055.41</v>
      </c>
      <c r="E129">
        <v>41627.9</v>
      </c>
      <c r="F129">
        <v>-2615.4499999999998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93000</v>
      </c>
      <c r="C130">
        <v>1525.86</v>
      </c>
      <c r="D130">
        <v>-4064.06</v>
      </c>
      <c r="E130">
        <v>40765.199999999997</v>
      </c>
      <c r="F130">
        <v>779.98699999999997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94000</v>
      </c>
      <c r="C131">
        <v>1504.21</v>
      </c>
      <c r="D131">
        <v>-4068.88</v>
      </c>
      <c r="E131">
        <v>40506.800000000003</v>
      </c>
      <c r="F131">
        <v>2528.4499999999998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95000</v>
      </c>
      <c r="C132">
        <v>1479.27</v>
      </c>
      <c r="D132">
        <v>-4071.79</v>
      </c>
      <c r="E132">
        <v>40650.6</v>
      </c>
      <c r="F132">
        <v>-294.64100000000002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96000</v>
      </c>
      <c r="C133">
        <v>1487.99</v>
      </c>
      <c r="D133">
        <v>-4071.1</v>
      </c>
      <c r="E133">
        <v>40337.9</v>
      </c>
      <c r="F133">
        <v>1553.69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97000</v>
      </c>
      <c r="C134">
        <v>1534.32</v>
      </c>
      <c r="D134">
        <v>-4067.09</v>
      </c>
      <c r="E134">
        <v>40183.199999999997</v>
      </c>
      <c r="F134">
        <v>511.375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98000</v>
      </c>
      <c r="C135">
        <v>1532.79</v>
      </c>
      <c r="D135">
        <v>-4062.71</v>
      </c>
      <c r="E135">
        <v>41225.800000000003</v>
      </c>
      <c r="F135">
        <v>-1766.33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99000</v>
      </c>
      <c r="C136">
        <v>1518.92</v>
      </c>
      <c r="D136">
        <v>-4062.49</v>
      </c>
      <c r="E136">
        <v>40736.6</v>
      </c>
      <c r="F136">
        <v>-15.168900000000001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100000</v>
      </c>
      <c r="C137">
        <v>1508.84</v>
      </c>
      <c r="D137">
        <v>-4066.36</v>
      </c>
      <c r="E137">
        <v>40706.9</v>
      </c>
      <c r="F137">
        <v>1924.85</v>
      </c>
      <c r="G137">
        <v>800</v>
      </c>
      <c r="H137">
        <v>0</v>
      </c>
      <c r="I137">
        <v>0</v>
      </c>
      <c r="J137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BD107"/>
  <sheetViews>
    <sheetView tabSelected="1" topLeftCell="AL1" workbookViewId="0">
      <selection activeCell="BD10" sqref="BD10"/>
    </sheetView>
  </sheetViews>
  <sheetFormatPr baseColWidth="10" defaultRowHeight="16" x14ac:dyDescent="0.2"/>
  <sheetData>
    <row r="2" spans="2:56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</row>
    <row r="5" spans="2:56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</row>
    <row r="6" spans="2:56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</row>
    <row r="7" spans="2:56" x14ac:dyDescent="0.2">
      <c r="B7">
        <f>3.5*0.1</f>
        <v>0.35000000000000003</v>
      </c>
      <c r="C7">
        <v>0</v>
      </c>
      <c r="D7" s="3">
        <v>-25014100</v>
      </c>
      <c r="E7" s="3">
        <v>-47574700000</v>
      </c>
      <c r="J7">
        <f>3.5*0.1</f>
        <v>0.35000000000000003</v>
      </c>
      <c r="K7">
        <v>0</v>
      </c>
      <c r="L7" s="3">
        <v>-24486500000</v>
      </c>
      <c r="M7" s="3">
        <v>-42479500000000</v>
      </c>
      <c r="R7">
        <f>3.5*0.1</f>
        <v>0.35000000000000003</v>
      </c>
      <c r="S7">
        <v>0</v>
      </c>
      <c r="T7" s="3">
        <v>-63255200</v>
      </c>
      <c r="U7" s="3">
        <v>-112662000000</v>
      </c>
      <c r="Z7">
        <f>3.5*0.1</f>
        <v>0.35000000000000003</v>
      </c>
      <c r="AA7">
        <v>0</v>
      </c>
      <c r="AB7" s="3">
        <v>453571</v>
      </c>
      <c r="AC7" s="3">
        <v>727422000</v>
      </c>
      <c r="AH7">
        <f>3.5*0.1</f>
        <v>0.35000000000000003</v>
      </c>
      <c r="AI7">
        <v>0</v>
      </c>
      <c r="AJ7" s="3">
        <v>-2189350</v>
      </c>
      <c r="AK7" s="3">
        <v>-3126270000</v>
      </c>
      <c r="AP7">
        <f>3.5*0.1</f>
        <v>0.35000000000000003</v>
      </c>
      <c r="AQ7">
        <v>0</v>
      </c>
      <c r="AR7" s="3">
        <v>-135102000</v>
      </c>
      <c r="AS7" s="3">
        <v>-216904000000</v>
      </c>
      <c r="AX7">
        <f>3.5*0.1</f>
        <v>0.35000000000000003</v>
      </c>
      <c r="AY7">
        <v>0</v>
      </c>
      <c r="AZ7" s="3">
        <v>-1969250</v>
      </c>
      <c r="BA7" s="3">
        <v>-4917750000</v>
      </c>
    </row>
    <row r="8" spans="2:56" x14ac:dyDescent="0.2">
      <c r="B8">
        <f>B7+0.05</f>
        <v>0.4</v>
      </c>
      <c r="C8">
        <v>1</v>
      </c>
      <c r="D8" s="3">
        <v>-25014100</v>
      </c>
      <c r="E8" s="3">
        <v>-47574700000</v>
      </c>
      <c r="J8">
        <f>J7+0.05</f>
        <v>0.4</v>
      </c>
      <c r="K8">
        <v>1</v>
      </c>
      <c r="L8" s="3">
        <v>-24486500000</v>
      </c>
      <c r="M8" s="3">
        <v>-42479500000000</v>
      </c>
      <c r="R8">
        <f>R7+0.05</f>
        <v>0.4</v>
      </c>
      <c r="S8">
        <v>1</v>
      </c>
      <c r="T8" s="3">
        <v>-63255200</v>
      </c>
      <c r="U8" s="3">
        <v>-112662000000</v>
      </c>
      <c r="Z8">
        <f>Z7+0.05</f>
        <v>0.4</v>
      </c>
      <c r="AA8">
        <v>1</v>
      </c>
      <c r="AB8" s="3">
        <v>453571</v>
      </c>
      <c r="AC8" s="3">
        <v>727422000</v>
      </c>
      <c r="AH8">
        <f>AH7+0.05</f>
        <v>0.4</v>
      </c>
      <c r="AI8">
        <v>1</v>
      </c>
      <c r="AJ8" s="3">
        <v>-2189350</v>
      </c>
      <c r="AK8" s="3">
        <v>-3126270000</v>
      </c>
      <c r="AP8">
        <f>AP7+0.05</f>
        <v>0.4</v>
      </c>
      <c r="AQ8">
        <v>1</v>
      </c>
      <c r="AR8" s="3">
        <v>-135102000</v>
      </c>
      <c r="AS8" s="3">
        <v>-216904000000</v>
      </c>
      <c r="AX8">
        <f>AX7+0.05</f>
        <v>0.4</v>
      </c>
      <c r="AY8">
        <v>1</v>
      </c>
      <c r="AZ8" s="3">
        <v>-1969250</v>
      </c>
      <c r="BA8" s="3">
        <v>-4917750000</v>
      </c>
    </row>
    <row r="9" spans="2:56" x14ac:dyDescent="0.2">
      <c r="B9">
        <f t="shared" ref="B9:B72" si="0">B8+0.05</f>
        <v>0.45</v>
      </c>
      <c r="C9">
        <v>2</v>
      </c>
      <c r="D9" s="3">
        <v>-12335600</v>
      </c>
      <c r="E9" s="3">
        <v>-27508700000</v>
      </c>
      <c r="J9">
        <f t="shared" ref="J9:J72" si="1">J8+0.05</f>
        <v>0.45</v>
      </c>
      <c r="K9">
        <v>2</v>
      </c>
      <c r="L9" s="3">
        <v>-12870000000</v>
      </c>
      <c r="M9" s="3">
        <v>-26045500000000</v>
      </c>
      <c r="R9">
        <f t="shared" ref="R9:R72" si="2">R8+0.05</f>
        <v>0.45</v>
      </c>
      <c r="S9">
        <v>2</v>
      </c>
      <c r="T9" s="3">
        <v>-32672000</v>
      </c>
      <c r="U9" s="3">
        <v>-67942700000</v>
      </c>
      <c r="Z9">
        <f t="shared" ref="Z9:Z72" si="3">Z8+0.05</f>
        <v>0.45</v>
      </c>
      <c r="AA9">
        <v>2</v>
      </c>
      <c r="AB9" s="3">
        <v>250853</v>
      </c>
      <c r="AC9" s="3">
        <v>465507000</v>
      </c>
      <c r="AH9">
        <f t="shared" ref="AH9:AH72" si="4">AH8+0.05</f>
        <v>0.45</v>
      </c>
      <c r="AI9">
        <v>2</v>
      </c>
      <c r="AJ9" s="3">
        <v>-1286820</v>
      </c>
      <c r="AK9" s="3">
        <v>-2159300000</v>
      </c>
      <c r="AP9">
        <f t="shared" ref="AP9:AP72" si="5">AP8+0.05</f>
        <v>0.45</v>
      </c>
      <c r="AQ9">
        <v>2</v>
      </c>
      <c r="AR9" s="3">
        <v>-74582600</v>
      </c>
      <c r="AS9" s="3">
        <v>-139135000000</v>
      </c>
      <c r="AX9">
        <f t="shared" ref="AX9:AX72" si="6">AX8+0.05</f>
        <v>0.45</v>
      </c>
      <c r="AY9">
        <v>2</v>
      </c>
      <c r="AZ9" s="3">
        <v>-761547</v>
      </c>
      <c r="BA9" s="3">
        <v>-2344980000</v>
      </c>
    </row>
    <row r="10" spans="2:56" x14ac:dyDescent="0.2">
      <c r="B10">
        <f t="shared" si="0"/>
        <v>0.5</v>
      </c>
      <c r="C10">
        <v>3</v>
      </c>
      <c r="D10" s="3">
        <v>-5969750</v>
      </c>
      <c r="E10" s="3">
        <v>-15387000000</v>
      </c>
      <c r="J10">
        <f t="shared" si="1"/>
        <v>0.5</v>
      </c>
      <c r="K10">
        <v>3</v>
      </c>
      <c r="L10" s="3">
        <v>-6673600000</v>
      </c>
      <c r="M10" s="3">
        <v>-15517700000000</v>
      </c>
      <c r="R10">
        <f t="shared" si="2"/>
        <v>0.5</v>
      </c>
      <c r="S10">
        <v>3</v>
      </c>
      <c r="T10" s="3">
        <v>-16631900</v>
      </c>
      <c r="U10" s="3">
        <v>-39781500000</v>
      </c>
      <c r="Z10">
        <f t="shared" si="3"/>
        <v>0.5</v>
      </c>
      <c r="AA10">
        <v>3</v>
      </c>
      <c r="AB10" s="3">
        <v>137758</v>
      </c>
      <c r="AC10" s="3">
        <v>290883000</v>
      </c>
      <c r="AH10">
        <f t="shared" si="4"/>
        <v>0.5</v>
      </c>
      <c r="AI10">
        <v>3</v>
      </c>
      <c r="AJ10" s="3">
        <v>-745142</v>
      </c>
      <c r="AK10" s="3">
        <v>-1445900000</v>
      </c>
      <c r="AP10">
        <f t="shared" si="5"/>
        <v>0.5</v>
      </c>
      <c r="AQ10">
        <v>3</v>
      </c>
      <c r="AR10" s="3">
        <v>-40765400</v>
      </c>
      <c r="AS10" s="3">
        <v>-86989900000</v>
      </c>
      <c r="AX10">
        <f t="shared" si="6"/>
        <v>0.5</v>
      </c>
      <c r="AY10">
        <v>3</v>
      </c>
      <c r="AZ10" s="3">
        <v>-268106</v>
      </c>
      <c r="BA10" s="3">
        <v>-1044580000</v>
      </c>
    </row>
    <row r="11" spans="2:56" x14ac:dyDescent="0.2">
      <c r="B11">
        <f t="shared" si="0"/>
        <v>0.55000000000000004</v>
      </c>
      <c r="C11">
        <v>4</v>
      </c>
      <c r="D11" s="3">
        <v>-2830420</v>
      </c>
      <c r="E11" s="3">
        <v>-8342070000</v>
      </c>
      <c r="J11">
        <f t="shared" si="1"/>
        <v>0.55000000000000004</v>
      </c>
      <c r="K11">
        <v>4</v>
      </c>
      <c r="L11" s="3">
        <v>-3411670000</v>
      </c>
      <c r="M11" s="3">
        <v>-9008040000000</v>
      </c>
      <c r="R11">
        <f t="shared" si="2"/>
        <v>0.55000000000000004</v>
      </c>
      <c r="S11">
        <v>4</v>
      </c>
      <c r="T11" s="3">
        <v>-8337040</v>
      </c>
      <c r="U11" s="3">
        <v>-22672400000</v>
      </c>
      <c r="Z11">
        <f t="shared" si="3"/>
        <v>0.55000000000000004</v>
      </c>
      <c r="AA11">
        <v>4</v>
      </c>
      <c r="AB11">
        <v>75160.100000000006</v>
      </c>
      <c r="AC11" s="3">
        <v>178141000</v>
      </c>
      <c r="AH11">
        <f t="shared" si="4"/>
        <v>0.55000000000000004</v>
      </c>
      <c r="AI11">
        <v>4</v>
      </c>
      <c r="AJ11" s="3">
        <v>-425002</v>
      </c>
      <c r="AK11" s="3">
        <v>-941490000</v>
      </c>
      <c r="AP11">
        <f t="shared" si="5"/>
        <v>0.55000000000000004</v>
      </c>
      <c r="AQ11">
        <v>4</v>
      </c>
      <c r="AR11" s="3">
        <v>-22056700</v>
      </c>
      <c r="AS11" s="3">
        <v>-53175000000</v>
      </c>
      <c r="AX11">
        <f t="shared" si="6"/>
        <v>0.55000000000000004</v>
      </c>
      <c r="AY11">
        <v>4</v>
      </c>
      <c r="AZ11" s="3">
        <v>-78387.899999999994</v>
      </c>
      <c r="BA11" s="3">
        <v>-425756000</v>
      </c>
    </row>
    <row r="12" spans="2:56" x14ac:dyDescent="0.2">
      <c r="B12">
        <f t="shared" si="0"/>
        <v>0.60000000000000009</v>
      </c>
      <c r="C12">
        <v>5</v>
      </c>
      <c r="D12" s="3">
        <v>-1312110</v>
      </c>
      <c r="E12" s="3">
        <v>-4386860000</v>
      </c>
      <c r="J12">
        <f t="shared" si="1"/>
        <v>0.60000000000000009</v>
      </c>
      <c r="K12">
        <v>5</v>
      </c>
      <c r="L12" s="3">
        <v>-1718190000</v>
      </c>
      <c r="M12" s="3">
        <v>-5103430000000</v>
      </c>
      <c r="R12">
        <f t="shared" si="2"/>
        <v>0.60000000000000009</v>
      </c>
      <c r="S12">
        <v>5</v>
      </c>
      <c r="T12" s="3">
        <v>-4111110</v>
      </c>
      <c r="U12" s="3">
        <v>-12596400000</v>
      </c>
      <c r="Z12">
        <f t="shared" si="3"/>
        <v>0.60000000000000009</v>
      </c>
      <c r="AA12">
        <v>5</v>
      </c>
      <c r="AB12">
        <v>40771.800000000003</v>
      </c>
      <c r="AC12" s="3">
        <v>107228000</v>
      </c>
      <c r="AH12">
        <f t="shared" si="4"/>
        <v>0.60000000000000009</v>
      </c>
      <c r="AI12">
        <v>5</v>
      </c>
      <c r="AJ12" s="3">
        <v>-238730</v>
      </c>
      <c r="AK12" s="3">
        <v>-597407000</v>
      </c>
      <c r="AP12">
        <f t="shared" si="5"/>
        <v>0.60000000000000009</v>
      </c>
      <c r="AQ12">
        <v>5</v>
      </c>
      <c r="AR12" s="3">
        <v>-11811800</v>
      </c>
      <c r="AS12" s="3">
        <v>-31848400000</v>
      </c>
      <c r="AX12">
        <f t="shared" si="6"/>
        <v>0.60000000000000009</v>
      </c>
      <c r="AY12">
        <v>5</v>
      </c>
      <c r="AZ12" s="3">
        <v>-12050.9</v>
      </c>
      <c r="BA12" s="3">
        <v>-150351000</v>
      </c>
    </row>
    <row r="13" spans="2:56" x14ac:dyDescent="0.2">
      <c r="B13">
        <f t="shared" si="0"/>
        <v>0.65000000000000013</v>
      </c>
      <c r="C13">
        <v>6</v>
      </c>
      <c r="D13" s="3">
        <v>-593228</v>
      </c>
      <c r="E13" s="3">
        <v>-2237160000</v>
      </c>
      <c r="J13">
        <f t="shared" si="1"/>
        <v>0.65000000000000013</v>
      </c>
      <c r="K13">
        <v>6</v>
      </c>
      <c r="L13" s="3">
        <v>-851751000</v>
      </c>
      <c r="M13" s="3">
        <v>-2824540000000</v>
      </c>
      <c r="R13">
        <f t="shared" si="2"/>
        <v>0.65000000000000013</v>
      </c>
      <c r="S13">
        <v>6</v>
      </c>
      <c r="T13" s="3">
        <v>-1992000</v>
      </c>
      <c r="U13" s="3">
        <v>-6827410000</v>
      </c>
      <c r="Z13">
        <f t="shared" si="3"/>
        <v>0.65000000000000013</v>
      </c>
      <c r="AA13">
        <v>6</v>
      </c>
      <c r="AB13">
        <v>22010.799999999999</v>
      </c>
      <c r="AC13" s="3">
        <v>63591700</v>
      </c>
      <c r="AH13">
        <f t="shared" si="4"/>
        <v>0.65000000000000013</v>
      </c>
      <c r="AI13">
        <v>6</v>
      </c>
      <c r="AJ13" s="3">
        <v>-132054</v>
      </c>
      <c r="AK13" s="3">
        <v>-369982000</v>
      </c>
      <c r="AP13">
        <f t="shared" si="5"/>
        <v>0.65000000000000013</v>
      </c>
      <c r="AQ13">
        <v>6</v>
      </c>
      <c r="AR13" s="3">
        <v>-6259840</v>
      </c>
      <c r="AS13" s="3">
        <v>-18719100000</v>
      </c>
      <c r="AX13">
        <f t="shared" si="6"/>
        <v>0.65000000000000013</v>
      </c>
      <c r="AY13">
        <v>6</v>
      </c>
      <c r="AZ13" s="3">
        <v>7192.59</v>
      </c>
      <c r="BA13" s="3">
        <v>-37845100</v>
      </c>
    </row>
    <row r="14" spans="2:56" x14ac:dyDescent="0.2">
      <c r="B14">
        <f t="shared" si="0"/>
        <v>0.70000000000000018</v>
      </c>
      <c r="C14">
        <v>7</v>
      </c>
      <c r="D14" s="3">
        <v>-260721</v>
      </c>
      <c r="E14" s="3">
        <v>-1105130000</v>
      </c>
      <c r="J14">
        <f t="shared" si="1"/>
        <v>0.70000000000000018</v>
      </c>
      <c r="K14">
        <v>7</v>
      </c>
      <c r="L14" s="3">
        <v>-415230000</v>
      </c>
      <c r="M14" s="3">
        <v>-1527900000000</v>
      </c>
      <c r="R14">
        <f t="shared" si="2"/>
        <v>0.70000000000000018</v>
      </c>
      <c r="S14">
        <v>7</v>
      </c>
      <c r="T14" s="3">
        <v>-947147</v>
      </c>
      <c r="U14" s="3">
        <v>-3610880000</v>
      </c>
      <c r="Z14">
        <f t="shared" si="3"/>
        <v>0.70000000000000018</v>
      </c>
      <c r="AA14">
        <v>7</v>
      </c>
      <c r="AB14">
        <v>11838.7</v>
      </c>
      <c r="AC14" s="3">
        <v>37238000</v>
      </c>
      <c r="AH14">
        <f t="shared" si="4"/>
        <v>0.70000000000000018</v>
      </c>
      <c r="AI14">
        <v>7</v>
      </c>
      <c r="AJ14" s="3">
        <v>-71932.2</v>
      </c>
      <c r="AK14" s="3">
        <v>-223918000</v>
      </c>
      <c r="AP14">
        <f t="shared" si="5"/>
        <v>0.70000000000000018</v>
      </c>
      <c r="AQ14">
        <v>7</v>
      </c>
      <c r="AR14" s="3">
        <v>-3282860</v>
      </c>
      <c r="AS14" s="3">
        <v>-10809600000</v>
      </c>
      <c r="AX14">
        <f t="shared" si="6"/>
        <v>0.70000000000000018</v>
      </c>
      <c r="AY14">
        <v>7</v>
      </c>
      <c r="AZ14" s="3">
        <v>10125.799999999999</v>
      </c>
      <c r="BA14" s="3">
        <v>2367280</v>
      </c>
    </row>
    <row r="15" spans="2:56" x14ac:dyDescent="0.2">
      <c r="B15">
        <f t="shared" si="0"/>
        <v>0.75000000000000022</v>
      </c>
      <c r="C15">
        <v>8</v>
      </c>
      <c r="D15" s="3">
        <v>-110892</v>
      </c>
      <c r="E15" s="3">
        <v>-527682000</v>
      </c>
      <c r="J15">
        <f t="shared" si="1"/>
        <v>0.75000000000000022</v>
      </c>
      <c r="K15">
        <v>8</v>
      </c>
      <c r="L15" s="3">
        <v>-198864000</v>
      </c>
      <c r="M15" s="3">
        <v>-807873000000</v>
      </c>
      <c r="R15">
        <f t="shared" si="2"/>
        <v>0.75000000000000022</v>
      </c>
      <c r="S15">
        <v>8</v>
      </c>
      <c r="T15">
        <v>-441216</v>
      </c>
      <c r="U15" s="3">
        <v>-1862910000</v>
      </c>
      <c r="Z15">
        <f t="shared" si="3"/>
        <v>0.75000000000000022</v>
      </c>
      <c r="AA15">
        <v>8</v>
      </c>
      <c r="AB15">
        <v>6352.35</v>
      </c>
      <c r="AC15" s="3">
        <v>21575500</v>
      </c>
      <c r="AH15">
        <f t="shared" si="4"/>
        <v>0.75000000000000022</v>
      </c>
      <c r="AI15">
        <v>8</v>
      </c>
      <c r="AJ15" s="3">
        <v>-38586.5</v>
      </c>
      <c r="AK15" s="3">
        <v>-132579000</v>
      </c>
      <c r="AP15">
        <f t="shared" si="5"/>
        <v>0.75000000000000022</v>
      </c>
      <c r="AQ15">
        <v>8</v>
      </c>
      <c r="AR15" s="3">
        <v>-1703660</v>
      </c>
      <c r="AS15" s="3">
        <v>-6138440000</v>
      </c>
      <c r="AX15">
        <f t="shared" si="6"/>
        <v>0.75000000000000022</v>
      </c>
      <c r="AY15">
        <v>8</v>
      </c>
      <c r="AZ15" s="3">
        <v>8395.7000000000007</v>
      </c>
      <c r="BA15" s="3">
        <v>13079300</v>
      </c>
    </row>
    <row r="16" spans="2:56" x14ac:dyDescent="0.2">
      <c r="B16">
        <f t="shared" si="0"/>
        <v>0.80000000000000027</v>
      </c>
      <c r="C16">
        <v>9</v>
      </c>
      <c r="D16" s="3">
        <v>-45353.7</v>
      </c>
      <c r="E16" s="3">
        <v>-242712000</v>
      </c>
      <c r="J16">
        <f t="shared" si="1"/>
        <v>0.80000000000000027</v>
      </c>
      <c r="K16">
        <v>9</v>
      </c>
      <c r="L16" s="3">
        <v>-93457900</v>
      </c>
      <c r="M16" s="3">
        <v>-417436000000</v>
      </c>
      <c r="R16">
        <f t="shared" si="2"/>
        <v>0.80000000000000027</v>
      </c>
      <c r="S16">
        <v>9</v>
      </c>
      <c r="T16">
        <v>-200971</v>
      </c>
      <c r="U16" s="3">
        <v>-936852000</v>
      </c>
      <c r="Z16">
        <f t="shared" si="3"/>
        <v>0.80000000000000027</v>
      </c>
      <c r="AA16">
        <v>9</v>
      </c>
      <c r="AB16">
        <v>3405.55</v>
      </c>
      <c r="AC16" s="3">
        <v>12394000</v>
      </c>
      <c r="AH16">
        <f t="shared" si="4"/>
        <v>0.80000000000000027</v>
      </c>
      <c r="AI16">
        <v>9</v>
      </c>
      <c r="AJ16" s="3">
        <v>-20383</v>
      </c>
      <c r="AK16" s="3">
        <v>-76878100</v>
      </c>
      <c r="AP16">
        <f t="shared" si="5"/>
        <v>0.80000000000000027</v>
      </c>
      <c r="AQ16">
        <v>9</v>
      </c>
      <c r="AR16" s="3">
        <v>-874957</v>
      </c>
      <c r="AS16" s="3">
        <v>-3430600000</v>
      </c>
      <c r="AX16">
        <f t="shared" si="6"/>
        <v>0.80000000000000027</v>
      </c>
      <c r="AY16">
        <v>9</v>
      </c>
      <c r="AZ16">
        <v>5986.58</v>
      </c>
      <c r="BA16" s="3">
        <v>13198400</v>
      </c>
    </row>
    <row r="17" spans="2:53" x14ac:dyDescent="0.2">
      <c r="B17">
        <f t="shared" si="0"/>
        <v>0.85000000000000031</v>
      </c>
      <c r="C17">
        <v>10</v>
      </c>
      <c r="D17" s="3">
        <v>-17660.2</v>
      </c>
      <c r="E17" s="3">
        <v>-106968000</v>
      </c>
      <c r="J17">
        <f t="shared" si="1"/>
        <v>0.85000000000000031</v>
      </c>
      <c r="K17">
        <v>10</v>
      </c>
      <c r="L17" s="3">
        <v>-43043600</v>
      </c>
      <c r="M17" s="3">
        <v>-210674000000</v>
      </c>
      <c r="R17">
        <f t="shared" si="2"/>
        <v>0.85000000000000031</v>
      </c>
      <c r="S17">
        <v>10</v>
      </c>
      <c r="T17">
        <v>-89283.4</v>
      </c>
      <c r="U17" s="3">
        <v>-458677000</v>
      </c>
      <c r="Z17">
        <f t="shared" si="3"/>
        <v>0.85000000000000031</v>
      </c>
      <c r="AA17">
        <v>10</v>
      </c>
      <c r="AB17">
        <v>1827.27</v>
      </c>
      <c r="AC17" s="3">
        <v>7073520</v>
      </c>
      <c r="AH17">
        <f t="shared" si="4"/>
        <v>0.85000000000000031</v>
      </c>
      <c r="AI17">
        <v>10</v>
      </c>
      <c r="AJ17" s="3">
        <v>-10598.9</v>
      </c>
      <c r="AK17" s="3">
        <v>-43707900</v>
      </c>
      <c r="AP17">
        <f t="shared" si="5"/>
        <v>0.85000000000000031</v>
      </c>
      <c r="AQ17">
        <v>10</v>
      </c>
      <c r="AR17" s="3">
        <v>-444780</v>
      </c>
      <c r="AS17" s="3">
        <v>-1888190000</v>
      </c>
      <c r="AX17">
        <f t="shared" si="6"/>
        <v>0.85000000000000031</v>
      </c>
      <c r="AY17">
        <v>10</v>
      </c>
      <c r="AZ17">
        <v>4013.32</v>
      </c>
      <c r="BA17" s="3">
        <v>10410800</v>
      </c>
    </row>
    <row r="18" spans="2:53" x14ac:dyDescent="0.2">
      <c r="B18">
        <f t="shared" si="0"/>
        <v>0.90000000000000036</v>
      </c>
      <c r="C18">
        <v>11</v>
      </c>
      <c r="D18" s="3">
        <v>-6435.88</v>
      </c>
      <c r="E18" s="3">
        <v>-44786300</v>
      </c>
      <c r="J18">
        <f t="shared" si="1"/>
        <v>0.90000000000000036</v>
      </c>
      <c r="K18">
        <v>11</v>
      </c>
      <c r="L18" s="3">
        <v>-19399800</v>
      </c>
      <c r="M18" s="3">
        <v>-103768000000</v>
      </c>
      <c r="R18">
        <f t="shared" si="2"/>
        <v>0.90000000000000036</v>
      </c>
      <c r="S18">
        <v>11</v>
      </c>
      <c r="T18">
        <v>-38556.5</v>
      </c>
      <c r="U18" s="3">
        <v>-218224000</v>
      </c>
      <c r="Z18">
        <f t="shared" si="3"/>
        <v>0.90000000000000036</v>
      </c>
      <c r="AA18">
        <v>11</v>
      </c>
      <c r="AB18">
        <v>983.10400000000004</v>
      </c>
      <c r="AC18" s="3">
        <v>4019290</v>
      </c>
      <c r="AH18">
        <f t="shared" si="4"/>
        <v>0.90000000000000036</v>
      </c>
      <c r="AI18">
        <v>11</v>
      </c>
      <c r="AJ18" s="3">
        <v>-5418.34</v>
      </c>
      <c r="AK18" s="3">
        <v>-24392300</v>
      </c>
      <c r="AP18">
        <f t="shared" si="5"/>
        <v>0.90000000000000036</v>
      </c>
      <c r="AQ18">
        <v>11</v>
      </c>
      <c r="AR18" s="3">
        <v>-223867</v>
      </c>
      <c r="AS18" s="3">
        <v>-1024180000</v>
      </c>
      <c r="AX18">
        <f t="shared" si="6"/>
        <v>0.90000000000000036</v>
      </c>
      <c r="AY18">
        <v>11</v>
      </c>
      <c r="AZ18">
        <v>2623.98</v>
      </c>
      <c r="BA18" s="3">
        <v>7473940</v>
      </c>
    </row>
    <row r="19" spans="2:53" x14ac:dyDescent="0.2">
      <c r="B19">
        <f t="shared" si="0"/>
        <v>0.9500000000000004</v>
      </c>
      <c r="C19">
        <v>12</v>
      </c>
      <c r="D19" s="3">
        <v>-2120.83</v>
      </c>
      <c r="E19" s="3">
        <v>-17553900</v>
      </c>
      <c r="J19">
        <f t="shared" si="1"/>
        <v>0.9500000000000004</v>
      </c>
      <c r="K19">
        <v>12</v>
      </c>
      <c r="L19" s="3">
        <v>-8541880</v>
      </c>
      <c r="M19" s="3">
        <v>-49828800000</v>
      </c>
      <c r="R19">
        <f t="shared" si="2"/>
        <v>0.9500000000000004</v>
      </c>
      <c r="S19">
        <v>12</v>
      </c>
      <c r="T19">
        <v>-16107.3</v>
      </c>
      <c r="U19" s="3">
        <v>-100625000</v>
      </c>
      <c r="Z19">
        <f t="shared" si="3"/>
        <v>0.9500000000000004</v>
      </c>
      <c r="AA19">
        <v>12</v>
      </c>
      <c r="AB19">
        <v>531.471</v>
      </c>
      <c r="AC19" s="3">
        <v>2278710</v>
      </c>
      <c r="AH19">
        <f t="shared" si="4"/>
        <v>0.9500000000000004</v>
      </c>
      <c r="AI19">
        <v>12</v>
      </c>
      <c r="AJ19">
        <v>-2714.34</v>
      </c>
      <c r="AK19" s="3">
        <v>-13376800</v>
      </c>
      <c r="AP19">
        <f t="shared" si="5"/>
        <v>0.9500000000000004</v>
      </c>
      <c r="AQ19">
        <v>12</v>
      </c>
      <c r="AR19" s="3">
        <v>-111613</v>
      </c>
      <c r="AS19" s="3">
        <v>-547866000</v>
      </c>
      <c r="AX19">
        <f t="shared" si="6"/>
        <v>0.9500000000000004</v>
      </c>
      <c r="AY19">
        <v>12</v>
      </c>
      <c r="AZ19">
        <v>1703.95</v>
      </c>
      <c r="BA19" s="3">
        <v>5152990</v>
      </c>
    </row>
    <row r="20" spans="2:53" x14ac:dyDescent="0.2">
      <c r="B20">
        <f t="shared" si="0"/>
        <v>1.0000000000000004</v>
      </c>
      <c r="C20">
        <v>13</v>
      </c>
      <c r="D20" s="3">
        <v>-578.00199999999995</v>
      </c>
      <c r="E20" s="3">
        <v>-6258810</v>
      </c>
      <c r="J20">
        <f t="shared" si="1"/>
        <v>1.0000000000000004</v>
      </c>
      <c r="K20">
        <v>13</v>
      </c>
      <c r="L20" s="3">
        <v>-3667210</v>
      </c>
      <c r="M20" s="3">
        <v>-23295500000</v>
      </c>
      <c r="R20">
        <f t="shared" si="2"/>
        <v>1.0000000000000004</v>
      </c>
      <c r="S20">
        <v>13</v>
      </c>
      <c r="T20">
        <v>-6460.91</v>
      </c>
      <c r="U20" s="3">
        <v>-44795800</v>
      </c>
      <c r="Z20">
        <f t="shared" si="3"/>
        <v>1.0000000000000004</v>
      </c>
      <c r="AA20">
        <v>13</v>
      </c>
      <c r="AB20">
        <v>289.35199999999998</v>
      </c>
      <c r="AC20" s="3">
        <v>1291860</v>
      </c>
      <c r="AH20">
        <f t="shared" si="4"/>
        <v>1.0000000000000004</v>
      </c>
      <c r="AI20">
        <v>13</v>
      </c>
      <c r="AJ20">
        <v>-1322.39</v>
      </c>
      <c r="AK20" s="3">
        <v>-7213150</v>
      </c>
      <c r="AP20">
        <f t="shared" si="5"/>
        <v>1.0000000000000004</v>
      </c>
      <c r="AQ20">
        <v>13</v>
      </c>
      <c r="AR20" s="3">
        <v>-55154.8</v>
      </c>
      <c r="AS20" s="3">
        <v>-289254000</v>
      </c>
      <c r="AX20">
        <f t="shared" si="6"/>
        <v>1.0000000000000004</v>
      </c>
      <c r="AY20">
        <v>13</v>
      </c>
      <c r="AZ20">
        <v>1108.8900000000001</v>
      </c>
      <c r="BA20" s="3">
        <v>3502190</v>
      </c>
    </row>
    <row r="21" spans="2:53" x14ac:dyDescent="0.2">
      <c r="B21">
        <f t="shared" si="0"/>
        <v>1.0500000000000005</v>
      </c>
      <c r="C21">
        <v>14</v>
      </c>
      <c r="D21" s="3">
        <v>-85.507199999999997</v>
      </c>
      <c r="E21" s="3">
        <v>-1894290</v>
      </c>
      <c r="J21">
        <f t="shared" si="1"/>
        <v>1.0500000000000005</v>
      </c>
      <c r="K21">
        <v>14</v>
      </c>
      <c r="L21" s="3">
        <v>-1531650</v>
      </c>
      <c r="M21" s="3">
        <v>-10585100000</v>
      </c>
      <c r="R21">
        <f t="shared" si="2"/>
        <v>1.0500000000000005</v>
      </c>
      <c r="S21">
        <v>14</v>
      </c>
      <c r="T21">
        <v>-2456.09</v>
      </c>
      <c r="U21" s="3">
        <v>-19140100</v>
      </c>
      <c r="Z21">
        <f t="shared" si="3"/>
        <v>1.0500000000000005</v>
      </c>
      <c r="AA21">
        <v>14</v>
      </c>
      <c r="AB21">
        <v>159.03899999999999</v>
      </c>
      <c r="AC21">
        <v>734078</v>
      </c>
      <c r="AH21">
        <f t="shared" si="4"/>
        <v>1.0500000000000005</v>
      </c>
      <c r="AI21">
        <v>14</v>
      </c>
      <c r="AJ21">
        <v>-615.83100000000002</v>
      </c>
      <c r="AK21" s="3">
        <v>-3822130</v>
      </c>
      <c r="AP21">
        <f t="shared" si="5"/>
        <v>1.0500000000000005</v>
      </c>
      <c r="AQ21">
        <v>14</v>
      </c>
      <c r="AR21" s="3">
        <v>-27034.6</v>
      </c>
      <c r="AS21" s="3">
        <v>-150863000</v>
      </c>
      <c r="AX21">
        <f t="shared" si="6"/>
        <v>1.0500000000000005</v>
      </c>
      <c r="AY21">
        <v>14</v>
      </c>
      <c r="AZ21">
        <v>725.66300000000001</v>
      </c>
      <c r="BA21" s="3">
        <v>2378610</v>
      </c>
    </row>
    <row r="22" spans="2:53" x14ac:dyDescent="0.2">
      <c r="B22">
        <f t="shared" si="0"/>
        <v>1.1000000000000005</v>
      </c>
      <c r="C22">
        <v>15</v>
      </c>
      <c r="D22" s="3">
        <v>39.7639</v>
      </c>
      <c r="E22" s="3">
        <v>-373726</v>
      </c>
      <c r="J22">
        <f t="shared" si="1"/>
        <v>1.1000000000000005</v>
      </c>
      <c r="K22">
        <v>15</v>
      </c>
      <c r="L22">
        <v>-620658</v>
      </c>
      <c r="M22" s="3">
        <v>-4664890000</v>
      </c>
      <c r="R22">
        <f t="shared" si="2"/>
        <v>1.1000000000000005</v>
      </c>
      <c r="S22">
        <v>15</v>
      </c>
      <c r="T22">
        <v>-861.72500000000002</v>
      </c>
      <c r="U22" s="3">
        <v>-7773750</v>
      </c>
      <c r="Z22">
        <f t="shared" si="3"/>
        <v>1.1000000000000005</v>
      </c>
      <c r="AA22">
        <v>15</v>
      </c>
      <c r="AB22">
        <v>88.474800000000002</v>
      </c>
      <c r="AC22">
        <v>419150</v>
      </c>
      <c r="AH22">
        <f t="shared" si="4"/>
        <v>1.1000000000000005</v>
      </c>
      <c r="AI22">
        <v>15</v>
      </c>
      <c r="AJ22">
        <v>-262.87299999999999</v>
      </c>
      <c r="AK22" s="3">
        <v>-1983380</v>
      </c>
      <c r="AP22">
        <f t="shared" si="5"/>
        <v>1.1000000000000005</v>
      </c>
      <c r="AQ22">
        <v>15</v>
      </c>
      <c r="AR22">
        <v>-13155.7</v>
      </c>
      <c r="AS22" s="3">
        <v>-77811300</v>
      </c>
      <c r="AX22">
        <f t="shared" si="6"/>
        <v>1.1000000000000005</v>
      </c>
      <c r="AY22">
        <v>15</v>
      </c>
      <c r="AZ22">
        <v>477.54599999999999</v>
      </c>
      <c r="BA22" s="3">
        <v>1624330</v>
      </c>
    </row>
    <row r="23" spans="2:53" x14ac:dyDescent="0.2">
      <c r="B23">
        <f t="shared" si="0"/>
        <v>1.1500000000000006</v>
      </c>
      <c r="C23">
        <v>16</v>
      </c>
      <c r="D23" s="3">
        <v>52.335299999999997</v>
      </c>
      <c r="E23" s="3">
        <v>66122.100000000006</v>
      </c>
      <c r="J23">
        <f t="shared" si="1"/>
        <v>1.1500000000000006</v>
      </c>
      <c r="K23">
        <v>16</v>
      </c>
      <c r="L23">
        <v>-243222</v>
      </c>
      <c r="M23" s="3">
        <v>-1988750000</v>
      </c>
      <c r="R23">
        <f t="shared" si="2"/>
        <v>1.1500000000000006</v>
      </c>
      <c r="S23">
        <v>16</v>
      </c>
      <c r="T23">
        <v>-260.70999999999998</v>
      </c>
      <c r="U23" s="3">
        <v>-2948250</v>
      </c>
      <c r="Z23">
        <f t="shared" si="3"/>
        <v>1.1500000000000006</v>
      </c>
      <c r="AA23">
        <v>16</v>
      </c>
      <c r="AB23">
        <v>49.9375</v>
      </c>
      <c r="AC23">
        <v>241208</v>
      </c>
      <c r="AH23">
        <f t="shared" si="4"/>
        <v>1.1500000000000006</v>
      </c>
      <c r="AI23">
        <v>16</v>
      </c>
      <c r="AJ23">
        <v>-90.375699999999995</v>
      </c>
      <c r="AK23" s="3">
        <v>-998537</v>
      </c>
      <c r="AP23">
        <f t="shared" si="5"/>
        <v>1.1500000000000006</v>
      </c>
      <c r="AQ23">
        <v>16</v>
      </c>
      <c r="AR23">
        <v>-6361.9</v>
      </c>
      <c r="AS23" s="3">
        <v>-39735600</v>
      </c>
      <c r="AX23">
        <f t="shared" si="6"/>
        <v>1.1500000000000006</v>
      </c>
      <c r="AY23">
        <v>16</v>
      </c>
      <c r="AZ23">
        <v>315.50799999999998</v>
      </c>
      <c r="BA23" s="3">
        <v>1116400</v>
      </c>
    </row>
    <row r="24" spans="2:53" x14ac:dyDescent="0.2">
      <c r="B24">
        <f t="shared" si="0"/>
        <v>1.2000000000000006</v>
      </c>
      <c r="C24">
        <v>17</v>
      </c>
      <c r="D24" s="3">
        <v>38.845700000000001</v>
      </c>
      <c r="E24" s="3">
        <v>140092</v>
      </c>
      <c r="J24">
        <f t="shared" si="1"/>
        <v>1.2000000000000006</v>
      </c>
      <c r="K24">
        <v>17</v>
      </c>
      <c r="L24">
        <v>-91802</v>
      </c>
      <c r="M24" s="3">
        <v>-817549000</v>
      </c>
      <c r="R24">
        <f t="shared" si="2"/>
        <v>1.2000000000000006</v>
      </c>
      <c r="S24">
        <v>17</v>
      </c>
      <c r="T24">
        <v>-51.41</v>
      </c>
      <c r="U24" s="3">
        <v>-1004220</v>
      </c>
      <c r="Z24">
        <f t="shared" si="3"/>
        <v>1.2000000000000006</v>
      </c>
      <c r="AA24">
        <v>17</v>
      </c>
      <c r="AB24">
        <v>28.645199999999999</v>
      </c>
      <c r="AC24">
        <v>140422</v>
      </c>
      <c r="AH24">
        <f t="shared" si="4"/>
        <v>1.2000000000000006</v>
      </c>
      <c r="AI24">
        <v>17</v>
      </c>
      <c r="AJ24">
        <v>-9.0757999999999992</v>
      </c>
      <c r="AK24" s="3">
        <v>-476864</v>
      </c>
      <c r="AP24">
        <f t="shared" si="5"/>
        <v>1.2000000000000006</v>
      </c>
      <c r="AQ24">
        <v>17</v>
      </c>
      <c r="AR24">
        <v>-3060.07</v>
      </c>
      <c r="AS24" s="3">
        <v>-20117700</v>
      </c>
      <c r="AX24">
        <f t="shared" si="6"/>
        <v>1.2000000000000006</v>
      </c>
      <c r="AY24">
        <v>17</v>
      </c>
      <c r="AZ24">
        <v>208.863</v>
      </c>
      <c r="BA24" s="3">
        <v>770479</v>
      </c>
    </row>
    <row r="25" spans="2:53" x14ac:dyDescent="0.2">
      <c r="B25">
        <f t="shared" si="0"/>
        <v>1.2500000000000007</v>
      </c>
      <c r="C25">
        <v>18</v>
      </c>
      <c r="D25" s="3">
        <v>24.572800000000001</v>
      </c>
      <c r="E25" s="3">
        <v>114598</v>
      </c>
      <c r="J25">
        <f t="shared" si="1"/>
        <v>1.2500000000000007</v>
      </c>
      <c r="K25">
        <v>18</v>
      </c>
      <c r="L25">
        <v>-33200.1</v>
      </c>
      <c r="M25" s="3">
        <v>-322756000</v>
      </c>
      <c r="R25">
        <f t="shared" si="2"/>
        <v>1.2500000000000007</v>
      </c>
      <c r="S25">
        <v>18</v>
      </c>
      <c r="T25">
        <v>12.015700000000001</v>
      </c>
      <c r="U25">
        <v>-273827</v>
      </c>
      <c r="Z25">
        <f t="shared" si="3"/>
        <v>1.2500000000000007</v>
      </c>
      <c r="AA25">
        <v>18</v>
      </c>
      <c r="AB25">
        <v>16.695</v>
      </c>
      <c r="AC25">
        <v>83107.8</v>
      </c>
      <c r="AH25">
        <f t="shared" si="4"/>
        <v>1.2500000000000007</v>
      </c>
      <c r="AI25">
        <v>18</v>
      </c>
      <c r="AJ25">
        <v>26.625499999999999</v>
      </c>
      <c r="AK25" s="3">
        <v>-203881</v>
      </c>
      <c r="AP25">
        <f t="shared" si="5"/>
        <v>1.2500000000000007</v>
      </c>
      <c r="AQ25">
        <v>18</v>
      </c>
      <c r="AR25">
        <v>-1464.96</v>
      </c>
      <c r="AS25" s="3">
        <v>-10112500</v>
      </c>
      <c r="AX25">
        <f t="shared" si="6"/>
        <v>1.2500000000000007</v>
      </c>
      <c r="AY25">
        <v>18</v>
      </c>
      <c r="AZ25">
        <v>138.36699999999999</v>
      </c>
      <c r="BA25" s="3">
        <v>531874</v>
      </c>
    </row>
    <row r="26" spans="2:53" x14ac:dyDescent="0.2">
      <c r="B26">
        <f t="shared" si="0"/>
        <v>1.3000000000000007</v>
      </c>
      <c r="C26">
        <v>19</v>
      </c>
      <c r="D26" s="3">
        <v>14.5679</v>
      </c>
      <c r="E26" s="3">
        <v>76740.800000000003</v>
      </c>
      <c r="J26">
        <f t="shared" si="1"/>
        <v>1.3000000000000007</v>
      </c>
      <c r="K26">
        <v>19</v>
      </c>
      <c r="L26">
        <v>-11422.5</v>
      </c>
      <c r="M26" s="3">
        <v>-121725000</v>
      </c>
      <c r="R26">
        <f t="shared" si="2"/>
        <v>1.3000000000000007</v>
      </c>
      <c r="S26">
        <v>19</v>
      </c>
      <c r="T26">
        <v>25.4133</v>
      </c>
      <c r="U26">
        <v>-27068.6</v>
      </c>
      <c r="Z26">
        <f t="shared" si="3"/>
        <v>1.3000000000000007</v>
      </c>
      <c r="AA26">
        <v>19</v>
      </c>
      <c r="AB26">
        <v>9.8445699999999992</v>
      </c>
      <c r="AC26">
        <v>50330.9</v>
      </c>
      <c r="AH26">
        <f t="shared" si="4"/>
        <v>1.3000000000000007</v>
      </c>
      <c r="AI26">
        <v>19</v>
      </c>
      <c r="AJ26">
        <v>39.872500000000002</v>
      </c>
      <c r="AK26" s="3">
        <v>-63556.4</v>
      </c>
      <c r="AP26">
        <f t="shared" si="5"/>
        <v>1.3000000000000007</v>
      </c>
      <c r="AQ26">
        <v>19</v>
      </c>
      <c r="AR26">
        <v>-697.99300000000005</v>
      </c>
      <c r="AS26" s="3">
        <v>-5053870</v>
      </c>
      <c r="AX26">
        <f t="shared" si="6"/>
        <v>1.3000000000000007</v>
      </c>
      <c r="AY26">
        <v>19</v>
      </c>
      <c r="AZ26">
        <v>91.761399999999995</v>
      </c>
      <c r="BA26">
        <v>365724</v>
      </c>
    </row>
    <row r="27" spans="2:53" x14ac:dyDescent="0.2">
      <c r="B27">
        <f t="shared" si="0"/>
        <v>1.3500000000000008</v>
      </c>
      <c r="C27">
        <v>20</v>
      </c>
      <c r="D27" s="3">
        <v>8.3582199999999993</v>
      </c>
      <c r="E27" s="3">
        <v>48281.599999999999</v>
      </c>
      <c r="J27">
        <f t="shared" si="1"/>
        <v>1.3500000000000008</v>
      </c>
      <c r="K27">
        <v>20</v>
      </c>
      <c r="L27">
        <v>-3698.2</v>
      </c>
      <c r="M27" s="3">
        <v>-43547200</v>
      </c>
      <c r="R27">
        <f t="shared" si="2"/>
        <v>1.3500000000000008</v>
      </c>
      <c r="S27">
        <v>20</v>
      </c>
      <c r="T27">
        <v>23.9207</v>
      </c>
      <c r="U27">
        <v>40732.1</v>
      </c>
      <c r="Z27">
        <f t="shared" si="3"/>
        <v>1.3500000000000008</v>
      </c>
      <c r="AA27">
        <v>20</v>
      </c>
      <c r="AB27">
        <v>5.8048799999999998</v>
      </c>
      <c r="AC27">
        <v>31443.3</v>
      </c>
      <c r="AH27">
        <f t="shared" si="4"/>
        <v>1.3500000000000008</v>
      </c>
      <c r="AI27">
        <v>20</v>
      </c>
      <c r="AJ27">
        <v>42.358800000000002</v>
      </c>
      <c r="AK27" s="3">
        <v>6311.73</v>
      </c>
      <c r="AP27">
        <f t="shared" si="5"/>
        <v>1.3500000000000008</v>
      </c>
      <c r="AQ27">
        <v>20</v>
      </c>
      <c r="AR27">
        <v>-330.54700000000003</v>
      </c>
      <c r="AS27" s="3">
        <v>-2513900</v>
      </c>
      <c r="AX27">
        <f t="shared" si="6"/>
        <v>1.3500000000000008</v>
      </c>
      <c r="AY27">
        <v>20</v>
      </c>
      <c r="AZ27">
        <v>61.073099999999997</v>
      </c>
      <c r="BA27">
        <v>249585</v>
      </c>
    </row>
    <row r="28" spans="2:53" x14ac:dyDescent="0.2">
      <c r="B28">
        <f t="shared" si="0"/>
        <v>1.4000000000000008</v>
      </c>
      <c r="C28">
        <v>21</v>
      </c>
      <c r="D28" s="3">
        <v>4.6075900000000001</v>
      </c>
      <c r="E28" s="3">
        <v>30514.400000000001</v>
      </c>
      <c r="J28">
        <f t="shared" si="1"/>
        <v>1.4000000000000008</v>
      </c>
      <c r="K28">
        <v>21</v>
      </c>
      <c r="L28">
        <v>-1104.6199999999999</v>
      </c>
      <c r="M28" s="3">
        <v>-14629400</v>
      </c>
      <c r="R28">
        <f t="shared" si="2"/>
        <v>1.4000000000000008</v>
      </c>
      <c r="S28">
        <v>21</v>
      </c>
      <c r="T28">
        <v>19.318000000000001</v>
      </c>
      <c r="U28">
        <v>49401.2</v>
      </c>
      <c r="Z28">
        <f t="shared" si="3"/>
        <v>1.4000000000000008</v>
      </c>
      <c r="AA28">
        <v>21</v>
      </c>
      <c r="AB28">
        <v>3.3333300000000001</v>
      </c>
      <c r="AC28">
        <v>20445.599999999999</v>
      </c>
      <c r="AH28">
        <f t="shared" si="4"/>
        <v>1.4000000000000008</v>
      </c>
      <c r="AI28">
        <v>21</v>
      </c>
      <c r="AJ28">
        <v>39.9617</v>
      </c>
      <c r="AK28" s="3">
        <v>38946.6</v>
      </c>
      <c r="AP28">
        <f t="shared" si="5"/>
        <v>1.4000000000000008</v>
      </c>
      <c r="AQ28">
        <v>21</v>
      </c>
      <c r="AR28">
        <v>-155.01499999999999</v>
      </c>
      <c r="AS28" s="3">
        <v>-1245130</v>
      </c>
      <c r="AX28">
        <f t="shared" si="6"/>
        <v>1.4000000000000008</v>
      </c>
      <c r="AY28">
        <v>21</v>
      </c>
      <c r="AZ28">
        <v>41.013800000000003</v>
      </c>
      <c r="BA28">
        <v>168585</v>
      </c>
    </row>
    <row r="29" spans="2:53" x14ac:dyDescent="0.2">
      <c r="B29">
        <f t="shared" si="0"/>
        <v>1.4500000000000008</v>
      </c>
      <c r="C29">
        <v>22</v>
      </c>
      <c r="D29" s="3">
        <v>2.2807200000000001</v>
      </c>
      <c r="E29" s="3">
        <v>20187.599999999999</v>
      </c>
      <c r="J29">
        <f t="shared" si="1"/>
        <v>1.4500000000000008</v>
      </c>
      <c r="K29">
        <v>22</v>
      </c>
      <c r="L29">
        <v>-290.21800000000002</v>
      </c>
      <c r="M29" s="3">
        <v>-4540810</v>
      </c>
      <c r="R29">
        <f t="shared" si="2"/>
        <v>1.4500000000000008</v>
      </c>
      <c r="S29">
        <v>22</v>
      </c>
      <c r="T29">
        <v>14.9826</v>
      </c>
      <c r="U29">
        <v>42415.1</v>
      </c>
      <c r="Z29">
        <f t="shared" si="3"/>
        <v>1.4500000000000008</v>
      </c>
      <c r="AA29">
        <v>22</v>
      </c>
      <c r="AB29">
        <v>1.75085</v>
      </c>
      <c r="AC29">
        <v>13948</v>
      </c>
      <c r="AH29">
        <f t="shared" si="4"/>
        <v>1.4500000000000008</v>
      </c>
      <c r="AI29">
        <v>22</v>
      </c>
      <c r="AJ29">
        <v>35.606000000000002</v>
      </c>
      <c r="AK29">
        <v>52097</v>
      </c>
      <c r="AP29">
        <f t="shared" si="5"/>
        <v>1.4500000000000008</v>
      </c>
      <c r="AQ29">
        <v>22</v>
      </c>
      <c r="AR29">
        <v>-71.420400000000001</v>
      </c>
      <c r="AS29" s="3">
        <v>-613522</v>
      </c>
      <c r="AX29">
        <f t="shared" si="6"/>
        <v>1.4500000000000008</v>
      </c>
      <c r="AY29">
        <v>22</v>
      </c>
      <c r="AZ29">
        <v>28.029499999999999</v>
      </c>
      <c r="BA29">
        <v>112503</v>
      </c>
    </row>
    <row r="30" spans="2:53" x14ac:dyDescent="0.2">
      <c r="B30">
        <f t="shared" si="0"/>
        <v>1.5000000000000009</v>
      </c>
      <c r="C30">
        <v>23</v>
      </c>
      <c r="D30" s="3">
        <v>0.75153199999999998</v>
      </c>
      <c r="E30" s="3">
        <v>14232.9</v>
      </c>
      <c r="J30">
        <f t="shared" si="1"/>
        <v>1.5000000000000009</v>
      </c>
      <c r="K30">
        <v>23</v>
      </c>
      <c r="L30">
        <v>-56.004800000000003</v>
      </c>
      <c r="M30" s="3">
        <v>-1261480</v>
      </c>
      <c r="R30">
        <f t="shared" si="2"/>
        <v>1.5000000000000009</v>
      </c>
      <c r="S30">
        <v>23</v>
      </c>
      <c r="T30">
        <v>11.557600000000001</v>
      </c>
      <c r="U30">
        <v>33677.599999999999</v>
      </c>
      <c r="Z30">
        <f t="shared" si="3"/>
        <v>1.5000000000000009</v>
      </c>
      <c r="AA30">
        <v>23</v>
      </c>
      <c r="AB30">
        <v>0.68348699999999996</v>
      </c>
      <c r="AC30">
        <v>10029.1</v>
      </c>
      <c r="AH30">
        <f t="shared" si="4"/>
        <v>1.5000000000000009</v>
      </c>
      <c r="AI30">
        <v>23</v>
      </c>
      <c r="AJ30">
        <v>30.7163</v>
      </c>
      <c r="AK30">
        <v>55253.5</v>
      </c>
      <c r="AP30">
        <f t="shared" si="5"/>
        <v>1.5000000000000009</v>
      </c>
      <c r="AQ30">
        <v>23</v>
      </c>
      <c r="AR30">
        <v>-31.810099999999998</v>
      </c>
      <c r="AS30" s="3">
        <v>-299754</v>
      </c>
      <c r="AX30">
        <f t="shared" si="6"/>
        <v>1.5000000000000009</v>
      </c>
      <c r="AY30">
        <v>23</v>
      </c>
      <c r="AZ30">
        <v>19.7193</v>
      </c>
      <c r="BA30">
        <v>74095.3</v>
      </c>
    </row>
    <row r="31" spans="2:53" x14ac:dyDescent="0.2">
      <c r="B31">
        <f t="shared" si="0"/>
        <v>1.5500000000000009</v>
      </c>
      <c r="C31">
        <v>24</v>
      </c>
      <c r="D31" s="3">
        <v>-0.32057400000000003</v>
      </c>
      <c r="E31" s="3">
        <v>10645.9</v>
      </c>
      <c r="J31">
        <f t="shared" si="1"/>
        <v>1.5500000000000009</v>
      </c>
      <c r="K31">
        <v>24</v>
      </c>
      <c r="L31">
        <v>2.8870200000000001</v>
      </c>
      <c r="M31">
        <v>-287163</v>
      </c>
      <c r="R31">
        <f t="shared" si="2"/>
        <v>1.5500000000000009</v>
      </c>
      <c r="S31">
        <v>24</v>
      </c>
      <c r="T31">
        <v>8.9451599999999996</v>
      </c>
      <c r="U31">
        <v>26612.799999999999</v>
      </c>
      <c r="Z31">
        <f t="shared" si="3"/>
        <v>1.5500000000000009</v>
      </c>
      <c r="AA31">
        <v>24</v>
      </c>
      <c r="AB31">
        <v>-7.6582399999999995E-2</v>
      </c>
      <c r="AC31">
        <v>7596.75</v>
      </c>
      <c r="AH31">
        <f t="shared" si="4"/>
        <v>1.5500000000000009</v>
      </c>
      <c r="AI31">
        <v>24</v>
      </c>
      <c r="AJ31">
        <v>25.9572</v>
      </c>
      <c r="AK31">
        <v>53475.8</v>
      </c>
      <c r="AP31">
        <f t="shared" si="5"/>
        <v>1.5500000000000009</v>
      </c>
      <c r="AQ31">
        <v>24</v>
      </c>
      <c r="AR31">
        <v>-13.2296</v>
      </c>
      <c r="AS31">
        <v>-144116</v>
      </c>
      <c r="AX31">
        <f t="shared" si="6"/>
        <v>1.5500000000000009</v>
      </c>
      <c r="AY31">
        <v>24</v>
      </c>
      <c r="AZ31">
        <v>14.465199999999999</v>
      </c>
      <c r="BA31">
        <v>48135.7</v>
      </c>
    </row>
    <row r="32" spans="2:53" x14ac:dyDescent="0.2">
      <c r="B32">
        <f t="shared" si="0"/>
        <v>1.600000000000001</v>
      </c>
      <c r="C32">
        <v>25</v>
      </c>
      <c r="D32" s="3">
        <v>-1.1129199999999999</v>
      </c>
      <c r="E32" s="3">
        <v>8299.48</v>
      </c>
      <c r="J32">
        <f t="shared" si="1"/>
        <v>1.600000000000001</v>
      </c>
      <c r="K32">
        <v>25</v>
      </c>
      <c r="L32">
        <v>13.8895</v>
      </c>
      <c r="M32">
        <v>-31754.1</v>
      </c>
      <c r="R32">
        <f t="shared" si="2"/>
        <v>1.600000000000001</v>
      </c>
      <c r="S32">
        <v>25</v>
      </c>
      <c r="T32">
        <v>6.9320199999999996</v>
      </c>
      <c r="U32">
        <v>21433.1</v>
      </c>
      <c r="Z32">
        <f t="shared" si="3"/>
        <v>1.600000000000001</v>
      </c>
      <c r="AA32">
        <v>25</v>
      </c>
      <c r="AB32">
        <v>-0.64626899999999998</v>
      </c>
      <c r="AC32">
        <v>6029.05</v>
      </c>
      <c r="AH32">
        <f t="shared" si="4"/>
        <v>1.600000000000001</v>
      </c>
      <c r="AI32">
        <v>25</v>
      </c>
      <c r="AJ32">
        <v>21.611999999999998</v>
      </c>
      <c r="AK32">
        <v>49432.7</v>
      </c>
      <c r="AP32">
        <f t="shared" si="5"/>
        <v>1.600000000000001</v>
      </c>
      <c r="AQ32">
        <v>25</v>
      </c>
      <c r="AR32">
        <v>-4.6943900000000003</v>
      </c>
      <c r="AS32">
        <v>-67097.3</v>
      </c>
      <c r="AX32">
        <f t="shared" si="6"/>
        <v>1.600000000000001</v>
      </c>
      <c r="AY32">
        <v>25</v>
      </c>
      <c r="AZ32">
        <v>11.184799999999999</v>
      </c>
      <c r="BA32">
        <v>30845.5</v>
      </c>
    </row>
    <row r="33" spans="2:53" x14ac:dyDescent="0.2">
      <c r="B33">
        <f t="shared" si="0"/>
        <v>1.650000000000001</v>
      </c>
      <c r="C33">
        <v>26</v>
      </c>
      <c r="D33" s="3">
        <v>-1.7180800000000001</v>
      </c>
      <c r="E33" s="3">
        <v>6610.22</v>
      </c>
      <c r="J33">
        <f t="shared" si="1"/>
        <v>1.650000000000001</v>
      </c>
      <c r="K33">
        <v>26</v>
      </c>
      <c r="L33">
        <v>13.6686</v>
      </c>
      <c r="M33">
        <v>22341.8</v>
      </c>
      <c r="R33">
        <f t="shared" si="2"/>
        <v>1.650000000000001</v>
      </c>
      <c r="S33">
        <v>26</v>
      </c>
      <c r="T33">
        <v>5.3453099999999996</v>
      </c>
      <c r="U33">
        <v>17642.099999999999</v>
      </c>
      <c r="Z33">
        <f t="shared" si="3"/>
        <v>1.650000000000001</v>
      </c>
      <c r="AA33">
        <v>26</v>
      </c>
      <c r="AB33">
        <v>-1.0924799999999999</v>
      </c>
      <c r="AC33">
        <v>4971.82</v>
      </c>
      <c r="AH33">
        <f t="shared" si="4"/>
        <v>1.650000000000001</v>
      </c>
      <c r="AI33">
        <v>26</v>
      </c>
      <c r="AJ33">
        <v>17.777000000000001</v>
      </c>
      <c r="AK33">
        <v>44504</v>
      </c>
      <c r="AP33">
        <f t="shared" si="5"/>
        <v>1.650000000000001</v>
      </c>
      <c r="AQ33">
        <v>26</v>
      </c>
      <c r="AR33">
        <v>-0.94150599999999995</v>
      </c>
      <c r="AS33">
        <v>-29202.400000000001</v>
      </c>
      <c r="AX33">
        <f t="shared" si="6"/>
        <v>1.650000000000001</v>
      </c>
      <c r="AY33">
        <v>26</v>
      </c>
      <c r="AZ33">
        <v>9.1617999999999995</v>
      </c>
      <c r="BA33">
        <v>19512.400000000001</v>
      </c>
    </row>
    <row r="34" spans="2:53" x14ac:dyDescent="0.2">
      <c r="B34">
        <f t="shared" si="0"/>
        <v>1.7000000000000011</v>
      </c>
      <c r="C34">
        <v>27</v>
      </c>
      <c r="D34" s="3">
        <v>-2.18689</v>
      </c>
      <c r="E34" s="3">
        <v>5290.69</v>
      </c>
      <c r="J34">
        <f t="shared" si="1"/>
        <v>1.7000000000000011</v>
      </c>
      <c r="K34">
        <v>27</v>
      </c>
      <c r="L34">
        <v>11.5467</v>
      </c>
      <c r="M34">
        <v>28278.7</v>
      </c>
      <c r="R34">
        <f t="shared" si="2"/>
        <v>1.7000000000000011</v>
      </c>
      <c r="S34">
        <v>27</v>
      </c>
      <c r="T34">
        <v>4.0686600000000004</v>
      </c>
      <c r="U34">
        <v>14761.8</v>
      </c>
      <c r="Z34">
        <f t="shared" si="3"/>
        <v>1.7000000000000011</v>
      </c>
      <c r="AA34">
        <v>27</v>
      </c>
      <c r="AB34">
        <v>-1.45452</v>
      </c>
      <c r="AC34">
        <v>4223.8</v>
      </c>
      <c r="AH34">
        <f t="shared" si="4"/>
        <v>1.7000000000000011</v>
      </c>
      <c r="AI34">
        <v>27</v>
      </c>
      <c r="AJ34">
        <v>14.4603</v>
      </c>
      <c r="AK34">
        <v>39384.5</v>
      </c>
      <c r="AP34">
        <f t="shared" si="5"/>
        <v>1.7000000000000011</v>
      </c>
      <c r="AQ34">
        <v>27</v>
      </c>
      <c r="AR34">
        <v>0.55528900000000003</v>
      </c>
      <c r="AS34">
        <v>-10803</v>
      </c>
      <c r="AX34">
        <f t="shared" si="6"/>
        <v>1.7000000000000011</v>
      </c>
      <c r="AY34">
        <v>27</v>
      </c>
      <c r="AZ34">
        <v>7.9278199999999996</v>
      </c>
      <c r="BA34">
        <v>12215.3</v>
      </c>
    </row>
    <row r="35" spans="2:53" x14ac:dyDescent="0.2">
      <c r="B35">
        <f t="shared" si="0"/>
        <v>1.7500000000000011</v>
      </c>
      <c r="C35">
        <v>28</v>
      </c>
      <c r="D35" s="3">
        <v>-2.5499200000000002</v>
      </c>
      <c r="E35" s="3">
        <v>4202.66</v>
      </c>
      <c r="J35">
        <f t="shared" si="1"/>
        <v>1.7500000000000011</v>
      </c>
      <c r="K35">
        <v>28</v>
      </c>
      <c r="L35">
        <v>9.4672000000000001</v>
      </c>
      <c r="M35">
        <v>25581.1</v>
      </c>
      <c r="R35">
        <f t="shared" si="2"/>
        <v>1.7500000000000011</v>
      </c>
      <c r="S35">
        <v>28</v>
      </c>
      <c r="T35">
        <v>3.0270700000000001</v>
      </c>
      <c r="U35">
        <v>12467.9</v>
      </c>
      <c r="Z35">
        <f t="shared" si="3"/>
        <v>1.7500000000000011</v>
      </c>
      <c r="AA35">
        <v>28</v>
      </c>
      <c r="AB35">
        <v>-1.7563599999999999</v>
      </c>
      <c r="AC35">
        <v>3670.95</v>
      </c>
      <c r="AH35">
        <f t="shared" si="4"/>
        <v>1.7500000000000011</v>
      </c>
      <c r="AI35">
        <v>28</v>
      </c>
      <c r="AJ35">
        <v>11.631</v>
      </c>
      <c r="AK35">
        <v>34415.800000000003</v>
      </c>
      <c r="AP35">
        <f t="shared" si="5"/>
        <v>1.7500000000000011</v>
      </c>
      <c r="AQ35">
        <v>28</v>
      </c>
      <c r="AR35">
        <v>1.00989</v>
      </c>
      <c r="AS35">
        <v>-2119.56</v>
      </c>
      <c r="AX35">
        <f t="shared" si="6"/>
        <v>1.7500000000000011</v>
      </c>
      <c r="AY35">
        <v>28</v>
      </c>
      <c r="AZ35">
        <v>7.1804800000000002</v>
      </c>
      <c r="BA35">
        <v>7612.6</v>
      </c>
    </row>
    <row r="36" spans="2:53" x14ac:dyDescent="0.2">
      <c r="B36">
        <f t="shared" si="0"/>
        <v>1.8000000000000012</v>
      </c>
      <c r="C36">
        <v>29</v>
      </c>
      <c r="D36" s="3">
        <v>-2.8277800000000002</v>
      </c>
      <c r="E36" s="3">
        <v>3279.34</v>
      </c>
      <c r="J36">
        <f t="shared" si="1"/>
        <v>1.8000000000000012</v>
      </c>
      <c r="K36">
        <v>29</v>
      </c>
      <c r="L36">
        <v>7.6825999999999999</v>
      </c>
      <c r="M36">
        <v>22408.6</v>
      </c>
      <c r="R36">
        <f t="shared" si="2"/>
        <v>1.8000000000000012</v>
      </c>
      <c r="S36">
        <v>29</v>
      </c>
      <c r="T36">
        <v>2.17109</v>
      </c>
      <c r="U36">
        <v>10565.9</v>
      </c>
      <c r="Z36">
        <f t="shared" si="3"/>
        <v>1.8000000000000012</v>
      </c>
      <c r="AA36">
        <v>29</v>
      </c>
      <c r="AB36">
        <v>-2.0134099999999999</v>
      </c>
      <c r="AC36">
        <v>3248.79</v>
      </c>
      <c r="AH36">
        <f t="shared" si="4"/>
        <v>1.8000000000000012</v>
      </c>
      <c r="AI36">
        <v>29</v>
      </c>
      <c r="AJ36">
        <v>9.2427499999999991</v>
      </c>
      <c r="AK36">
        <v>29764.9</v>
      </c>
      <c r="AP36">
        <f t="shared" si="5"/>
        <v>1.8000000000000012</v>
      </c>
      <c r="AQ36">
        <v>29</v>
      </c>
      <c r="AR36">
        <v>1.00424</v>
      </c>
      <c r="AS36">
        <v>1741.64</v>
      </c>
      <c r="AX36">
        <f t="shared" si="6"/>
        <v>1.8000000000000012</v>
      </c>
      <c r="AY36">
        <v>29</v>
      </c>
      <c r="AZ36">
        <v>6.7273100000000001</v>
      </c>
      <c r="BA36">
        <v>4779.12</v>
      </c>
    </row>
    <row r="37" spans="2:53" x14ac:dyDescent="0.2">
      <c r="B37">
        <f t="shared" si="0"/>
        <v>1.8500000000000012</v>
      </c>
      <c r="C37">
        <v>30</v>
      </c>
      <c r="D37">
        <v>-3.0358499999999999</v>
      </c>
      <c r="E37" s="3">
        <v>2486.84</v>
      </c>
      <c r="J37">
        <f t="shared" si="1"/>
        <v>1.8500000000000012</v>
      </c>
      <c r="K37">
        <v>30</v>
      </c>
      <c r="L37">
        <v>6.1597600000000003</v>
      </c>
      <c r="M37">
        <v>19739.2</v>
      </c>
      <c r="R37">
        <f t="shared" si="2"/>
        <v>1.8500000000000012</v>
      </c>
      <c r="S37">
        <v>30</v>
      </c>
      <c r="T37">
        <v>1.4662999999999999</v>
      </c>
      <c r="U37">
        <v>8943.9500000000007</v>
      </c>
      <c r="Z37">
        <f t="shared" si="3"/>
        <v>1.8500000000000012</v>
      </c>
      <c r="AA37">
        <v>30</v>
      </c>
      <c r="AB37">
        <v>-2.2362199999999999</v>
      </c>
      <c r="AC37">
        <v>2920.49</v>
      </c>
      <c r="AH37">
        <f t="shared" si="4"/>
        <v>1.8500000000000012</v>
      </c>
      <c r="AI37">
        <v>30</v>
      </c>
      <c r="AJ37">
        <v>7.2442700000000002</v>
      </c>
      <c r="AK37">
        <v>25515.200000000001</v>
      </c>
      <c r="AP37">
        <f t="shared" si="5"/>
        <v>1.8500000000000012</v>
      </c>
      <c r="AQ37">
        <v>30</v>
      </c>
      <c r="AR37">
        <v>0.81461099999999997</v>
      </c>
      <c r="AS37">
        <v>3240.9</v>
      </c>
      <c r="AX37">
        <f t="shared" si="6"/>
        <v>1.8500000000000012</v>
      </c>
      <c r="AY37">
        <v>30</v>
      </c>
      <c r="AZ37">
        <v>6.4478799999999996</v>
      </c>
      <c r="BA37">
        <v>3084.34</v>
      </c>
    </row>
    <row r="38" spans="2:53" x14ac:dyDescent="0.2">
      <c r="B38">
        <f t="shared" si="0"/>
        <v>1.9000000000000012</v>
      </c>
      <c r="C38">
        <v>31</v>
      </c>
      <c r="D38">
        <v>-3.18642</v>
      </c>
      <c r="E38" s="3">
        <v>1805.65</v>
      </c>
      <c r="J38">
        <f t="shared" si="1"/>
        <v>1.9000000000000012</v>
      </c>
      <c r="K38">
        <v>31</v>
      </c>
      <c r="L38">
        <v>4.8530100000000003</v>
      </c>
      <c r="M38">
        <v>17424.099999999999</v>
      </c>
      <c r="R38">
        <f t="shared" si="2"/>
        <v>1.9000000000000012</v>
      </c>
      <c r="S38">
        <v>31</v>
      </c>
      <c r="T38">
        <v>0.88715699999999997</v>
      </c>
      <c r="U38">
        <v>7537.3</v>
      </c>
      <c r="Z38">
        <f t="shared" si="3"/>
        <v>1.9000000000000012</v>
      </c>
      <c r="AA38">
        <v>31</v>
      </c>
      <c r="AB38">
        <v>-2.4324300000000001</v>
      </c>
      <c r="AC38">
        <v>2664.27</v>
      </c>
      <c r="AH38">
        <f t="shared" si="4"/>
        <v>1.9000000000000012</v>
      </c>
      <c r="AI38">
        <v>31</v>
      </c>
      <c r="AJ38">
        <v>5.5843400000000001</v>
      </c>
      <c r="AK38">
        <v>21708.5</v>
      </c>
      <c r="AP38">
        <f t="shared" si="5"/>
        <v>1.9000000000000012</v>
      </c>
      <c r="AQ38">
        <v>31</v>
      </c>
      <c r="AR38">
        <v>0.56895799999999996</v>
      </c>
      <c r="AS38">
        <v>3618.82</v>
      </c>
      <c r="AX38">
        <f t="shared" si="6"/>
        <v>1.9000000000000012</v>
      </c>
      <c r="AY38">
        <v>31</v>
      </c>
      <c r="AZ38">
        <v>6.26837</v>
      </c>
      <c r="BA38">
        <v>2103.9299999999998</v>
      </c>
    </row>
    <row r="39" spans="2:53" x14ac:dyDescent="0.2">
      <c r="B39">
        <f t="shared" si="0"/>
        <v>1.9500000000000013</v>
      </c>
      <c r="C39">
        <v>32</v>
      </c>
      <c r="D39">
        <v>-3.2896999999999998</v>
      </c>
      <c r="E39" s="3">
        <v>1222.1400000000001</v>
      </c>
      <c r="J39">
        <f t="shared" si="1"/>
        <v>1.9500000000000013</v>
      </c>
      <c r="K39">
        <v>32</v>
      </c>
      <c r="L39">
        <v>3.7319</v>
      </c>
      <c r="M39">
        <v>15324.4</v>
      </c>
      <c r="R39">
        <f t="shared" si="2"/>
        <v>1.9500000000000013</v>
      </c>
      <c r="S39">
        <v>32</v>
      </c>
      <c r="T39">
        <v>0.41365299999999999</v>
      </c>
      <c r="U39">
        <v>6306.93</v>
      </c>
      <c r="Z39">
        <f t="shared" si="3"/>
        <v>1.9500000000000013</v>
      </c>
      <c r="AA39">
        <v>32</v>
      </c>
      <c r="AB39">
        <v>-2.60791</v>
      </c>
      <c r="AC39">
        <v>2466.1799999999998</v>
      </c>
      <c r="AH39">
        <f t="shared" si="4"/>
        <v>1.9500000000000013</v>
      </c>
      <c r="AI39">
        <v>32</v>
      </c>
      <c r="AJ39">
        <v>4.2138400000000003</v>
      </c>
      <c r="AK39">
        <v>18361.8</v>
      </c>
      <c r="AP39">
        <f t="shared" si="5"/>
        <v>1.9500000000000013</v>
      </c>
      <c r="AQ39">
        <v>32</v>
      </c>
      <c r="AR39">
        <v>0.32337100000000002</v>
      </c>
      <c r="AS39">
        <v>3499.49</v>
      </c>
      <c r="AX39">
        <f t="shared" si="6"/>
        <v>1.9500000000000013</v>
      </c>
      <c r="AY39">
        <v>32</v>
      </c>
      <c r="AZ39">
        <v>6.1447399999999996</v>
      </c>
      <c r="BA39">
        <v>1557.39</v>
      </c>
    </row>
    <row r="40" spans="2:53" x14ac:dyDescent="0.2">
      <c r="B40">
        <f t="shared" si="0"/>
        <v>2.0000000000000013</v>
      </c>
      <c r="C40">
        <v>33</v>
      </c>
      <c r="D40">
        <v>-3.3542800000000002</v>
      </c>
      <c r="E40" s="3">
        <v>724.84900000000005</v>
      </c>
      <c r="J40">
        <f t="shared" si="1"/>
        <v>2.0000000000000013</v>
      </c>
      <c r="K40">
        <v>33</v>
      </c>
      <c r="L40">
        <v>2.7744300000000002</v>
      </c>
      <c r="M40">
        <v>13389.5</v>
      </c>
      <c r="R40">
        <f t="shared" si="2"/>
        <v>2.0000000000000013</v>
      </c>
      <c r="S40">
        <v>33</v>
      </c>
      <c r="T40">
        <v>2.94325E-2</v>
      </c>
      <c r="U40">
        <v>5227.32</v>
      </c>
      <c r="Z40">
        <f t="shared" si="3"/>
        <v>2.0000000000000013</v>
      </c>
      <c r="AA40">
        <v>33</v>
      </c>
      <c r="AB40">
        <v>-2.7672500000000002</v>
      </c>
      <c r="AC40">
        <v>2316.08</v>
      </c>
      <c r="AH40">
        <f t="shared" si="4"/>
        <v>2.0000000000000013</v>
      </c>
      <c r="AI40">
        <v>33</v>
      </c>
      <c r="AJ40">
        <v>3.0870099999999998</v>
      </c>
      <c r="AK40">
        <v>15473</v>
      </c>
      <c r="AP40">
        <f t="shared" si="5"/>
        <v>2.0000000000000013</v>
      </c>
      <c r="AQ40">
        <v>33</v>
      </c>
      <c r="AR40">
        <v>9.9524100000000004E-2</v>
      </c>
      <c r="AS40">
        <v>3192.6</v>
      </c>
      <c r="AX40">
        <f t="shared" si="6"/>
        <v>2.0000000000000013</v>
      </c>
      <c r="AY40">
        <v>33</v>
      </c>
      <c r="AZ40">
        <v>6.0515999999999996</v>
      </c>
      <c r="BA40">
        <v>1264.1600000000001</v>
      </c>
    </row>
    <row r="41" spans="2:53" x14ac:dyDescent="0.2">
      <c r="B41">
        <f t="shared" si="0"/>
        <v>2.0500000000000012</v>
      </c>
      <c r="C41">
        <v>34</v>
      </c>
      <c r="D41">
        <v>-3.3873899999999999</v>
      </c>
      <c r="E41" s="3">
        <v>303.08300000000003</v>
      </c>
      <c r="J41">
        <f t="shared" si="1"/>
        <v>2.0500000000000012</v>
      </c>
      <c r="K41">
        <v>34</v>
      </c>
      <c r="L41">
        <v>1.96208</v>
      </c>
      <c r="M41">
        <v>11607.8</v>
      </c>
      <c r="R41">
        <f t="shared" si="2"/>
        <v>2.0500000000000012</v>
      </c>
      <c r="S41">
        <v>34</v>
      </c>
      <c r="T41">
        <v>-0.27921200000000002</v>
      </c>
      <c r="U41">
        <v>4280.1400000000003</v>
      </c>
      <c r="Z41">
        <f t="shared" si="3"/>
        <v>2.0500000000000012</v>
      </c>
      <c r="AA41">
        <v>34</v>
      </c>
      <c r="AB41">
        <v>-2.91412</v>
      </c>
      <c r="AC41">
        <v>2205.4699999999998</v>
      </c>
      <c r="AH41">
        <f t="shared" si="4"/>
        <v>2.0500000000000012</v>
      </c>
      <c r="AI41">
        <v>34</v>
      </c>
      <c r="AJ41">
        <v>2.1622699999999999</v>
      </c>
      <c r="AK41">
        <v>13022.7</v>
      </c>
      <c r="AP41">
        <f t="shared" si="5"/>
        <v>2.0500000000000012</v>
      </c>
      <c r="AQ41">
        <v>34</v>
      </c>
      <c r="AR41">
        <v>-9.6898799999999993E-2</v>
      </c>
      <c r="AS41">
        <v>2846.54</v>
      </c>
      <c r="AX41">
        <f t="shared" si="6"/>
        <v>2.0500000000000012</v>
      </c>
      <c r="AY41">
        <v>34</v>
      </c>
      <c r="AZ41">
        <v>5.97485</v>
      </c>
      <c r="BA41">
        <v>1112.1600000000001</v>
      </c>
    </row>
    <row r="42" spans="2:53" x14ac:dyDescent="0.2">
      <c r="B42">
        <f t="shared" si="0"/>
        <v>2.100000000000001</v>
      </c>
      <c r="C42">
        <v>35</v>
      </c>
      <c r="D42">
        <v>-3.3950399999999998</v>
      </c>
      <c r="E42" s="3">
        <v>-53.362499999999997</v>
      </c>
      <c r="J42">
        <f t="shared" si="1"/>
        <v>2.100000000000001</v>
      </c>
      <c r="K42">
        <v>35</v>
      </c>
      <c r="L42">
        <v>1.278</v>
      </c>
      <c r="M42">
        <v>9978.67</v>
      </c>
      <c r="R42">
        <f t="shared" si="2"/>
        <v>2.100000000000001</v>
      </c>
      <c r="S42">
        <v>35</v>
      </c>
      <c r="T42">
        <v>-0.52393999999999996</v>
      </c>
      <c r="U42">
        <v>3450.81</v>
      </c>
      <c r="Z42">
        <f t="shared" si="3"/>
        <v>2.100000000000001</v>
      </c>
      <c r="AA42">
        <v>35</v>
      </c>
      <c r="AB42">
        <v>-3.05138</v>
      </c>
      <c r="AC42">
        <v>2126.61</v>
      </c>
      <c r="AH42">
        <f t="shared" si="4"/>
        <v>2.100000000000001</v>
      </c>
      <c r="AI42">
        <v>35</v>
      </c>
      <c r="AJ42">
        <v>1.4028099999999999</v>
      </c>
      <c r="AK42">
        <v>10977.3</v>
      </c>
      <c r="AP42">
        <f t="shared" si="5"/>
        <v>2.100000000000001</v>
      </c>
      <c r="AQ42">
        <v>35</v>
      </c>
      <c r="AR42">
        <v>-0.26714700000000002</v>
      </c>
      <c r="AS42">
        <v>2527.04</v>
      </c>
      <c r="AX42">
        <f t="shared" si="6"/>
        <v>2.100000000000001</v>
      </c>
      <c r="AY42">
        <v>35</v>
      </c>
      <c r="AZ42">
        <v>5.9070099999999996</v>
      </c>
      <c r="BA42">
        <v>1035.02</v>
      </c>
    </row>
    <row r="43" spans="2:53" x14ac:dyDescent="0.2">
      <c r="B43">
        <f t="shared" si="0"/>
        <v>2.1500000000000008</v>
      </c>
      <c r="C43">
        <v>36</v>
      </c>
      <c r="D43">
        <v>-3.3822000000000001</v>
      </c>
      <c r="E43" s="3">
        <v>-354.07600000000002</v>
      </c>
      <c r="J43">
        <f t="shared" si="1"/>
        <v>2.1500000000000008</v>
      </c>
      <c r="K43">
        <v>36</v>
      </c>
      <c r="L43">
        <v>0.70652300000000001</v>
      </c>
      <c r="M43">
        <v>8503.84</v>
      </c>
      <c r="R43">
        <f t="shared" si="2"/>
        <v>2.1500000000000008</v>
      </c>
      <c r="S43">
        <v>36</v>
      </c>
      <c r="T43">
        <v>-0.71473699999999996</v>
      </c>
      <c r="U43">
        <v>2726.92</v>
      </c>
      <c r="Z43">
        <f t="shared" si="3"/>
        <v>2.1500000000000008</v>
      </c>
      <c r="AA43">
        <v>36</v>
      </c>
      <c r="AB43">
        <v>-3.1812499999999999</v>
      </c>
      <c r="AC43">
        <v>2072.15</v>
      </c>
      <c r="AH43">
        <f t="shared" si="4"/>
        <v>2.1500000000000008</v>
      </c>
      <c r="AI43">
        <v>36</v>
      </c>
      <c r="AJ43">
        <v>0.77691200000000005</v>
      </c>
      <c r="AK43">
        <v>9292.73</v>
      </c>
      <c r="AP43">
        <f t="shared" si="5"/>
        <v>2.1500000000000008</v>
      </c>
      <c r="AQ43">
        <v>36</v>
      </c>
      <c r="AR43">
        <v>-0.41501300000000002</v>
      </c>
      <c r="AS43">
        <v>2258.0700000000002</v>
      </c>
      <c r="AX43">
        <f t="shared" si="6"/>
        <v>2.1500000000000008</v>
      </c>
      <c r="AY43">
        <v>36</v>
      </c>
      <c r="AZ43">
        <v>5.84429</v>
      </c>
      <c r="BA43">
        <v>995.32600000000002</v>
      </c>
    </row>
    <row r="44" spans="2:53" x14ac:dyDescent="0.2">
      <c r="B44">
        <f t="shared" si="0"/>
        <v>2.2000000000000006</v>
      </c>
      <c r="C44">
        <v>37</v>
      </c>
      <c r="D44">
        <v>-3.3529399999999998</v>
      </c>
      <c r="E44" s="3">
        <v>-607.79</v>
      </c>
      <c r="J44">
        <f t="shared" si="1"/>
        <v>2.2000000000000006</v>
      </c>
      <c r="K44">
        <v>37</v>
      </c>
      <c r="L44">
        <v>0.232989</v>
      </c>
      <c r="M44">
        <v>7183.57</v>
      </c>
      <c r="R44">
        <f t="shared" si="2"/>
        <v>2.2000000000000006</v>
      </c>
      <c r="S44">
        <v>37</v>
      </c>
      <c r="T44">
        <v>-0.86017500000000002</v>
      </c>
      <c r="U44">
        <v>2097.3000000000002</v>
      </c>
      <c r="Z44">
        <f t="shared" si="3"/>
        <v>2.2000000000000006</v>
      </c>
      <c r="AA44">
        <v>37</v>
      </c>
      <c r="AB44">
        <v>-3.3053300000000001</v>
      </c>
      <c r="AC44">
        <v>2035.17</v>
      </c>
      <c r="AH44">
        <f t="shared" si="4"/>
        <v>2.2000000000000006</v>
      </c>
      <c r="AI44">
        <v>37</v>
      </c>
      <c r="AJ44">
        <v>0.25796400000000003</v>
      </c>
      <c r="AK44">
        <v>7918.9</v>
      </c>
      <c r="AP44">
        <f t="shared" si="5"/>
        <v>2.2000000000000006</v>
      </c>
      <c r="AQ44">
        <v>37</v>
      </c>
      <c r="AR44">
        <v>-0.54478599999999999</v>
      </c>
      <c r="AS44">
        <v>2043.4</v>
      </c>
      <c r="AX44">
        <f t="shared" si="6"/>
        <v>2.2000000000000006</v>
      </c>
      <c r="AY44">
        <v>37</v>
      </c>
      <c r="AZ44">
        <v>5.7848499999999996</v>
      </c>
      <c r="BA44">
        <v>972.71600000000001</v>
      </c>
    </row>
    <row r="45" spans="2:53" x14ac:dyDescent="0.2">
      <c r="B45">
        <f t="shared" si="0"/>
        <v>2.2500000000000004</v>
      </c>
      <c r="C45">
        <v>38</v>
      </c>
      <c r="D45">
        <v>-3.3105600000000002</v>
      </c>
      <c r="E45">
        <v>-822.18299999999999</v>
      </c>
      <c r="J45">
        <f t="shared" si="1"/>
        <v>2.2500000000000004</v>
      </c>
      <c r="K45">
        <v>38</v>
      </c>
      <c r="L45">
        <v>-0.15615999999999999</v>
      </c>
      <c r="M45">
        <v>6014.76</v>
      </c>
      <c r="R45">
        <f t="shared" si="2"/>
        <v>2.2500000000000004</v>
      </c>
      <c r="S45">
        <v>38</v>
      </c>
      <c r="T45">
        <v>-0.96760299999999999</v>
      </c>
      <c r="U45">
        <v>1551.73</v>
      </c>
      <c r="Z45">
        <f t="shared" si="3"/>
        <v>2.2500000000000004</v>
      </c>
      <c r="AA45">
        <v>38</v>
      </c>
      <c r="AB45">
        <v>-3.4247200000000002</v>
      </c>
      <c r="AC45">
        <v>2009.39</v>
      </c>
      <c r="AH45">
        <f t="shared" si="4"/>
        <v>2.2500000000000004</v>
      </c>
      <c r="AI45">
        <v>38</v>
      </c>
      <c r="AJ45">
        <v>-0.17579500000000001</v>
      </c>
      <c r="AK45">
        <v>6804.64</v>
      </c>
      <c r="AP45">
        <f t="shared" si="5"/>
        <v>2.2500000000000004</v>
      </c>
      <c r="AQ45">
        <v>38</v>
      </c>
      <c r="AR45">
        <v>-0.66037699999999999</v>
      </c>
      <c r="AS45">
        <v>1877.85</v>
      </c>
      <c r="AX45">
        <f t="shared" si="6"/>
        <v>2.2500000000000004</v>
      </c>
      <c r="AY45">
        <v>38</v>
      </c>
      <c r="AZ45">
        <v>5.7279</v>
      </c>
      <c r="BA45">
        <v>956.04200000000003</v>
      </c>
    </row>
    <row r="46" spans="2:53" x14ac:dyDescent="0.2">
      <c r="B46">
        <f t="shared" si="0"/>
        <v>2.3000000000000003</v>
      </c>
      <c r="C46">
        <v>39</v>
      </c>
      <c r="D46">
        <v>-3.25773</v>
      </c>
      <c r="E46">
        <v>-1003.79</v>
      </c>
      <c r="J46">
        <f t="shared" si="1"/>
        <v>2.3000000000000003</v>
      </c>
      <c r="K46">
        <v>39</v>
      </c>
      <c r="L46">
        <v>-0.47327200000000003</v>
      </c>
      <c r="M46">
        <v>4990.13</v>
      </c>
      <c r="R46">
        <f t="shared" si="2"/>
        <v>2.3000000000000003</v>
      </c>
      <c r="S46">
        <v>39</v>
      </c>
      <c r="T46">
        <v>-1.04331</v>
      </c>
      <c r="U46">
        <v>1080.78</v>
      </c>
      <c r="Z46">
        <f t="shared" si="3"/>
        <v>2.3000000000000003</v>
      </c>
      <c r="AA46">
        <v>39</v>
      </c>
      <c r="AB46">
        <v>-3.5401400000000001</v>
      </c>
      <c r="AC46">
        <v>1989.33</v>
      </c>
      <c r="AH46">
        <f t="shared" si="4"/>
        <v>2.3000000000000003</v>
      </c>
      <c r="AI46">
        <v>39</v>
      </c>
      <c r="AJ46">
        <v>-0.54176899999999995</v>
      </c>
      <c r="AK46">
        <v>5901.6</v>
      </c>
      <c r="AP46">
        <f t="shared" si="5"/>
        <v>2.3000000000000003</v>
      </c>
      <c r="AQ46">
        <v>39</v>
      </c>
      <c r="AR46">
        <v>-0.76502700000000001</v>
      </c>
      <c r="AS46">
        <v>1753.09</v>
      </c>
      <c r="AX46">
        <f t="shared" si="6"/>
        <v>2.3000000000000003</v>
      </c>
      <c r="AY46">
        <v>39</v>
      </c>
      <c r="AZ46">
        <v>5.67319</v>
      </c>
      <c r="BA46">
        <v>938.75199999999995</v>
      </c>
    </row>
    <row r="47" spans="2:53" x14ac:dyDescent="0.2">
      <c r="B47">
        <f t="shared" si="0"/>
        <v>2.35</v>
      </c>
      <c r="C47">
        <v>40</v>
      </c>
      <c r="D47">
        <v>-3.19659</v>
      </c>
      <c r="E47">
        <v>-1158.01</v>
      </c>
      <c r="J47">
        <f t="shared" si="1"/>
        <v>2.35</v>
      </c>
      <c r="K47">
        <v>40</v>
      </c>
      <c r="L47">
        <v>-0.72936400000000001</v>
      </c>
      <c r="M47">
        <v>4098.74</v>
      </c>
      <c r="R47">
        <f t="shared" si="2"/>
        <v>2.35</v>
      </c>
      <c r="S47">
        <v>40</v>
      </c>
      <c r="T47">
        <v>-1.0926499999999999</v>
      </c>
      <c r="U47">
        <v>675.74099999999999</v>
      </c>
      <c r="Z47">
        <f t="shared" si="3"/>
        <v>2.35</v>
      </c>
      <c r="AA47">
        <v>40</v>
      </c>
      <c r="AB47">
        <v>-3.6519400000000002</v>
      </c>
      <c r="AC47">
        <v>1970.45</v>
      </c>
      <c r="AH47">
        <f t="shared" si="4"/>
        <v>2.35</v>
      </c>
      <c r="AI47">
        <v>40</v>
      </c>
      <c r="AJ47">
        <v>-0.85363100000000003</v>
      </c>
      <c r="AK47">
        <v>5166.97</v>
      </c>
      <c r="AP47">
        <f t="shared" si="5"/>
        <v>2.35</v>
      </c>
      <c r="AQ47">
        <v>40</v>
      </c>
      <c r="AR47">
        <v>-0.86127600000000004</v>
      </c>
      <c r="AS47">
        <v>1660.45</v>
      </c>
      <c r="AX47">
        <f t="shared" si="6"/>
        <v>2.35</v>
      </c>
      <c r="AY47">
        <v>40</v>
      </c>
      <c r="AZ47">
        <v>5.6207799999999999</v>
      </c>
      <c r="BA47">
        <v>916.68499999999995</v>
      </c>
    </row>
    <row r="48" spans="2:53" x14ac:dyDescent="0.2">
      <c r="B48">
        <f t="shared" si="0"/>
        <v>2.4</v>
      </c>
      <c r="C48">
        <v>41</v>
      </c>
      <c r="D48">
        <v>-3.1289099999999999</v>
      </c>
      <c r="E48">
        <v>-1289.18</v>
      </c>
      <c r="J48">
        <f t="shared" si="1"/>
        <v>2.4</v>
      </c>
      <c r="K48">
        <v>41</v>
      </c>
      <c r="L48">
        <v>-0.93406400000000001</v>
      </c>
      <c r="M48">
        <v>3327.29</v>
      </c>
      <c r="R48">
        <f t="shared" si="2"/>
        <v>2.4</v>
      </c>
      <c r="S48">
        <v>41</v>
      </c>
      <c r="T48">
        <v>-1.12018</v>
      </c>
      <c r="U48">
        <v>328.65499999999997</v>
      </c>
      <c r="Z48">
        <f t="shared" si="3"/>
        <v>2.4</v>
      </c>
      <c r="AA48">
        <v>41</v>
      </c>
      <c r="AB48">
        <v>-3.76024</v>
      </c>
      <c r="AC48">
        <v>1949.27</v>
      </c>
      <c r="AH48">
        <f t="shared" si="4"/>
        <v>2.4</v>
      </c>
      <c r="AI48">
        <v>41</v>
      </c>
      <c r="AJ48">
        <v>-1.12199</v>
      </c>
      <c r="AK48">
        <v>4564.8999999999996</v>
      </c>
      <c r="AP48">
        <f t="shared" si="5"/>
        <v>2.4</v>
      </c>
      <c r="AQ48">
        <v>41</v>
      </c>
      <c r="AR48">
        <v>-0.95103800000000005</v>
      </c>
      <c r="AS48">
        <v>1592.12</v>
      </c>
      <c r="AX48">
        <f t="shared" si="6"/>
        <v>2.4</v>
      </c>
      <c r="AY48">
        <v>41</v>
      </c>
      <c r="AZ48">
        <v>5.5709</v>
      </c>
      <c r="BA48">
        <v>887.38099999999997</v>
      </c>
    </row>
    <row r="49" spans="2:53" x14ac:dyDescent="0.2">
      <c r="B49">
        <f t="shared" si="0"/>
        <v>2.4499999999999997</v>
      </c>
      <c r="C49">
        <v>42</v>
      </c>
      <c r="D49">
        <v>-3.0560900000000002</v>
      </c>
      <c r="E49">
        <v>-1400.74</v>
      </c>
      <c r="J49">
        <f t="shared" si="1"/>
        <v>2.4499999999999997</v>
      </c>
      <c r="K49">
        <v>42</v>
      </c>
      <c r="L49">
        <v>-1.0956399999999999</v>
      </c>
      <c r="M49">
        <v>2661.54</v>
      </c>
      <c r="R49">
        <f t="shared" si="2"/>
        <v>2.4499999999999997</v>
      </c>
      <c r="S49">
        <v>42</v>
      </c>
      <c r="T49">
        <v>-1.1297600000000001</v>
      </c>
      <c r="U49">
        <v>32.299700000000001</v>
      </c>
      <c r="Z49">
        <f t="shared" si="3"/>
        <v>2.4499999999999997</v>
      </c>
      <c r="AA49">
        <v>42</v>
      </c>
      <c r="AB49">
        <v>-3.8649900000000001</v>
      </c>
      <c r="AC49">
        <v>1923.3</v>
      </c>
      <c r="AH49">
        <f t="shared" si="4"/>
        <v>2.4499999999999997</v>
      </c>
      <c r="AI49">
        <v>42</v>
      </c>
      <c r="AJ49">
        <v>-1.3550500000000001</v>
      </c>
      <c r="AK49">
        <v>4066.77</v>
      </c>
      <c r="AP49">
        <f t="shared" si="5"/>
        <v>2.4499999999999997</v>
      </c>
      <c r="AQ49">
        <v>42</v>
      </c>
      <c r="AR49">
        <v>-1.03572</v>
      </c>
      <c r="AS49">
        <v>1541.55</v>
      </c>
      <c r="AX49">
        <f t="shared" si="6"/>
        <v>2.4499999999999997</v>
      </c>
      <c r="AY49">
        <v>42</v>
      </c>
      <c r="AZ49">
        <v>5.5238800000000001</v>
      </c>
      <c r="BA49">
        <v>850.08100000000002</v>
      </c>
    </row>
    <row r="50" spans="2:53" x14ac:dyDescent="0.2">
      <c r="B50">
        <f t="shared" si="0"/>
        <v>2.4999999999999996</v>
      </c>
      <c r="C50">
        <v>43</v>
      </c>
      <c r="D50">
        <v>-2.97933</v>
      </c>
      <c r="E50">
        <v>-1495.31</v>
      </c>
      <c r="J50">
        <f t="shared" si="1"/>
        <v>2.4999999999999996</v>
      </c>
      <c r="K50">
        <v>43</v>
      </c>
      <c r="L50">
        <v>-1.2211000000000001</v>
      </c>
      <c r="M50">
        <v>2087.62</v>
      </c>
      <c r="R50">
        <f t="shared" si="2"/>
        <v>2.4999999999999996</v>
      </c>
      <c r="S50">
        <v>43</v>
      </c>
      <c r="T50">
        <v>-1.12463</v>
      </c>
      <c r="U50">
        <v>-219.81700000000001</v>
      </c>
      <c r="Z50">
        <f t="shared" si="3"/>
        <v>2.4999999999999996</v>
      </c>
      <c r="AA50">
        <v>43</v>
      </c>
      <c r="AB50">
        <v>-3.9660500000000001</v>
      </c>
      <c r="AC50">
        <v>1891</v>
      </c>
      <c r="AH50">
        <f t="shared" si="4"/>
        <v>2.4999999999999996</v>
      </c>
      <c r="AI50">
        <v>43</v>
      </c>
      <c r="AJ50">
        <v>-1.5591699999999999</v>
      </c>
      <c r="AK50">
        <v>3650.54</v>
      </c>
      <c r="AP50">
        <f t="shared" si="5"/>
        <v>2.4999999999999996</v>
      </c>
      <c r="AQ50">
        <v>43</v>
      </c>
      <c r="AR50">
        <v>-1.11633</v>
      </c>
      <c r="AS50">
        <v>1503.43</v>
      </c>
      <c r="AX50">
        <f t="shared" si="6"/>
        <v>2.4999999999999996</v>
      </c>
      <c r="AY50">
        <v>43</v>
      </c>
      <c r="AZ50">
        <v>5.4799899999999999</v>
      </c>
      <c r="BA50">
        <v>805.81700000000001</v>
      </c>
    </row>
    <row r="51" spans="2:53" x14ac:dyDescent="0.2">
      <c r="B51">
        <f t="shared" si="0"/>
        <v>2.5499999999999994</v>
      </c>
      <c r="C51">
        <v>44</v>
      </c>
      <c r="D51">
        <v>-2.8996</v>
      </c>
      <c r="E51">
        <v>-1574.91</v>
      </c>
      <c r="J51">
        <f t="shared" si="1"/>
        <v>2.5499999999999994</v>
      </c>
      <c r="K51">
        <v>44</v>
      </c>
      <c r="L51">
        <v>-1.31633</v>
      </c>
      <c r="M51">
        <v>1592.76</v>
      </c>
      <c r="R51">
        <f t="shared" si="2"/>
        <v>2.5499999999999994</v>
      </c>
      <c r="S51">
        <v>44</v>
      </c>
      <c r="T51">
        <v>-1.10754</v>
      </c>
      <c r="U51">
        <v>-433.47699999999998</v>
      </c>
      <c r="Z51">
        <f t="shared" si="3"/>
        <v>2.5499999999999994</v>
      </c>
      <c r="AA51">
        <v>44</v>
      </c>
      <c r="AB51">
        <v>-4.0632099999999998</v>
      </c>
      <c r="AC51">
        <v>1851.63</v>
      </c>
      <c r="AH51">
        <f t="shared" si="4"/>
        <v>2.5499999999999994</v>
      </c>
      <c r="AI51">
        <v>44</v>
      </c>
      <c r="AJ51">
        <v>-1.7393099999999999</v>
      </c>
      <c r="AK51">
        <v>3299.67</v>
      </c>
      <c r="AP51">
        <f t="shared" si="5"/>
        <v>2.5499999999999994</v>
      </c>
      <c r="AQ51">
        <v>44</v>
      </c>
      <c r="AR51">
        <v>-1.19356</v>
      </c>
      <c r="AS51">
        <v>1473.55</v>
      </c>
      <c r="AX51">
        <f t="shared" si="6"/>
        <v>2.5499999999999994</v>
      </c>
      <c r="AY51">
        <v>44</v>
      </c>
      <c r="AZ51">
        <v>5.4394099999999996</v>
      </c>
      <c r="BA51">
        <v>757.25400000000002</v>
      </c>
    </row>
    <row r="52" spans="2:53" x14ac:dyDescent="0.2">
      <c r="B52">
        <f t="shared" si="0"/>
        <v>2.5999999999999992</v>
      </c>
      <c r="C52">
        <v>45</v>
      </c>
      <c r="D52">
        <v>-2.8177500000000002</v>
      </c>
      <c r="E52">
        <v>-1641.07</v>
      </c>
      <c r="J52">
        <f t="shared" si="1"/>
        <v>2.5999999999999992</v>
      </c>
      <c r="K52">
        <v>45</v>
      </c>
      <c r="L52">
        <v>-1.3862699999999999</v>
      </c>
      <c r="M52">
        <v>1165.7</v>
      </c>
      <c r="R52">
        <f t="shared" si="2"/>
        <v>2.5999999999999992</v>
      </c>
      <c r="S52">
        <v>45</v>
      </c>
      <c r="T52">
        <v>-1.0807899999999999</v>
      </c>
      <c r="U52">
        <v>-613.78499999999997</v>
      </c>
      <c r="Z52">
        <f t="shared" si="3"/>
        <v>2.5999999999999992</v>
      </c>
      <c r="AA52">
        <v>45</v>
      </c>
      <c r="AB52">
        <v>-4.15625</v>
      </c>
      <c r="AC52">
        <v>1805.12</v>
      </c>
      <c r="AH52">
        <f t="shared" si="4"/>
        <v>2.5999999999999992</v>
      </c>
      <c r="AI52">
        <v>45</v>
      </c>
      <c r="AJ52">
        <v>-1.8994200000000001</v>
      </c>
      <c r="AK52">
        <v>3001.89</v>
      </c>
      <c r="AP52">
        <f t="shared" si="5"/>
        <v>2.5999999999999992</v>
      </c>
      <c r="AQ52">
        <v>45</v>
      </c>
      <c r="AR52">
        <v>-1.2678700000000001</v>
      </c>
      <c r="AS52">
        <v>1448.61</v>
      </c>
      <c r="AX52">
        <f t="shared" si="6"/>
        <v>2.5999999999999992</v>
      </c>
      <c r="AY52">
        <v>45</v>
      </c>
      <c r="AZ52">
        <v>5.4021400000000002</v>
      </c>
      <c r="BA52">
        <v>708.21199999999999</v>
      </c>
    </row>
    <row r="53" spans="2:53" x14ac:dyDescent="0.2">
      <c r="B53">
        <f t="shared" si="0"/>
        <v>2.649999999999999</v>
      </c>
      <c r="C53">
        <v>46</v>
      </c>
      <c r="D53">
        <v>-2.7344900000000001</v>
      </c>
      <c r="E53">
        <v>-1694.95</v>
      </c>
      <c r="J53">
        <f t="shared" si="1"/>
        <v>2.649999999999999</v>
      </c>
      <c r="K53">
        <v>46</v>
      </c>
      <c r="L53">
        <v>-1.43502</v>
      </c>
      <c r="M53">
        <v>796.77599999999995</v>
      </c>
      <c r="R53">
        <f t="shared" si="2"/>
        <v>2.649999999999999</v>
      </c>
      <c r="S53">
        <v>46</v>
      </c>
      <c r="T53">
        <v>-1.0462899999999999</v>
      </c>
      <c r="U53">
        <v>-765.20899999999995</v>
      </c>
      <c r="Z53">
        <f t="shared" si="3"/>
        <v>2.649999999999999</v>
      </c>
      <c r="AA53">
        <v>46</v>
      </c>
      <c r="AB53">
        <v>-4.2450099999999997</v>
      </c>
      <c r="AC53">
        <v>1751.88</v>
      </c>
      <c r="AH53">
        <f t="shared" si="4"/>
        <v>2.649999999999999</v>
      </c>
      <c r="AI53">
        <v>46</v>
      </c>
      <c r="AJ53">
        <v>-2.0426899999999999</v>
      </c>
      <c r="AK53">
        <v>2747.94</v>
      </c>
      <c r="AP53">
        <f t="shared" si="5"/>
        <v>2.649999999999999</v>
      </c>
      <c r="AQ53">
        <v>46</v>
      </c>
      <c r="AR53">
        <v>-1.3395699999999999</v>
      </c>
      <c r="AS53">
        <v>1426.03</v>
      </c>
      <c r="AX53">
        <f t="shared" si="6"/>
        <v>2.649999999999999</v>
      </c>
      <c r="AY53">
        <v>46</v>
      </c>
      <c r="AZ53">
        <v>5.3679600000000001</v>
      </c>
      <c r="BA53">
        <v>662.928</v>
      </c>
    </row>
    <row r="54" spans="2:53" x14ac:dyDescent="0.2">
      <c r="B54">
        <f t="shared" si="0"/>
        <v>2.6999999999999988</v>
      </c>
      <c r="C54">
        <v>47</v>
      </c>
      <c r="D54">
        <v>-2.6504699999999999</v>
      </c>
      <c r="E54">
        <v>-1737.44</v>
      </c>
      <c r="J54">
        <f t="shared" si="1"/>
        <v>2.6999999999999988</v>
      </c>
      <c r="K54">
        <v>47</v>
      </c>
      <c r="L54">
        <v>-1.4660500000000001</v>
      </c>
      <c r="M54">
        <v>477.80599999999998</v>
      </c>
      <c r="R54">
        <f t="shared" si="2"/>
        <v>2.6999999999999988</v>
      </c>
      <c r="S54">
        <v>47</v>
      </c>
      <c r="T54">
        <v>-1.0056700000000001</v>
      </c>
      <c r="U54">
        <v>-891.62699999999995</v>
      </c>
      <c r="Z54">
        <f t="shared" si="3"/>
        <v>2.6999999999999988</v>
      </c>
      <c r="AA54">
        <v>47</v>
      </c>
      <c r="AB54">
        <v>-4.3293100000000004</v>
      </c>
      <c r="AC54">
        <v>1692.69</v>
      </c>
      <c r="AH54">
        <f t="shared" si="4"/>
        <v>2.6999999999999988</v>
      </c>
      <c r="AI54">
        <v>47</v>
      </c>
      <c r="AJ54">
        <v>-2.1717200000000001</v>
      </c>
      <c r="AK54">
        <v>2530.63</v>
      </c>
      <c r="AP54">
        <f t="shared" si="5"/>
        <v>2.6999999999999988</v>
      </c>
      <c r="AQ54">
        <v>47</v>
      </c>
      <c r="AR54">
        <v>-1.4088099999999999</v>
      </c>
      <c r="AS54">
        <v>1403.87</v>
      </c>
      <c r="AX54">
        <f t="shared" si="6"/>
        <v>2.6999999999999988</v>
      </c>
      <c r="AY54">
        <v>47</v>
      </c>
      <c r="AZ54">
        <v>5.3364700000000003</v>
      </c>
      <c r="BA54">
        <v>625.279</v>
      </c>
    </row>
    <row r="55" spans="2:53" x14ac:dyDescent="0.2">
      <c r="B55">
        <f t="shared" si="0"/>
        <v>2.7499999999999987</v>
      </c>
      <c r="C55">
        <v>48</v>
      </c>
      <c r="D55">
        <v>-2.56623</v>
      </c>
      <c r="E55">
        <v>-1769.28</v>
      </c>
      <c r="J55">
        <f t="shared" si="1"/>
        <v>2.7499999999999987</v>
      </c>
      <c r="K55">
        <v>48</v>
      </c>
      <c r="L55">
        <v>-1.4822299999999999</v>
      </c>
      <c r="M55">
        <v>201.93199999999999</v>
      </c>
      <c r="R55">
        <f t="shared" si="2"/>
        <v>2.7499999999999987</v>
      </c>
      <c r="S55">
        <v>48</v>
      </c>
      <c r="T55">
        <v>-0.96026400000000001</v>
      </c>
      <c r="U55">
        <v>-996.38900000000001</v>
      </c>
      <c r="Z55">
        <f t="shared" si="3"/>
        <v>2.7499999999999987</v>
      </c>
      <c r="AA55">
        <v>48</v>
      </c>
      <c r="AB55">
        <v>-4.4090800000000003</v>
      </c>
      <c r="AC55">
        <v>1628.5</v>
      </c>
      <c r="AH55">
        <f t="shared" si="4"/>
        <v>2.7499999999999987</v>
      </c>
      <c r="AI55">
        <v>48</v>
      </c>
      <c r="AJ55">
        <v>-2.2886700000000002</v>
      </c>
      <c r="AK55">
        <v>2344.11</v>
      </c>
      <c r="AP55">
        <f t="shared" si="5"/>
        <v>2.7499999999999987</v>
      </c>
      <c r="AQ55">
        <v>48</v>
      </c>
      <c r="AR55">
        <v>-1.4756800000000001</v>
      </c>
      <c r="AS55">
        <v>1380.66</v>
      </c>
      <c r="AX55">
        <f t="shared" si="6"/>
        <v>2.7499999999999987</v>
      </c>
      <c r="AY55">
        <v>48</v>
      </c>
      <c r="AZ55">
        <v>5.3071400000000004</v>
      </c>
      <c r="BA55">
        <v>598.11699999999996</v>
      </c>
    </row>
    <row r="56" spans="2:53" x14ac:dyDescent="0.2">
      <c r="B56">
        <f t="shared" si="0"/>
        <v>2.7999999999999985</v>
      </c>
      <c r="C56">
        <v>49</v>
      </c>
      <c r="D56">
        <v>-2.4822799999999998</v>
      </c>
      <c r="E56">
        <v>-1791.1</v>
      </c>
      <c r="J56">
        <f t="shared" si="1"/>
        <v>2.7999999999999985</v>
      </c>
      <c r="K56">
        <v>49</v>
      </c>
      <c r="L56">
        <v>-1.4860100000000001</v>
      </c>
      <c r="M56">
        <v>-36.545200000000001</v>
      </c>
      <c r="R56">
        <f t="shared" si="2"/>
        <v>2.7999999999999985</v>
      </c>
      <c r="S56">
        <v>49</v>
      </c>
      <c r="T56">
        <v>-0.91120599999999996</v>
      </c>
      <c r="U56">
        <v>-1082.3699999999999</v>
      </c>
      <c r="Z56">
        <f t="shared" si="3"/>
        <v>2.7999999999999985</v>
      </c>
      <c r="AA56">
        <v>49</v>
      </c>
      <c r="AB56">
        <v>-4.4842599999999999</v>
      </c>
      <c r="AC56">
        <v>1560.39</v>
      </c>
      <c r="AH56">
        <f t="shared" si="4"/>
        <v>2.7999999999999985</v>
      </c>
      <c r="AI56">
        <v>49</v>
      </c>
      <c r="AJ56">
        <v>-2.3953000000000002</v>
      </c>
      <c r="AK56">
        <v>2183.37</v>
      </c>
      <c r="AP56">
        <f t="shared" si="5"/>
        <v>2.7999999999999985</v>
      </c>
      <c r="AQ56">
        <v>49</v>
      </c>
      <c r="AR56">
        <v>-1.5401800000000001</v>
      </c>
      <c r="AS56">
        <v>1355.37</v>
      </c>
      <c r="AX56">
        <f t="shared" si="6"/>
        <v>2.7999999999999985</v>
      </c>
      <c r="AY56">
        <v>49</v>
      </c>
      <c r="AZ56">
        <v>5.2793599999999996</v>
      </c>
      <c r="BA56">
        <v>582.85599999999999</v>
      </c>
    </row>
    <row r="57" spans="2:53" x14ac:dyDescent="0.2">
      <c r="B57">
        <f t="shared" si="0"/>
        <v>2.8499999999999983</v>
      </c>
      <c r="C57">
        <v>50</v>
      </c>
      <c r="D57">
        <v>-2.3990499999999999</v>
      </c>
      <c r="E57">
        <v>-1803.52</v>
      </c>
      <c r="J57">
        <f t="shared" si="1"/>
        <v>2.8499999999999983</v>
      </c>
      <c r="K57">
        <v>50</v>
      </c>
      <c r="L57">
        <v>-1.4794499999999999</v>
      </c>
      <c r="M57">
        <v>-242.34100000000001</v>
      </c>
      <c r="R57">
        <f t="shared" si="2"/>
        <v>2.8499999999999983</v>
      </c>
      <c r="S57">
        <v>50</v>
      </c>
      <c r="T57">
        <v>-0.85943700000000001</v>
      </c>
      <c r="U57">
        <v>-1152.05</v>
      </c>
      <c r="Z57">
        <f t="shared" si="3"/>
        <v>2.8499999999999983</v>
      </c>
      <c r="AA57">
        <v>50</v>
      </c>
      <c r="AB57">
        <v>-4.5548599999999997</v>
      </c>
      <c r="AC57">
        <v>1489.43</v>
      </c>
      <c r="AH57">
        <f t="shared" si="4"/>
        <v>2.8499999999999983</v>
      </c>
      <c r="AI57">
        <v>50</v>
      </c>
      <c r="AJ57">
        <v>-2.4930699999999999</v>
      </c>
      <c r="AK57">
        <v>2044.02</v>
      </c>
      <c r="AP57">
        <f t="shared" si="5"/>
        <v>2.8499999999999983</v>
      </c>
      <c r="AQ57">
        <v>50</v>
      </c>
      <c r="AR57">
        <v>-1.6022799999999999</v>
      </c>
      <c r="AS57">
        <v>1327.32</v>
      </c>
      <c r="AX57">
        <f t="shared" si="6"/>
        <v>2.8499999999999983</v>
      </c>
      <c r="AY57">
        <v>50</v>
      </c>
      <c r="AZ57">
        <v>5.2525000000000004</v>
      </c>
      <c r="BA57">
        <v>579.36300000000006</v>
      </c>
    </row>
    <row r="58" spans="2:53" x14ac:dyDescent="0.2">
      <c r="B58">
        <f t="shared" si="0"/>
        <v>2.8999999999999981</v>
      </c>
      <c r="C58">
        <v>51</v>
      </c>
      <c r="D58">
        <v>-2.3169300000000002</v>
      </c>
      <c r="E58">
        <v>-1807.14</v>
      </c>
      <c r="J58">
        <f t="shared" si="1"/>
        <v>2.8999999999999981</v>
      </c>
      <c r="K58">
        <v>51</v>
      </c>
      <c r="L58">
        <v>-1.46431</v>
      </c>
      <c r="M58">
        <v>-419.33600000000001</v>
      </c>
      <c r="R58">
        <f t="shared" si="2"/>
        <v>2.8999999999999981</v>
      </c>
      <c r="S58">
        <v>51</v>
      </c>
      <c r="T58">
        <v>-0.80574500000000004</v>
      </c>
      <c r="U58">
        <v>-1207.54</v>
      </c>
      <c r="Z58">
        <f t="shared" si="3"/>
        <v>2.8999999999999981</v>
      </c>
      <c r="AA58">
        <v>51</v>
      </c>
      <c r="AB58">
        <v>-4.62094</v>
      </c>
      <c r="AC58">
        <v>1416.67</v>
      </c>
      <c r="AH58">
        <f t="shared" si="4"/>
        <v>2.8999999999999981</v>
      </c>
      <c r="AI58">
        <v>51</v>
      </c>
      <c r="AJ58">
        <v>-2.5831900000000001</v>
      </c>
      <c r="AK58">
        <v>1922.17</v>
      </c>
      <c r="AP58">
        <f t="shared" si="5"/>
        <v>2.8999999999999981</v>
      </c>
      <c r="AQ58">
        <v>51</v>
      </c>
      <c r="AR58">
        <v>-1.66194</v>
      </c>
      <c r="AS58">
        <v>1296.17</v>
      </c>
      <c r="AX58">
        <f t="shared" si="6"/>
        <v>2.8999999999999981</v>
      </c>
      <c r="AY58">
        <v>51</v>
      </c>
      <c r="AZ58">
        <v>5.2260400000000002</v>
      </c>
      <c r="BA58">
        <v>586.11400000000003</v>
      </c>
    </row>
    <row r="59" spans="2:53" x14ac:dyDescent="0.2">
      <c r="B59">
        <f t="shared" si="0"/>
        <v>2.949999999999998</v>
      </c>
      <c r="C59">
        <v>52</v>
      </c>
      <c r="D59">
        <v>-2.2362600000000001</v>
      </c>
      <c r="E59">
        <v>-1802.65</v>
      </c>
      <c r="J59">
        <f t="shared" si="1"/>
        <v>2.949999999999998</v>
      </c>
      <c r="K59">
        <v>52</v>
      </c>
      <c r="L59">
        <v>-1.44211</v>
      </c>
      <c r="M59">
        <v>-570.73199999999997</v>
      </c>
      <c r="R59">
        <f t="shared" si="2"/>
        <v>2.949999999999998</v>
      </c>
      <c r="S59">
        <v>52</v>
      </c>
      <c r="T59">
        <v>-0.75078800000000001</v>
      </c>
      <c r="U59">
        <v>-1250.71</v>
      </c>
      <c r="Z59">
        <f t="shared" si="3"/>
        <v>2.949999999999998</v>
      </c>
      <c r="AA59">
        <v>52</v>
      </c>
      <c r="AB59">
        <v>-4.6825999999999999</v>
      </c>
      <c r="AC59">
        <v>1343.06</v>
      </c>
      <c r="AH59">
        <f t="shared" si="4"/>
        <v>2.949999999999998</v>
      </c>
      <c r="AI59">
        <v>52</v>
      </c>
      <c r="AJ59">
        <v>-2.6666300000000001</v>
      </c>
      <c r="AK59">
        <v>1814.43</v>
      </c>
      <c r="AP59">
        <f t="shared" si="5"/>
        <v>2.949999999999998</v>
      </c>
      <c r="AQ59">
        <v>52</v>
      </c>
      <c r="AR59">
        <v>-1.7191000000000001</v>
      </c>
      <c r="AS59">
        <v>1261.78</v>
      </c>
      <c r="AX59">
        <f t="shared" si="6"/>
        <v>2.949999999999998</v>
      </c>
      <c r="AY59">
        <v>52</v>
      </c>
      <c r="AZ59">
        <v>5.1995500000000003</v>
      </c>
      <c r="BA59">
        <v>600.56100000000004</v>
      </c>
    </row>
    <row r="60" spans="2:53" x14ac:dyDescent="0.2">
      <c r="B60">
        <f t="shared" si="0"/>
        <v>2.9999999999999978</v>
      </c>
      <c r="C60">
        <v>53</v>
      </c>
      <c r="D60">
        <v>-2.15733</v>
      </c>
      <c r="E60">
        <v>-1790.78</v>
      </c>
      <c r="J60">
        <f t="shared" si="1"/>
        <v>2.9999999999999978</v>
      </c>
      <c r="K60">
        <v>53</v>
      </c>
      <c r="L60">
        <v>-1.4141600000000001</v>
      </c>
      <c r="M60">
        <v>-699.19200000000001</v>
      </c>
      <c r="R60">
        <f t="shared" si="2"/>
        <v>2.9999999999999978</v>
      </c>
      <c r="S60">
        <v>53</v>
      </c>
      <c r="T60">
        <v>-0.69511500000000004</v>
      </c>
      <c r="U60">
        <v>-1283.18</v>
      </c>
      <c r="Z60">
        <f t="shared" si="3"/>
        <v>2.9999999999999978</v>
      </c>
      <c r="AA60">
        <v>53</v>
      </c>
      <c r="AB60">
        <v>-4.73996</v>
      </c>
      <c r="AC60">
        <v>1269.43</v>
      </c>
      <c r="AH60">
        <f t="shared" si="4"/>
        <v>2.9999999999999978</v>
      </c>
      <c r="AI60">
        <v>53</v>
      </c>
      <c r="AJ60">
        <v>-2.7441599999999999</v>
      </c>
      <c r="AK60">
        <v>1717.94</v>
      </c>
      <c r="AP60">
        <f t="shared" si="5"/>
        <v>2.9999999999999978</v>
      </c>
      <c r="AQ60">
        <v>53</v>
      </c>
      <c r="AR60">
        <v>-1.7737000000000001</v>
      </c>
      <c r="AS60">
        <v>1224.25</v>
      </c>
      <c r="AX60">
        <f t="shared" si="6"/>
        <v>2.9999999999999978</v>
      </c>
      <c r="AY60">
        <v>53</v>
      </c>
      <c r="AZ60">
        <v>5.1727699999999999</v>
      </c>
      <c r="BA60">
        <v>619.59299999999996</v>
      </c>
    </row>
    <row r="61" spans="2:53" x14ac:dyDescent="0.2">
      <c r="B61">
        <f t="shared" si="0"/>
        <v>3.0499999999999976</v>
      </c>
      <c r="C61">
        <v>54</v>
      </c>
      <c r="D61">
        <v>-2.0803799999999999</v>
      </c>
      <c r="E61">
        <v>-1772.34</v>
      </c>
      <c r="J61">
        <f t="shared" si="1"/>
        <v>3.0499999999999976</v>
      </c>
      <c r="K61">
        <v>54</v>
      </c>
      <c r="L61">
        <v>-1.38158</v>
      </c>
      <c r="M61">
        <v>-806.99699999999996</v>
      </c>
      <c r="R61">
        <f t="shared" si="2"/>
        <v>3.0499999999999976</v>
      </c>
      <c r="S61">
        <v>54</v>
      </c>
      <c r="T61">
        <v>-0.63917999999999997</v>
      </c>
      <c r="U61">
        <v>-1306.3900000000001</v>
      </c>
      <c r="Z61">
        <f t="shared" si="3"/>
        <v>3.0499999999999976</v>
      </c>
      <c r="AA61">
        <v>54</v>
      </c>
      <c r="AB61">
        <v>-4.7931999999999997</v>
      </c>
      <c r="AC61">
        <v>1196.54</v>
      </c>
      <c r="AH61">
        <f t="shared" si="4"/>
        <v>3.0499999999999976</v>
      </c>
      <c r="AI61">
        <v>54</v>
      </c>
      <c r="AJ61">
        <v>-2.8164199999999999</v>
      </c>
      <c r="AK61">
        <v>1630.36</v>
      </c>
      <c r="AP61">
        <f t="shared" si="5"/>
        <v>3.0499999999999976</v>
      </c>
      <c r="AQ61">
        <v>54</v>
      </c>
      <c r="AR61">
        <v>-1.8257000000000001</v>
      </c>
      <c r="AS61">
        <v>1183.8699999999999</v>
      </c>
      <c r="AX61">
        <f t="shared" si="6"/>
        <v>3.0499999999999976</v>
      </c>
      <c r="AY61">
        <v>54</v>
      </c>
      <c r="AZ61">
        <v>5.1455799999999998</v>
      </c>
      <c r="BA61">
        <v>640.01</v>
      </c>
    </row>
    <row r="62" spans="2:53" x14ac:dyDescent="0.2">
      <c r="B62">
        <f t="shared" si="0"/>
        <v>3.0999999999999974</v>
      </c>
      <c r="C62">
        <v>55</v>
      </c>
      <c r="D62">
        <v>-2.0056099999999999</v>
      </c>
      <c r="E62">
        <v>-1748.26</v>
      </c>
      <c r="J62">
        <f t="shared" si="1"/>
        <v>3.0999999999999974</v>
      </c>
      <c r="K62">
        <v>55</v>
      </c>
      <c r="L62">
        <v>-1.3453599999999999</v>
      </c>
      <c r="M62">
        <v>-896.17399999999998</v>
      </c>
      <c r="R62">
        <f t="shared" si="2"/>
        <v>3.0999999999999974</v>
      </c>
      <c r="S62">
        <v>55</v>
      </c>
      <c r="T62">
        <v>-0.58335599999999999</v>
      </c>
      <c r="U62">
        <v>-1321.69</v>
      </c>
      <c r="Z62">
        <f t="shared" si="3"/>
        <v>3.0999999999999974</v>
      </c>
      <c r="AA62">
        <v>55</v>
      </c>
      <c r="AB62">
        <v>-4.8424899999999997</v>
      </c>
      <c r="AC62">
        <v>1125.01</v>
      </c>
      <c r="AH62">
        <f t="shared" si="4"/>
        <v>3.0999999999999974</v>
      </c>
      <c r="AI62">
        <v>55</v>
      </c>
      <c r="AJ62">
        <v>-2.8839299999999999</v>
      </c>
      <c r="AK62">
        <v>1549.96</v>
      </c>
      <c r="AP62">
        <f t="shared" si="5"/>
        <v>3.0999999999999974</v>
      </c>
      <c r="AQ62">
        <v>55</v>
      </c>
      <c r="AR62">
        <v>-1.87507</v>
      </c>
      <c r="AS62">
        <v>1141.05</v>
      </c>
      <c r="AX62">
        <f t="shared" si="6"/>
        <v>3.0999999999999974</v>
      </c>
      <c r="AY62">
        <v>55</v>
      </c>
      <c r="AZ62">
        <v>5.1179899999999998</v>
      </c>
      <c r="BA62">
        <v>658.93299999999999</v>
      </c>
    </row>
    <row r="63" spans="2:53" x14ac:dyDescent="0.2">
      <c r="B63">
        <f t="shared" si="0"/>
        <v>3.1499999999999972</v>
      </c>
      <c r="C63">
        <v>56</v>
      </c>
      <c r="D63">
        <v>-1.9331700000000001</v>
      </c>
      <c r="E63">
        <v>-1719.48</v>
      </c>
      <c r="J63">
        <f t="shared" si="1"/>
        <v>3.1499999999999972</v>
      </c>
      <c r="K63">
        <v>56</v>
      </c>
      <c r="L63">
        <v>-1.30636</v>
      </c>
      <c r="M63">
        <v>-968.62099999999998</v>
      </c>
      <c r="R63">
        <f t="shared" si="2"/>
        <v>3.1499999999999972</v>
      </c>
      <c r="S63">
        <v>56</v>
      </c>
      <c r="T63">
        <v>-0.52794399999999997</v>
      </c>
      <c r="U63">
        <v>-1330.28</v>
      </c>
      <c r="Z63">
        <f t="shared" si="3"/>
        <v>3.1499999999999972</v>
      </c>
      <c r="AA63">
        <v>56</v>
      </c>
      <c r="AB63">
        <v>-4.8880299999999997</v>
      </c>
      <c r="AC63">
        <v>1055.3399999999999</v>
      </c>
      <c r="AH63">
        <f t="shared" si="4"/>
        <v>3.1499999999999972</v>
      </c>
      <c r="AI63">
        <v>56</v>
      </c>
      <c r="AJ63">
        <v>-2.9471099999999999</v>
      </c>
      <c r="AK63">
        <v>1475.51</v>
      </c>
      <c r="AP63">
        <f t="shared" si="5"/>
        <v>3.1499999999999972</v>
      </c>
      <c r="AQ63">
        <v>56</v>
      </c>
      <c r="AR63">
        <v>-1.92181</v>
      </c>
      <c r="AS63">
        <v>1096.3</v>
      </c>
      <c r="AX63">
        <f t="shared" si="6"/>
        <v>3.1499999999999972</v>
      </c>
      <c r="AY63">
        <v>56</v>
      </c>
      <c r="AZ63">
        <v>5.0901300000000003</v>
      </c>
      <c r="BA63">
        <v>674.10400000000004</v>
      </c>
    </row>
    <row r="64" spans="2:53" x14ac:dyDescent="0.2">
      <c r="B64">
        <f t="shared" si="0"/>
        <v>3.1999999999999971</v>
      </c>
      <c r="C64">
        <v>57</v>
      </c>
      <c r="D64">
        <v>-1.86314</v>
      </c>
      <c r="E64">
        <v>-1687.02</v>
      </c>
      <c r="J64">
        <f t="shared" si="1"/>
        <v>3.1999999999999971</v>
      </c>
      <c r="K64">
        <v>57</v>
      </c>
      <c r="L64">
        <v>-1.26532</v>
      </c>
      <c r="M64">
        <v>-1026.19</v>
      </c>
      <c r="R64">
        <f t="shared" si="2"/>
        <v>3.1999999999999971</v>
      </c>
      <c r="S64">
        <v>57</v>
      </c>
      <c r="T64">
        <v>-0.47318300000000002</v>
      </c>
      <c r="U64">
        <v>-1333.31</v>
      </c>
      <c r="Z64">
        <f t="shared" si="3"/>
        <v>3.1999999999999971</v>
      </c>
      <c r="AA64">
        <v>57</v>
      </c>
      <c r="AB64">
        <v>-4.9300199999999998</v>
      </c>
      <c r="AC64">
        <v>987.97699999999998</v>
      </c>
      <c r="AH64">
        <f t="shared" si="4"/>
        <v>3.1999999999999971</v>
      </c>
      <c r="AI64">
        <v>57</v>
      </c>
      <c r="AJ64">
        <v>-3.0063200000000001</v>
      </c>
      <c r="AK64">
        <v>1406.27</v>
      </c>
      <c r="AP64">
        <f t="shared" si="5"/>
        <v>3.1999999999999971</v>
      </c>
      <c r="AQ64">
        <v>57</v>
      </c>
      <c r="AR64">
        <v>-1.96594</v>
      </c>
      <c r="AS64">
        <v>1050.24</v>
      </c>
      <c r="AX64">
        <f t="shared" si="6"/>
        <v>3.1999999999999971</v>
      </c>
      <c r="AY64">
        <v>57</v>
      </c>
      <c r="AZ64">
        <v>5.0621999999999998</v>
      </c>
      <c r="BA64">
        <v>684.05600000000004</v>
      </c>
    </row>
    <row r="65" spans="2:53" x14ac:dyDescent="0.2">
      <c r="B65">
        <f t="shared" si="0"/>
        <v>3.2499999999999969</v>
      </c>
      <c r="C65">
        <v>58</v>
      </c>
      <c r="D65">
        <v>-1.79559</v>
      </c>
      <c r="E65">
        <v>-1651.91</v>
      </c>
      <c r="J65">
        <f t="shared" si="1"/>
        <v>3.2499999999999969</v>
      </c>
      <c r="K65">
        <v>58</v>
      </c>
      <c r="L65">
        <v>-1.2228600000000001</v>
      </c>
      <c r="M65">
        <v>-1070.76</v>
      </c>
      <c r="R65">
        <f t="shared" si="2"/>
        <v>3.2499999999999969</v>
      </c>
      <c r="S65">
        <v>58</v>
      </c>
      <c r="T65">
        <v>-0.41925699999999999</v>
      </c>
      <c r="U65">
        <v>-1331.84</v>
      </c>
      <c r="Z65">
        <f t="shared" si="3"/>
        <v>3.2499999999999969</v>
      </c>
      <c r="AA65">
        <v>58</v>
      </c>
      <c r="AB65">
        <v>-4.9686700000000004</v>
      </c>
      <c r="AC65">
        <v>923.24300000000005</v>
      </c>
      <c r="AH65">
        <f t="shared" si="4"/>
        <v>3.2499999999999969</v>
      </c>
      <c r="AI65">
        <v>58</v>
      </c>
      <c r="AJ65">
        <v>-3.0619000000000001</v>
      </c>
      <c r="AK65">
        <v>1341.93</v>
      </c>
      <c r="AP65">
        <f t="shared" si="5"/>
        <v>3.2499999999999969</v>
      </c>
      <c r="AQ65">
        <v>58</v>
      </c>
      <c r="AR65">
        <v>-2.0074800000000002</v>
      </c>
      <c r="AS65">
        <v>1003.55</v>
      </c>
      <c r="AX65">
        <f t="shared" si="6"/>
        <v>3.2499999999999969</v>
      </c>
      <c r="AY65">
        <v>58</v>
      </c>
      <c r="AZ65">
        <v>5.0344199999999999</v>
      </c>
      <c r="BA65">
        <v>688.16399999999999</v>
      </c>
    </row>
    <row r="66" spans="2:53" x14ac:dyDescent="0.2">
      <c r="B66">
        <f t="shared" si="0"/>
        <v>3.2999999999999967</v>
      </c>
      <c r="C66">
        <v>59</v>
      </c>
      <c r="D66">
        <v>-1.7305200000000001</v>
      </c>
      <c r="E66">
        <v>-1615.15</v>
      </c>
      <c r="J66">
        <f t="shared" si="1"/>
        <v>3.2999999999999967</v>
      </c>
      <c r="K66">
        <v>59</v>
      </c>
      <c r="L66">
        <v>-1.1795100000000001</v>
      </c>
      <c r="M66">
        <v>-1104.23</v>
      </c>
      <c r="R66">
        <f t="shared" si="2"/>
        <v>3.2999999999999967</v>
      </c>
      <c r="S66">
        <v>59</v>
      </c>
      <c r="T66">
        <v>-0.36629800000000001</v>
      </c>
      <c r="U66">
        <v>-1326.87</v>
      </c>
      <c r="Z66">
        <f t="shared" si="3"/>
        <v>3.2999999999999967</v>
      </c>
      <c r="AA66">
        <v>59</v>
      </c>
      <c r="AB66">
        <v>-5.0042099999999996</v>
      </c>
      <c r="AC66">
        <v>861.404</v>
      </c>
      <c r="AH66">
        <f t="shared" si="4"/>
        <v>3.2999999999999967</v>
      </c>
      <c r="AI66">
        <v>59</v>
      </c>
      <c r="AJ66">
        <v>-3.11415</v>
      </c>
      <c r="AK66">
        <v>1282.43</v>
      </c>
      <c r="AP66">
        <f t="shared" si="5"/>
        <v>3.2999999999999967</v>
      </c>
      <c r="AQ66">
        <v>59</v>
      </c>
      <c r="AR66">
        <v>-2.0465300000000002</v>
      </c>
      <c r="AS66">
        <v>956.92200000000003</v>
      </c>
      <c r="AX66">
        <f t="shared" si="6"/>
        <v>3.2999999999999967</v>
      </c>
      <c r="AY66">
        <v>59</v>
      </c>
      <c r="AZ66">
        <v>5.0070300000000003</v>
      </c>
      <c r="BA66">
        <v>686.58799999999997</v>
      </c>
    </row>
    <row r="67" spans="2:53" x14ac:dyDescent="0.2">
      <c r="B67">
        <f t="shared" si="0"/>
        <v>3.3499999999999965</v>
      </c>
      <c r="C67">
        <v>60</v>
      </c>
      <c r="D67">
        <v>-1.6678999999999999</v>
      </c>
      <c r="E67">
        <v>-1577.7</v>
      </c>
      <c r="J67">
        <f t="shared" si="1"/>
        <v>3.3499999999999965</v>
      </c>
      <c r="K67">
        <v>60</v>
      </c>
      <c r="L67">
        <v>-1.1356999999999999</v>
      </c>
      <c r="M67">
        <v>-1128.51</v>
      </c>
      <c r="R67">
        <f t="shared" si="2"/>
        <v>3.3499999999999965</v>
      </c>
      <c r="S67">
        <v>60</v>
      </c>
      <c r="T67">
        <v>-0.31439699999999998</v>
      </c>
      <c r="U67">
        <v>-1319.29</v>
      </c>
      <c r="Z67">
        <f t="shared" si="3"/>
        <v>3.3499999999999965</v>
      </c>
      <c r="AA67">
        <v>60</v>
      </c>
      <c r="AB67">
        <v>-5.0368399999999998</v>
      </c>
      <c r="AC67">
        <v>802.65300000000002</v>
      </c>
      <c r="AH67">
        <f t="shared" si="4"/>
        <v>3.3499999999999965</v>
      </c>
      <c r="AI67">
        <v>60</v>
      </c>
      <c r="AJ67">
        <v>-3.16337</v>
      </c>
      <c r="AK67">
        <v>1227.95</v>
      </c>
      <c r="AP67">
        <f t="shared" si="5"/>
        <v>3.3499999999999965</v>
      </c>
      <c r="AQ67">
        <v>60</v>
      </c>
      <c r="AR67">
        <v>-2.0831599999999999</v>
      </c>
      <c r="AS67">
        <v>911.08799999999997</v>
      </c>
      <c r="AX67">
        <f t="shared" si="6"/>
        <v>3.3499999999999965</v>
      </c>
      <c r="AY67">
        <v>60</v>
      </c>
      <c r="AZ67">
        <v>4.9802099999999996</v>
      </c>
      <c r="BA67">
        <v>680.14300000000003</v>
      </c>
    </row>
    <row r="68" spans="2:53" x14ac:dyDescent="0.2">
      <c r="B68">
        <f t="shared" si="0"/>
        <v>3.3999999999999964</v>
      </c>
      <c r="C68">
        <v>61</v>
      </c>
      <c r="D68">
        <v>-1.6076699999999999</v>
      </c>
      <c r="E68">
        <v>-1540.39</v>
      </c>
      <c r="J68">
        <f t="shared" si="1"/>
        <v>3.3999999999999964</v>
      </c>
      <c r="K68">
        <v>61</v>
      </c>
      <c r="L68">
        <v>-1.09175</v>
      </c>
      <c r="M68">
        <v>-1145.49</v>
      </c>
      <c r="R68">
        <f t="shared" si="2"/>
        <v>3.3999999999999964</v>
      </c>
      <c r="S68">
        <v>61</v>
      </c>
      <c r="T68">
        <v>-0.26360499999999998</v>
      </c>
      <c r="U68">
        <v>-1309.9100000000001</v>
      </c>
      <c r="Z68">
        <f t="shared" si="3"/>
        <v>3.3999999999999964</v>
      </c>
      <c r="AA68">
        <v>61</v>
      </c>
      <c r="AB68">
        <v>-5.0667600000000004</v>
      </c>
      <c r="AC68">
        <v>747.125</v>
      </c>
      <c r="AH68">
        <f t="shared" si="4"/>
        <v>3.3999999999999964</v>
      </c>
      <c r="AI68">
        <v>61</v>
      </c>
      <c r="AJ68">
        <v>-3.2098399999999998</v>
      </c>
      <c r="AK68">
        <v>1178.74</v>
      </c>
      <c r="AP68">
        <f t="shared" si="5"/>
        <v>3.3999999999999964</v>
      </c>
      <c r="AQ68">
        <v>61</v>
      </c>
      <c r="AR68">
        <v>-2.1175000000000002</v>
      </c>
      <c r="AS68">
        <v>866.74599999999998</v>
      </c>
      <c r="AX68">
        <f t="shared" si="6"/>
        <v>3.3999999999999964</v>
      </c>
      <c r="AY68">
        <v>61</v>
      </c>
      <c r="AZ68">
        <v>4.9541199999999996</v>
      </c>
      <c r="BA68">
        <v>670.12099999999998</v>
      </c>
    </row>
    <row r="69" spans="2:53" x14ac:dyDescent="0.2">
      <c r="B69">
        <f t="shared" si="0"/>
        <v>3.4499999999999962</v>
      </c>
      <c r="C69">
        <v>62</v>
      </c>
      <c r="D69">
        <v>-1.5497399999999999</v>
      </c>
      <c r="E69">
        <v>-1503.94</v>
      </c>
      <c r="J69">
        <f t="shared" si="1"/>
        <v>3.4499999999999962</v>
      </c>
      <c r="K69">
        <v>62</v>
      </c>
      <c r="L69">
        <v>-1.04792</v>
      </c>
      <c r="M69">
        <v>-1157</v>
      </c>
      <c r="R69">
        <f t="shared" si="2"/>
        <v>3.4499999999999962</v>
      </c>
      <c r="S69">
        <v>62</v>
      </c>
      <c r="T69">
        <v>-0.213946</v>
      </c>
      <c r="U69">
        <v>-1299.45</v>
      </c>
      <c r="Z69">
        <f t="shared" si="3"/>
        <v>3.4499999999999962</v>
      </c>
      <c r="AA69">
        <v>62</v>
      </c>
      <c r="AB69">
        <v>-5.0941999999999998</v>
      </c>
      <c r="AC69">
        <v>694.90599999999995</v>
      </c>
      <c r="AH69">
        <f t="shared" si="4"/>
        <v>3.4499999999999962</v>
      </c>
      <c r="AI69">
        <v>62</v>
      </c>
      <c r="AJ69">
        <v>-3.25386</v>
      </c>
      <c r="AK69">
        <v>1135.03</v>
      </c>
      <c r="AP69">
        <f t="shared" si="5"/>
        <v>3.4499999999999962</v>
      </c>
      <c r="AQ69">
        <v>62</v>
      </c>
      <c r="AR69">
        <v>-2.14968</v>
      </c>
      <c r="AS69">
        <v>824.55</v>
      </c>
      <c r="AX69">
        <f t="shared" si="6"/>
        <v>3.4499999999999962</v>
      </c>
      <c r="AY69">
        <v>62</v>
      </c>
      <c r="AZ69">
        <v>4.9288400000000001</v>
      </c>
      <c r="BA69">
        <v>658.09299999999996</v>
      </c>
    </row>
    <row r="70" spans="2:53" x14ac:dyDescent="0.2">
      <c r="B70">
        <f t="shared" si="0"/>
        <v>3.499999999999996</v>
      </c>
      <c r="C70">
        <v>63</v>
      </c>
      <c r="D70">
        <v>-1.494</v>
      </c>
      <c r="E70">
        <v>-1468.86</v>
      </c>
      <c r="J70">
        <f t="shared" si="1"/>
        <v>3.499999999999996</v>
      </c>
      <c r="K70">
        <v>63</v>
      </c>
      <c r="L70">
        <v>-1.0043800000000001</v>
      </c>
      <c r="M70">
        <v>-1164.73</v>
      </c>
      <c r="R70">
        <f t="shared" si="2"/>
        <v>3.499999999999996</v>
      </c>
      <c r="S70">
        <v>63</v>
      </c>
      <c r="T70">
        <v>-0.16541600000000001</v>
      </c>
      <c r="U70">
        <v>-1288.46</v>
      </c>
      <c r="Z70">
        <f t="shared" si="3"/>
        <v>3.499999999999996</v>
      </c>
      <c r="AA70">
        <v>63</v>
      </c>
      <c r="AB70">
        <v>-5.1193400000000002</v>
      </c>
      <c r="AC70">
        <v>646.03800000000001</v>
      </c>
      <c r="AH70">
        <f t="shared" si="4"/>
        <v>3.499999999999996</v>
      </c>
      <c r="AI70">
        <v>63</v>
      </c>
      <c r="AJ70">
        <v>-3.2957000000000001</v>
      </c>
      <c r="AK70">
        <v>1096.97</v>
      </c>
      <c r="AP70">
        <f t="shared" si="5"/>
        <v>3.499999999999996</v>
      </c>
      <c r="AQ70">
        <v>63</v>
      </c>
      <c r="AR70">
        <v>-2.1798500000000001</v>
      </c>
      <c r="AS70">
        <v>785.07399999999996</v>
      </c>
      <c r="AX70">
        <f t="shared" si="6"/>
        <v>3.499999999999996</v>
      </c>
      <c r="AY70">
        <v>63</v>
      </c>
      <c r="AZ70">
        <v>4.9043900000000002</v>
      </c>
      <c r="BA70">
        <v>645.70699999999999</v>
      </c>
    </row>
    <row r="71" spans="2:53" x14ac:dyDescent="0.2">
      <c r="B71">
        <f t="shared" si="0"/>
        <v>3.5499999999999958</v>
      </c>
      <c r="C71">
        <v>64</v>
      </c>
      <c r="D71">
        <v>-1.44032</v>
      </c>
      <c r="E71">
        <v>-1435.48</v>
      </c>
      <c r="J71">
        <f t="shared" si="1"/>
        <v>3.5499999999999958</v>
      </c>
      <c r="K71">
        <v>64</v>
      </c>
      <c r="L71">
        <v>-0.96121800000000002</v>
      </c>
      <c r="M71">
        <v>-1170.18</v>
      </c>
      <c r="R71">
        <f t="shared" si="2"/>
        <v>3.5499999999999958</v>
      </c>
      <c r="S71">
        <v>64</v>
      </c>
      <c r="T71">
        <v>-0.117993</v>
      </c>
      <c r="U71">
        <v>-1277.3800000000001</v>
      </c>
      <c r="Z71">
        <f t="shared" si="3"/>
        <v>3.5499999999999958</v>
      </c>
      <c r="AA71">
        <v>64</v>
      </c>
      <c r="AB71">
        <v>-5.1423699999999997</v>
      </c>
      <c r="AC71">
        <v>600.52499999999998</v>
      </c>
      <c r="AH71">
        <f t="shared" si="4"/>
        <v>3.5499999999999958</v>
      </c>
      <c r="AI71">
        <v>64</v>
      </c>
      <c r="AJ71">
        <v>-3.3356300000000001</v>
      </c>
      <c r="AK71">
        <v>1064.57</v>
      </c>
      <c r="AP71">
        <f t="shared" si="5"/>
        <v>3.5499999999999958</v>
      </c>
      <c r="AQ71">
        <v>64</v>
      </c>
      <c r="AR71">
        <v>-2.2081900000000001</v>
      </c>
      <c r="AS71">
        <v>748.78399999999999</v>
      </c>
      <c r="AX71">
        <f t="shared" si="6"/>
        <v>3.5499999999999958</v>
      </c>
      <c r="AY71">
        <v>64</v>
      </c>
      <c r="AZ71">
        <v>4.8807299999999998</v>
      </c>
      <c r="BA71">
        <v>634.51199999999994</v>
      </c>
    </row>
    <row r="72" spans="2:53" x14ac:dyDescent="0.2">
      <c r="B72">
        <f t="shared" si="0"/>
        <v>3.5999999999999956</v>
      </c>
      <c r="C72">
        <v>65</v>
      </c>
      <c r="D72">
        <v>-1.38859</v>
      </c>
      <c r="E72">
        <v>-1403.89</v>
      </c>
      <c r="J72">
        <f t="shared" si="1"/>
        <v>3.5999999999999956</v>
      </c>
      <c r="K72">
        <v>65</v>
      </c>
      <c r="L72">
        <v>-0.918493</v>
      </c>
      <c r="M72">
        <v>-1174.6500000000001</v>
      </c>
      <c r="R72">
        <f t="shared" si="2"/>
        <v>3.5999999999999956</v>
      </c>
      <c r="S72">
        <v>65</v>
      </c>
      <c r="T72">
        <v>-7.1643399999999996E-2</v>
      </c>
      <c r="U72">
        <v>-1266.49</v>
      </c>
      <c r="Z72">
        <f t="shared" si="3"/>
        <v>3.5999999999999956</v>
      </c>
      <c r="AA72">
        <v>65</v>
      </c>
      <c r="AB72">
        <v>-5.1634700000000002</v>
      </c>
      <c r="AC72">
        <v>558.34</v>
      </c>
      <c r="AH72">
        <f t="shared" si="4"/>
        <v>3.5999999999999956</v>
      </c>
      <c r="AI72">
        <v>65</v>
      </c>
      <c r="AJ72">
        <v>-3.37392</v>
      </c>
      <c r="AK72">
        <v>1037.6099999999999</v>
      </c>
      <c r="AP72">
        <f t="shared" si="5"/>
        <v>3.5999999999999956</v>
      </c>
      <c r="AQ72">
        <v>65</v>
      </c>
      <c r="AR72">
        <v>-2.2348699999999999</v>
      </c>
      <c r="AS72">
        <v>716.00599999999997</v>
      </c>
      <c r="AX72">
        <f t="shared" si="6"/>
        <v>3.5999999999999956</v>
      </c>
      <c r="AY72">
        <v>65</v>
      </c>
      <c r="AZ72">
        <v>4.85778</v>
      </c>
      <c r="BA72">
        <v>625.80700000000002</v>
      </c>
    </row>
    <row r="73" spans="2:53" x14ac:dyDescent="0.2">
      <c r="B73">
        <f t="shared" ref="B73:B107" si="7">B72+0.05</f>
        <v>3.6499999999999955</v>
      </c>
      <c r="C73">
        <v>66</v>
      </c>
      <c r="D73">
        <v>-1.3386899999999999</v>
      </c>
      <c r="E73">
        <v>-1373.95</v>
      </c>
      <c r="J73">
        <f t="shared" ref="J73:J107" si="8">J72+0.05</f>
        <v>3.6499999999999955</v>
      </c>
      <c r="K73">
        <v>66</v>
      </c>
      <c r="L73">
        <v>-0.87620699999999996</v>
      </c>
      <c r="M73">
        <v>-1179.19</v>
      </c>
      <c r="R73">
        <f t="shared" ref="R73:R107" si="9">R72+0.05</f>
        <v>3.6499999999999955</v>
      </c>
      <c r="S73">
        <v>66</v>
      </c>
      <c r="T73">
        <v>-2.6328000000000001E-2</v>
      </c>
      <c r="U73">
        <v>-1255.9100000000001</v>
      </c>
      <c r="Z73">
        <f t="shared" ref="Z73:Z107" si="10">Z72+0.05</f>
        <v>3.6499999999999955</v>
      </c>
      <c r="AA73">
        <v>66</v>
      </c>
      <c r="AB73">
        <v>-5.18283</v>
      </c>
      <c r="AC73">
        <v>519.43100000000004</v>
      </c>
      <c r="AH73">
        <f t="shared" ref="AH73:AH107" si="11">AH72+0.05</f>
        <v>3.6499999999999955</v>
      </c>
      <c r="AI73">
        <v>66</v>
      </c>
      <c r="AJ73">
        <v>-3.41079</v>
      </c>
      <c r="AK73">
        <v>1015.7</v>
      </c>
      <c r="AP73">
        <f t="shared" ref="AP73:AP107" si="12">AP72+0.05</f>
        <v>3.6499999999999955</v>
      </c>
      <c r="AQ73">
        <v>66</v>
      </c>
      <c r="AR73">
        <v>-2.2600699999999998</v>
      </c>
      <c r="AS73">
        <v>686.90499999999997</v>
      </c>
      <c r="AX73">
        <f t="shared" ref="AX73:AX107" si="13">AX72+0.05</f>
        <v>3.6499999999999955</v>
      </c>
      <c r="AY73">
        <v>66</v>
      </c>
      <c r="AZ73">
        <v>4.8353999999999999</v>
      </c>
      <c r="BA73">
        <v>620.52800000000002</v>
      </c>
    </row>
    <row r="74" spans="2:53" x14ac:dyDescent="0.2">
      <c r="B74">
        <f t="shared" si="7"/>
        <v>3.6999999999999953</v>
      </c>
      <c r="C74">
        <v>67</v>
      </c>
      <c r="D74">
        <v>-1.2905199999999999</v>
      </c>
      <c r="E74">
        <v>-1345.27</v>
      </c>
      <c r="J74">
        <f t="shared" si="8"/>
        <v>3.6999999999999953</v>
      </c>
      <c r="K74">
        <v>67</v>
      </c>
      <c r="L74">
        <v>-0.83433100000000004</v>
      </c>
      <c r="M74">
        <v>-1184.55</v>
      </c>
      <c r="R74">
        <f t="shared" si="9"/>
        <v>3.6999999999999953</v>
      </c>
      <c r="S74">
        <v>67</v>
      </c>
      <c r="T74">
        <v>1.79922E-2</v>
      </c>
      <c r="U74">
        <v>-1245.5899999999999</v>
      </c>
      <c r="Z74">
        <f t="shared" si="10"/>
        <v>3.6999999999999953</v>
      </c>
      <c r="AA74">
        <v>67</v>
      </c>
      <c r="AB74">
        <v>-5.20059</v>
      </c>
      <c r="AC74">
        <v>483.726</v>
      </c>
      <c r="AH74">
        <f t="shared" si="11"/>
        <v>3.6999999999999953</v>
      </c>
      <c r="AI74">
        <v>67</v>
      </c>
      <c r="AJ74">
        <v>-3.4464600000000001</v>
      </c>
      <c r="AK74">
        <v>998.21199999999999</v>
      </c>
      <c r="AP74">
        <f t="shared" si="12"/>
        <v>3.6999999999999953</v>
      </c>
      <c r="AQ74">
        <v>67</v>
      </c>
      <c r="AR74">
        <v>-2.2839499999999999</v>
      </c>
      <c r="AS74">
        <v>661.47299999999996</v>
      </c>
      <c r="AX74">
        <f t="shared" si="13"/>
        <v>3.6999999999999953</v>
      </c>
      <c r="AY74">
        <v>67</v>
      </c>
      <c r="AZ74">
        <v>4.8134499999999996</v>
      </c>
      <c r="BA74">
        <v>619.18100000000004</v>
      </c>
    </row>
    <row r="75" spans="2:53" x14ac:dyDescent="0.2">
      <c r="B75">
        <f t="shared" si="7"/>
        <v>3.7499999999999951</v>
      </c>
      <c r="C75">
        <v>68</v>
      </c>
      <c r="D75">
        <v>-1.2439800000000001</v>
      </c>
      <c r="E75">
        <v>-1317.29</v>
      </c>
      <c r="J75">
        <f t="shared" si="8"/>
        <v>3.7499999999999951</v>
      </c>
      <c r="K75">
        <v>68</v>
      </c>
      <c r="L75">
        <v>-0.79281500000000005</v>
      </c>
      <c r="M75">
        <v>-1191.23</v>
      </c>
      <c r="R75">
        <f t="shared" si="9"/>
        <v>3.7499999999999951</v>
      </c>
      <c r="S75">
        <v>68</v>
      </c>
      <c r="T75">
        <v>6.1350700000000001E-2</v>
      </c>
      <c r="U75">
        <v>-1235.33</v>
      </c>
      <c r="Z75">
        <f t="shared" si="10"/>
        <v>3.7499999999999951</v>
      </c>
      <c r="AA75">
        <v>68</v>
      </c>
      <c r="AB75">
        <v>-5.21692</v>
      </c>
      <c r="AC75">
        <v>451.13200000000001</v>
      </c>
      <c r="AH75">
        <f t="shared" si="11"/>
        <v>3.7499999999999951</v>
      </c>
      <c r="AI75">
        <v>68</v>
      </c>
      <c r="AJ75">
        <v>-3.4811000000000001</v>
      </c>
      <c r="AK75">
        <v>984.33299999999997</v>
      </c>
      <c r="AP75">
        <f t="shared" si="12"/>
        <v>3.7499999999999951</v>
      </c>
      <c r="AQ75">
        <v>68</v>
      </c>
      <c r="AR75">
        <v>-2.3066800000000001</v>
      </c>
      <c r="AS75">
        <v>639.51800000000003</v>
      </c>
      <c r="AX75">
        <f t="shared" si="13"/>
        <v>3.7499999999999951</v>
      </c>
      <c r="AY75">
        <v>68</v>
      </c>
      <c r="AZ75">
        <v>4.7917699999999996</v>
      </c>
      <c r="BA75">
        <v>621.80999999999995</v>
      </c>
    </row>
    <row r="76" spans="2:53" x14ac:dyDescent="0.2">
      <c r="B76">
        <f t="shared" si="7"/>
        <v>3.7999999999999949</v>
      </c>
      <c r="C76">
        <v>69</v>
      </c>
      <c r="D76">
        <v>-1.1990400000000001</v>
      </c>
      <c r="E76">
        <v>-1289.23</v>
      </c>
      <c r="J76">
        <f t="shared" si="8"/>
        <v>3.7999999999999949</v>
      </c>
      <c r="K76">
        <v>69</v>
      </c>
      <c r="L76">
        <v>-0.75160099999999996</v>
      </c>
      <c r="M76">
        <v>-1199.3900000000001</v>
      </c>
      <c r="R76">
        <f t="shared" si="9"/>
        <v>3.7999999999999949</v>
      </c>
      <c r="S76">
        <v>69</v>
      </c>
      <c r="T76">
        <v>0.10377</v>
      </c>
      <c r="U76">
        <v>-1224.8</v>
      </c>
      <c r="Z76">
        <f t="shared" si="10"/>
        <v>3.7999999999999949</v>
      </c>
      <c r="AA76">
        <v>69</v>
      </c>
      <c r="AB76">
        <v>-5.2319599999999999</v>
      </c>
      <c r="AC76">
        <v>421.54599999999999</v>
      </c>
      <c r="AH76">
        <f t="shared" si="11"/>
        <v>3.7999999999999949</v>
      </c>
      <c r="AI76">
        <v>69</v>
      </c>
      <c r="AJ76">
        <v>-3.51485</v>
      </c>
      <c r="AK76">
        <v>973.08699999999999</v>
      </c>
      <c r="AP76">
        <f t="shared" si="12"/>
        <v>3.7999999999999949</v>
      </c>
      <c r="AQ76">
        <v>69</v>
      </c>
      <c r="AR76">
        <v>-2.3283999999999998</v>
      </c>
      <c r="AS76">
        <v>620.66999999999996</v>
      </c>
      <c r="AX76">
        <f t="shared" si="13"/>
        <v>3.7999999999999949</v>
      </c>
      <c r="AY76">
        <v>69</v>
      </c>
      <c r="AZ76">
        <v>4.7702299999999997</v>
      </c>
      <c r="BA76">
        <v>628.01</v>
      </c>
    </row>
    <row r="77" spans="2:53" x14ac:dyDescent="0.2">
      <c r="B77">
        <f t="shared" si="7"/>
        <v>3.8499999999999948</v>
      </c>
      <c r="C77">
        <v>70</v>
      </c>
      <c r="D77">
        <v>-1.1556599999999999</v>
      </c>
      <c r="E77">
        <v>-1260.23</v>
      </c>
      <c r="J77">
        <f t="shared" si="8"/>
        <v>3.8499999999999948</v>
      </c>
      <c r="K77">
        <v>70</v>
      </c>
      <c r="L77">
        <v>-0.71063200000000004</v>
      </c>
      <c r="M77">
        <v>-1208.8599999999999</v>
      </c>
      <c r="R77">
        <f t="shared" si="9"/>
        <v>3.8499999999999948</v>
      </c>
      <c r="S77">
        <v>70</v>
      </c>
      <c r="T77">
        <v>0.145258</v>
      </c>
      <c r="U77">
        <v>-1213.53</v>
      </c>
      <c r="Z77">
        <f t="shared" si="10"/>
        <v>3.8499999999999948</v>
      </c>
      <c r="AA77">
        <v>70</v>
      </c>
      <c r="AB77">
        <v>-5.2458499999999999</v>
      </c>
      <c r="AC77">
        <v>394.84899999999999</v>
      </c>
      <c r="AH77">
        <f t="shared" si="11"/>
        <v>3.8499999999999948</v>
      </c>
      <c r="AI77">
        <v>70</v>
      </c>
      <c r="AJ77">
        <v>-3.54779</v>
      </c>
      <c r="AK77">
        <v>963.38599999999997</v>
      </c>
      <c r="AP77">
        <f t="shared" si="12"/>
        <v>3.8499999999999948</v>
      </c>
      <c r="AQ77">
        <v>70</v>
      </c>
      <c r="AR77">
        <v>-2.3492299999999999</v>
      </c>
      <c r="AS77">
        <v>604.4</v>
      </c>
      <c r="AX77">
        <f t="shared" si="13"/>
        <v>3.8499999999999948</v>
      </c>
      <c r="AY77">
        <v>70</v>
      </c>
      <c r="AZ77">
        <v>4.74871</v>
      </c>
      <c r="BA77">
        <v>636.98099999999999</v>
      </c>
    </row>
    <row r="78" spans="2:53" x14ac:dyDescent="0.2">
      <c r="B78">
        <f t="shared" si="7"/>
        <v>3.8999999999999946</v>
      </c>
      <c r="C78">
        <v>71</v>
      </c>
      <c r="D78">
        <v>-1.11385</v>
      </c>
      <c r="E78">
        <v>-1229.3699999999999</v>
      </c>
      <c r="J78">
        <f t="shared" si="8"/>
        <v>3.8999999999999946</v>
      </c>
      <c r="K78">
        <v>71</v>
      </c>
      <c r="L78">
        <v>-0.66986500000000004</v>
      </c>
      <c r="M78">
        <v>-1219.1400000000001</v>
      </c>
      <c r="R78">
        <f t="shared" si="9"/>
        <v>3.8999999999999946</v>
      </c>
      <c r="S78">
        <v>71</v>
      </c>
      <c r="T78">
        <v>0.185805</v>
      </c>
      <c r="U78">
        <v>-1200.98</v>
      </c>
      <c r="Z78">
        <f t="shared" si="10"/>
        <v>3.8999999999999946</v>
      </c>
      <c r="AA78">
        <v>71</v>
      </c>
      <c r="AB78">
        <v>-5.2587000000000002</v>
      </c>
      <c r="AC78">
        <v>370.91</v>
      </c>
      <c r="AH78">
        <f t="shared" si="11"/>
        <v>3.8999999999999946</v>
      </c>
      <c r="AI78">
        <v>71</v>
      </c>
      <c r="AJ78">
        <v>-3.57999</v>
      </c>
      <c r="AK78">
        <v>954.08500000000004</v>
      </c>
      <c r="AP78">
        <f t="shared" si="12"/>
        <v>3.8999999999999946</v>
      </c>
      <c r="AQ78">
        <v>71</v>
      </c>
      <c r="AR78">
        <v>-2.3692899999999999</v>
      </c>
      <c r="AS78">
        <v>590.04399999999998</v>
      </c>
      <c r="AX78">
        <f t="shared" si="13"/>
        <v>3.8999999999999946</v>
      </c>
      <c r="AY78">
        <v>71</v>
      </c>
      <c r="AZ78">
        <v>4.72715</v>
      </c>
      <c r="BA78">
        <v>647.60299999999995</v>
      </c>
    </row>
    <row r="79" spans="2:53" x14ac:dyDescent="0.2">
      <c r="B79">
        <f t="shared" si="7"/>
        <v>3.9499999999999944</v>
      </c>
      <c r="C79">
        <v>72</v>
      </c>
      <c r="D79">
        <v>-1.0736399999999999</v>
      </c>
      <c r="E79">
        <v>-1195.76</v>
      </c>
      <c r="J79">
        <f t="shared" si="8"/>
        <v>3.9499999999999944</v>
      </c>
      <c r="K79">
        <v>72</v>
      </c>
      <c r="L79">
        <v>-0.62928099999999998</v>
      </c>
      <c r="M79">
        <v>-1229.3900000000001</v>
      </c>
      <c r="R79">
        <f t="shared" si="9"/>
        <v>3.9499999999999944</v>
      </c>
      <c r="S79">
        <v>72</v>
      </c>
      <c r="T79">
        <v>0.225383</v>
      </c>
      <c r="U79">
        <v>-1186.55</v>
      </c>
      <c r="Z79">
        <f t="shared" si="10"/>
        <v>3.9499999999999944</v>
      </c>
      <c r="AA79">
        <v>72</v>
      </c>
      <c r="AB79">
        <v>-5.2706299999999997</v>
      </c>
      <c r="AC79">
        <v>349.58100000000002</v>
      </c>
      <c r="AH79">
        <f t="shared" si="11"/>
        <v>3.9499999999999944</v>
      </c>
      <c r="AI79">
        <v>72</v>
      </c>
      <c r="AJ79">
        <v>-3.61145</v>
      </c>
      <c r="AK79">
        <v>944.05600000000004</v>
      </c>
      <c r="AP79">
        <f t="shared" si="12"/>
        <v>3.9499999999999944</v>
      </c>
      <c r="AQ79">
        <v>72</v>
      </c>
      <c r="AR79">
        <v>-2.38862</v>
      </c>
      <c r="AS79">
        <v>576.84500000000003</v>
      </c>
      <c r="AX79">
        <f t="shared" si="13"/>
        <v>3.9499999999999944</v>
      </c>
      <c r="AY79">
        <v>72</v>
      </c>
      <c r="AZ79">
        <v>4.7054999999999998</v>
      </c>
      <c r="BA79">
        <v>658.548</v>
      </c>
    </row>
    <row r="80" spans="2:53" x14ac:dyDescent="0.2">
      <c r="B80">
        <f t="shared" si="7"/>
        <v>3.9999999999999942</v>
      </c>
      <c r="C80">
        <v>73</v>
      </c>
      <c r="D80">
        <v>-1.03511</v>
      </c>
      <c r="E80">
        <v>-1158.6500000000001</v>
      </c>
      <c r="J80">
        <f t="shared" si="8"/>
        <v>3.9999999999999942</v>
      </c>
      <c r="K80">
        <v>73</v>
      </c>
      <c r="L80">
        <v>-0.58889400000000003</v>
      </c>
      <c r="M80">
        <v>-1238.47</v>
      </c>
      <c r="R80">
        <f t="shared" si="9"/>
        <v>3.9999999999999942</v>
      </c>
      <c r="S80">
        <v>73</v>
      </c>
      <c r="T80">
        <v>0.26394699999999999</v>
      </c>
      <c r="U80">
        <v>-1169.7</v>
      </c>
      <c r="Z80">
        <f t="shared" si="10"/>
        <v>3.9999999999999942</v>
      </c>
      <c r="AA80">
        <v>73</v>
      </c>
      <c r="AB80">
        <v>-5.2817600000000002</v>
      </c>
      <c r="AC80">
        <v>330.7</v>
      </c>
      <c r="AH80">
        <f t="shared" si="11"/>
        <v>3.9999999999999942</v>
      </c>
      <c r="AI80">
        <v>73</v>
      </c>
      <c r="AJ80">
        <v>-3.6421600000000001</v>
      </c>
      <c r="AK80">
        <v>932.26400000000001</v>
      </c>
      <c r="AP80">
        <f t="shared" si="12"/>
        <v>3.9999999999999942</v>
      </c>
      <c r="AQ80">
        <v>73</v>
      </c>
      <c r="AR80">
        <v>-2.4072900000000002</v>
      </c>
      <c r="AS80">
        <v>564.00099999999998</v>
      </c>
      <c r="AX80">
        <f t="shared" si="13"/>
        <v>3.9999999999999942</v>
      </c>
      <c r="AY80">
        <v>73</v>
      </c>
      <c r="AZ80">
        <v>4.6837799999999996</v>
      </c>
      <c r="BA80">
        <v>668.40300000000002</v>
      </c>
    </row>
    <row r="81" spans="2:53" x14ac:dyDescent="0.2">
      <c r="B81">
        <f t="shared" si="7"/>
        <v>4.0499999999999945</v>
      </c>
      <c r="C81">
        <v>74</v>
      </c>
      <c r="D81">
        <v>-0.99831599999999998</v>
      </c>
      <c r="E81">
        <v>-1117.53</v>
      </c>
      <c r="J81">
        <f t="shared" si="8"/>
        <v>4.0499999999999945</v>
      </c>
      <c r="K81">
        <v>74</v>
      </c>
      <c r="L81">
        <v>-0.54875799999999997</v>
      </c>
      <c r="M81">
        <v>-1245.03</v>
      </c>
      <c r="R81">
        <f t="shared" si="9"/>
        <v>4.0499999999999945</v>
      </c>
      <c r="S81">
        <v>74</v>
      </c>
      <c r="T81">
        <v>0.30143599999999998</v>
      </c>
      <c r="U81">
        <v>-1149.94</v>
      </c>
      <c r="Z81">
        <f t="shared" si="10"/>
        <v>4.0499999999999945</v>
      </c>
      <c r="AA81">
        <v>74</v>
      </c>
      <c r="AB81">
        <v>-5.2921699999999996</v>
      </c>
      <c r="AC81">
        <v>314.08</v>
      </c>
      <c r="AH81">
        <f t="shared" si="11"/>
        <v>4.0499999999999945</v>
      </c>
      <c r="AI81">
        <v>74</v>
      </c>
      <c r="AJ81">
        <v>-3.6720600000000001</v>
      </c>
      <c r="AK81">
        <v>917.846</v>
      </c>
      <c r="AP81">
        <f t="shared" si="12"/>
        <v>4.0499999999999945</v>
      </c>
      <c r="AQ81">
        <v>74</v>
      </c>
      <c r="AR81">
        <v>-2.4253100000000001</v>
      </c>
      <c r="AS81">
        <v>550.72799999999995</v>
      </c>
      <c r="AX81">
        <f t="shared" si="13"/>
        <v>4.0499999999999945</v>
      </c>
      <c r="AY81">
        <v>74</v>
      </c>
      <c r="AZ81">
        <v>4.6620499999999998</v>
      </c>
      <c r="BA81">
        <v>675.81399999999996</v>
      </c>
    </row>
    <row r="82" spans="2:53" x14ac:dyDescent="0.2">
      <c r="B82">
        <f t="shared" si="7"/>
        <v>4.0999999999999943</v>
      </c>
      <c r="C82">
        <v>75</v>
      </c>
      <c r="D82">
        <v>-0.96336200000000005</v>
      </c>
      <c r="E82">
        <v>-1072.22</v>
      </c>
      <c r="J82">
        <f t="shared" si="8"/>
        <v>4.0999999999999943</v>
      </c>
      <c r="K82">
        <v>75</v>
      </c>
      <c r="L82">
        <v>-0.50897099999999995</v>
      </c>
      <c r="M82">
        <v>-1247.6199999999999</v>
      </c>
      <c r="R82">
        <f t="shared" si="9"/>
        <v>4.0999999999999943</v>
      </c>
      <c r="S82">
        <v>75</v>
      </c>
      <c r="T82">
        <v>0.33777699999999999</v>
      </c>
      <c r="U82">
        <v>-1126.97</v>
      </c>
      <c r="Z82">
        <f t="shared" si="10"/>
        <v>4.0999999999999943</v>
      </c>
      <c r="AA82">
        <v>75</v>
      </c>
      <c r="AB82">
        <v>-5.3019600000000002</v>
      </c>
      <c r="AC82">
        <v>299.51</v>
      </c>
      <c r="AH82">
        <f t="shared" si="11"/>
        <v>4.0999999999999943</v>
      </c>
      <c r="AI82">
        <v>75</v>
      </c>
      <c r="AJ82">
        <v>-3.7010800000000001</v>
      </c>
      <c r="AK82">
        <v>900.2</v>
      </c>
      <c r="AP82">
        <f t="shared" si="12"/>
        <v>4.0999999999999943</v>
      </c>
      <c r="AQ82">
        <v>75</v>
      </c>
      <c r="AR82">
        <v>-2.4426600000000001</v>
      </c>
      <c r="AS82">
        <v>536.32399999999996</v>
      </c>
      <c r="AX82">
        <f t="shared" si="13"/>
        <v>4.0999999999999943</v>
      </c>
      <c r="AY82">
        <v>75</v>
      </c>
      <c r="AZ82">
        <v>4.6404100000000001</v>
      </c>
      <c r="BA82">
        <v>679.63</v>
      </c>
    </row>
    <row r="83" spans="2:53" x14ac:dyDescent="0.2">
      <c r="B83">
        <f t="shared" si="7"/>
        <v>4.1499999999999941</v>
      </c>
      <c r="C83">
        <v>76</v>
      </c>
      <c r="D83">
        <v>-0.93032899999999996</v>
      </c>
      <c r="E83">
        <v>-1022.95</v>
      </c>
      <c r="J83">
        <f t="shared" si="8"/>
        <v>4.1499999999999941</v>
      </c>
      <c r="K83">
        <v>76</v>
      </c>
      <c r="L83">
        <v>-0.46967100000000001</v>
      </c>
      <c r="M83">
        <v>-1244.8900000000001</v>
      </c>
      <c r="R83">
        <f t="shared" si="9"/>
        <v>4.1499999999999941</v>
      </c>
      <c r="S83">
        <v>76</v>
      </c>
      <c r="T83">
        <v>0.37289800000000001</v>
      </c>
      <c r="U83">
        <v>-1100.75</v>
      </c>
      <c r="Z83">
        <f t="shared" si="10"/>
        <v>4.1499999999999941</v>
      </c>
      <c r="AA83">
        <v>76</v>
      </c>
      <c r="AB83">
        <v>-5.3111899999999999</v>
      </c>
      <c r="AC83">
        <v>286.74599999999998</v>
      </c>
      <c r="AH83">
        <f t="shared" si="11"/>
        <v>4.1499999999999941</v>
      </c>
      <c r="AI83">
        <v>76</v>
      </c>
      <c r="AJ83">
        <v>-3.7291400000000001</v>
      </c>
      <c r="AK83">
        <v>879.06</v>
      </c>
      <c r="AP83">
        <f t="shared" si="12"/>
        <v>4.1499999999999941</v>
      </c>
      <c r="AQ83">
        <v>76</v>
      </c>
      <c r="AR83">
        <v>-2.4593099999999999</v>
      </c>
      <c r="AS83">
        <v>520.23699999999997</v>
      </c>
      <c r="AX83">
        <f t="shared" si="13"/>
        <v>4.1499999999999941</v>
      </c>
      <c r="AY83">
        <v>76</v>
      </c>
      <c r="AZ83">
        <v>4.6189900000000002</v>
      </c>
      <c r="BA83">
        <v>679.04399999999998</v>
      </c>
    </row>
    <row r="84" spans="2:53" x14ac:dyDescent="0.2">
      <c r="B84">
        <f t="shared" si="7"/>
        <v>4.199999999999994</v>
      </c>
      <c r="C84">
        <v>77</v>
      </c>
      <c r="D84">
        <v>-0.89928300000000005</v>
      </c>
      <c r="E84">
        <v>-970.46199999999999</v>
      </c>
      <c r="J84">
        <f t="shared" si="8"/>
        <v>4.199999999999994</v>
      </c>
      <c r="K84">
        <v>77</v>
      </c>
      <c r="L84">
        <v>-0.431029</v>
      </c>
      <c r="M84">
        <v>-1235.82</v>
      </c>
      <c r="R84">
        <f t="shared" si="9"/>
        <v>4.199999999999994</v>
      </c>
      <c r="S84">
        <v>77</v>
      </c>
      <c r="T84">
        <v>0.40672799999999998</v>
      </c>
      <c r="U84">
        <v>-1071.53</v>
      </c>
      <c r="Z84">
        <f t="shared" si="10"/>
        <v>4.199999999999994</v>
      </c>
      <c r="AA84">
        <v>77</v>
      </c>
      <c r="AB84">
        <v>-5.3199399999999999</v>
      </c>
      <c r="AC84">
        <v>275.50799999999998</v>
      </c>
      <c r="AH84">
        <f t="shared" si="11"/>
        <v>4.199999999999994</v>
      </c>
      <c r="AI84">
        <v>77</v>
      </c>
      <c r="AJ84">
        <v>-3.7561399999999998</v>
      </c>
      <c r="AK84">
        <v>854.56500000000005</v>
      </c>
      <c r="AP84">
        <f t="shared" si="12"/>
        <v>4.199999999999994</v>
      </c>
      <c r="AQ84">
        <v>77</v>
      </c>
      <c r="AR84">
        <v>-2.4752399999999999</v>
      </c>
      <c r="AS84">
        <v>502.142</v>
      </c>
      <c r="AX84">
        <f t="shared" si="13"/>
        <v>4.199999999999994</v>
      </c>
      <c r="AY84">
        <v>77</v>
      </c>
      <c r="AZ84">
        <v>4.5979099999999997</v>
      </c>
      <c r="BA84">
        <v>673.721</v>
      </c>
    </row>
    <row r="85" spans="2:53" x14ac:dyDescent="0.2">
      <c r="B85">
        <f t="shared" si="7"/>
        <v>4.2499999999999938</v>
      </c>
      <c r="C85">
        <v>78</v>
      </c>
      <c r="D85">
        <v>-0.87025699999999995</v>
      </c>
      <c r="E85">
        <v>-916.04700000000003</v>
      </c>
      <c r="J85">
        <f t="shared" si="8"/>
        <v>4.2499999999999938</v>
      </c>
      <c r="K85">
        <v>78</v>
      </c>
      <c r="L85">
        <v>-0.39323200000000003</v>
      </c>
      <c r="M85">
        <v>-1219.97</v>
      </c>
      <c r="R85">
        <f t="shared" si="9"/>
        <v>4.2499999999999938</v>
      </c>
      <c r="S85">
        <v>78</v>
      </c>
      <c r="T85">
        <v>0.439216</v>
      </c>
      <c r="U85">
        <v>-1039.99</v>
      </c>
      <c r="Z85">
        <f t="shared" si="10"/>
        <v>4.2499999999999938</v>
      </c>
      <c r="AA85">
        <v>78</v>
      </c>
      <c r="AB85">
        <v>-5.3282600000000002</v>
      </c>
      <c r="AC85">
        <v>265.47800000000001</v>
      </c>
      <c r="AH85">
        <f t="shared" si="11"/>
        <v>4.2499999999999938</v>
      </c>
      <c r="AI85">
        <v>78</v>
      </c>
      <c r="AJ85">
        <v>-3.7820200000000002</v>
      </c>
      <c r="AK85">
        <v>827.31299999999999</v>
      </c>
      <c r="AP85">
        <f t="shared" si="12"/>
        <v>4.2499999999999938</v>
      </c>
      <c r="AQ85">
        <v>78</v>
      </c>
      <c r="AR85">
        <v>-2.49038</v>
      </c>
      <c r="AS85">
        <v>481.99799999999999</v>
      </c>
      <c r="AX85">
        <f t="shared" si="13"/>
        <v>4.2499999999999938</v>
      </c>
      <c r="AY85">
        <v>78</v>
      </c>
      <c r="AZ85">
        <v>4.5773200000000003</v>
      </c>
      <c r="BA85">
        <v>663.90499999999997</v>
      </c>
    </row>
    <row r="86" spans="2:53" x14ac:dyDescent="0.2">
      <c r="B86">
        <f t="shared" si="7"/>
        <v>4.2999999999999936</v>
      </c>
      <c r="C86">
        <v>79</v>
      </c>
      <c r="D86" s="3">
        <v>-0.84323599999999999</v>
      </c>
      <c r="E86">
        <v>-861.53800000000001</v>
      </c>
      <c r="J86">
        <f t="shared" si="8"/>
        <v>4.2999999999999936</v>
      </c>
      <c r="K86">
        <v>79</v>
      </c>
      <c r="L86">
        <v>-0.356464</v>
      </c>
      <c r="M86">
        <v>-1197.75</v>
      </c>
      <c r="R86">
        <f t="shared" si="9"/>
        <v>4.2999999999999936</v>
      </c>
      <c r="S86">
        <v>79</v>
      </c>
      <c r="T86">
        <v>0.47033900000000001</v>
      </c>
      <c r="U86">
        <v>-1007.2</v>
      </c>
      <c r="Z86">
        <f t="shared" si="10"/>
        <v>4.2999999999999936</v>
      </c>
      <c r="AA86">
        <v>79</v>
      </c>
      <c r="AB86">
        <v>-5.3361900000000002</v>
      </c>
      <c r="AC86">
        <v>256.29300000000001</v>
      </c>
      <c r="AH86">
        <f t="shared" si="11"/>
        <v>4.2999999999999936</v>
      </c>
      <c r="AI86">
        <v>79</v>
      </c>
      <c r="AJ86">
        <v>-3.8067299999999999</v>
      </c>
      <c r="AK86">
        <v>798.37599999999998</v>
      </c>
      <c r="AP86">
        <f t="shared" si="12"/>
        <v>4.2999999999999936</v>
      </c>
      <c r="AQ86">
        <v>79</v>
      </c>
      <c r="AR86">
        <v>-2.5047100000000002</v>
      </c>
      <c r="AS86">
        <v>460.10399999999998</v>
      </c>
      <c r="AX86">
        <f t="shared" si="13"/>
        <v>4.2999999999999936</v>
      </c>
      <c r="AY86">
        <v>79</v>
      </c>
      <c r="AZ86">
        <v>4.5573399999999999</v>
      </c>
      <c r="BA86">
        <v>650.48800000000006</v>
      </c>
    </row>
    <row r="87" spans="2:53" x14ac:dyDescent="0.2">
      <c r="B87">
        <f t="shared" si="7"/>
        <v>4.3499999999999934</v>
      </c>
      <c r="C87">
        <v>80</v>
      </c>
      <c r="D87">
        <v>-0.81814200000000004</v>
      </c>
      <c r="E87">
        <v>-809.28300000000002</v>
      </c>
      <c r="J87">
        <f t="shared" si="8"/>
        <v>4.3499999999999934</v>
      </c>
      <c r="K87">
        <v>80</v>
      </c>
      <c r="L87">
        <v>-0.32087300000000002</v>
      </c>
      <c r="M87">
        <v>-1170.5999999999999</v>
      </c>
      <c r="R87">
        <f t="shared" si="9"/>
        <v>4.3499999999999934</v>
      </c>
      <c r="S87">
        <v>80</v>
      </c>
      <c r="T87">
        <v>0.500112</v>
      </c>
      <c r="U87">
        <v>-974.64200000000005</v>
      </c>
      <c r="Z87">
        <f t="shared" si="10"/>
        <v>4.3499999999999934</v>
      </c>
      <c r="AA87">
        <v>80</v>
      </c>
      <c r="AB87">
        <v>-5.3437599999999996</v>
      </c>
      <c r="AC87">
        <v>247.54900000000001</v>
      </c>
      <c r="AH87">
        <f t="shared" si="11"/>
        <v>4.3499999999999934</v>
      </c>
      <c r="AI87">
        <v>80</v>
      </c>
      <c r="AJ87">
        <v>-3.8302800000000001</v>
      </c>
      <c r="AK87">
        <v>769.28099999999995</v>
      </c>
      <c r="AP87">
        <f t="shared" si="12"/>
        <v>4.3499999999999934</v>
      </c>
      <c r="AQ87">
        <v>80</v>
      </c>
      <c r="AR87">
        <v>-2.5181900000000002</v>
      </c>
      <c r="AS87">
        <v>437.12700000000001</v>
      </c>
      <c r="AX87">
        <f t="shared" si="13"/>
        <v>4.3499999999999934</v>
      </c>
      <c r="AY87">
        <v>80</v>
      </c>
      <c r="AZ87">
        <v>4.5380200000000004</v>
      </c>
      <c r="BA87">
        <v>635.02</v>
      </c>
    </row>
    <row r="88" spans="2:53" x14ac:dyDescent="0.2">
      <c r="B88">
        <f t="shared" si="7"/>
        <v>4.3999999999999932</v>
      </c>
      <c r="C88">
        <v>81</v>
      </c>
      <c r="D88">
        <v>-0.79482299999999995</v>
      </c>
      <c r="E88">
        <v>-762.03399999999999</v>
      </c>
      <c r="J88">
        <f t="shared" si="8"/>
        <v>4.3999999999999932</v>
      </c>
      <c r="K88">
        <v>81</v>
      </c>
      <c r="L88">
        <v>-0.28654099999999999</v>
      </c>
      <c r="M88">
        <v>-1141.1199999999999</v>
      </c>
      <c r="R88">
        <f t="shared" si="9"/>
        <v>4.3999999999999932</v>
      </c>
      <c r="S88">
        <v>81</v>
      </c>
      <c r="T88">
        <v>0.52859900000000004</v>
      </c>
      <c r="U88">
        <v>-944.15300000000002</v>
      </c>
      <c r="Z88">
        <f t="shared" si="10"/>
        <v>4.3999999999999932</v>
      </c>
      <c r="AA88">
        <v>81</v>
      </c>
      <c r="AB88">
        <v>-5.3509900000000004</v>
      </c>
      <c r="AC88">
        <v>238.804</v>
      </c>
      <c r="AH88">
        <f t="shared" si="11"/>
        <v>4.3999999999999932</v>
      </c>
      <c r="AI88">
        <v>81</v>
      </c>
      <c r="AJ88">
        <v>-3.8527200000000001</v>
      </c>
      <c r="AK88">
        <v>741.94100000000003</v>
      </c>
      <c r="AP88">
        <f t="shared" si="12"/>
        <v>4.3999999999999932</v>
      </c>
      <c r="AQ88">
        <v>81</v>
      </c>
      <c r="AR88">
        <v>-2.5308299999999999</v>
      </c>
      <c r="AS88">
        <v>414.09899999999999</v>
      </c>
      <c r="AX88">
        <f t="shared" si="13"/>
        <v>4.3999999999999932</v>
      </c>
      <c r="AY88">
        <v>81</v>
      </c>
      <c r="AZ88">
        <v>4.5193899999999996</v>
      </c>
      <c r="BA88">
        <v>619.66</v>
      </c>
    </row>
    <row r="89" spans="2:53" x14ac:dyDescent="0.2">
      <c r="B89">
        <f t="shared" si="7"/>
        <v>4.4499999999999931</v>
      </c>
      <c r="C89">
        <v>82</v>
      </c>
      <c r="D89">
        <v>-0.77304799999999996</v>
      </c>
      <c r="E89">
        <v>-722.76700000000005</v>
      </c>
      <c r="J89">
        <f t="shared" si="8"/>
        <v>4.4499999999999931</v>
      </c>
      <c r="K89">
        <v>82</v>
      </c>
      <c r="L89">
        <v>-0.25345800000000002</v>
      </c>
      <c r="M89">
        <v>-1112.98</v>
      </c>
      <c r="R89">
        <f t="shared" si="9"/>
        <v>4.4499999999999931</v>
      </c>
      <c r="S89">
        <v>82</v>
      </c>
      <c r="T89">
        <v>0.555921</v>
      </c>
      <c r="U89">
        <v>-917.78800000000001</v>
      </c>
      <c r="Z89">
        <f t="shared" si="10"/>
        <v>4.4499999999999931</v>
      </c>
      <c r="AA89">
        <v>82</v>
      </c>
      <c r="AB89">
        <v>-5.3578599999999996</v>
      </c>
      <c r="AC89">
        <v>229.584</v>
      </c>
      <c r="AH89">
        <f t="shared" si="11"/>
        <v>4.4499999999999931</v>
      </c>
      <c r="AI89">
        <v>82</v>
      </c>
      <c r="AJ89">
        <v>-3.8741500000000002</v>
      </c>
      <c r="AK89">
        <v>718.51700000000005</v>
      </c>
      <c r="AP89">
        <f t="shared" si="12"/>
        <v>4.4499999999999931</v>
      </c>
      <c r="AQ89">
        <v>82</v>
      </c>
      <c r="AR89">
        <v>-2.5426700000000002</v>
      </c>
      <c r="AS89">
        <v>392.37400000000002</v>
      </c>
      <c r="AX89">
        <f t="shared" si="13"/>
        <v>4.4499999999999931</v>
      </c>
      <c r="AY89">
        <v>82</v>
      </c>
      <c r="AZ89">
        <v>4.5013899999999998</v>
      </c>
      <c r="BA89">
        <v>607.03700000000003</v>
      </c>
    </row>
    <row r="90" spans="2:53" x14ac:dyDescent="0.2">
      <c r="B90">
        <f t="shared" si="7"/>
        <v>4.4999999999999929</v>
      </c>
      <c r="C90">
        <v>83</v>
      </c>
      <c r="D90">
        <v>-0.75250700000000004</v>
      </c>
      <c r="E90">
        <v>-694.41499999999996</v>
      </c>
      <c r="J90">
        <f t="shared" si="8"/>
        <v>4.4999999999999929</v>
      </c>
      <c r="K90">
        <v>83</v>
      </c>
      <c r="L90">
        <v>-0.221493</v>
      </c>
      <c r="M90">
        <v>-1090.7</v>
      </c>
      <c r="R90">
        <f t="shared" si="9"/>
        <v>4.4999999999999929</v>
      </c>
      <c r="S90">
        <v>83</v>
      </c>
      <c r="T90">
        <v>0.58225300000000002</v>
      </c>
      <c r="U90">
        <v>-897.61300000000006</v>
      </c>
      <c r="Z90">
        <f t="shared" si="10"/>
        <v>4.4999999999999929</v>
      </c>
      <c r="AA90">
        <v>83</v>
      </c>
      <c r="AB90">
        <v>-5.3643799999999997</v>
      </c>
      <c r="AC90">
        <v>219.39699999999999</v>
      </c>
      <c r="AH90">
        <f t="shared" si="11"/>
        <v>4.4999999999999929</v>
      </c>
      <c r="AI90">
        <v>83</v>
      </c>
      <c r="AJ90">
        <v>-3.8947400000000001</v>
      </c>
      <c r="AK90">
        <v>701.20699999999999</v>
      </c>
      <c r="AP90">
        <f t="shared" si="12"/>
        <v>4.4999999999999929</v>
      </c>
      <c r="AQ90">
        <v>83</v>
      </c>
      <c r="AR90">
        <v>-2.5537700000000001</v>
      </c>
      <c r="AS90">
        <v>373.52800000000002</v>
      </c>
      <c r="AX90">
        <f t="shared" si="13"/>
        <v>4.4999999999999929</v>
      </c>
      <c r="AY90">
        <v>83</v>
      </c>
      <c r="AZ90">
        <v>4.4838899999999997</v>
      </c>
      <c r="BA90">
        <v>600.00199999999995</v>
      </c>
    </row>
    <row r="91" spans="2:53" x14ac:dyDescent="0.2">
      <c r="B91">
        <f t="shared" si="7"/>
        <v>4.5499999999999927</v>
      </c>
      <c r="C91">
        <v>84</v>
      </c>
      <c r="D91">
        <v>-0.732823</v>
      </c>
      <c r="E91">
        <v>-679.48699999999997</v>
      </c>
      <c r="J91">
        <f t="shared" si="8"/>
        <v>4.5499999999999927</v>
      </c>
      <c r="K91">
        <v>84</v>
      </c>
      <c r="L91">
        <v>-0.19038099999999999</v>
      </c>
      <c r="M91">
        <v>-1079.24</v>
      </c>
      <c r="R91">
        <f t="shared" si="9"/>
        <v>4.5499999999999927</v>
      </c>
      <c r="S91">
        <v>84</v>
      </c>
      <c r="T91">
        <v>0.607823</v>
      </c>
      <c r="U91">
        <v>-885.399</v>
      </c>
      <c r="Z91">
        <f t="shared" si="10"/>
        <v>4.5499999999999927</v>
      </c>
      <c r="AA91">
        <v>84</v>
      </c>
      <c r="AB91">
        <v>-5.37052</v>
      </c>
      <c r="AC91">
        <v>207.75</v>
      </c>
      <c r="AH91">
        <f t="shared" si="11"/>
        <v>4.5499999999999927</v>
      </c>
      <c r="AI91">
        <v>84</v>
      </c>
      <c r="AJ91">
        <v>-3.9147099999999999</v>
      </c>
      <c r="AK91">
        <v>691.93799999999999</v>
      </c>
      <c r="AP91">
        <f t="shared" si="12"/>
        <v>4.5499999999999927</v>
      </c>
      <c r="AQ91">
        <v>84</v>
      </c>
      <c r="AR91">
        <v>-2.5642800000000001</v>
      </c>
      <c r="AS91">
        <v>359.19200000000001</v>
      </c>
      <c r="AX91">
        <f t="shared" si="13"/>
        <v>4.5499999999999927</v>
      </c>
      <c r="AY91">
        <v>84</v>
      </c>
      <c r="AZ91">
        <v>4.4666699999999997</v>
      </c>
      <c r="BA91">
        <v>601.27099999999996</v>
      </c>
    </row>
    <row r="92" spans="2:53" x14ac:dyDescent="0.2">
      <c r="B92">
        <f t="shared" si="7"/>
        <v>4.5999999999999925</v>
      </c>
      <c r="C92">
        <v>85</v>
      </c>
      <c r="D92">
        <v>-0.71357000000000004</v>
      </c>
      <c r="E92">
        <v>-679.577</v>
      </c>
      <c r="J92">
        <f t="shared" si="8"/>
        <v>4.5999999999999925</v>
      </c>
      <c r="K92">
        <v>85</v>
      </c>
      <c r="L92">
        <v>-0.15973000000000001</v>
      </c>
      <c r="M92">
        <v>-1083.2</v>
      </c>
      <c r="R92">
        <f t="shared" si="9"/>
        <v>4.5999999999999925</v>
      </c>
      <c r="S92">
        <v>85</v>
      </c>
      <c r="T92">
        <v>0.63288999999999995</v>
      </c>
      <c r="U92">
        <v>-882.20899999999995</v>
      </c>
      <c r="Z92">
        <f t="shared" si="10"/>
        <v>4.5999999999999925</v>
      </c>
      <c r="AA92">
        <v>85</v>
      </c>
      <c r="AB92">
        <v>-5.3762299999999996</v>
      </c>
      <c r="AC92">
        <v>194.17699999999999</v>
      </c>
      <c r="AH92">
        <f t="shared" si="11"/>
        <v>4.5999999999999925</v>
      </c>
      <c r="AI92">
        <v>85</v>
      </c>
      <c r="AJ92">
        <v>-3.9343300000000001</v>
      </c>
      <c r="AK92">
        <v>691.96100000000001</v>
      </c>
      <c r="AP92">
        <f t="shared" si="12"/>
        <v>4.5999999999999925</v>
      </c>
      <c r="AQ92">
        <v>85</v>
      </c>
      <c r="AR92">
        <v>-2.5743399999999999</v>
      </c>
      <c r="AS92">
        <v>350.803</v>
      </c>
      <c r="AX92">
        <f t="shared" si="13"/>
        <v>4.5999999999999925</v>
      </c>
      <c r="AY92">
        <v>85</v>
      </c>
      <c r="AZ92">
        <v>4.4494600000000002</v>
      </c>
      <c r="BA92">
        <v>612.91899999999998</v>
      </c>
    </row>
    <row r="93" spans="2:53" x14ac:dyDescent="0.2">
      <c r="B93">
        <f t="shared" si="7"/>
        <v>4.6499999999999924</v>
      </c>
      <c r="C93">
        <v>86</v>
      </c>
      <c r="D93">
        <v>-0.69431100000000001</v>
      </c>
      <c r="E93">
        <v>-694.71500000000003</v>
      </c>
      <c r="J93">
        <f t="shared" si="8"/>
        <v>4.6499999999999924</v>
      </c>
      <c r="K93">
        <v>86</v>
      </c>
      <c r="L93">
        <v>-0.12904499999999999</v>
      </c>
      <c r="M93">
        <v>-1105.9000000000001</v>
      </c>
      <c r="R93">
        <f t="shared" si="9"/>
        <v>4.6499999999999924</v>
      </c>
      <c r="S93">
        <v>86</v>
      </c>
      <c r="T93">
        <v>0.65771900000000005</v>
      </c>
      <c r="U93">
        <v>-887.84299999999996</v>
      </c>
      <c r="Z93">
        <f t="shared" si="10"/>
        <v>4.6499999999999924</v>
      </c>
      <c r="AA93">
        <v>86</v>
      </c>
      <c r="AB93">
        <v>-5.3814599999999997</v>
      </c>
      <c r="AC93">
        <v>178.27799999999999</v>
      </c>
      <c r="AH93">
        <f t="shared" si="11"/>
        <v>4.6499999999999924</v>
      </c>
      <c r="AI93">
        <v>86</v>
      </c>
      <c r="AJ93">
        <v>-3.9538700000000002</v>
      </c>
      <c r="AK93">
        <v>701.31299999999999</v>
      </c>
      <c r="AP93">
        <f t="shared" si="12"/>
        <v>4.6499999999999924</v>
      </c>
      <c r="AQ93">
        <v>86</v>
      </c>
      <c r="AR93">
        <v>-2.5841500000000002</v>
      </c>
      <c r="AS93">
        <v>349.26</v>
      </c>
      <c r="AX93">
        <f t="shared" si="13"/>
        <v>4.6499999999999924</v>
      </c>
      <c r="AY93">
        <v>86</v>
      </c>
      <c r="AZ93">
        <v>4.4319600000000001</v>
      </c>
      <c r="BA93">
        <v>635.726</v>
      </c>
    </row>
    <row r="94" spans="2:53" x14ac:dyDescent="0.2">
      <c r="B94">
        <f t="shared" si="7"/>
        <v>4.6999999999999922</v>
      </c>
      <c r="C94">
        <v>87</v>
      </c>
      <c r="D94">
        <v>-0.674655</v>
      </c>
      <c r="E94">
        <v>-722.55899999999997</v>
      </c>
      <c r="J94">
        <f t="shared" si="8"/>
        <v>4.6999999999999922</v>
      </c>
      <c r="K94">
        <v>87</v>
      </c>
      <c r="L94">
        <v>-9.7791000000000003E-2</v>
      </c>
      <c r="M94">
        <v>-1147.8599999999999</v>
      </c>
      <c r="R94">
        <f t="shared" si="9"/>
        <v>4.6999999999999922</v>
      </c>
      <c r="S94">
        <v>87</v>
      </c>
      <c r="T94">
        <v>0.68253699999999995</v>
      </c>
      <c r="U94">
        <v>-900.11599999999999</v>
      </c>
      <c r="Z94">
        <f t="shared" si="10"/>
        <v>4.6999999999999922</v>
      </c>
      <c r="AA94">
        <v>87</v>
      </c>
      <c r="AB94">
        <v>-5.3861699999999999</v>
      </c>
      <c r="AC94">
        <v>159.767</v>
      </c>
      <c r="AH94">
        <f t="shared" si="11"/>
        <v>4.6999999999999922</v>
      </c>
      <c r="AI94">
        <v>87</v>
      </c>
      <c r="AJ94">
        <v>-3.97357</v>
      </c>
      <c r="AK94">
        <v>718.13699999999994</v>
      </c>
      <c r="AP94">
        <f t="shared" si="12"/>
        <v>4.6999999999999922</v>
      </c>
      <c r="AQ94">
        <v>87</v>
      </c>
      <c r="AR94">
        <v>-2.5939100000000002</v>
      </c>
      <c r="AS94">
        <v>354.46</v>
      </c>
      <c r="AX94">
        <f t="shared" si="13"/>
        <v>4.6999999999999922</v>
      </c>
      <c r="AY94">
        <v>87</v>
      </c>
      <c r="AZ94">
        <v>4.4138700000000002</v>
      </c>
      <c r="BA94">
        <v>668.34100000000001</v>
      </c>
    </row>
    <row r="95" spans="2:53" x14ac:dyDescent="0.2">
      <c r="B95">
        <f t="shared" si="7"/>
        <v>4.749999999999992</v>
      </c>
      <c r="C95">
        <v>88</v>
      </c>
      <c r="D95">
        <v>-0.65432999999999997</v>
      </c>
      <c r="E95">
        <v>-757.38699999999994</v>
      </c>
      <c r="J95">
        <f t="shared" si="8"/>
        <v>4.749999999999992</v>
      </c>
      <c r="K95">
        <v>88</v>
      </c>
      <c r="L95">
        <v>-6.5496200000000004E-2</v>
      </c>
      <c r="M95">
        <v>-1204.75</v>
      </c>
      <c r="R95">
        <f t="shared" si="9"/>
        <v>4.749999999999992</v>
      </c>
      <c r="S95">
        <v>88</v>
      </c>
      <c r="T95">
        <v>0.70746299999999995</v>
      </c>
      <c r="U95">
        <v>-913.904</v>
      </c>
      <c r="Z95">
        <f t="shared" si="10"/>
        <v>4.749999999999992</v>
      </c>
      <c r="AA95">
        <v>88</v>
      </c>
      <c r="AB95">
        <v>-5.3902700000000001</v>
      </c>
      <c r="AC95">
        <v>138.535</v>
      </c>
      <c r="AH95">
        <f t="shared" si="11"/>
        <v>4.749999999999992</v>
      </c>
      <c r="AI95">
        <v>88</v>
      </c>
      <c r="AJ95">
        <v>-3.9935700000000001</v>
      </c>
      <c r="AK95">
        <v>737.83799999999997</v>
      </c>
      <c r="AP95">
        <f t="shared" si="12"/>
        <v>4.749999999999992</v>
      </c>
      <c r="AQ95">
        <v>88</v>
      </c>
      <c r="AR95">
        <v>-2.60378</v>
      </c>
      <c r="AS95">
        <v>364.70600000000002</v>
      </c>
      <c r="AX95">
        <f t="shared" si="13"/>
        <v>4.749999999999992</v>
      </c>
      <c r="AY95">
        <v>88</v>
      </c>
      <c r="AZ95">
        <v>4.39499</v>
      </c>
      <c r="BA95">
        <v>706.24400000000003</v>
      </c>
    </row>
    <row r="96" spans="2:53" x14ac:dyDescent="0.2">
      <c r="B96">
        <f t="shared" si="7"/>
        <v>4.7999999999999918</v>
      </c>
      <c r="C96">
        <v>89</v>
      </c>
      <c r="D96">
        <v>-0.63329000000000002</v>
      </c>
      <c r="E96">
        <v>-788.85500000000002</v>
      </c>
      <c r="J96">
        <f t="shared" si="8"/>
        <v>4.7999999999999918</v>
      </c>
      <c r="K96">
        <v>89</v>
      </c>
      <c r="L96">
        <v>-3.19201E-2</v>
      </c>
      <c r="M96">
        <v>-1264.3699999999999</v>
      </c>
      <c r="R96">
        <f t="shared" si="9"/>
        <v>4.7999999999999918</v>
      </c>
      <c r="S96">
        <v>89</v>
      </c>
      <c r="T96">
        <v>0.73242099999999999</v>
      </c>
      <c r="U96">
        <v>-919.91600000000005</v>
      </c>
      <c r="Z96">
        <f t="shared" si="10"/>
        <v>4.7999999999999918</v>
      </c>
      <c r="AA96">
        <v>89</v>
      </c>
      <c r="AB96">
        <v>-5.3937200000000001</v>
      </c>
      <c r="AC96">
        <v>114.746</v>
      </c>
      <c r="AH96">
        <f t="shared" si="11"/>
        <v>4.7999999999999918</v>
      </c>
      <c r="AI96">
        <v>89</v>
      </c>
      <c r="AJ96">
        <v>-4.0138499999999997</v>
      </c>
      <c r="AK96">
        <v>752.03099999999995</v>
      </c>
      <c r="AP96">
        <f t="shared" si="12"/>
        <v>4.7999999999999918</v>
      </c>
      <c r="AQ96">
        <v>89</v>
      </c>
      <c r="AR96">
        <v>-2.6138499999999998</v>
      </c>
      <c r="AS96">
        <v>375.92899999999997</v>
      </c>
      <c r="AX96">
        <f t="shared" si="13"/>
        <v>4.7999999999999918</v>
      </c>
      <c r="AY96">
        <v>89</v>
      </c>
      <c r="AZ96">
        <v>4.3753099999999998</v>
      </c>
      <c r="BA96">
        <v>740.46100000000001</v>
      </c>
    </row>
    <row r="97" spans="2:53" x14ac:dyDescent="0.2">
      <c r="B97">
        <f t="shared" si="7"/>
        <v>4.8499999999999917</v>
      </c>
      <c r="C97">
        <v>90</v>
      </c>
      <c r="D97">
        <v>-0.61184499999999997</v>
      </c>
      <c r="E97">
        <v>-800.50599999999997</v>
      </c>
      <c r="J97">
        <f t="shared" si="8"/>
        <v>4.8499999999999917</v>
      </c>
      <c r="K97">
        <v>90</v>
      </c>
      <c r="L97">
        <v>2.6884999999999999E-3</v>
      </c>
      <c r="M97">
        <v>-1302.25</v>
      </c>
      <c r="R97">
        <f t="shared" si="9"/>
        <v>4.8499999999999917</v>
      </c>
      <c r="S97">
        <v>90</v>
      </c>
      <c r="T97">
        <v>0.75701499999999999</v>
      </c>
      <c r="U97">
        <v>-903.13400000000001</v>
      </c>
      <c r="Z97">
        <f t="shared" si="10"/>
        <v>4.8499999999999917</v>
      </c>
      <c r="AA97">
        <v>90</v>
      </c>
      <c r="AB97">
        <v>-5.3964600000000003</v>
      </c>
      <c r="AC97">
        <v>88.944100000000006</v>
      </c>
      <c r="AH97">
        <f t="shared" si="11"/>
        <v>4.8499999999999917</v>
      </c>
      <c r="AI97">
        <v>90</v>
      </c>
      <c r="AJ97">
        <v>-4.0340699999999998</v>
      </c>
      <c r="AK97">
        <v>747.26900000000001</v>
      </c>
      <c r="AP97">
        <f t="shared" si="12"/>
        <v>4.8499999999999917</v>
      </c>
      <c r="AQ97">
        <v>90</v>
      </c>
      <c r="AR97">
        <v>-2.6240600000000001</v>
      </c>
      <c r="AS97">
        <v>380.73099999999999</v>
      </c>
      <c r="AX97">
        <f t="shared" si="13"/>
        <v>4.8499999999999917</v>
      </c>
      <c r="AY97">
        <v>90</v>
      </c>
      <c r="AZ97">
        <v>4.3551200000000003</v>
      </c>
      <c r="BA97">
        <v>755.97900000000004</v>
      </c>
    </row>
    <row r="98" spans="2:53" x14ac:dyDescent="0.2">
      <c r="B98">
        <f t="shared" si="7"/>
        <v>4.8999999999999915</v>
      </c>
      <c r="C98">
        <v>91</v>
      </c>
      <c r="D98">
        <v>-0.59083399999999997</v>
      </c>
      <c r="E98">
        <v>-768</v>
      </c>
      <c r="J98">
        <f t="shared" si="8"/>
        <v>4.8999999999999915</v>
      </c>
      <c r="K98">
        <v>91</v>
      </c>
      <c r="L98">
        <v>3.7213400000000001E-2</v>
      </c>
      <c r="M98">
        <v>-1275.99</v>
      </c>
      <c r="R98">
        <f t="shared" si="9"/>
        <v>4.8999999999999915</v>
      </c>
      <c r="S98">
        <v>91</v>
      </c>
      <c r="T98">
        <v>0.78036399999999995</v>
      </c>
      <c r="U98">
        <v>-840.91499999999996</v>
      </c>
      <c r="Z98">
        <f t="shared" si="10"/>
        <v>4.8999999999999915</v>
      </c>
      <c r="AA98">
        <v>91</v>
      </c>
      <c r="AB98">
        <v>-5.3984800000000002</v>
      </c>
      <c r="AC98">
        <v>62.2102</v>
      </c>
      <c r="AH98">
        <f t="shared" si="11"/>
        <v>4.8999999999999915</v>
      </c>
      <c r="AI98">
        <v>91</v>
      </c>
      <c r="AJ98">
        <v>-4.0534999999999997</v>
      </c>
      <c r="AK98">
        <v>703.51499999999999</v>
      </c>
      <c r="AP98">
        <f t="shared" si="12"/>
        <v>4.8999999999999915</v>
      </c>
      <c r="AQ98">
        <v>91</v>
      </c>
      <c r="AR98">
        <v>-2.6340699999999999</v>
      </c>
      <c r="AS98">
        <v>367.19799999999998</v>
      </c>
      <c r="AX98">
        <f t="shared" si="13"/>
        <v>4.8999999999999915</v>
      </c>
      <c r="AY98">
        <v>91</v>
      </c>
      <c r="AZ98">
        <v>4.33521</v>
      </c>
      <c r="BA98">
        <v>729.81299999999999</v>
      </c>
    </row>
    <row r="99" spans="2:53" x14ac:dyDescent="0.2">
      <c r="B99">
        <f t="shared" si="7"/>
        <v>4.9499999999999913</v>
      </c>
      <c r="C99">
        <v>92</v>
      </c>
      <c r="D99">
        <v>-0.57183899999999999</v>
      </c>
      <c r="E99">
        <v>-657.08699999999999</v>
      </c>
      <c r="J99">
        <f t="shared" si="8"/>
        <v>4.9499999999999913</v>
      </c>
      <c r="K99">
        <v>92</v>
      </c>
      <c r="L99">
        <v>6.9146399999999997E-2</v>
      </c>
      <c r="M99">
        <v>-1118.6600000000001</v>
      </c>
      <c r="R99">
        <f t="shared" si="9"/>
        <v>4.9499999999999913</v>
      </c>
      <c r="S99">
        <v>92</v>
      </c>
      <c r="T99">
        <v>0.80089399999999999</v>
      </c>
      <c r="U99">
        <v>-700.91600000000005</v>
      </c>
      <c r="Z99">
        <f t="shared" si="10"/>
        <v>4.9499999999999913</v>
      </c>
      <c r="AA99">
        <v>92</v>
      </c>
      <c r="AB99">
        <v>-5.3997700000000002</v>
      </c>
      <c r="AC99">
        <v>36.363599999999998</v>
      </c>
      <c r="AH99">
        <f t="shared" si="11"/>
        <v>4.9499999999999913</v>
      </c>
      <c r="AI99">
        <v>92</v>
      </c>
      <c r="AJ99">
        <v>-4.0707599999999999</v>
      </c>
      <c r="AK99">
        <v>592.35199999999998</v>
      </c>
      <c r="AP99">
        <f t="shared" si="12"/>
        <v>4.9499999999999913</v>
      </c>
      <c r="AQ99">
        <v>92</v>
      </c>
      <c r="AR99">
        <v>-2.6432000000000002</v>
      </c>
      <c r="AS99">
        <v>317.50299999999999</v>
      </c>
      <c r="AX99">
        <f t="shared" si="13"/>
        <v>4.9499999999999913</v>
      </c>
      <c r="AY99">
        <v>92</v>
      </c>
      <c r="AZ99">
        <v>4.3170999999999999</v>
      </c>
      <c r="BA99">
        <v>628.66499999999996</v>
      </c>
    </row>
    <row r="100" spans="2:53" x14ac:dyDescent="0.2">
      <c r="B100">
        <f t="shared" si="7"/>
        <v>4.9999999999999911</v>
      </c>
      <c r="C100">
        <v>93</v>
      </c>
      <c r="D100">
        <v>-0.55743900000000002</v>
      </c>
      <c r="E100">
        <v>-421.36799999999999</v>
      </c>
      <c r="J100">
        <f t="shared" si="8"/>
        <v>4.9999999999999911</v>
      </c>
      <c r="K100">
        <v>93</v>
      </c>
      <c r="L100">
        <v>9.3933900000000001E-2</v>
      </c>
      <c r="M100">
        <v>-734.01499999999999</v>
      </c>
      <c r="R100">
        <f t="shared" si="9"/>
        <v>4.9999999999999911</v>
      </c>
      <c r="S100">
        <v>93</v>
      </c>
      <c r="T100">
        <v>0.81608899999999995</v>
      </c>
      <c r="U100">
        <v>-439.26400000000001</v>
      </c>
      <c r="Z100">
        <f t="shared" si="10"/>
        <v>4.9999999999999911</v>
      </c>
      <c r="AA100">
        <v>93</v>
      </c>
      <c r="AB100">
        <v>-5.4004200000000004</v>
      </c>
      <c r="AC100">
        <v>14.229799999999999</v>
      </c>
      <c r="AH100">
        <f t="shared" si="11"/>
        <v>4.9999999999999911</v>
      </c>
      <c r="AI100">
        <v>93</v>
      </c>
      <c r="AJ100">
        <v>-4.0836600000000001</v>
      </c>
      <c r="AK100">
        <v>374.96499999999997</v>
      </c>
      <c r="AP100">
        <f t="shared" si="12"/>
        <v>4.9999999999999911</v>
      </c>
      <c r="AQ100">
        <v>93</v>
      </c>
      <c r="AR100">
        <v>-2.6501999999999999</v>
      </c>
      <c r="AS100">
        <v>206.416</v>
      </c>
      <c r="AX100">
        <f t="shared" si="13"/>
        <v>4.9999999999999911</v>
      </c>
      <c r="AY100">
        <v>93</v>
      </c>
      <c r="AZ100">
        <v>4.30328</v>
      </c>
      <c r="BA100">
        <v>406.18700000000001</v>
      </c>
    </row>
    <row r="101" spans="2:53" x14ac:dyDescent="0.2">
      <c r="B101">
        <f t="shared" si="7"/>
        <v>5.0499999999999909</v>
      </c>
      <c r="C101">
        <v>94</v>
      </c>
      <c r="D101">
        <v>-0.55151399999999995</v>
      </c>
      <c r="E101" s="3">
        <v>-1.7218500000000001E-10</v>
      </c>
      <c r="J101">
        <f t="shared" si="8"/>
        <v>5.0499999999999909</v>
      </c>
      <c r="K101">
        <v>94</v>
      </c>
      <c r="L101">
        <v>0.10431799999999999</v>
      </c>
      <c r="M101" s="3">
        <v>-3.04418E-10</v>
      </c>
      <c r="R101">
        <f t="shared" si="9"/>
        <v>5.0499999999999909</v>
      </c>
      <c r="S101">
        <v>94</v>
      </c>
      <c r="T101">
        <v>0.82221900000000003</v>
      </c>
      <c r="U101" s="3">
        <v>-1.7566500000000001E-10</v>
      </c>
      <c r="Z101">
        <f t="shared" si="10"/>
        <v>5.0499999999999909</v>
      </c>
      <c r="AA101">
        <v>94</v>
      </c>
      <c r="AB101">
        <v>-5.4005799999999997</v>
      </c>
      <c r="AC101" s="3">
        <v>2.7011900000000001E-12</v>
      </c>
      <c r="AH101">
        <f t="shared" si="11"/>
        <v>5.0499999999999909</v>
      </c>
      <c r="AI101">
        <v>94</v>
      </c>
      <c r="AJ101">
        <v>-4.0889199999999999</v>
      </c>
      <c r="AK101" s="3">
        <v>1.5169200000000001E-10</v>
      </c>
      <c r="AP101">
        <f t="shared" si="12"/>
        <v>5.0499999999999909</v>
      </c>
      <c r="AQ101">
        <v>94</v>
      </c>
      <c r="AR101">
        <v>-2.6531099999999999</v>
      </c>
      <c r="AS101" s="3">
        <v>8.5600600000000004E-11</v>
      </c>
      <c r="AX101">
        <f t="shared" si="13"/>
        <v>5.0499999999999909</v>
      </c>
      <c r="AY101">
        <v>94</v>
      </c>
      <c r="AZ101">
        <v>4.2975500000000002</v>
      </c>
      <c r="BA101" s="3">
        <v>1.6736E-10</v>
      </c>
    </row>
    <row r="102" spans="2:53" x14ac:dyDescent="0.2">
      <c r="B102">
        <f t="shared" si="7"/>
        <v>5.0999999999999908</v>
      </c>
      <c r="C102">
        <v>95</v>
      </c>
      <c r="D102">
        <v>-0.55151399999999995</v>
      </c>
      <c r="E102">
        <v>0</v>
      </c>
      <c r="J102">
        <f t="shared" si="8"/>
        <v>5.0999999999999908</v>
      </c>
      <c r="K102">
        <v>95</v>
      </c>
      <c r="L102">
        <v>0.10431799999999999</v>
      </c>
      <c r="M102">
        <v>0</v>
      </c>
      <c r="R102">
        <f t="shared" si="9"/>
        <v>5.0999999999999908</v>
      </c>
      <c r="S102">
        <v>95</v>
      </c>
      <c r="T102">
        <v>0.82221900000000003</v>
      </c>
      <c r="U102">
        <v>0</v>
      </c>
      <c r="Z102">
        <f t="shared" si="10"/>
        <v>5.0999999999999908</v>
      </c>
      <c r="AA102">
        <v>95</v>
      </c>
      <c r="AB102">
        <v>-5.4005799999999997</v>
      </c>
      <c r="AC102">
        <v>0</v>
      </c>
      <c r="AH102">
        <f t="shared" si="11"/>
        <v>5.0999999999999908</v>
      </c>
      <c r="AI102">
        <v>95</v>
      </c>
      <c r="AJ102">
        <v>-4.0889199999999999</v>
      </c>
      <c r="AK102">
        <v>0</v>
      </c>
      <c r="AP102">
        <f t="shared" si="12"/>
        <v>5.0999999999999908</v>
      </c>
      <c r="AQ102">
        <v>95</v>
      </c>
      <c r="AR102">
        <v>-2.6531099999999999</v>
      </c>
      <c r="AS102">
        <v>0</v>
      </c>
      <c r="AX102">
        <f t="shared" si="13"/>
        <v>5.0999999999999908</v>
      </c>
      <c r="AY102">
        <v>95</v>
      </c>
      <c r="AZ102">
        <v>4.2975500000000002</v>
      </c>
      <c r="BA102">
        <v>0</v>
      </c>
    </row>
    <row r="103" spans="2:53" x14ac:dyDescent="0.2">
      <c r="B103">
        <f t="shared" si="7"/>
        <v>5.1499999999999906</v>
      </c>
      <c r="C103">
        <v>96</v>
      </c>
      <c r="D103">
        <v>-0.55151399999999995</v>
      </c>
      <c r="E103">
        <v>0</v>
      </c>
      <c r="J103">
        <f t="shared" si="8"/>
        <v>5.1499999999999906</v>
      </c>
      <c r="K103">
        <v>96</v>
      </c>
      <c r="L103">
        <v>0.10431799999999999</v>
      </c>
      <c r="M103">
        <v>0</v>
      </c>
      <c r="R103">
        <f t="shared" si="9"/>
        <v>5.1499999999999906</v>
      </c>
      <c r="S103">
        <v>96</v>
      </c>
      <c r="T103">
        <v>0.82221900000000003</v>
      </c>
      <c r="U103">
        <v>0</v>
      </c>
      <c r="Z103">
        <f t="shared" si="10"/>
        <v>5.1499999999999906</v>
      </c>
      <c r="AA103">
        <v>96</v>
      </c>
      <c r="AB103">
        <v>-5.4005799999999997</v>
      </c>
      <c r="AC103">
        <v>0</v>
      </c>
      <c r="AH103">
        <f t="shared" si="11"/>
        <v>5.1499999999999906</v>
      </c>
      <c r="AI103">
        <v>96</v>
      </c>
      <c r="AJ103">
        <v>-4.0889199999999999</v>
      </c>
      <c r="AK103">
        <v>0</v>
      </c>
      <c r="AP103">
        <f t="shared" si="12"/>
        <v>5.1499999999999906</v>
      </c>
      <c r="AQ103">
        <v>96</v>
      </c>
      <c r="AR103">
        <v>-2.6531099999999999</v>
      </c>
      <c r="AS103">
        <v>0</v>
      </c>
      <c r="AX103">
        <f t="shared" si="13"/>
        <v>5.1499999999999906</v>
      </c>
      <c r="AY103">
        <v>96</v>
      </c>
      <c r="AZ103">
        <v>4.2975500000000002</v>
      </c>
      <c r="BA103">
        <v>0</v>
      </c>
    </row>
    <row r="104" spans="2:53" x14ac:dyDescent="0.2">
      <c r="B104">
        <f t="shared" si="7"/>
        <v>5.1999999999999904</v>
      </c>
      <c r="C104">
        <v>97</v>
      </c>
      <c r="D104">
        <v>-0.55151399999999995</v>
      </c>
      <c r="E104">
        <v>0</v>
      </c>
      <c r="J104">
        <f t="shared" si="8"/>
        <v>5.1999999999999904</v>
      </c>
      <c r="K104">
        <v>97</v>
      </c>
      <c r="L104">
        <v>0.10431799999999999</v>
      </c>
      <c r="M104">
        <v>0</v>
      </c>
      <c r="R104">
        <f t="shared" si="9"/>
        <v>5.1999999999999904</v>
      </c>
      <c r="S104">
        <v>97</v>
      </c>
      <c r="T104">
        <v>0.82221900000000003</v>
      </c>
      <c r="U104">
        <v>0</v>
      </c>
      <c r="Z104">
        <f t="shared" si="10"/>
        <v>5.1999999999999904</v>
      </c>
      <c r="AA104">
        <v>97</v>
      </c>
      <c r="AB104">
        <v>-5.4005799999999997</v>
      </c>
      <c r="AC104">
        <v>0</v>
      </c>
      <c r="AH104">
        <f t="shared" si="11"/>
        <v>5.1999999999999904</v>
      </c>
      <c r="AI104">
        <v>97</v>
      </c>
      <c r="AJ104">
        <v>-4.0889199999999999</v>
      </c>
      <c r="AK104">
        <v>0</v>
      </c>
      <c r="AP104">
        <f t="shared" si="12"/>
        <v>5.1999999999999904</v>
      </c>
      <c r="AQ104">
        <v>97</v>
      </c>
      <c r="AR104">
        <v>-2.6531099999999999</v>
      </c>
      <c r="AS104">
        <v>0</v>
      </c>
      <c r="AX104">
        <f t="shared" si="13"/>
        <v>5.1999999999999904</v>
      </c>
      <c r="AY104">
        <v>97</v>
      </c>
      <c r="AZ104">
        <v>4.2975500000000002</v>
      </c>
      <c r="BA104">
        <v>0</v>
      </c>
    </row>
    <row r="105" spans="2:53" x14ac:dyDescent="0.2">
      <c r="B105">
        <f t="shared" si="7"/>
        <v>5.2499999999999902</v>
      </c>
      <c r="C105">
        <v>98</v>
      </c>
      <c r="D105">
        <v>-0.55151399999999995</v>
      </c>
      <c r="E105">
        <v>0</v>
      </c>
      <c r="J105">
        <f t="shared" si="8"/>
        <v>5.2499999999999902</v>
      </c>
      <c r="K105">
        <v>98</v>
      </c>
      <c r="L105">
        <v>0.10431799999999999</v>
      </c>
      <c r="M105">
        <v>0</v>
      </c>
      <c r="R105">
        <f t="shared" si="9"/>
        <v>5.2499999999999902</v>
      </c>
      <c r="S105">
        <v>98</v>
      </c>
      <c r="T105">
        <v>0.82221900000000003</v>
      </c>
      <c r="U105">
        <v>0</v>
      </c>
      <c r="Z105">
        <f t="shared" si="10"/>
        <v>5.2499999999999902</v>
      </c>
      <c r="AA105">
        <v>98</v>
      </c>
      <c r="AB105">
        <v>-5.4005799999999997</v>
      </c>
      <c r="AC105">
        <v>0</v>
      </c>
      <c r="AH105">
        <f t="shared" si="11"/>
        <v>5.2499999999999902</v>
      </c>
      <c r="AI105">
        <v>98</v>
      </c>
      <c r="AJ105">
        <v>-4.0889199999999999</v>
      </c>
      <c r="AK105">
        <v>0</v>
      </c>
      <c r="AP105">
        <f t="shared" si="12"/>
        <v>5.2499999999999902</v>
      </c>
      <c r="AQ105">
        <v>98</v>
      </c>
      <c r="AR105">
        <v>-2.6531099999999999</v>
      </c>
      <c r="AS105">
        <v>0</v>
      </c>
      <c r="AX105">
        <f t="shared" si="13"/>
        <v>5.2499999999999902</v>
      </c>
      <c r="AY105">
        <v>98</v>
      </c>
      <c r="AZ105">
        <v>4.2975500000000002</v>
      </c>
      <c r="BA105">
        <v>0</v>
      </c>
    </row>
    <row r="106" spans="2:53" x14ac:dyDescent="0.2">
      <c r="B106">
        <f t="shared" si="7"/>
        <v>5.2999999999999901</v>
      </c>
      <c r="C106">
        <v>99</v>
      </c>
      <c r="D106">
        <v>-0.55151399999999995</v>
      </c>
      <c r="E106">
        <v>0</v>
      </c>
      <c r="J106">
        <f t="shared" si="8"/>
        <v>5.2999999999999901</v>
      </c>
      <c r="K106">
        <v>99</v>
      </c>
      <c r="L106">
        <v>0.10431799999999999</v>
      </c>
      <c r="M106">
        <v>0</v>
      </c>
      <c r="R106">
        <f t="shared" si="9"/>
        <v>5.2999999999999901</v>
      </c>
      <c r="S106">
        <v>99</v>
      </c>
      <c r="T106">
        <v>0.82221900000000003</v>
      </c>
      <c r="U106">
        <v>0</v>
      </c>
      <c r="Z106">
        <f t="shared" si="10"/>
        <v>5.2999999999999901</v>
      </c>
      <c r="AA106">
        <v>99</v>
      </c>
      <c r="AB106">
        <v>-5.4005799999999997</v>
      </c>
      <c r="AC106">
        <v>0</v>
      </c>
      <c r="AH106">
        <f t="shared" si="11"/>
        <v>5.2999999999999901</v>
      </c>
      <c r="AI106">
        <v>99</v>
      </c>
      <c r="AJ106">
        <v>-4.0889199999999999</v>
      </c>
      <c r="AK106">
        <v>0</v>
      </c>
      <c r="AP106">
        <f t="shared" si="12"/>
        <v>5.2999999999999901</v>
      </c>
      <c r="AQ106">
        <v>99</v>
      </c>
      <c r="AR106">
        <v>-2.6531099999999999</v>
      </c>
      <c r="AS106">
        <v>0</v>
      </c>
      <c r="AX106">
        <f t="shared" si="13"/>
        <v>5.2999999999999901</v>
      </c>
      <c r="AY106">
        <v>99</v>
      </c>
      <c r="AZ106">
        <v>4.2975500000000002</v>
      </c>
      <c r="BA106">
        <v>0</v>
      </c>
    </row>
    <row r="107" spans="2:53" x14ac:dyDescent="0.2">
      <c r="B107">
        <f t="shared" si="7"/>
        <v>5.3499999999999899</v>
      </c>
      <c r="C107">
        <v>100</v>
      </c>
      <c r="D107">
        <v>-0.55151399999999995</v>
      </c>
      <c r="E107">
        <v>0</v>
      </c>
      <c r="J107">
        <f t="shared" si="8"/>
        <v>5.3499999999999899</v>
      </c>
      <c r="K107">
        <v>100</v>
      </c>
      <c r="L107">
        <v>0.10431799999999999</v>
      </c>
      <c r="M107">
        <v>0</v>
      </c>
      <c r="R107">
        <f t="shared" si="9"/>
        <v>5.3499999999999899</v>
      </c>
      <c r="S107">
        <v>100</v>
      </c>
      <c r="T107">
        <v>0.82221900000000003</v>
      </c>
      <c r="U107">
        <v>0</v>
      </c>
      <c r="Z107">
        <f t="shared" si="10"/>
        <v>5.3499999999999899</v>
      </c>
      <c r="AA107">
        <v>100</v>
      </c>
      <c r="AB107">
        <v>-5.4005799999999997</v>
      </c>
      <c r="AC107">
        <v>0</v>
      </c>
      <c r="AH107">
        <f t="shared" si="11"/>
        <v>5.3499999999999899</v>
      </c>
      <c r="AI107">
        <v>100</v>
      </c>
      <c r="AJ107">
        <v>-4.0889199999999999</v>
      </c>
      <c r="AK107">
        <v>0</v>
      </c>
      <c r="AP107">
        <f t="shared" si="12"/>
        <v>5.3499999999999899</v>
      </c>
      <c r="AQ107">
        <v>100</v>
      </c>
      <c r="AR107">
        <v>-2.6531099999999999</v>
      </c>
      <c r="AS107">
        <v>0</v>
      </c>
      <c r="AX107">
        <f t="shared" si="13"/>
        <v>5.3499999999999899</v>
      </c>
      <c r="AY107">
        <v>100</v>
      </c>
      <c r="AZ107">
        <v>4.2975500000000002</v>
      </c>
      <c r="BA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LiKNaCl MTP 14B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2025-10-30T21:03:51Z</dcterms:modified>
</cp:coreProperties>
</file>