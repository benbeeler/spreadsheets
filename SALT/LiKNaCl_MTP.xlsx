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FE9DAEED-76B9-A446-ACAC-7F591548A41E}" xr6:coauthVersionLast="47" xr6:coauthVersionMax="47" xr10:uidLastSave="{00000000-0000-0000-0000-000000000000}"/>
  <bookViews>
    <workbookView xWindow="5540" yWindow="5720" windowWidth="27640" windowHeight="16020" activeTab="1" xr2:uid="{263A2D24-7DC2-114A-B34B-DF7FAD104BF4}"/>
  </bookViews>
  <sheets>
    <sheet name="LiKNaCl MTP 14B" sheetId="1" r:id="rId1"/>
    <sheet name="LiCl-KCl" sheetId="3" r:id="rId2"/>
    <sheet name="dimer EvsR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3" l="1"/>
  <c r="L12" i="3"/>
  <c r="M12" i="3"/>
  <c r="N12" i="3"/>
  <c r="L13" i="3"/>
  <c r="M13" i="3" s="1"/>
  <c r="N13" i="3"/>
  <c r="L14" i="3"/>
  <c r="M14" i="3" s="1"/>
  <c r="N14" i="3"/>
  <c r="L15" i="3"/>
  <c r="M15" i="3"/>
  <c r="N15" i="3"/>
  <c r="B12" i="3"/>
  <c r="B13" i="3"/>
  <c r="B14" i="3"/>
  <c r="B15" i="3"/>
  <c r="O34" i="1" l="1"/>
  <c r="O12" i="1"/>
  <c r="B8" i="3"/>
  <c r="B9" i="3"/>
  <c r="B10" i="3"/>
  <c r="B11" i="3"/>
  <c r="B7" i="3"/>
  <c r="L11" i="3"/>
  <c r="M11" i="3"/>
  <c r="M10" i="3"/>
  <c r="L9" i="3"/>
  <c r="M9" i="3" s="1"/>
  <c r="N9" i="3"/>
  <c r="L10" i="3"/>
  <c r="N10" i="3"/>
  <c r="L8" i="3"/>
  <c r="M8" i="3"/>
  <c r="N8" i="3"/>
  <c r="N7" i="3"/>
  <c r="M7" i="3"/>
  <c r="L7" i="3"/>
  <c r="Q7" i="1" l="1"/>
  <c r="Q8" i="1"/>
  <c r="Q9" i="1"/>
  <c r="Q6" i="1"/>
  <c r="Q29" i="1"/>
  <c r="Q30" i="1"/>
  <c r="Q31" i="1"/>
  <c r="Q28" i="1"/>
  <c r="R28" i="1"/>
  <c r="S28" i="1"/>
  <c r="Q18" i="1"/>
  <c r="Q19" i="1"/>
  <c r="Q20" i="1"/>
  <c r="S20" i="1" s="1"/>
  <c r="Q17" i="1"/>
  <c r="R20" i="1"/>
  <c r="S19" i="1"/>
  <c r="R19" i="1"/>
  <c r="S18" i="1"/>
  <c r="R18" i="1"/>
  <c r="S17" i="1"/>
  <c r="R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M20" i="1"/>
  <c r="M19" i="1"/>
  <c r="K19" i="1"/>
  <c r="L19" i="1" s="1"/>
  <c r="M18" i="1"/>
  <c r="K18" i="1"/>
  <c r="L18" i="1" s="1"/>
  <c r="M17" i="1"/>
  <c r="K17" i="1"/>
  <c r="L17" i="1" s="1"/>
  <c r="S31" i="1" l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L11" i="1" a="1"/>
  <c r="L11" i="1" s="1"/>
  <c r="L12" i="1" s="1"/>
  <c r="M7" i="1"/>
  <c r="M8" i="1"/>
  <c r="M9" i="1"/>
  <c r="K8" i="1"/>
  <c r="L8" i="1" s="1"/>
  <c r="K6" i="1"/>
  <c r="L6" i="1" s="1"/>
  <c r="K7" i="1"/>
  <c r="L7" i="1" s="1"/>
  <c r="R7" i="1" l="1"/>
  <c r="S7" i="1"/>
  <c r="S6" i="1"/>
  <c r="R6" i="1"/>
  <c r="R8" i="1"/>
  <c r="S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<sst xmlns="http://schemas.openxmlformats.org/spreadsheetml/2006/main" count="154" uniqueCount="44">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</sst>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14B'!$P$6:$P$9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14B'!$C$6:$C$9</c:f>
              <c:numCache>
                <c:formatCode>General</c:formatCode>
                <c:ptCount val="4"/>
                <c:pt idx="0">
                  <c:v>1504.5</c:v>
                </c:pt>
                <c:pt idx="1">
                  <c:v>1399.1</c:v>
                </c:pt>
                <c:pt idx="2">
                  <c:v>1299.94</c:v>
                </c:pt>
                <c:pt idx="3">
                  <c:v>1197.46</c:v>
                </c:pt>
              </c:numCache>
            </c:numRef>
          </c:xVal>
          <c:yVal>
            <c:numRef>
              <c:f>'LiKNaCl MTP 14B'!$L$6:$L$9</c:f>
              <c:numCache>
                <c:formatCode>General</c:formatCode>
                <c:ptCount val="4"/>
                <c:pt idx="0">
                  <c:v>1.3964180230222538</c:v>
                </c:pt>
                <c:pt idx="1">
                  <c:v>1.4151255489016941</c:v>
                </c:pt>
                <c:pt idx="2">
                  <c:v>1.4424978861622011</c:v>
                </c:pt>
                <c:pt idx="3">
                  <c:v>1.4666400787594347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14B'!$B$40:$B$139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14B'!$E$40:$E$139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'LiCl-KCl'!$B$7:$B$15</c:f>
              <c:numCache>
                <c:formatCode>General</c:formatCode>
                <c:ptCount val="9"/>
                <c:pt idx="0">
                  <c:v>2.5000000000000001E-2</c:v>
                </c:pt>
                <c:pt idx="1">
                  <c:v>0.05</c:v>
                </c:pt>
                <c:pt idx="2">
                  <c:v>7.4999999999999997E-2</c:v>
                </c:pt>
                <c:pt idx="3">
                  <c:v>0.1</c:v>
                </c:pt>
                <c:pt idx="4">
                  <c:v>0.125</c:v>
                </c:pt>
                <c:pt idx="5">
                  <c:v>0.15</c:v>
                </c:pt>
                <c:pt idx="6">
                  <c:v>0.17499999999999999</c:v>
                </c:pt>
                <c:pt idx="7">
                  <c:v>0.2</c:v>
                </c:pt>
                <c:pt idx="8">
                  <c:v>0.22500000000000001</c:v>
                </c:pt>
              </c:numCache>
            </c:numRef>
          </c:xVal>
          <c:yVal>
            <c:numRef>
              <c:f>'LiCl-KCl'!$M$7:$M$15</c:f>
              <c:numCache>
                <c:formatCode>General</c:formatCode>
                <c:ptCount val="9"/>
                <c:pt idx="0">
                  <c:v>1.3951179666660996</c:v>
                </c:pt>
                <c:pt idx="1">
                  <c:v>1.399752809596682</c:v>
                </c:pt>
                <c:pt idx="2">
                  <c:v>1.3995153869299704</c:v>
                </c:pt>
                <c:pt idx="3">
                  <c:v>1.3987856507572962</c:v>
                </c:pt>
                <c:pt idx="4">
                  <c:v>1.4030421378277631</c:v>
                </c:pt>
                <c:pt idx="5">
                  <c:v>1.3994325960243921</c:v>
                </c:pt>
                <c:pt idx="6">
                  <c:v>1.4041507788052823</c:v>
                </c:pt>
                <c:pt idx="7">
                  <c:v>1.4031603416418768</c:v>
                </c:pt>
                <c:pt idx="8">
                  <c:v>1.398808555227377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15-E34C-BAAE-4B3CABD95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-13393800</c:v>
                </c:pt>
                <c:pt idx="1">
                  <c:v>-13393800</c:v>
                </c:pt>
                <c:pt idx="2">
                  <c:v>-6397340</c:v>
                </c:pt>
                <c:pt idx="3">
                  <c:v>-2989350</c:v>
                </c:pt>
                <c:pt idx="4">
                  <c:v>-1363230</c:v>
                </c:pt>
                <c:pt idx="5">
                  <c:v>-604753</c:v>
                </c:pt>
                <c:pt idx="6">
                  <c:v>-259833</c:v>
                </c:pt>
                <c:pt idx="7">
                  <c:v>-107436</c:v>
                </c:pt>
                <c:pt idx="8">
                  <c:v>-42327.8</c:v>
                </c:pt>
                <c:pt idx="9">
                  <c:v>-15618.9</c:v>
                </c:pt>
                <c:pt idx="10">
                  <c:v>-5214.3599999999997</c:v>
                </c:pt>
                <c:pt idx="11">
                  <c:v>-1440.14</c:v>
                </c:pt>
                <c:pt idx="12">
                  <c:v>-216.11600000000001</c:v>
                </c:pt>
                <c:pt idx="13">
                  <c:v>100.968</c:v>
                </c:pt>
                <c:pt idx="14">
                  <c:v>134.126</c:v>
                </c:pt>
                <c:pt idx="15">
                  <c:v>99.862399999999994</c:v>
                </c:pt>
                <c:pt idx="16">
                  <c:v>63.047899999999998</c:v>
                </c:pt>
                <c:pt idx="17">
                  <c:v>37.266399999999997</c:v>
                </c:pt>
                <c:pt idx="18">
                  <c:v>21.561900000000001</c:v>
                </c:pt>
                <c:pt idx="19">
                  <c:v>12.473699999999999</c:v>
                </c:pt>
                <c:pt idx="20">
                  <c:v>7.2124699999999997</c:v>
                </c:pt>
                <c:pt idx="21">
                  <c:v>4.0458499999999997</c:v>
                </c:pt>
                <c:pt idx="22">
                  <c:v>2.0152299999999999</c:v>
                </c:pt>
                <c:pt idx="23">
                  <c:v>0.62044900000000003</c:v>
                </c:pt>
                <c:pt idx="24">
                  <c:v>-0.39388000000000001</c:v>
                </c:pt>
                <c:pt idx="25">
                  <c:v>-1.1599999999999999</c:v>
                </c:pt>
                <c:pt idx="26">
                  <c:v>-1.7500800000000001</c:v>
                </c:pt>
                <c:pt idx="27">
                  <c:v>-2.2070799999999999</c:v>
                </c:pt>
                <c:pt idx="28">
                  <c:v>-2.55931</c:v>
                </c:pt>
                <c:pt idx="29">
                  <c:v>-2.8272599999999999</c:v>
                </c:pt>
                <c:pt idx="30" formatCode="General">
                  <c:v>-3.0267599999999999</c:v>
                </c:pt>
                <c:pt idx="31" formatCode="General">
                  <c:v>-3.1705199999999998</c:v>
                </c:pt>
                <c:pt idx="32" formatCode="General">
                  <c:v>-3.26892</c:v>
                </c:pt>
                <c:pt idx="33" formatCode="General">
                  <c:v>-3.3304800000000001</c:v>
                </c:pt>
                <c:pt idx="34" formatCode="General">
                  <c:v>-3.3621699999999999</c:v>
                </c:pt>
                <c:pt idx="35" formatCode="General">
                  <c:v>-3.3696700000000002</c:v>
                </c:pt>
                <c:pt idx="36" formatCode="General">
                  <c:v>-3.3576100000000002</c:v>
                </c:pt>
                <c:pt idx="37" formatCode="General">
                  <c:v>-3.3297099999999999</c:v>
                </c:pt>
                <c:pt idx="38" formatCode="General">
                  <c:v>-3.2889900000000001</c:v>
                </c:pt>
                <c:pt idx="39" formatCode="General">
                  <c:v>-3.2379099999999998</c:v>
                </c:pt>
                <c:pt idx="40" formatCode="General">
                  <c:v>-3.1784599999999998</c:v>
                </c:pt>
                <c:pt idx="41" formatCode="General">
                  <c:v>-3.1123099999999999</c:v>
                </c:pt>
                <c:pt idx="42" formatCode="General">
                  <c:v>-3.0408200000000001</c:v>
                </c:pt>
                <c:pt idx="43" formatCode="General">
                  <c:v>-2.96515</c:v>
                </c:pt>
                <c:pt idx="44" formatCode="General">
                  <c:v>-2.8862899999999998</c:v>
                </c:pt>
                <c:pt idx="45" formatCode="General">
                  <c:v>-2.8050899999999999</c:v>
                </c:pt>
                <c:pt idx="46" formatCode="General">
                  <c:v>-2.7222900000000001</c:v>
                </c:pt>
                <c:pt idx="47" formatCode="General">
                  <c:v>-2.6385299999999998</c:v>
                </c:pt>
                <c:pt idx="48" formatCode="General">
                  <c:v>-2.5543900000000002</c:v>
                </c:pt>
                <c:pt idx="49" formatCode="General">
                  <c:v>-2.4703599999999999</c:v>
                </c:pt>
                <c:pt idx="50" formatCode="General">
                  <c:v>-2.3868999999999998</c:v>
                </c:pt>
                <c:pt idx="51" formatCode="General">
                  <c:v>-2.3043900000000002</c:v>
                </c:pt>
                <c:pt idx="52" formatCode="General">
                  <c:v>-2.22316</c:v>
                </c:pt>
                <c:pt idx="53" formatCode="General">
                  <c:v>-2.1434899999999999</c:v>
                </c:pt>
                <c:pt idx="54" formatCode="General">
                  <c:v>-2.0656300000000001</c:v>
                </c:pt>
                <c:pt idx="55" formatCode="General">
                  <c:v>-1.98976</c:v>
                </c:pt>
                <c:pt idx="56" formatCode="General">
                  <c:v>-1.9160200000000001</c:v>
                </c:pt>
                <c:pt idx="57" formatCode="General">
                  <c:v>-1.84449</c:v>
                </c:pt>
                <c:pt idx="58" formatCode="General">
                  <c:v>-1.7752399999999999</c:v>
                </c:pt>
                <c:pt idx="59" formatCode="General">
                  <c:v>-1.7082599999999999</c:v>
                </c:pt>
                <c:pt idx="60" formatCode="General">
                  <c:v>-1.6435599999999999</c:v>
                </c:pt>
                <c:pt idx="61" formatCode="General">
                  <c:v>-1.58107</c:v>
                </c:pt>
                <c:pt idx="62" formatCode="General">
                  <c:v>-1.5207299999999999</c:v>
                </c:pt>
                <c:pt idx="63" formatCode="General">
                  <c:v>-1.4624600000000001</c:v>
                </c:pt>
                <c:pt idx="64" formatCode="General">
                  <c:v>-1.40618</c:v>
                </c:pt>
                <c:pt idx="65" formatCode="General">
                  <c:v>-1.35181</c:v>
                </c:pt>
                <c:pt idx="66" formatCode="General">
                  <c:v>-1.2992600000000001</c:v>
                </c:pt>
                <c:pt idx="67" formatCode="General">
                  <c:v>-1.24847</c:v>
                </c:pt>
                <c:pt idx="68" formatCode="General">
                  <c:v>-1.1994100000000001</c:v>
                </c:pt>
                <c:pt idx="69" formatCode="General">
                  <c:v>-1.1520600000000001</c:v>
                </c:pt>
                <c:pt idx="70" formatCode="General">
                  <c:v>-1.1064099999999999</c:v>
                </c:pt>
                <c:pt idx="71" formatCode="General">
                  <c:v>-1.0625</c:v>
                </c:pt>
                <c:pt idx="72" formatCode="General">
                  <c:v>-1.02037</c:v>
                </c:pt>
                <c:pt idx="73" formatCode="General">
                  <c:v>-0.98010799999999998</c:v>
                </c:pt>
                <c:pt idx="74" formatCode="General">
                  <c:v>-0.941774</c:v>
                </c:pt>
                <c:pt idx="75" formatCode="General">
                  <c:v>-0.90544999999999998</c:v>
                </c:pt>
                <c:pt idx="76" formatCode="General">
                  <c:v>-0.871201</c:v>
                </c:pt>
                <c:pt idx="77" formatCode="General">
                  <c:v>-0.83906800000000004</c:v>
                </c:pt>
                <c:pt idx="78" formatCode="General">
                  <c:v>-0.80905300000000002</c:v>
                </c:pt>
                <c:pt idx="79">
                  <c:v>-0.78110999999999997</c:v>
                </c:pt>
                <c:pt idx="80" formatCode="General">
                  <c:v>-0.75512800000000002</c:v>
                </c:pt>
                <c:pt idx="81" formatCode="General">
                  <c:v>-0.73092800000000002</c:v>
                </c:pt>
                <c:pt idx="82" formatCode="General">
                  <c:v>-0.70825700000000003</c:v>
                </c:pt>
                <c:pt idx="83" formatCode="General">
                  <c:v>-0.68679100000000004</c:v>
                </c:pt>
                <c:pt idx="84" formatCode="General">
                  <c:v>-0.66615199999999997</c:v>
                </c:pt>
                <c:pt idx="85" formatCode="General">
                  <c:v>-0.64592499999999997</c:v>
                </c:pt>
                <c:pt idx="86" formatCode="General">
                  <c:v>-0.62570199999999998</c:v>
                </c:pt>
                <c:pt idx="87" formatCode="General">
                  <c:v>-0.60512900000000003</c:v>
                </c:pt>
                <c:pt idx="88" formatCode="General">
                  <c:v>-0.583982</c:v>
                </c:pt>
                <c:pt idx="89" formatCode="General">
                  <c:v>-0.56226500000000001</c:v>
                </c:pt>
                <c:pt idx="90" formatCode="General">
                  <c:v>-0.54033399999999998</c:v>
                </c:pt>
                <c:pt idx="91" formatCode="General">
                  <c:v>-0.51905299999999999</c:v>
                </c:pt>
                <c:pt idx="92" formatCode="General">
                  <c:v>-0.49999399999999999</c:v>
                </c:pt>
                <c:pt idx="93" formatCode="General">
                  <c:v>-0.48567199999999999</c:v>
                </c:pt>
                <c:pt idx="94" formatCode="General">
                  <c:v>-0.479823</c:v>
                </c:pt>
                <c:pt idx="95" formatCode="General">
                  <c:v>-0.479823</c:v>
                </c:pt>
                <c:pt idx="96" formatCode="General">
                  <c:v>-0.479823</c:v>
                </c:pt>
                <c:pt idx="97" formatCode="General">
                  <c:v>-0.479823</c:v>
                </c:pt>
                <c:pt idx="98" formatCode="General">
                  <c:v>-0.479823</c:v>
                </c:pt>
                <c:pt idx="99" formatCode="General">
                  <c:v>-0.479823</c:v>
                </c:pt>
                <c:pt idx="100" formatCode="General">
                  <c:v>-0.479823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36463800</c:v>
                </c:pt>
                <c:pt idx="1">
                  <c:v>36463800</c:v>
                </c:pt>
                <c:pt idx="2">
                  <c:v>18516400</c:v>
                </c:pt>
                <c:pt idx="3">
                  <c:v>9267630</c:v>
                </c:pt>
                <c:pt idx="4">
                  <c:v>4569120</c:v>
                </c:pt>
                <c:pt idx="5">
                  <c:v>2217520</c:v>
                </c:pt>
                <c:pt idx="6">
                  <c:v>1058710</c:v>
                </c:pt>
                <c:pt idx="7">
                  <c:v>496869</c:v>
                </c:pt>
                <c:pt idx="8">
                  <c:v>229042</c:v>
                </c:pt>
                <c:pt idx="9">
                  <c:v>103614</c:v>
                </c:pt>
                <c:pt idx="10">
                  <c:v>45955.6</c:v>
                </c:pt>
                <c:pt idx="11">
                  <c:v>19963.900000000001</c:v>
                </c:pt>
                <c:pt idx="12">
                  <c:v>8487.49</c:v>
                </c:pt>
                <c:pt idx="13">
                  <c:v>3531.21</c:v>
                </c:pt>
                <c:pt idx="14">
                  <c:v>1441.41</c:v>
                </c:pt>
                <c:pt idx="15" formatCode="General">
                  <c:v>583.01099999999997</c:v>
                </c:pt>
                <c:pt idx="16" formatCode="General">
                  <c:v>240.352</c:v>
                </c:pt>
                <c:pt idx="17" formatCode="General">
                  <c:v>107.57299999999999</c:v>
                </c:pt>
                <c:pt idx="18" formatCode="General">
                  <c:v>57.362299999999998</c:v>
                </c:pt>
                <c:pt idx="19" formatCode="General">
                  <c:v>38.303600000000003</c:v>
                </c:pt>
                <c:pt idx="20" formatCode="General">
                  <c:v>30.379100000000001</c:v>
                </c:pt>
                <c:pt idx="21" formatCode="General">
                  <c:v>26.160799999999998</c:v>
                </c:pt>
                <c:pt idx="22" formatCode="General">
                  <c:v>23.077999999999999</c:v>
                </c:pt>
                <c:pt idx="23" formatCode="General">
                  <c:v>20.3401</c:v>
                </c:pt>
                <c:pt idx="24" formatCode="General">
                  <c:v>17.7593</c:v>
                </c:pt>
                <c:pt idx="25" formatCode="General">
                  <c:v>15.3253</c:v>
                </c:pt>
                <c:pt idx="26" formatCode="General">
                  <c:v>13.0639</c:v>
                </c:pt>
                <c:pt idx="27" formatCode="General">
                  <c:v>10.9964</c:v>
                </c:pt>
                <c:pt idx="28" formatCode="General">
                  <c:v>9.1331799999999994</c:v>
                </c:pt>
                <c:pt idx="29" formatCode="General">
                  <c:v>7.4747399999999997</c:v>
                </c:pt>
                <c:pt idx="30" formatCode="General">
                  <c:v>6.0148599999999997</c:v>
                </c:pt>
                <c:pt idx="31" formatCode="General">
                  <c:v>4.7427999999999999</c:v>
                </c:pt>
                <c:pt idx="32" formatCode="General">
                  <c:v>3.6449099999999999</c:v>
                </c:pt>
                <c:pt idx="33" formatCode="General">
                  <c:v>2.7058499999999999</c:v>
                </c:pt>
                <c:pt idx="34" formatCode="General">
                  <c:v>1.9094500000000001</c:v>
                </c:pt>
                <c:pt idx="35" formatCode="General">
                  <c:v>1.2394700000000001</c:v>
                </c:pt>
                <c:pt idx="36" formatCode="General">
                  <c:v>0.68018500000000004</c:v>
                </c:pt>
                <c:pt idx="37" formatCode="General">
                  <c:v>0.21678800000000001</c:v>
                </c:pt>
                <c:pt idx="38" formatCode="General">
                  <c:v>-0.16427800000000001</c:v>
                </c:pt>
                <c:pt idx="39" formatCode="General">
                  <c:v>-0.47517300000000001</c:v>
                </c:pt>
                <c:pt idx="40" formatCode="General">
                  <c:v>-0.72659499999999999</c:v>
                </c:pt>
                <c:pt idx="41" formatCode="General">
                  <c:v>-0.92781499999999995</c:v>
                </c:pt>
                <c:pt idx="42" formatCode="General">
                  <c:v>-1.0867599999999999</c:v>
                </c:pt>
                <c:pt idx="43" formatCode="General">
                  <c:v>-1.2101599999999999</c:v>
                </c:pt>
                <c:pt idx="44" formatCode="General">
                  <c:v>-1.3036700000000001</c:v>
                </c:pt>
                <c:pt idx="45" formatCode="General">
                  <c:v>-1.37202</c:v>
                </c:pt>
                <c:pt idx="46" formatCode="General">
                  <c:v>-1.4192100000000001</c:v>
                </c:pt>
                <c:pt idx="47" formatCode="General">
                  <c:v>-1.44858</c:v>
                </c:pt>
                <c:pt idx="48" formatCode="General">
                  <c:v>-1.46296</c:v>
                </c:pt>
                <c:pt idx="49" formatCode="General">
                  <c:v>-1.46475</c:v>
                </c:pt>
                <c:pt idx="50" formatCode="General">
                  <c:v>-1.4560299999999999</c:v>
                </c:pt>
                <c:pt idx="51" formatCode="General">
                  <c:v>-1.4385699999999999</c:v>
                </c:pt>
                <c:pt idx="52" formatCode="General">
                  <c:v>-1.41394</c:v>
                </c:pt>
                <c:pt idx="53" formatCode="General">
                  <c:v>-1.38348</c:v>
                </c:pt>
                <c:pt idx="54" formatCode="General">
                  <c:v>-1.3483700000000001</c:v>
                </c:pt>
                <c:pt idx="55" formatCode="General">
                  <c:v>-1.3096399999999999</c:v>
                </c:pt>
                <c:pt idx="56" formatCode="General">
                  <c:v>-1.26817</c:v>
                </c:pt>
                <c:pt idx="57" formatCode="General">
                  <c:v>-1.22468</c:v>
                </c:pt>
                <c:pt idx="58" formatCode="General">
                  <c:v>-1.1798</c:v>
                </c:pt>
                <c:pt idx="59" formatCode="General">
                  <c:v>-1.13402</c:v>
                </c:pt>
                <c:pt idx="60" formatCode="General">
                  <c:v>-1.08772</c:v>
                </c:pt>
                <c:pt idx="61" formatCode="General">
                  <c:v>-1.0411999999999999</c:v>
                </c:pt>
                <c:pt idx="62" formatCode="General">
                  <c:v>-0.99465400000000004</c:v>
                </c:pt>
                <c:pt idx="63" formatCode="General">
                  <c:v>-0.94820099999999996</c:v>
                </c:pt>
                <c:pt idx="64" formatCode="General">
                  <c:v>-0.90190199999999998</c:v>
                </c:pt>
                <c:pt idx="65" formatCode="General">
                  <c:v>-0.85576399999999997</c:v>
                </c:pt>
                <c:pt idx="66" formatCode="General">
                  <c:v>-0.80975799999999998</c:v>
                </c:pt>
                <c:pt idx="67" formatCode="General">
                  <c:v>-0.76382799999999995</c:v>
                </c:pt>
                <c:pt idx="68" formatCode="General">
                  <c:v>-0.71791099999999997</c:v>
                </c:pt>
                <c:pt idx="69" formatCode="General">
                  <c:v>-0.67194900000000002</c:v>
                </c:pt>
                <c:pt idx="70" formatCode="General">
                  <c:v>-0.62590299999999999</c:v>
                </c:pt>
                <c:pt idx="71" formatCode="General">
                  <c:v>-0.57976700000000003</c:v>
                </c:pt>
                <c:pt idx="72" formatCode="General">
                  <c:v>-0.53357699999999997</c:v>
                </c:pt>
                <c:pt idx="73" formatCode="General">
                  <c:v>-0.48741699999999999</c:v>
                </c:pt>
                <c:pt idx="74" formatCode="General">
                  <c:v>-0.44142199999999998</c:v>
                </c:pt>
                <c:pt idx="75" formatCode="General">
                  <c:v>-0.39577200000000001</c:v>
                </c:pt>
                <c:pt idx="76" formatCode="General">
                  <c:v>-0.35067700000000002</c:v>
                </c:pt>
                <c:pt idx="77" formatCode="General">
                  <c:v>-0.30636600000000003</c:v>
                </c:pt>
                <c:pt idx="78" formatCode="General">
                  <c:v>-0.26305299999999998</c:v>
                </c:pt>
                <c:pt idx="79" formatCode="General">
                  <c:v>-0.220912</c:v>
                </c:pt>
                <c:pt idx="80" formatCode="General">
                  <c:v>-0.18004700000000001</c:v>
                </c:pt>
                <c:pt idx="81" formatCode="General">
                  <c:v>-0.14046</c:v>
                </c:pt>
                <c:pt idx="82" formatCode="General">
                  <c:v>-0.10203</c:v>
                </c:pt>
                <c:pt idx="83" formatCode="General">
                  <c:v>-6.4499799999999996E-2</c:v>
                </c:pt>
                <c:pt idx="84" formatCode="General">
                  <c:v>-2.7474599999999998E-2</c:v>
                </c:pt>
                <c:pt idx="85" formatCode="General">
                  <c:v>9.5566499999999999E-3</c:v>
                </c:pt>
                <c:pt idx="86" formatCode="General">
                  <c:v>4.7177400000000001E-2</c:v>
                </c:pt>
                <c:pt idx="87" formatCode="General">
                  <c:v>8.5963700000000004E-2</c:v>
                </c:pt>
                <c:pt idx="88" formatCode="General">
                  <c:v>0.126355</c:v>
                </c:pt>
                <c:pt idx="89" formatCode="General">
                  <c:v>0.168457</c:v>
                </c:pt>
                <c:pt idx="90" formatCode="General">
                  <c:v>0.21174000000000001</c:v>
                </c:pt>
                <c:pt idx="91" formatCode="General">
                  <c:v>0.25461699999999998</c:v>
                </c:pt>
                <c:pt idx="92" formatCode="General">
                  <c:v>0.293873</c:v>
                </c:pt>
                <c:pt idx="93" formatCode="General">
                  <c:v>0.32398199999999999</c:v>
                </c:pt>
                <c:pt idx="94" formatCode="General">
                  <c:v>0.336453</c:v>
                </c:pt>
                <c:pt idx="95" formatCode="General">
                  <c:v>0.336453</c:v>
                </c:pt>
                <c:pt idx="96" formatCode="General">
                  <c:v>0.336453</c:v>
                </c:pt>
                <c:pt idx="97" formatCode="General">
                  <c:v>0.336453</c:v>
                </c:pt>
                <c:pt idx="98" formatCode="General">
                  <c:v>0.336453</c:v>
                </c:pt>
                <c:pt idx="99" formatCode="General">
                  <c:v>0.336453</c:v>
                </c:pt>
                <c:pt idx="100" formatCode="General">
                  <c:v>0.336453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-121989000</c:v>
                </c:pt>
                <c:pt idx="1">
                  <c:v>-121989000</c:v>
                </c:pt>
                <c:pt idx="2">
                  <c:v>-61032700</c:v>
                </c:pt>
                <c:pt idx="3">
                  <c:v>-30025000</c:v>
                </c:pt>
                <c:pt idx="4">
                  <c:v>-14508900</c:v>
                </c:pt>
                <c:pt idx="5">
                  <c:v>-6879040</c:v>
                </c:pt>
                <c:pt idx="6">
                  <c:v>-3196020</c:v>
                </c:pt>
                <c:pt idx="7">
                  <c:v>-1453010</c:v>
                </c:pt>
                <c:pt idx="8" formatCode="General">
                  <c:v>-645372</c:v>
                </c:pt>
                <c:pt idx="9" formatCode="General">
                  <c:v>-279544</c:v>
                </c:pt>
                <c:pt idx="10" formatCode="General">
                  <c:v>-117835</c:v>
                </c:pt>
                <c:pt idx="11" formatCode="General">
                  <c:v>-48217.5</c:v>
                </c:pt>
                <c:pt idx="12" formatCode="General">
                  <c:v>-19093.599999999999</c:v>
                </c:pt>
                <c:pt idx="13" formatCode="General">
                  <c:v>-7285.6</c:v>
                </c:pt>
                <c:pt idx="14" formatCode="General">
                  <c:v>-2660.58</c:v>
                </c:pt>
                <c:pt idx="15" formatCode="General">
                  <c:v>-917.49099999999999</c:v>
                </c:pt>
                <c:pt idx="16" formatCode="General">
                  <c:v>-288.95699999999999</c:v>
                </c:pt>
                <c:pt idx="17" formatCode="General">
                  <c:v>-74.205299999999994</c:v>
                </c:pt>
                <c:pt idx="18" formatCode="General">
                  <c:v>-6.1584700000000003</c:v>
                </c:pt>
                <c:pt idx="19" formatCode="General">
                  <c:v>12.580299999999999</c:v>
                </c:pt>
                <c:pt idx="20" formatCode="General">
                  <c:v>15.817</c:v>
                </c:pt>
                <c:pt idx="21" formatCode="General">
                  <c:v>14.6488</c:v>
                </c:pt>
                <c:pt idx="22" formatCode="General">
                  <c:v>12.491400000000001</c:v>
                </c:pt>
                <c:pt idx="23" formatCode="General">
                  <c:v>10.315799999999999</c:v>
                </c:pt>
                <c:pt idx="24" formatCode="General">
                  <c:v>8.3640500000000007</c:v>
                </c:pt>
                <c:pt idx="25" formatCode="General">
                  <c:v>6.6758300000000004</c:v>
                </c:pt>
                <c:pt idx="26" formatCode="General">
                  <c:v>5.2379300000000004</c:v>
                </c:pt>
                <c:pt idx="27" formatCode="General">
                  <c:v>4.02454</c:v>
                </c:pt>
                <c:pt idx="28" formatCode="General">
                  <c:v>3.0079199999999999</c:v>
                </c:pt>
                <c:pt idx="29" formatCode="General">
                  <c:v>2.1615199999999999</c:v>
                </c:pt>
                <c:pt idx="30" formatCode="General">
                  <c:v>1.4611400000000001</c:v>
                </c:pt>
                <c:pt idx="31" formatCode="General">
                  <c:v>0.88525200000000004</c:v>
                </c:pt>
                <c:pt idx="32" formatCode="General">
                  <c:v>0.41506900000000002</c:v>
                </c:pt>
                <c:pt idx="33" formatCode="General">
                  <c:v>3.4359800000000003E-2</c:v>
                </c:pt>
                <c:pt idx="34" formatCode="General">
                  <c:v>-0.27079399999999998</c:v>
                </c:pt>
                <c:pt idx="35" formatCode="General">
                  <c:v>-0.51228399999999996</c:v>
                </c:pt>
                <c:pt idx="36" formatCode="General">
                  <c:v>-0.70024200000000003</c:v>
                </c:pt>
                <c:pt idx="37" formatCode="General">
                  <c:v>-0.84329200000000004</c:v>
                </c:pt>
                <c:pt idx="38" formatCode="General">
                  <c:v>-0.94876400000000005</c:v>
                </c:pt>
                <c:pt idx="39" formatCode="General">
                  <c:v>-1.02288</c:v>
                </c:pt>
                <c:pt idx="40" formatCode="General">
                  <c:v>-1.0709299999999999</c:v>
                </c:pt>
                <c:pt idx="41" formatCode="General">
                  <c:v>-1.09735</c:v>
                </c:pt>
                <c:pt idx="42" formatCode="General">
                  <c:v>-1.10592</c:v>
                </c:pt>
                <c:pt idx="43" formatCode="General">
                  <c:v>-1.09981</c:v>
                </c:pt>
                <c:pt idx="44" formatCode="General">
                  <c:v>-1.0816699999999999</c:v>
                </c:pt>
                <c:pt idx="45" formatCode="General">
                  <c:v>-1.05375</c:v>
                </c:pt>
                <c:pt idx="46" formatCode="General">
                  <c:v>-1.0179100000000001</c:v>
                </c:pt>
                <c:pt idx="47" formatCode="General">
                  <c:v>-0.97575000000000001</c:v>
                </c:pt>
                <c:pt idx="48" formatCode="General">
                  <c:v>-0.92859899999999995</c:v>
                </c:pt>
                <c:pt idx="49" formatCode="General">
                  <c:v>-0.87759299999999996</c:v>
                </c:pt>
                <c:pt idx="50" formatCode="General">
                  <c:v>-0.82369499999999995</c:v>
                </c:pt>
                <c:pt idx="51" formatCode="General">
                  <c:v>-0.76772300000000004</c:v>
                </c:pt>
                <c:pt idx="52" formatCode="General">
                  <c:v>-0.710372</c:v>
                </c:pt>
                <c:pt idx="53" formatCode="General">
                  <c:v>-0.65222599999999997</c:v>
                </c:pt>
                <c:pt idx="54" formatCode="General">
                  <c:v>-0.59377599999999997</c:v>
                </c:pt>
                <c:pt idx="55" formatCode="General">
                  <c:v>-0.53542299999999998</c:v>
                </c:pt>
                <c:pt idx="56" formatCode="General">
                  <c:v>-0.477489</c:v>
                </c:pt>
                <c:pt idx="57" formatCode="General">
                  <c:v>-0.42022500000000002</c:v>
                </c:pt>
                <c:pt idx="58" formatCode="General">
                  <c:v>-0.363817</c:v>
                </c:pt>
                <c:pt idx="59" formatCode="General">
                  <c:v>-0.308396</c:v>
                </c:pt>
                <c:pt idx="60" formatCode="General">
                  <c:v>-0.25404100000000002</c:v>
                </c:pt>
                <c:pt idx="61" formatCode="General">
                  <c:v>-0.200793</c:v>
                </c:pt>
                <c:pt idx="62" formatCode="General">
                  <c:v>-0.14865600000000001</c:v>
                </c:pt>
                <c:pt idx="63" formatCode="General">
                  <c:v>-9.7611400000000001E-2</c:v>
                </c:pt>
                <c:pt idx="64" formatCode="General">
                  <c:v>-4.7621299999999998E-2</c:v>
                </c:pt>
                <c:pt idx="65" formatCode="General">
                  <c:v>1.3619299999999999E-3</c:v>
                </c:pt>
                <c:pt idx="66" formatCode="General">
                  <c:v>4.9388399999999999E-2</c:v>
                </c:pt>
                <c:pt idx="67" formatCode="General">
                  <c:v>9.6504300000000001E-2</c:v>
                </c:pt>
                <c:pt idx="68" formatCode="General">
                  <c:v>0.14274500000000001</c:v>
                </c:pt>
                <c:pt idx="69" formatCode="General">
                  <c:v>0.18813199999999999</c:v>
                </c:pt>
                <c:pt idx="70" formatCode="General">
                  <c:v>0.23266500000000001</c:v>
                </c:pt>
                <c:pt idx="71" formatCode="General">
                  <c:v>0.27632400000000001</c:v>
                </c:pt>
                <c:pt idx="72" formatCode="General">
                  <c:v>0.31906699999999999</c:v>
                </c:pt>
                <c:pt idx="73" formatCode="General">
                  <c:v>0.36083199999999999</c:v>
                </c:pt>
                <c:pt idx="74" formatCode="General">
                  <c:v>0.40154299999999998</c:v>
                </c:pt>
                <c:pt idx="75" formatCode="General">
                  <c:v>0.44111600000000001</c:v>
                </c:pt>
                <c:pt idx="76" formatCode="General">
                  <c:v>0.47947000000000001</c:v>
                </c:pt>
                <c:pt idx="77" formatCode="General">
                  <c:v>0.516536</c:v>
                </c:pt>
                <c:pt idx="78" formatCode="General">
                  <c:v>0.55227000000000004</c:v>
                </c:pt>
                <c:pt idx="79" formatCode="General">
                  <c:v>0.58666700000000005</c:v>
                </c:pt>
                <c:pt idx="80" formatCode="General">
                  <c:v>0.61976699999999996</c:v>
                </c:pt>
                <c:pt idx="81" formatCode="General">
                  <c:v>0.651667</c:v>
                </c:pt>
                <c:pt idx="82" formatCode="General">
                  <c:v>0.68252400000000002</c:v>
                </c:pt>
                <c:pt idx="83" formatCode="General">
                  <c:v>0.71255000000000002</c:v>
                </c:pt>
                <c:pt idx="84" formatCode="General">
                  <c:v>0.74200600000000005</c:v>
                </c:pt>
                <c:pt idx="85" formatCode="General">
                  <c:v>0.77118100000000001</c:v>
                </c:pt>
                <c:pt idx="86" formatCode="General">
                  <c:v>0.80035500000000004</c:v>
                </c:pt>
                <c:pt idx="87" formatCode="General">
                  <c:v>0.82975100000000002</c:v>
                </c:pt>
                <c:pt idx="88" formatCode="General">
                  <c:v>0.859456</c:v>
                </c:pt>
                <c:pt idx="89" formatCode="General">
                  <c:v>0.88931700000000002</c:v>
                </c:pt>
                <c:pt idx="90" formatCode="General">
                  <c:v>0.91879599999999995</c:v>
                </c:pt>
                <c:pt idx="91" formatCode="General">
                  <c:v>0.94677800000000001</c:v>
                </c:pt>
                <c:pt idx="92" formatCode="General">
                  <c:v>0.97133700000000001</c:v>
                </c:pt>
                <c:pt idx="93" formatCode="General">
                  <c:v>0.98945799999999995</c:v>
                </c:pt>
                <c:pt idx="94" formatCode="General">
                  <c:v>0.99674200000000002</c:v>
                </c:pt>
                <c:pt idx="95" formatCode="General">
                  <c:v>0.99674200000000002</c:v>
                </c:pt>
                <c:pt idx="96" formatCode="General">
                  <c:v>0.99674200000000002</c:v>
                </c:pt>
                <c:pt idx="97" formatCode="General">
                  <c:v>0.99674200000000002</c:v>
                </c:pt>
                <c:pt idx="98" formatCode="General">
                  <c:v>0.99674200000000002</c:v>
                </c:pt>
                <c:pt idx="99" formatCode="General">
                  <c:v>0.99674200000000002</c:v>
                </c:pt>
                <c:pt idx="100" formatCode="General">
                  <c:v>0.99674200000000002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-691612</c:v>
                </c:pt>
                <c:pt idx="1">
                  <c:v>-691612</c:v>
                </c:pt>
                <c:pt idx="2">
                  <c:v>-399187</c:v>
                </c:pt>
                <c:pt idx="3">
                  <c:v>-228327</c:v>
                </c:pt>
                <c:pt idx="4" formatCode="General">
                  <c:v>-129407</c:v>
                </c:pt>
                <c:pt idx="5" formatCode="General">
                  <c:v>-72668.100000000006</c:v>
                </c:pt>
                <c:pt idx="6" formatCode="General">
                  <c:v>-40428.800000000003</c:v>
                </c:pt>
                <c:pt idx="7" formatCode="General">
                  <c:v>-22283.3</c:v>
                </c:pt>
                <c:pt idx="8" formatCode="General">
                  <c:v>-12167.1</c:v>
                </c:pt>
                <c:pt idx="9" formatCode="General">
                  <c:v>-6580.74</c:v>
                </c:pt>
                <c:pt idx="10" formatCode="General">
                  <c:v>-3524.96</c:v>
                </c:pt>
                <c:pt idx="11" formatCode="General">
                  <c:v>-1869.13</c:v>
                </c:pt>
                <c:pt idx="12" formatCode="General">
                  <c:v>-980.29499999999996</c:v>
                </c:pt>
                <c:pt idx="13" formatCode="General">
                  <c:v>-507.68</c:v>
                </c:pt>
                <c:pt idx="14" formatCode="General">
                  <c:v>-258.83100000000002</c:v>
                </c:pt>
                <c:pt idx="15" formatCode="General">
                  <c:v>-129.19</c:v>
                </c:pt>
                <c:pt idx="16" formatCode="General">
                  <c:v>-62.487499999999997</c:v>
                </c:pt>
                <c:pt idx="17" formatCode="General">
                  <c:v>-28.72</c:v>
                </c:pt>
                <c:pt idx="18" formatCode="General">
                  <c:v>-12.0273</c:v>
                </c:pt>
                <c:pt idx="19" formatCode="General">
                  <c:v>-4.0947199999999997</c:v>
                </c:pt>
                <c:pt idx="20" formatCode="General">
                  <c:v>-0.59815099999999999</c:v>
                </c:pt>
                <c:pt idx="21" formatCode="General">
                  <c:v>0.69361399999999995</c:v>
                </c:pt>
                <c:pt idx="22" formatCode="General">
                  <c:v>0.92209200000000002</c:v>
                </c:pt>
                <c:pt idx="23" formatCode="General">
                  <c:v>0.66678700000000002</c:v>
                </c:pt>
                <c:pt idx="24" formatCode="General">
                  <c:v>0.222659</c:v>
                </c:pt>
                <c:pt idx="25" formatCode="General">
                  <c:v>-0.26422299999999999</c:v>
                </c:pt>
                <c:pt idx="26" formatCode="General">
                  <c:v>-0.72552099999999997</c:v>
                </c:pt>
                <c:pt idx="27" formatCode="General">
                  <c:v>-1.13331</c:v>
                </c:pt>
                <c:pt idx="28" formatCode="General">
                  <c:v>-1.48102</c:v>
                </c:pt>
                <c:pt idx="29" formatCode="General">
                  <c:v>-1.77376</c:v>
                </c:pt>
                <c:pt idx="30" formatCode="General">
                  <c:v>-2.0233599999999998</c:v>
                </c:pt>
                <c:pt idx="31" formatCode="General">
                  <c:v>-2.2435399999999999</c:v>
                </c:pt>
                <c:pt idx="32" formatCode="General">
                  <c:v>-2.4407199999999998</c:v>
                </c:pt>
                <c:pt idx="33" formatCode="General">
                  <c:v>-2.6190600000000002</c:v>
                </c:pt>
                <c:pt idx="34" formatCode="General">
                  <c:v>-2.7822100000000001</c:v>
                </c:pt>
                <c:pt idx="35" formatCode="General">
                  <c:v>-2.93323</c:v>
                </c:pt>
                <c:pt idx="36" formatCode="General">
                  <c:v>-3.0745499999999999</c:v>
                </c:pt>
                <c:pt idx="37" formatCode="General">
                  <c:v>-3.2080099999999998</c:v>
                </c:pt>
                <c:pt idx="38" formatCode="General">
                  <c:v>-3.33494</c:v>
                </c:pt>
                <c:pt idx="39" formatCode="General">
                  <c:v>-3.4562400000000002</c:v>
                </c:pt>
                <c:pt idx="40" formatCode="General">
                  <c:v>-3.57246</c:v>
                </c:pt>
                <c:pt idx="41" formatCode="General">
                  <c:v>-3.6839200000000001</c:v>
                </c:pt>
                <c:pt idx="42" formatCode="General">
                  <c:v>-3.79074</c:v>
                </c:pt>
                <c:pt idx="43" formatCode="General">
                  <c:v>-3.8929399999999998</c:v>
                </c:pt>
                <c:pt idx="44" formatCode="General">
                  <c:v>-3.9904799999999998</c:v>
                </c:pt>
                <c:pt idx="45" formatCode="General">
                  <c:v>-4.0833000000000004</c:v>
                </c:pt>
                <c:pt idx="46" formatCode="General">
                  <c:v>-4.17136</c:v>
                </c:pt>
                <c:pt idx="47" formatCode="General">
                  <c:v>-4.2546200000000001</c:v>
                </c:pt>
                <c:pt idx="48" formatCode="General">
                  <c:v>-4.3331099999999996</c:v>
                </c:pt>
                <c:pt idx="49" formatCode="General">
                  <c:v>-4.4068899999999998</c:v>
                </c:pt>
                <c:pt idx="50" formatCode="General">
                  <c:v>-4.4760299999999997</c:v>
                </c:pt>
                <c:pt idx="51" formatCode="General">
                  <c:v>-4.5406899999999997</c:v>
                </c:pt>
                <c:pt idx="52" formatCode="General">
                  <c:v>-4.6010099999999996</c:v>
                </c:pt>
                <c:pt idx="53" formatCode="General">
                  <c:v>-4.6571899999999999</c:v>
                </c:pt>
                <c:pt idx="54" formatCode="General">
                  <c:v>-4.7094399999999998</c:v>
                </c:pt>
                <c:pt idx="55" formatCode="General">
                  <c:v>-4.7579599999999997</c:v>
                </c:pt>
                <c:pt idx="56" formatCode="General">
                  <c:v>-4.8029700000000002</c:v>
                </c:pt>
                <c:pt idx="57" formatCode="General">
                  <c:v>-4.8447100000000001</c:v>
                </c:pt>
                <c:pt idx="58" formatCode="General">
                  <c:v>-4.8833700000000002</c:v>
                </c:pt>
                <c:pt idx="59" formatCode="General">
                  <c:v>-4.9191700000000003</c:v>
                </c:pt>
                <c:pt idx="60" formatCode="General">
                  <c:v>-4.9523099999999998</c:v>
                </c:pt>
                <c:pt idx="61" formatCode="General">
                  <c:v>-4.9829699999999999</c:v>
                </c:pt>
                <c:pt idx="62" formatCode="General">
                  <c:v>-5.0113099999999999</c:v>
                </c:pt>
                <c:pt idx="63" formatCode="General">
                  <c:v>-5.0375100000000002</c:v>
                </c:pt>
                <c:pt idx="64" formatCode="General">
                  <c:v>-5.0617000000000001</c:v>
                </c:pt>
                <c:pt idx="65" formatCode="General">
                  <c:v>-5.0840300000000003</c:v>
                </c:pt>
                <c:pt idx="66" formatCode="General">
                  <c:v>-5.1046100000000001</c:v>
                </c:pt>
                <c:pt idx="67" formatCode="General">
                  <c:v>-5.1235799999999996</c:v>
                </c:pt>
                <c:pt idx="68" formatCode="General">
                  <c:v>-5.1410400000000003</c:v>
                </c:pt>
                <c:pt idx="69" formatCode="General">
                  <c:v>-5.1571100000000003</c:v>
                </c:pt>
                <c:pt idx="70" formatCode="General">
                  <c:v>-5.1718700000000002</c:v>
                </c:pt>
                <c:pt idx="71" formatCode="General">
                  <c:v>-5.1854500000000003</c:v>
                </c:pt>
                <c:pt idx="72" formatCode="General">
                  <c:v>-5.19794</c:v>
                </c:pt>
                <c:pt idx="73" formatCode="General">
                  <c:v>-5.2094399999999998</c:v>
                </c:pt>
                <c:pt idx="74" formatCode="General">
                  <c:v>-5.2200499999999996</c:v>
                </c:pt>
                <c:pt idx="75" formatCode="General">
                  <c:v>-5.22987</c:v>
                </c:pt>
                <c:pt idx="76" formatCode="General">
                  <c:v>-5.2389799999999997</c:v>
                </c:pt>
                <c:pt idx="77" formatCode="General">
                  <c:v>-5.2474699999999999</c:v>
                </c:pt>
                <c:pt idx="78" formatCode="General">
                  <c:v>-5.2554100000000004</c:v>
                </c:pt>
                <c:pt idx="79" formatCode="General">
                  <c:v>-5.2628599999999999</c:v>
                </c:pt>
                <c:pt idx="80" formatCode="General">
                  <c:v>-5.2698700000000001</c:v>
                </c:pt>
                <c:pt idx="81" formatCode="General">
                  <c:v>-5.2764600000000002</c:v>
                </c:pt>
                <c:pt idx="82" formatCode="General">
                  <c:v>-5.2826300000000002</c:v>
                </c:pt>
                <c:pt idx="83" formatCode="General">
                  <c:v>-5.2883599999999999</c:v>
                </c:pt>
                <c:pt idx="84" formatCode="General">
                  <c:v>-5.2935999999999996</c:v>
                </c:pt>
                <c:pt idx="85" formatCode="General">
                  <c:v>-5.2983000000000002</c:v>
                </c:pt>
                <c:pt idx="86" formatCode="General">
                  <c:v>-5.3023600000000002</c:v>
                </c:pt>
                <c:pt idx="87" formatCode="General">
                  <c:v>-5.3056900000000002</c:v>
                </c:pt>
                <c:pt idx="88" formatCode="General">
                  <c:v>-5.3082200000000004</c:v>
                </c:pt>
                <c:pt idx="89" formatCode="General">
                  <c:v>-5.3098599999999996</c:v>
                </c:pt>
                <c:pt idx="90" formatCode="General">
                  <c:v>-5.3106099999999996</c:v>
                </c:pt>
                <c:pt idx="91" formatCode="General">
                  <c:v>-5.3105399999999996</c:v>
                </c:pt>
                <c:pt idx="92" formatCode="General">
                  <c:v>-5.3098599999999996</c:v>
                </c:pt>
                <c:pt idx="93" formatCode="General">
                  <c:v>-5.3089300000000001</c:v>
                </c:pt>
                <c:pt idx="94" formatCode="General">
                  <c:v>-5.3084300000000004</c:v>
                </c:pt>
                <c:pt idx="95" formatCode="General">
                  <c:v>-5.3084300000000004</c:v>
                </c:pt>
                <c:pt idx="96" formatCode="General">
                  <c:v>-5.3084300000000004</c:v>
                </c:pt>
                <c:pt idx="97" formatCode="General">
                  <c:v>-5.3084300000000004</c:v>
                </c:pt>
                <c:pt idx="98" formatCode="General">
                  <c:v>-5.3084300000000004</c:v>
                </c:pt>
                <c:pt idx="99" formatCode="General">
                  <c:v>-5.3084300000000004</c:v>
                </c:pt>
                <c:pt idx="100" formatCode="General">
                  <c:v>-5.3084300000000004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-798108000</c:v>
                </c:pt>
                <c:pt idx="1">
                  <c:v>-798108000</c:v>
                </c:pt>
                <c:pt idx="2">
                  <c:v>-441054000</c:v>
                </c:pt>
                <c:pt idx="3">
                  <c:v>-240443000</c:v>
                </c:pt>
                <c:pt idx="4">
                  <c:v>-129205000</c:v>
                </c:pt>
                <c:pt idx="5">
                  <c:v>-68376700</c:v>
                </c:pt>
                <c:pt idx="6">
                  <c:v>-35602500</c:v>
                </c:pt>
                <c:pt idx="7">
                  <c:v>-18219100</c:v>
                </c:pt>
                <c:pt idx="8">
                  <c:v>-9152240</c:v>
                </c:pt>
                <c:pt idx="9">
                  <c:v>-4507080</c:v>
                </c:pt>
                <c:pt idx="10">
                  <c:v>-2172560</c:v>
                </c:pt>
                <c:pt idx="11">
                  <c:v>-1023310</c:v>
                </c:pt>
                <c:pt idx="12" formatCode="General">
                  <c:v>-470053</c:v>
                </c:pt>
                <c:pt idx="13" formatCode="General">
                  <c:v>-210083</c:v>
                </c:pt>
                <c:pt idx="14" formatCode="General">
                  <c:v>-91107.3</c:v>
                </c:pt>
                <c:pt idx="15" formatCode="General">
                  <c:v>-38209.4</c:v>
                </c:pt>
                <c:pt idx="16" formatCode="General">
                  <c:v>-15427.9</c:v>
                </c:pt>
                <c:pt idx="17" formatCode="General">
                  <c:v>-5957.99</c:v>
                </c:pt>
                <c:pt idx="18" formatCode="General">
                  <c:v>-2175.4899999999998</c:v>
                </c:pt>
                <c:pt idx="19" formatCode="General">
                  <c:v>-732.53499999999997</c:v>
                </c:pt>
                <c:pt idx="20" formatCode="General">
                  <c:v>-211.75800000000001</c:v>
                </c:pt>
                <c:pt idx="21" formatCode="General">
                  <c:v>-37.148099999999999</c:v>
                </c:pt>
                <c:pt idx="22" formatCode="General">
                  <c:v>14.7721</c:v>
                </c:pt>
                <c:pt idx="23" formatCode="General">
                  <c:v>26.223099999999999</c:v>
                </c:pt>
                <c:pt idx="24" formatCode="General">
                  <c:v>25.6404</c:v>
                </c:pt>
                <c:pt idx="25" formatCode="General">
                  <c:v>22.1508</c:v>
                </c:pt>
                <c:pt idx="26" formatCode="General">
                  <c:v>18.4086</c:v>
                </c:pt>
                <c:pt idx="27" formatCode="General">
                  <c:v>15.068199999999999</c:v>
                </c:pt>
                <c:pt idx="28" formatCode="General">
                  <c:v>12.225300000000001</c:v>
                </c:pt>
                <c:pt idx="29" formatCode="General">
                  <c:v>9.8405900000000006</c:v>
                </c:pt>
                <c:pt idx="30" formatCode="General">
                  <c:v>7.8518499999999998</c:v>
                </c:pt>
                <c:pt idx="31" formatCode="General">
                  <c:v>6.1991399999999999</c:v>
                </c:pt>
                <c:pt idx="32" formatCode="General">
                  <c:v>4.82951</c:v>
                </c:pt>
                <c:pt idx="33" formatCode="General">
                  <c:v>3.69693</c:v>
                </c:pt>
                <c:pt idx="34" formatCode="General">
                  <c:v>2.7614999999999998</c:v>
                </c:pt>
                <c:pt idx="35" formatCode="General">
                  <c:v>1.98868</c:v>
                </c:pt>
                <c:pt idx="36" formatCode="General">
                  <c:v>1.3488599999999999</c:v>
                </c:pt>
                <c:pt idx="37" formatCode="General">
                  <c:v>0.81700899999999999</c:v>
                </c:pt>
                <c:pt idx="38" formatCode="General">
                  <c:v>0.37234299999999998</c:v>
                </c:pt>
                <c:pt idx="39" formatCode="General">
                  <c:v>-2.0972600000000001E-3</c:v>
                </c:pt>
                <c:pt idx="40" formatCode="General">
                  <c:v>-0.319942</c:v>
                </c:pt>
                <c:pt idx="41" formatCode="General">
                  <c:v>-0.59206199999999998</c:v>
                </c:pt>
                <c:pt idx="42" formatCode="General">
                  <c:v>-0.82711999999999997</c:v>
                </c:pt>
                <c:pt idx="43" formatCode="General">
                  <c:v>-1.0320499999999999</c:v>
                </c:pt>
                <c:pt idx="44" formatCode="General">
                  <c:v>-1.2124600000000001</c:v>
                </c:pt>
                <c:pt idx="45" formatCode="General">
                  <c:v>-1.3728800000000001</c:v>
                </c:pt>
                <c:pt idx="46" formatCode="General">
                  <c:v>-1.5169900000000001</c:v>
                </c:pt>
                <c:pt idx="47" formatCode="General">
                  <c:v>-1.64775</c:v>
                </c:pt>
                <c:pt idx="48" formatCode="General">
                  <c:v>-1.76753</c:v>
                </c:pt>
                <c:pt idx="49" formatCode="General">
                  <c:v>-1.8781399999999999</c:v>
                </c:pt>
                <c:pt idx="50" formatCode="General">
                  <c:v>-1.9809600000000001</c:v>
                </c:pt>
                <c:pt idx="51" formatCode="General">
                  <c:v>-2.07701</c:v>
                </c:pt>
                <c:pt idx="52" formatCode="General">
                  <c:v>-2.1670199999999999</c:v>
                </c:pt>
                <c:pt idx="53" formatCode="General">
                  <c:v>-2.25149</c:v>
                </c:pt>
                <c:pt idx="54" formatCode="General">
                  <c:v>-2.3308</c:v>
                </c:pt>
                <c:pt idx="55" formatCode="General">
                  <c:v>-2.4052099999999998</c:v>
                </c:pt>
                <c:pt idx="56" formatCode="General">
                  <c:v>-2.4749699999999999</c:v>
                </c:pt>
                <c:pt idx="57" formatCode="General">
                  <c:v>-2.5402900000000002</c:v>
                </c:pt>
                <c:pt idx="58" formatCode="General">
                  <c:v>-2.6013999999999999</c:v>
                </c:pt>
                <c:pt idx="59" formatCode="General">
                  <c:v>-2.6585700000000001</c:v>
                </c:pt>
                <c:pt idx="60" formatCode="General">
                  <c:v>-2.7120799999999998</c:v>
                </c:pt>
                <c:pt idx="61" formatCode="General">
                  <c:v>-2.76227</c:v>
                </c:pt>
                <c:pt idx="62" formatCode="General">
                  <c:v>-2.8094700000000001</c:v>
                </c:pt>
                <c:pt idx="63" formatCode="General">
                  <c:v>-2.8540299999999998</c:v>
                </c:pt>
                <c:pt idx="64" formatCode="General">
                  <c:v>-2.8963299999999998</c:v>
                </c:pt>
                <c:pt idx="65" formatCode="General">
                  <c:v>-2.93669</c:v>
                </c:pt>
                <c:pt idx="66" formatCode="General">
                  <c:v>-2.9754299999999998</c:v>
                </c:pt>
                <c:pt idx="67" formatCode="General">
                  <c:v>-3.0128400000000002</c:v>
                </c:pt>
                <c:pt idx="68" formatCode="General">
                  <c:v>-3.0491600000000001</c:v>
                </c:pt>
                <c:pt idx="69" formatCode="General">
                  <c:v>-3.0845600000000002</c:v>
                </c:pt>
                <c:pt idx="70" formatCode="General">
                  <c:v>-3.11917</c:v>
                </c:pt>
                <c:pt idx="71" formatCode="General">
                  <c:v>-3.15307</c:v>
                </c:pt>
                <c:pt idx="72" formatCode="General">
                  <c:v>-3.1862699999999999</c:v>
                </c:pt>
                <c:pt idx="73" formatCode="General">
                  <c:v>-3.21875</c:v>
                </c:pt>
                <c:pt idx="74" formatCode="General">
                  <c:v>-3.2504300000000002</c:v>
                </c:pt>
                <c:pt idx="75" formatCode="General">
                  <c:v>-3.2812100000000002</c:v>
                </c:pt>
                <c:pt idx="76" formatCode="General">
                  <c:v>-3.3109799999999998</c:v>
                </c:pt>
                <c:pt idx="77" formatCode="General">
                  <c:v>-3.3396300000000001</c:v>
                </c:pt>
                <c:pt idx="78" formatCode="General">
                  <c:v>-3.36707</c:v>
                </c:pt>
                <c:pt idx="79" formatCode="General">
                  <c:v>-3.3932199999999999</c:v>
                </c:pt>
                <c:pt idx="80" formatCode="General">
                  <c:v>-3.4180799999999998</c:v>
                </c:pt>
                <c:pt idx="81" formatCode="General">
                  <c:v>-3.4416600000000002</c:v>
                </c:pt>
                <c:pt idx="82" formatCode="General">
                  <c:v>-3.46407</c:v>
                </c:pt>
                <c:pt idx="83" formatCode="General">
                  <c:v>-3.4854699999999998</c:v>
                </c:pt>
                <c:pt idx="84" formatCode="General">
                  <c:v>-3.5060600000000002</c:v>
                </c:pt>
                <c:pt idx="85" formatCode="General">
                  <c:v>-3.5260899999999999</c:v>
                </c:pt>
                <c:pt idx="86" formatCode="General">
                  <c:v>-3.54583</c:v>
                </c:pt>
                <c:pt idx="87" formatCode="General">
                  <c:v>-3.56549</c:v>
                </c:pt>
                <c:pt idx="88" formatCode="General">
                  <c:v>-3.5851999999999999</c:v>
                </c:pt>
                <c:pt idx="89" formatCode="General">
                  <c:v>-3.60494</c:v>
                </c:pt>
                <c:pt idx="90" formatCode="General">
                  <c:v>-3.62439</c:v>
                </c:pt>
                <c:pt idx="91" formatCode="General">
                  <c:v>-3.6428400000000001</c:v>
                </c:pt>
                <c:pt idx="92" formatCode="General">
                  <c:v>-3.6590600000000002</c:v>
                </c:pt>
                <c:pt idx="93" formatCode="General">
                  <c:v>-3.6710400000000001</c:v>
                </c:pt>
                <c:pt idx="94" formatCode="General">
                  <c:v>-3.6758799999999998</c:v>
                </c:pt>
                <c:pt idx="95" formatCode="General">
                  <c:v>-3.6758799999999998</c:v>
                </c:pt>
                <c:pt idx="96" formatCode="General">
                  <c:v>-3.6758799999999998</c:v>
                </c:pt>
                <c:pt idx="97" formatCode="General">
                  <c:v>-3.6758799999999998</c:v>
                </c:pt>
                <c:pt idx="98" formatCode="General">
                  <c:v>-3.6758799999999998</c:v>
                </c:pt>
                <c:pt idx="99" formatCode="General">
                  <c:v>-3.6758799999999998</c:v>
                </c:pt>
                <c:pt idx="100" formatCode="General">
                  <c:v>-3.6758799999999998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-36608200</c:v>
                </c:pt>
                <c:pt idx="1">
                  <c:v>-36608200</c:v>
                </c:pt>
                <c:pt idx="2">
                  <c:v>-19422000</c:v>
                </c:pt>
                <c:pt idx="3">
                  <c:v>-10176000</c:v>
                </c:pt>
                <c:pt idx="4">
                  <c:v>-5263430</c:v>
                </c:pt>
                <c:pt idx="5">
                  <c:v>-2686720</c:v>
                </c:pt>
                <c:pt idx="6">
                  <c:v>-1353060</c:v>
                </c:pt>
                <c:pt idx="7">
                  <c:v>-672140</c:v>
                </c:pt>
                <c:pt idx="8">
                  <c:v>-329315</c:v>
                </c:pt>
                <c:pt idx="9">
                  <c:v>-159145</c:v>
                </c:pt>
                <c:pt idx="10">
                  <c:v>-75876.800000000003</c:v>
                </c:pt>
                <c:pt idx="11">
                  <c:v>-35707.1</c:v>
                </c:pt>
                <c:pt idx="12">
                  <c:v>-16596.8</c:v>
                </c:pt>
                <c:pt idx="13">
                  <c:v>-7625.57</c:v>
                </c:pt>
                <c:pt idx="14">
                  <c:v>-3465.98</c:v>
                </c:pt>
                <c:pt idx="15" formatCode="General">
                  <c:v>-1558.64</c:v>
                </c:pt>
                <c:pt idx="16" formatCode="General">
                  <c:v>-692.4</c:v>
                </c:pt>
                <c:pt idx="17" formatCode="General">
                  <c:v>-302.18900000000002</c:v>
                </c:pt>
                <c:pt idx="18" formatCode="General">
                  <c:v>-127.75700000000001</c:v>
                </c:pt>
                <c:pt idx="19" formatCode="General">
                  <c:v>-50.535499999999999</c:v>
                </c:pt>
                <c:pt idx="20" formatCode="General">
                  <c:v>-16.944299999999998</c:v>
                </c:pt>
                <c:pt idx="21" formatCode="General">
                  <c:v>-2.8887100000000001</c:v>
                </c:pt>
                <c:pt idx="22" formatCode="General">
                  <c:v>2.4547599999999998</c:v>
                </c:pt>
                <c:pt idx="23" formatCode="General">
                  <c:v>3.96658</c:v>
                </c:pt>
                <c:pt idx="24" formatCode="General">
                  <c:v>3.8847200000000002</c:v>
                </c:pt>
                <c:pt idx="25" formatCode="General">
                  <c:v>3.23617</c:v>
                </c:pt>
                <c:pt idx="26" formatCode="General">
                  <c:v>2.4836800000000001</c:v>
                </c:pt>
                <c:pt idx="27" formatCode="General">
                  <c:v>1.82216</c:v>
                </c:pt>
                <c:pt idx="28" formatCode="General">
                  <c:v>1.31423</c:v>
                </c:pt>
                <c:pt idx="29" formatCode="General">
                  <c:v>0.95327899999999999</c:v>
                </c:pt>
                <c:pt idx="30" formatCode="General">
                  <c:v>0.69327099999999997</c:v>
                </c:pt>
                <c:pt idx="31" formatCode="General">
                  <c:v>0.47679199999999999</c:v>
                </c:pt>
                <c:pt idx="32" formatCode="General">
                  <c:v>0.28795999999999999</c:v>
                </c:pt>
                <c:pt idx="33" formatCode="General">
                  <c:v>0.12217699999999999</c:v>
                </c:pt>
                <c:pt idx="34" formatCode="General">
                  <c:v>-2.5034600000000001E-2</c:v>
                </c:pt>
                <c:pt idx="35" formatCode="General">
                  <c:v>-0.15745000000000001</c:v>
                </c:pt>
                <c:pt idx="36" formatCode="General">
                  <c:v>-0.27802399999999999</c:v>
                </c:pt>
                <c:pt idx="37" formatCode="General">
                  <c:v>-0.38898100000000002</c:v>
                </c:pt>
                <c:pt idx="38" formatCode="General">
                  <c:v>-0.49197200000000002</c:v>
                </c:pt>
                <c:pt idx="39" formatCode="General">
                  <c:v>-0.58822600000000003</c:v>
                </c:pt>
                <c:pt idx="40" formatCode="General">
                  <c:v>-0.67868200000000001</c:v>
                </c:pt>
                <c:pt idx="41" formatCode="General">
                  <c:v>-0.76407700000000001</c:v>
                </c:pt>
                <c:pt idx="42" formatCode="General">
                  <c:v>-0.84499999999999997</c:v>
                </c:pt>
                <c:pt idx="43" formatCode="General">
                  <c:v>-0.92193199999999997</c:v>
                </c:pt>
                <c:pt idx="44" formatCode="General">
                  <c:v>-0.99526300000000001</c:v>
                </c:pt>
                <c:pt idx="45" formatCode="General">
                  <c:v>-1.0652999999999999</c:v>
                </c:pt>
                <c:pt idx="46" formatCode="General">
                  <c:v>-1.1323000000000001</c:v>
                </c:pt>
                <c:pt idx="47" formatCode="General">
                  <c:v>-1.1964399999999999</c:v>
                </c:pt>
                <c:pt idx="48" formatCode="General">
                  <c:v>-1.25786</c:v>
                </c:pt>
                <c:pt idx="49" formatCode="General">
                  <c:v>-1.31667</c:v>
                </c:pt>
                <c:pt idx="50" formatCode="General">
                  <c:v>-1.37293</c:v>
                </c:pt>
                <c:pt idx="51" formatCode="General">
                  <c:v>-1.42669</c:v>
                </c:pt>
                <c:pt idx="52" formatCode="General">
                  <c:v>-1.47801</c:v>
                </c:pt>
                <c:pt idx="53" formatCode="General">
                  <c:v>-1.5269299999999999</c:v>
                </c:pt>
                <c:pt idx="54" formatCode="General">
                  <c:v>-1.57348</c:v>
                </c:pt>
                <c:pt idx="55" formatCode="General">
                  <c:v>-1.61772</c:v>
                </c:pt>
                <c:pt idx="56" formatCode="General">
                  <c:v>-1.6596900000000001</c:v>
                </c:pt>
                <c:pt idx="57" formatCode="General">
                  <c:v>-1.69947</c:v>
                </c:pt>
                <c:pt idx="58" formatCode="General">
                  <c:v>-1.73712</c:v>
                </c:pt>
                <c:pt idx="59" formatCode="General">
                  <c:v>-1.77274</c:v>
                </c:pt>
                <c:pt idx="60" formatCode="General">
                  <c:v>-1.8064199999999999</c:v>
                </c:pt>
                <c:pt idx="61" formatCode="General">
                  <c:v>-1.83826</c:v>
                </c:pt>
                <c:pt idx="62" formatCode="General">
                  <c:v>-1.86839</c:v>
                </c:pt>
                <c:pt idx="63" formatCode="General">
                  <c:v>-1.8969199999999999</c:v>
                </c:pt>
                <c:pt idx="64" formatCode="General">
                  <c:v>-1.92397</c:v>
                </c:pt>
                <c:pt idx="65" formatCode="General">
                  <c:v>-1.9496599999999999</c:v>
                </c:pt>
                <c:pt idx="66" formatCode="General">
                  <c:v>-1.9741299999999999</c:v>
                </c:pt>
                <c:pt idx="67" formatCode="General">
                  <c:v>-1.9974700000000001</c:v>
                </c:pt>
                <c:pt idx="68" formatCode="General">
                  <c:v>-2.0198</c:v>
                </c:pt>
                <c:pt idx="69" formatCode="General">
                  <c:v>-2.0411999999999999</c:v>
                </c:pt>
                <c:pt idx="70" formatCode="General">
                  <c:v>-2.06175</c:v>
                </c:pt>
                <c:pt idx="71" formatCode="General">
                  <c:v>-2.0815100000000002</c:v>
                </c:pt>
                <c:pt idx="72" formatCode="General">
                  <c:v>-2.1004999999999998</c:v>
                </c:pt>
                <c:pt idx="73" formatCode="General">
                  <c:v>-2.11876</c:v>
                </c:pt>
                <c:pt idx="74" formatCode="General">
                  <c:v>-2.1362800000000002</c:v>
                </c:pt>
                <c:pt idx="75" formatCode="General">
                  <c:v>-2.1530499999999999</c:v>
                </c:pt>
                <c:pt idx="76" formatCode="General">
                  <c:v>-2.1690499999999999</c:v>
                </c:pt>
                <c:pt idx="77" formatCode="General">
                  <c:v>-2.1842600000000001</c:v>
                </c:pt>
                <c:pt idx="78" formatCode="General">
                  <c:v>-2.1986500000000002</c:v>
                </c:pt>
                <c:pt idx="79" formatCode="General">
                  <c:v>-2.2122199999999999</c:v>
                </c:pt>
                <c:pt idx="80" formatCode="General">
                  <c:v>-2.2249599999999998</c:v>
                </c:pt>
                <c:pt idx="81" formatCode="General">
                  <c:v>-2.23692</c:v>
                </c:pt>
                <c:pt idx="82" formatCode="General">
                  <c:v>-2.2481599999999999</c:v>
                </c:pt>
                <c:pt idx="83" formatCode="General">
                  <c:v>-2.2587700000000002</c:v>
                </c:pt>
                <c:pt idx="84" formatCode="General">
                  <c:v>-2.2688799999999998</c:v>
                </c:pt>
                <c:pt idx="85" formatCode="General">
                  <c:v>-2.2786599999999999</c:v>
                </c:pt>
                <c:pt idx="86" formatCode="General">
                  <c:v>-2.2882699999999998</c:v>
                </c:pt>
                <c:pt idx="87" formatCode="General">
                  <c:v>-2.2978900000000002</c:v>
                </c:pt>
                <c:pt idx="88" formatCode="General">
                  <c:v>-2.3076300000000001</c:v>
                </c:pt>
                <c:pt idx="89" formatCode="General">
                  <c:v>-2.3175400000000002</c:v>
                </c:pt>
                <c:pt idx="90" formatCode="General">
                  <c:v>-2.3275100000000002</c:v>
                </c:pt>
                <c:pt idx="91" formatCode="General">
                  <c:v>-2.3372099999999998</c:v>
                </c:pt>
                <c:pt idx="92" formatCode="General">
                  <c:v>-2.3459400000000001</c:v>
                </c:pt>
                <c:pt idx="93" formatCode="General">
                  <c:v>-2.3525700000000001</c:v>
                </c:pt>
                <c:pt idx="94" formatCode="General">
                  <c:v>-2.3553000000000002</c:v>
                </c:pt>
                <c:pt idx="95" formatCode="General">
                  <c:v>-2.3553000000000002</c:v>
                </c:pt>
                <c:pt idx="96" formatCode="General">
                  <c:v>-2.3553000000000002</c:v>
                </c:pt>
                <c:pt idx="97" formatCode="General">
                  <c:v>-2.3553000000000002</c:v>
                </c:pt>
                <c:pt idx="98" formatCode="General">
                  <c:v>-2.3553000000000002</c:v>
                </c:pt>
                <c:pt idx="99" formatCode="General">
                  <c:v>-2.3553000000000002</c:v>
                </c:pt>
                <c:pt idx="100" formatCode="General">
                  <c:v>-2.3553000000000002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-36561100</c:v>
                </c:pt>
                <c:pt idx="1">
                  <c:v>-36561100</c:v>
                </c:pt>
                <c:pt idx="2">
                  <c:v>-16747600</c:v>
                </c:pt>
                <c:pt idx="3">
                  <c:v>-7463180</c:v>
                </c:pt>
                <c:pt idx="4">
                  <c:v>-3226250</c:v>
                </c:pt>
                <c:pt idx="5">
                  <c:v>-1348380</c:v>
                </c:pt>
                <c:pt idx="6">
                  <c:v>-542646</c:v>
                </c:pt>
                <c:pt idx="7">
                  <c:v>-209269</c:v>
                </c:pt>
                <c:pt idx="8">
                  <c:v>-76873.600000000006</c:v>
                </c:pt>
                <c:pt idx="9" formatCode="General">
                  <c:v>-26692.400000000001</c:v>
                </c:pt>
                <c:pt idx="10" formatCode="General">
                  <c:v>-8664.41</c:v>
                </c:pt>
                <c:pt idx="11" formatCode="General">
                  <c:v>-2577.0700000000002</c:v>
                </c:pt>
                <c:pt idx="12" formatCode="General">
                  <c:v>-665.61300000000006</c:v>
                </c:pt>
                <c:pt idx="13" formatCode="General">
                  <c:v>-115.96</c:v>
                </c:pt>
                <c:pt idx="14" formatCode="General">
                  <c:v>23.970800000000001</c:v>
                </c:pt>
                <c:pt idx="15" formatCode="General">
                  <c:v>51.2333</c:v>
                </c:pt>
                <c:pt idx="16" formatCode="General">
                  <c:v>50.375300000000003</c:v>
                </c:pt>
                <c:pt idx="17" formatCode="General">
                  <c:v>43.407800000000002</c:v>
                </c:pt>
                <c:pt idx="18" formatCode="General">
                  <c:v>35.834699999999998</c:v>
                </c:pt>
                <c:pt idx="19" formatCode="General">
                  <c:v>29.125800000000002</c:v>
                </c:pt>
                <c:pt idx="20" formatCode="General">
                  <c:v>23.6617</c:v>
                </c:pt>
                <c:pt idx="21" formatCode="General">
                  <c:v>19.412299999999998</c:v>
                </c:pt>
                <c:pt idx="22" formatCode="General">
                  <c:v>16.1754</c:v>
                </c:pt>
                <c:pt idx="23" formatCode="General">
                  <c:v>13.7125</c:v>
                </c:pt>
                <c:pt idx="24" formatCode="General">
                  <c:v>11.8202</c:v>
                </c:pt>
                <c:pt idx="25" formatCode="General">
                  <c:v>10.35</c:v>
                </c:pt>
                <c:pt idx="26" formatCode="General">
                  <c:v>9.2013800000000003</c:v>
                </c:pt>
                <c:pt idx="27" formatCode="General">
                  <c:v>8.3052700000000002</c:v>
                </c:pt>
                <c:pt idx="28" formatCode="General">
                  <c:v>7.6108500000000001</c:v>
                </c:pt>
                <c:pt idx="29" formatCode="General">
                  <c:v>7.0772300000000001</c:v>
                </c:pt>
                <c:pt idx="30" formatCode="General">
                  <c:v>6.6698899999999997</c:v>
                </c:pt>
                <c:pt idx="31" formatCode="General">
                  <c:v>6.3596500000000002</c:v>
                </c:pt>
                <c:pt idx="32" formatCode="General">
                  <c:v>6.1225300000000002</c:v>
                </c:pt>
                <c:pt idx="33" formatCode="General">
                  <c:v>5.9395499999999997</c:v>
                </c:pt>
                <c:pt idx="34" formatCode="General">
                  <c:v>5.7963100000000001</c:v>
                </c:pt>
                <c:pt idx="35" formatCode="General">
                  <c:v>5.6822499999999998</c:v>
                </c:pt>
                <c:pt idx="36" formatCode="General">
                  <c:v>5.5898599999999998</c:v>
                </c:pt>
                <c:pt idx="37" formatCode="General">
                  <c:v>5.5138499999999997</c:v>
                </c:pt>
                <c:pt idx="38" formatCode="General">
                  <c:v>5.4505600000000003</c:v>
                </c:pt>
                <c:pt idx="39" formatCode="General">
                  <c:v>5.3974000000000002</c:v>
                </c:pt>
                <c:pt idx="40" formatCode="General">
                  <c:v>5.3525299999999998</c:v>
                </c:pt>
                <c:pt idx="41" formatCode="General">
                  <c:v>5.3146100000000001</c:v>
                </c:pt>
                <c:pt idx="42" formatCode="General">
                  <c:v>5.28261</c:v>
                </c:pt>
                <c:pt idx="43" formatCode="General">
                  <c:v>5.2557099999999997</c:v>
                </c:pt>
                <c:pt idx="44" formatCode="General">
                  <c:v>5.2332200000000002</c:v>
                </c:pt>
                <c:pt idx="45" formatCode="General">
                  <c:v>5.2145099999999998</c:v>
                </c:pt>
                <c:pt idx="46" formatCode="General">
                  <c:v>5.1989900000000002</c:v>
                </c:pt>
                <c:pt idx="47" formatCode="General">
                  <c:v>5.1860200000000001</c:v>
                </c:pt>
                <c:pt idx="48" formatCode="General">
                  <c:v>5.1749999999999998</c:v>
                </c:pt>
                <c:pt idx="49" formatCode="General">
                  <c:v>5.1652899999999997</c:v>
                </c:pt>
                <c:pt idx="50" formatCode="General">
                  <c:v>5.1562700000000001</c:v>
                </c:pt>
                <c:pt idx="51" formatCode="General">
                  <c:v>5.1473599999999999</c:v>
                </c:pt>
                <c:pt idx="52" formatCode="General">
                  <c:v>5.1380499999999998</c:v>
                </c:pt>
                <c:pt idx="53" formatCode="General">
                  <c:v>5.1279399999999997</c:v>
                </c:pt>
                <c:pt idx="54" formatCode="General">
                  <c:v>5.1167100000000003</c:v>
                </c:pt>
                <c:pt idx="55" formatCode="General">
                  <c:v>5.1042100000000001</c:v>
                </c:pt>
                <c:pt idx="56" formatCode="General">
                  <c:v>5.0903600000000004</c:v>
                </c:pt>
                <c:pt idx="57" formatCode="General">
                  <c:v>5.0752100000000002</c:v>
                </c:pt>
                <c:pt idx="58" formatCode="General">
                  <c:v>5.0588800000000003</c:v>
                </c:pt>
                <c:pt idx="59" formatCode="General">
                  <c:v>5.0415400000000004</c:v>
                </c:pt>
                <c:pt idx="60" formatCode="General">
                  <c:v>5.0233999999999996</c:v>
                </c:pt>
                <c:pt idx="61" formatCode="General">
                  <c:v>5.0046600000000003</c:v>
                </c:pt>
                <c:pt idx="62" formatCode="General">
                  <c:v>4.9854900000000004</c:v>
                </c:pt>
                <c:pt idx="63" formatCode="General">
                  <c:v>4.9660299999999999</c:v>
                </c:pt>
                <c:pt idx="64" formatCode="General">
                  <c:v>4.9463999999999997</c:v>
                </c:pt>
                <c:pt idx="65" formatCode="General">
                  <c:v>4.9266500000000004</c:v>
                </c:pt>
                <c:pt idx="66" formatCode="General">
                  <c:v>4.90679</c:v>
                </c:pt>
                <c:pt idx="67" formatCode="General">
                  <c:v>4.8868200000000002</c:v>
                </c:pt>
                <c:pt idx="68" formatCode="General">
                  <c:v>4.8666900000000002</c:v>
                </c:pt>
                <c:pt idx="69" formatCode="General">
                  <c:v>4.8463700000000003</c:v>
                </c:pt>
                <c:pt idx="70" formatCode="General">
                  <c:v>4.8258000000000001</c:v>
                </c:pt>
                <c:pt idx="71" formatCode="General">
                  <c:v>4.80497</c:v>
                </c:pt>
                <c:pt idx="72" formatCode="General">
                  <c:v>4.7838799999999999</c:v>
                </c:pt>
                <c:pt idx="73" formatCode="General">
                  <c:v>4.7625400000000004</c:v>
                </c:pt>
                <c:pt idx="74" formatCode="General">
                  <c:v>4.7410300000000003</c:v>
                </c:pt>
                <c:pt idx="75" formatCode="General">
                  <c:v>4.7194399999999996</c:v>
                </c:pt>
                <c:pt idx="76" formatCode="General">
                  <c:v>4.6978600000000004</c:v>
                </c:pt>
                <c:pt idx="77" formatCode="General">
                  <c:v>4.6764200000000002</c:v>
                </c:pt>
                <c:pt idx="78" formatCode="General">
                  <c:v>4.6552499999999997</c:v>
                </c:pt>
                <c:pt idx="79" formatCode="General">
                  <c:v>4.6344500000000002</c:v>
                </c:pt>
                <c:pt idx="80" formatCode="General">
                  <c:v>4.6140699999999999</c:v>
                </c:pt>
                <c:pt idx="81" formatCode="General">
                  <c:v>4.59415</c:v>
                </c:pt>
                <c:pt idx="82" formatCode="General">
                  <c:v>4.57463</c:v>
                </c:pt>
                <c:pt idx="83" formatCode="General">
                  <c:v>4.5553900000000001</c:v>
                </c:pt>
                <c:pt idx="84" formatCode="General">
                  <c:v>4.5362600000000004</c:v>
                </c:pt>
                <c:pt idx="85" formatCode="General">
                  <c:v>4.5169899999999998</c:v>
                </c:pt>
                <c:pt idx="86" formatCode="General">
                  <c:v>4.4973099999999997</c:v>
                </c:pt>
                <c:pt idx="87" formatCode="General">
                  <c:v>4.4769699999999997</c:v>
                </c:pt>
                <c:pt idx="88" formatCode="General">
                  <c:v>4.4558</c:v>
                </c:pt>
                <c:pt idx="89" formatCode="General">
                  <c:v>4.4338600000000001</c:v>
                </c:pt>
                <c:pt idx="90" formatCode="General">
                  <c:v>4.4115099999999998</c:v>
                </c:pt>
                <c:pt idx="91" formatCode="General">
                  <c:v>4.38964</c:v>
                </c:pt>
                <c:pt idx="92" formatCode="General">
                  <c:v>4.3699000000000003</c:v>
                </c:pt>
                <c:pt idx="93" formatCode="General">
                  <c:v>4.35494</c:v>
                </c:pt>
                <c:pt idx="94" formatCode="General">
                  <c:v>4.3487799999999996</c:v>
                </c:pt>
                <c:pt idx="95" formatCode="General">
                  <c:v>4.3487799999999996</c:v>
                </c:pt>
                <c:pt idx="96" formatCode="General">
                  <c:v>4.3487799999999996</c:v>
                </c:pt>
                <c:pt idx="97" formatCode="General">
                  <c:v>4.3487799999999996</c:v>
                </c:pt>
                <c:pt idx="98" formatCode="General">
                  <c:v>4.3487799999999996</c:v>
                </c:pt>
                <c:pt idx="99" formatCode="General">
                  <c:v>4.3487799999999996</c:v>
                </c:pt>
                <c:pt idx="100" formatCode="General">
                  <c:v>4.3487799999999996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425450</xdr:colOff>
      <xdr:row>8</xdr:row>
      <xdr:rowOff>12700</xdr:rowOff>
    </xdr:from>
    <xdr:to>
      <xdr:col>20</xdr:col>
      <xdr:colOff>44450</xdr:colOff>
      <xdr:row>21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AB9C75-55CA-9EFA-287B-1AB085F9D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41</xdr:col>
      <xdr:colOff>0</xdr:colOff>
      <xdr:row>12</xdr:row>
      <xdr:rowOff>0</xdr:rowOff>
    </xdr:from>
    <xdr:to>
      <xdr:col>46</xdr:col>
      <xdr:colOff>444500</xdr:colOff>
      <xdr:row>25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workbookViewId="0">
      <selection activeCell="R23" sqref="R23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1504.5</v>
      </c>
      <c r="D6">
        <v>-4070.09</v>
      </c>
      <c r="E6">
        <v>40326.199999999997</v>
      </c>
      <c r="F6">
        <v>280.16000000000003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1.3964180230222538</v>
      </c>
      <c r="M6">
        <f>D6+SUM(G6:J6)*1.5*(0.000086173)*C6</f>
        <v>-3758.9365316000003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7.7583108248995489E-2</v>
      </c>
      <c r="S6">
        <f>ABS(Q6-L6)/Q6</f>
        <v>0.1348378894939081</v>
      </c>
    </row>
    <row r="7" spans="2:19" x14ac:dyDescent="0.2">
      <c r="B7">
        <v>100000</v>
      </c>
      <c r="C7">
        <v>1399.1</v>
      </c>
      <c r="D7">
        <v>-4095.1</v>
      </c>
      <c r="E7">
        <v>39793.1</v>
      </c>
      <c r="F7">
        <v>-288.79599999999999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1.4151255489016941</v>
      </c>
      <c r="M7">
        <f t="shared" ref="M7:M9" si="0">D7+SUM(G7:J7)*1.5*(0.000086173)*C7</f>
        <v>-3805.7448536799998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5.8378590995131041E-2</v>
      </c>
      <c r="S7">
        <f>ABS(Q7-L7)/Q7</f>
        <v>0.11094798940311981</v>
      </c>
    </row>
    <row r="8" spans="2:19" x14ac:dyDescent="0.2">
      <c r="B8">
        <v>100000</v>
      </c>
      <c r="C8">
        <v>1299.94</v>
      </c>
      <c r="D8">
        <v>-4121.7299999999996</v>
      </c>
      <c r="E8">
        <v>39038</v>
      </c>
      <c r="F8">
        <v>-39.776899999999998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1.4424978861622011</v>
      </c>
      <c r="M8">
        <f t="shared" si="0"/>
        <v>-3852.8826489119997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4.1210607151098519E-2</v>
      </c>
      <c r="S8">
        <f>ABS(Q8-L8)/Q8</f>
        <v>9.5207566746793079E-2</v>
      </c>
    </row>
    <row r="9" spans="2:19" x14ac:dyDescent="0.2">
      <c r="B9">
        <v>100000</v>
      </c>
      <c r="C9">
        <v>1197.46</v>
      </c>
      <c r="D9">
        <v>-4149.29</v>
      </c>
      <c r="E9">
        <v>38395.4</v>
      </c>
      <c r="F9">
        <v>147.69800000000001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1.4666400787594347</v>
      </c>
      <c r="M9">
        <f t="shared" si="0"/>
        <v>-3901.6370706080002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4.7313168372930148E-2</v>
      </c>
      <c r="S9">
        <f>ABS(Q9-L9)/Q9</f>
        <v>7.809473593019324E-2</v>
      </c>
    </row>
    <row r="11" spans="2:19" x14ac:dyDescent="0.2">
      <c r="F11" t="s">
        <v>20</v>
      </c>
      <c r="G11" cm="1">
        <f t="array" ref="G11:H11">LINEST(E6:E9,C6:C9)</f>
        <v>6.4119227462892523</v>
      </c>
      <c r="H11">
        <v>30730.476311822931</v>
      </c>
      <c r="K11" t="s">
        <v>22</v>
      </c>
      <c r="L11" cm="1">
        <f t="array" ref="L11:M11">LINEST(M6:M9,C6:C9)</f>
        <v>0.46571769234576899</v>
      </c>
      <c r="M11">
        <v>-4458.6355902898749</v>
      </c>
      <c r="O11" t="s">
        <v>42</v>
      </c>
      <c r="P11" t="s">
        <v>43</v>
      </c>
    </row>
    <row r="12" spans="2:19" x14ac:dyDescent="0.2">
      <c r="G12" s="2">
        <f>G11/E9</f>
        <v>1.6699715971937398E-4</v>
      </c>
      <c r="L12">
        <f>L11/SUM(G6:I6)*(1.602E-19)*(6.022E+23)</f>
        <v>56.161152664707075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1502.67</v>
      </c>
      <c r="D17">
        <v>-2270.5500000000002</v>
      </c>
      <c r="E17">
        <v>74622.899999999994</v>
      </c>
      <c r="F17">
        <v>23.7197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1.3270986350838685</v>
      </c>
      <c r="M17">
        <f>D17+SUM(G17:J17)*1.5*(0.000086173)*C17</f>
        <v>-1959.7750034160001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7.3278863535523389E-2</v>
      </c>
      <c r="S17">
        <f>ABS(Q17-L17)/Q17</f>
        <v>4.8675333926407105E-2</v>
      </c>
    </row>
    <row r="18" spans="2:19" x14ac:dyDescent="0.2">
      <c r="B18">
        <v>100000</v>
      </c>
      <c r="C18">
        <v>1397.39</v>
      </c>
      <c r="D18">
        <v>-2300.11</v>
      </c>
      <c r="E18">
        <v>73060.600000000006</v>
      </c>
      <c r="F18">
        <v>-82.686400000000006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1.3554768060486775</v>
      </c>
      <c r="M18">
        <f t="shared" ref="M18:M20" si="2">D18+SUM(G18:J18)*1.5*(0.000086173)*C18</f>
        <v>-2011.1085076720001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2.6001034211948298E-2</v>
      </c>
      <c r="S18">
        <f>ABS(Q18-L18)/Q18</f>
        <v>2.3928694703638894E-2</v>
      </c>
    </row>
    <row r="19" spans="2:19" x14ac:dyDescent="0.2">
      <c r="B19">
        <v>100000</v>
      </c>
      <c r="C19">
        <v>1301.3599999999999</v>
      </c>
      <c r="D19">
        <v>-2332.2399999999998</v>
      </c>
      <c r="E19">
        <v>70523.5</v>
      </c>
      <c r="F19">
        <v>37.229799999999997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1.4042404125716959</v>
      </c>
      <c r="M19">
        <f t="shared" si="2"/>
        <v>-2063.0989713279996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4.7785242000064065E-2</v>
      </c>
      <c r="S19">
        <f>ABS(Q19-L19)/Q19</f>
        <v>1.6019399878225538E-2</v>
      </c>
    </row>
    <row r="20" spans="2:19" x14ac:dyDescent="0.2">
      <c r="B20">
        <v>100000</v>
      </c>
      <c r="C20">
        <v>1199.77</v>
      </c>
      <c r="D20">
        <v>-2364.2199999999998</v>
      </c>
      <c r="E20">
        <v>68628</v>
      </c>
      <c r="F20">
        <v>73.805999999999997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1.4430254230926154</v>
      </c>
      <c r="M20">
        <f t="shared" si="2"/>
        <v>-2116.0893274959999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4.8469036500204347E-3</v>
      </c>
      <c r="S20">
        <f>ABS(Q20-L20)/Q20</f>
        <v>1.8227041742677479E-3</v>
      </c>
    </row>
    <row r="22" spans="2:19" x14ac:dyDescent="0.2">
      <c r="F22" t="s">
        <v>20</v>
      </c>
      <c r="G22" cm="1">
        <f t="array" ref="G22:H22">LINEST(E17:E20,C17:C20)</f>
        <v>20.389579787482816</v>
      </c>
      <c r="H22">
        <v>44176.751386911419</v>
      </c>
      <c r="K22" t="s">
        <v>22</v>
      </c>
      <c r="L22" cm="1">
        <f t="array" ref="L22:M22">LINEST(M17:M20,C17:C20)</f>
        <v>0.51830819896934444</v>
      </c>
      <c r="M22">
        <v>-2737.3882177758082</v>
      </c>
      <c r="O22" t="s">
        <v>42</v>
      </c>
      <c r="P22" t="s">
        <v>43</v>
      </c>
    </row>
    <row r="23" spans="2:19" x14ac:dyDescent="0.2">
      <c r="G23" s="2">
        <f>G22/E20</f>
        <v>2.9710292865132038E-4</v>
      </c>
      <c r="L23">
        <f>L22/SUM(G17:I17)*(1.602E-19)*(6.022E+23)</f>
        <v>62.503070783222682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1497.8</v>
      </c>
      <c r="D28">
        <v>-2165.33</v>
      </c>
      <c r="E28">
        <v>53006</v>
      </c>
      <c r="F28">
        <v>-135.834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1.464618459797004</v>
      </c>
      <c r="M28">
        <f>D28+SUM(G28:J28)*1.5*(0.000086173)*C28</f>
        <v>-1855.5621934399999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9.0701676356844382E-2</v>
      </c>
      <c r="S28">
        <f>ABS(Q28-L28)/Q28</f>
        <v>0.10495545816446916</v>
      </c>
    </row>
    <row r="29" spans="2:19" x14ac:dyDescent="0.2">
      <c r="B29">
        <v>100000</v>
      </c>
      <c r="C29">
        <v>1398.92</v>
      </c>
      <c r="D29">
        <v>-2194.27</v>
      </c>
      <c r="E29">
        <v>51916.5</v>
      </c>
      <c r="F29">
        <v>-133.292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1.4953543879113578</v>
      </c>
      <c r="M29">
        <f t="shared" ref="M29:M31" si="4">D29+SUM(G29:J29)*1.5*(0.000086173)*C29</f>
        <v>-1904.9520804159999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6.3149944701027416E-2</v>
      </c>
      <c r="S29">
        <f>ABS(Q29-L29)/Q29</f>
        <v>8.3747200979386593E-2</v>
      </c>
    </row>
    <row r="30" spans="2:19" x14ac:dyDescent="0.2">
      <c r="B30">
        <v>100000</v>
      </c>
      <c r="C30">
        <v>1300.33</v>
      </c>
      <c r="D30">
        <v>-2224.9499999999998</v>
      </c>
      <c r="E30">
        <v>50618.9</v>
      </c>
      <c r="F30">
        <v>59.502899999999997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1.5336873397090809</v>
      </c>
      <c r="M30">
        <f t="shared" si="4"/>
        <v>-1956.0219909839998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5.6082344560896689E-2</v>
      </c>
      <c r="S30">
        <f>ABS(Q30-L30)/Q30</f>
        <v>6.9442395724901143E-2</v>
      </c>
    </row>
    <row r="31" spans="2:19" x14ac:dyDescent="0.2">
      <c r="B31">
        <v>100000</v>
      </c>
      <c r="C31">
        <v>1201.06</v>
      </c>
      <c r="D31">
        <v>-2253.7399999999998</v>
      </c>
      <c r="E31">
        <v>49630.9</v>
      </c>
      <c r="F31">
        <v>-201.88499999999999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1.5642183816936626</v>
      </c>
      <c r="M31">
        <f t="shared" si="4"/>
        <v>-2005.3425358879997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5.8557021038138701E-2</v>
      </c>
      <c r="S31">
        <f>ABS(Q31-L31)/Q31</f>
        <v>5.0939520084427835E-2</v>
      </c>
    </row>
    <row r="33" spans="2:16" x14ac:dyDescent="0.2">
      <c r="F33" t="s">
        <v>20</v>
      </c>
      <c r="G33" cm="1">
        <f t="array" ref="G33:H33">LINEST(E28:E31,C28:C31)</f>
        <v>11.551432638497673</v>
      </c>
      <c r="H33">
        <v>35704.098989949824</v>
      </c>
      <c r="K33" t="s">
        <v>22</v>
      </c>
      <c r="L33" cm="1">
        <f t="array" ref="L33:M33">LINEST(M28:M31,C28:C31)</f>
        <v>0.50606948376510252</v>
      </c>
      <c r="M33">
        <v>-2613.4243854338092</v>
      </c>
      <c r="O33" t="s">
        <v>42</v>
      </c>
      <c r="P33" t="s">
        <v>43</v>
      </c>
    </row>
    <row r="34" spans="2:16" x14ac:dyDescent="0.2">
      <c r="G34" s="2">
        <f>G33/E31</f>
        <v>2.3274678957056335E-4</v>
      </c>
      <c r="L34">
        <f>L33/SUM(G28:I28)*(1.602E-19)*(6.022E+23)</f>
        <v>61.027197385449782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B2:N15"/>
  <sheetViews>
    <sheetView tabSelected="1" workbookViewId="0">
      <selection activeCell="K19" sqref="K19"/>
    </sheetView>
  </sheetViews>
  <sheetFormatPr baseColWidth="10" defaultRowHeight="16" x14ac:dyDescent="0.2"/>
  <sheetData>
    <row r="2" spans="2:14" x14ac:dyDescent="0.2">
      <c r="G2" t="s">
        <v>14</v>
      </c>
      <c r="H2">
        <v>6.94</v>
      </c>
      <c r="I2">
        <v>39.097999999999999</v>
      </c>
      <c r="J2">
        <v>22.99</v>
      </c>
      <c r="K2">
        <v>35.450000000000003</v>
      </c>
    </row>
    <row r="3" spans="2:14" x14ac:dyDescent="0.2">
      <c r="C3" t="s">
        <v>40</v>
      </c>
      <c r="H3" t="s">
        <v>10</v>
      </c>
      <c r="I3" t="s">
        <v>11</v>
      </c>
      <c r="J3" t="s">
        <v>12</v>
      </c>
      <c r="K3" t="s">
        <v>13</v>
      </c>
    </row>
    <row r="5" spans="2:14" x14ac:dyDescent="0.2">
      <c r="B5" t="s">
        <v>41</v>
      </c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9</v>
      </c>
      <c r="L5" t="s">
        <v>15</v>
      </c>
      <c r="M5" t="s">
        <v>16</v>
      </c>
      <c r="N5" t="s">
        <v>21</v>
      </c>
    </row>
    <row r="7" spans="2:14" x14ac:dyDescent="0.2">
      <c r="B7">
        <f>I7/SUM(H7:I7)</f>
        <v>2.5000000000000001E-2</v>
      </c>
      <c r="C7">
        <v>100000</v>
      </c>
      <c r="D7">
        <v>1500.17</v>
      </c>
      <c r="E7">
        <v>-4027.68</v>
      </c>
      <c r="F7">
        <v>41129.300000000003</v>
      </c>
      <c r="G7">
        <v>-35.3919</v>
      </c>
      <c r="H7">
        <v>780</v>
      </c>
      <c r="I7">
        <v>20</v>
      </c>
      <c r="J7">
        <v>0</v>
      </c>
      <c r="K7">
        <v>800</v>
      </c>
      <c r="L7">
        <f>H7*H$2+I7*I$2+J7*J$2+K7*K$2</f>
        <v>34555.160000000003</v>
      </c>
      <c r="M7">
        <f>L7*(1.66054E-24)/(F7)/(1E-24)</f>
        <v>1.3951179666660996</v>
      </c>
      <c r="N7">
        <f>E7+SUM(H7:K7)*1.5*(0.000086173)*D7</f>
        <v>-3717.422041416</v>
      </c>
    </row>
    <row r="8" spans="2:14" x14ac:dyDescent="0.2">
      <c r="B8">
        <f t="shared" ref="B8:B15" si="0">I8/SUM(H8:I8)</f>
        <v>0.05</v>
      </c>
      <c r="C8">
        <v>200000</v>
      </c>
      <c r="D8">
        <v>1500.08</v>
      </c>
      <c r="E8">
        <v>-3987.75</v>
      </c>
      <c r="F8">
        <v>41756.1</v>
      </c>
      <c r="G8">
        <v>54.262099999999997</v>
      </c>
      <c r="H8">
        <v>760</v>
      </c>
      <c r="I8">
        <v>40</v>
      </c>
      <c r="J8">
        <v>0</v>
      </c>
      <c r="K8">
        <v>800</v>
      </c>
      <c r="L8">
        <f>H8*H$2+I8*I$2+J8*J$2+K8*K$2</f>
        <v>35198.320000000007</v>
      </c>
      <c r="M8">
        <f>L8*(1.66054E-24)/(F8)/(1E-24)</f>
        <v>1.399752809596682</v>
      </c>
      <c r="N8">
        <f>E8+SUM(H8:K8)*1.5*(0.000086173)*D8</f>
        <v>-3677.5106547840001</v>
      </c>
    </row>
    <row r="9" spans="2:14" x14ac:dyDescent="0.2">
      <c r="B9">
        <f t="shared" si="0"/>
        <v>7.4999999999999997E-2</v>
      </c>
      <c r="C9">
        <v>300000</v>
      </c>
      <c r="D9">
        <v>1500.05</v>
      </c>
      <c r="E9">
        <v>-3944.5</v>
      </c>
      <c r="F9">
        <v>42526.3</v>
      </c>
      <c r="G9">
        <v>-28.045200000000001</v>
      </c>
      <c r="H9">
        <v>740</v>
      </c>
      <c r="I9">
        <v>60</v>
      </c>
      <c r="J9">
        <v>0</v>
      </c>
      <c r="K9">
        <v>800</v>
      </c>
      <c r="L9">
        <f t="shared" ref="L9:L10" si="1">H9*H$2+I9*I$2+J9*J$2+K9*K$2</f>
        <v>35841.480000000003</v>
      </c>
      <c r="M9">
        <f t="shared" ref="M9:M10" si="2">L9*(1.66054E-24)/(F9)/(1E-24)</f>
        <v>1.3995153869299704</v>
      </c>
      <c r="N9">
        <f t="shared" ref="N9:N10" si="3">E9+SUM(H9:K9)*1.5*(0.000086173)*D9</f>
        <v>-3634.26685924</v>
      </c>
    </row>
    <row r="10" spans="2:14" x14ac:dyDescent="0.2">
      <c r="B10">
        <f t="shared" si="0"/>
        <v>0.1</v>
      </c>
      <c r="C10">
        <v>400000</v>
      </c>
      <c r="D10">
        <v>1499.98</v>
      </c>
      <c r="E10">
        <v>-3901.9</v>
      </c>
      <c r="F10">
        <v>43312</v>
      </c>
      <c r="G10">
        <v>31.4239</v>
      </c>
      <c r="H10">
        <v>720</v>
      </c>
      <c r="I10">
        <v>80</v>
      </c>
      <c r="J10">
        <v>0</v>
      </c>
      <c r="K10">
        <v>800</v>
      </c>
      <c r="L10">
        <f t="shared" si="1"/>
        <v>36484.640000000007</v>
      </c>
      <c r="M10">
        <f>L10*(1.66054E-24)/(F10)/(1E-24)</f>
        <v>1.3987856507572962</v>
      </c>
      <c r="N10">
        <f t="shared" si="3"/>
        <v>-3591.6813363040001</v>
      </c>
    </row>
    <row r="11" spans="2:14" x14ac:dyDescent="0.2">
      <c r="B11">
        <f t="shared" si="0"/>
        <v>0.125</v>
      </c>
      <c r="C11">
        <v>500000</v>
      </c>
      <c r="D11">
        <v>1499.83</v>
      </c>
      <c r="E11">
        <v>-3860.13</v>
      </c>
      <c r="F11">
        <v>43941.8</v>
      </c>
      <c r="G11">
        <v>49.893900000000002</v>
      </c>
      <c r="H11">
        <v>700</v>
      </c>
      <c r="I11">
        <v>100</v>
      </c>
      <c r="J11">
        <v>0</v>
      </c>
      <c r="K11">
        <v>800</v>
      </c>
      <c r="L11">
        <f t="shared" ref="L11" si="4">H11*H$2+I11*I$2+J11*J$2+K11*K$2</f>
        <v>37127.800000000003</v>
      </c>
      <c r="M11">
        <f>L11*(1.66054E-24)/(F11)/(1E-24)</f>
        <v>1.4030421378277631</v>
      </c>
      <c r="N11">
        <f>E11+SUM(H11:K11)*1.5*(0.000086173)*D11</f>
        <v>-3549.942358584</v>
      </c>
    </row>
    <row r="12" spans="2:14" x14ac:dyDescent="0.2">
      <c r="B12">
        <f t="shared" si="0"/>
        <v>0.15</v>
      </c>
      <c r="C12">
        <v>600000</v>
      </c>
      <c r="D12">
        <v>1499.88</v>
      </c>
      <c r="E12">
        <v>-3816.68</v>
      </c>
      <c r="F12">
        <v>44818.3</v>
      </c>
      <c r="G12">
        <v>49.118200000000002</v>
      </c>
      <c r="H12">
        <v>680</v>
      </c>
      <c r="I12">
        <v>120</v>
      </c>
      <c r="J12">
        <v>0</v>
      </c>
      <c r="K12">
        <v>800</v>
      </c>
      <c r="L12">
        <f t="shared" ref="L12:L15" si="5">H12*H$2+I12*I$2+J12*J$2+K12*K$2</f>
        <v>37770.960000000006</v>
      </c>
      <c r="M12">
        <f t="shared" ref="M12:M15" si="6">L12*(1.66054E-24)/(F12)/(1E-24)</f>
        <v>1.3994325960243921</v>
      </c>
      <c r="N12">
        <f t="shared" ref="N12:N15" si="7">E12+SUM(H12:K12)*1.5*(0.000086173)*D12</f>
        <v>-3506.4820178239997</v>
      </c>
    </row>
    <row r="13" spans="2:14" x14ac:dyDescent="0.2">
      <c r="B13">
        <f t="shared" si="0"/>
        <v>0.17499999999999999</v>
      </c>
      <c r="C13">
        <v>700000</v>
      </c>
      <c r="D13">
        <v>1500.1</v>
      </c>
      <c r="E13">
        <v>-3775.4</v>
      </c>
      <c r="F13">
        <v>45428.3</v>
      </c>
      <c r="G13">
        <v>0.26684999999999998</v>
      </c>
      <c r="H13">
        <v>660</v>
      </c>
      <c r="I13">
        <v>140</v>
      </c>
      <c r="J13">
        <v>0</v>
      </c>
      <c r="K13">
        <v>800</v>
      </c>
      <c r="L13">
        <f t="shared" si="5"/>
        <v>38414.120000000003</v>
      </c>
      <c r="M13">
        <f t="shared" si="6"/>
        <v>1.4041507788052823</v>
      </c>
      <c r="N13">
        <f t="shared" si="7"/>
        <v>-3465.1565184800002</v>
      </c>
    </row>
    <row r="14" spans="2:14" x14ac:dyDescent="0.2">
      <c r="B14">
        <f t="shared" si="0"/>
        <v>0.2</v>
      </c>
      <c r="C14">
        <v>800000</v>
      </c>
      <c r="D14">
        <v>1500.13</v>
      </c>
      <c r="E14">
        <v>-3730.87</v>
      </c>
      <c r="F14">
        <v>46221.5</v>
      </c>
      <c r="G14">
        <v>77.375900000000001</v>
      </c>
      <c r="H14">
        <v>640</v>
      </c>
      <c r="I14">
        <v>160</v>
      </c>
      <c r="J14">
        <v>0</v>
      </c>
      <c r="K14">
        <v>800</v>
      </c>
      <c r="L14">
        <f t="shared" si="5"/>
        <v>39057.280000000006</v>
      </c>
      <c r="M14">
        <f t="shared" si="6"/>
        <v>1.4031603416418768</v>
      </c>
      <c r="N14">
        <f t="shared" si="7"/>
        <v>-3420.620314024</v>
      </c>
    </row>
    <row r="15" spans="2:14" x14ac:dyDescent="0.2">
      <c r="B15">
        <f t="shared" si="0"/>
        <v>0.22500000000000001</v>
      </c>
      <c r="C15">
        <v>900000</v>
      </c>
      <c r="D15">
        <v>1499.92</v>
      </c>
      <c r="E15">
        <v>-3686.34</v>
      </c>
      <c r="F15">
        <v>47128.800000000003</v>
      </c>
      <c r="G15">
        <v>86.31</v>
      </c>
      <c r="H15">
        <v>620</v>
      </c>
      <c r="I15">
        <v>180</v>
      </c>
      <c r="J15">
        <v>0</v>
      </c>
      <c r="K15">
        <v>800</v>
      </c>
      <c r="L15">
        <f t="shared" si="5"/>
        <v>39700.44</v>
      </c>
      <c r="M15">
        <f t="shared" si="6"/>
        <v>1.398808555227377</v>
      </c>
      <c r="N15">
        <f t="shared" si="7"/>
        <v>-3376.1337452160001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BD107"/>
  <sheetViews>
    <sheetView topLeftCell="Y1" workbookViewId="0">
      <selection activeCell="AG7" sqref="AG7"/>
    </sheetView>
  </sheetViews>
  <sheetFormatPr baseColWidth="10" defaultRowHeight="16" x14ac:dyDescent="0.2"/>
  <sheetData>
    <row r="2" spans="2:56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</row>
    <row r="5" spans="2:56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</row>
    <row r="6" spans="2:56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</row>
    <row r="7" spans="2:56" x14ac:dyDescent="0.2">
      <c r="B7">
        <f>3.5*0.1</f>
        <v>0.35000000000000003</v>
      </c>
      <c r="C7">
        <v>0</v>
      </c>
      <c r="D7" s="3">
        <v>-13393800</v>
      </c>
      <c r="E7" s="3">
        <v>-26591900000</v>
      </c>
      <c r="J7">
        <f>3.5*0.1</f>
        <v>0.35000000000000003</v>
      </c>
      <c r="K7">
        <v>0</v>
      </c>
      <c r="L7" s="3">
        <v>36463800</v>
      </c>
      <c r="M7" s="3">
        <v>66630500000</v>
      </c>
      <c r="R7">
        <f>3.5*0.1</f>
        <v>0.35000000000000003</v>
      </c>
      <c r="S7">
        <v>0</v>
      </c>
      <c r="T7" s="3">
        <v>-121989000</v>
      </c>
      <c r="U7" s="3">
        <v>-227492000000</v>
      </c>
      <c r="Z7">
        <f>3.5*0.1</f>
        <v>0.35000000000000003</v>
      </c>
      <c r="AA7">
        <v>0</v>
      </c>
      <c r="AB7" s="3">
        <v>-691612</v>
      </c>
      <c r="AC7" s="3">
        <v>-513623000</v>
      </c>
      <c r="AH7">
        <f>3.5*0.1</f>
        <v>0.35000000000000003</v>
      </c>
      <c r="AI7">
        <v>0</v>
      </c>
      <c r="AJ7" s="3">
        <v>-798108000</v>
      </c>
      <c r="AK7" s="3">
        <v>-1275490000000</v>
      </c>
      <c r="AP7">
        <f>3.5*0.1</f>
        <v>0.35000000000000003</v>
      </c>
      <c r="AQ7">
        <v>0</v>
      </c>
      <c r="AR7" s="3">
        <v>-36608200</v>
      </c>
      <c r="AS7" s="3">
        <v>-31308400000</v>
      </c>
      <c r="AX7">
        <f>3.5*0.1</f>
        <v>0.35000000000000003</v>
      </c>
      <c r="AY7">
        <v>0</v>
      </c>
      <c r="AZ7" s="3">
        <v>-36561100</v>
      </c>
      <c r="BA7" s="3">
        <v>-76489700000</v>
      </c>
    </row>
    <row r="8" spans="2:56" x14ac:dyDescent="0.2">
      <c r="B8">
        <f>B7+0.05</f>
        <v>0.4</v>
      </c>
      <c r="C8">
        <v>1</v>
      </c>
      <c r="D8" s="3">
        <v>-13393800</v>
      </c>
      <c r="E8" s="3">
        <v>-26591900000</v>
      </c>
      <c r="J8">
        <f>J7+0.05</f>
        <v>0.4</v>
      </c>
      <c r="K8">
        <v>1</v>
      </c>
      <c r="L8" s="3">
        <v>36463800</v>
      </c>
      <c r="M8" s="3">
        <v>66630500000</v>
      </c>
      <c r="R8">
        <f>R7+0.05</f>
        <v>0.4</v>
      </c>
      <c r="S8">
        <v>1</v>
      </c>
      <c r="T8" s="3">
        <v>-121989000</v>
      </c>
      <c r="U8" s="3">
        <v>-227492000000</v>
      </c>
      <c r="Z8">
        <f>Z7+0.05</f>
        <v>0.4</v>
      </c>
      <c r="AA8">
        <v>1</v>
      </c>
      <c r="AB8" s="3">
        <v>-691612</v>
      </c>
      <c r="AC8" s="3">
        <v>-513623000</v>
      </c>
      <c r="AH8">
        <f>AH7+0.05</f>
        <v>0.4</v>
      </c>
      <c r="AI8">
        <v>1</v>
      </c>
      <c r="AJ8" s="3">
        <v>-798108000</v>
      </c>
      <c r="AK8" s="3">
        <v>-1275490000000</v>
      </c>
      <c r="AP8">
        <f>AP7+0.05</f>
        <v>0.4</v>
      </c>
      <c r="AQ8">
        <v>1</v>
      </c>
      <c r="AR8" s="3">
        <v>-36608200</v>
      </c>
      <c r="AS8" s="3">
        <v>-31308400000</v>
      </c>
      <c r="AX8">
        <f>AX7+0.05</f>
        <v>0.4</v>
      </c>
      <c r="AY8">
        <v>1</v>
      </c>
      <c r="AZ8" s="3">
        <v>-36561100</v>
      </c>
      <c r="BA8" s="3">
        <v>-76489700000</v>
      </c>
    </row>
    <row r="9" spans="2:56" x14ac:dyDescent="0.2">
      <c r="B9">
        <f t="shared" ref="B9:B72" si="0">B8+0.05</f>
        <v>0.45</v>
      </c>
      <c r="C9">
        <v>2</v>
      </c>
      <c r="D9" s="3">
        <v>-6397340</v>
      </c>
      <c r="E9" s="3">
        <v>-14931400000</v>
      </c>
      <c r="J9">
        <f t="shared" ref="J9:J72" si="1">J8+0.05</f>
        <v>0.45</v>
      </c>
      <c r="K9">
        <v>2</v>
      </c>
      <c r="L9" s="3">
        <v>18516400</v>
      </c>
      <c r="M9" s="3">
        <v>39486000000</v>
      </c>
      <c r="R9">
        <f t="shared" ref="R9:R72" si="2">R8+0.05</f>
        <v>0.45</v>
      </c>
      <c r="S9">
        <v>2</v>
      </c>
      <c r="T9" s="3">
        <v>-61032700</v>
      </c>
      <c r="U9" s="3">
        <v>-133190000000</v>
      </c>
      <c r="Z9">
        <f t="shared" ref="Z9:Z72" si="3">Z8+0.05</f>
        <v>0.45</v>
      </c>
      <c r="AA9">
        <v>2</v>
      </c>
      <c r="AB9" s="3">
        <v>-399187</v>
      </c>
      <c r="AC9" s="3">
        <v>-344400000</v>
      </c>
      <c r="AH9">
        <f t="shared" ref="AH9:AH72" si="4">AH8+0.05</f>
        <v>0.45</v>
      </c>
      <c r="AI9">
        <v>2</v>
      </c>
      <c r="AJ9" s="3">
        <v>-441054000</v>
      </c>
      <c r="AK9" s="3">
        <v>-823738000000</v>
      </c>
      <c r="AP9">
        <f t="shared" ref="AP9:AP72" si="5">AP8+0.05</f>
        <v>0.45</v>
      </c>
      <c r="AQ9">
        <v>2</v>
      </c>
      <c r="AR9" s="3">
        <v>-19422000</v>
      </c>
      <c r="AS9" s="3">
        <v>-19355600000</v>
      </c>
      <c r="AX9">
        <f t="shared" ref="AX9:AX72" si="6">AX8+0.05</f>
        <v>0.45</v>
      </c>
      <c r="AY9">
        <v>2</v>
      </c>
      <c r="AZ9" s="3">
        <v>-16747600</v>
      </c>
      <c r="BA9" s="3">
        <v>-41412500000</v>
      </c>
    </row>
    <row r="10" spans="2:56" x14ac:dyDescent="0.2">
      <c r="B10">
        <f t="shared" si="0"/>
        <v>0.5</v>
      </c>
      <c r="C10">
        <v>3</v>
      </c>
      <c r="D10" s="3">
        <v>-2989350</v>
      </c>
      <c r="E10" s="3">
        <v>-8090620000</v>
      </c>
      <c r="J10">
        <f t="shared" si="1"/>
        <v>0.5</v>
      </c>
      <c r="K10">
        <v>3</v>
      </c>
      <c r="L10" s="3">
        <v>9267630</v>
      </c>
      <c r="M10" s="3">
        <v>22713000000</v>
      </c>
      <c r="R10">
        <f t="shared" si="2"/>
        <v>0.5</v>
      </c>
      <c r="S10">
        <v>3</v>
      </c>
      <c r="T10" s="3">
        <v>-30025000</v>
      </c>
      <c r="U10" s="3">
        <v>-75539000000</v>
      </c>
      <c r="Z10">
        <f t="shared" si="3"/>
        <v>0.5</v>
      </c>
      <c r="AA10">
        <v>3</v>
      </c>
      <c r="AB10" s="3">
        <v>-228327</v>
      </c>
      <c r="AC10" s="3">
        <v>-225259000</v>
      </c>
      <c r="AH10">
        <f t="shared" si="4"/>
        <v>0.5</v>
      </c>
      <c r="AI10">
        <v>3</v>
      </c>
      <c r="AJ10" s="3">
        <v>-240443000</v>
      </c>
      <c r="AK10" s="3">
        <v>-516986000000</v>
      </c>
      <c r="AP10">
        <f t="shared" si="5"/>
        <v>0.5</v>
      </c>
      <c r="AQ10">
        <v>3</v>
      </c>
      <c r="AR10" s="3">
        <v>-10176000</v>
      </c>
      <c r="AS10" s="3">
        <v>-11635200000</v>
      </c>
      <c r="AX10">
        <f t="shared" si="6"/>
        <v>0.5</v>
      </c>
      <c r="AY10">
        <v>3</v>
      </c>
      <c r="AZ10" s="3">
        <v>-7463180</v>
      </c>
      <c r="BA10" s="3">
        <v>-21516700000</v>
      </c>
    </row>
    <row r="11" spans="2:56" x14ac:dyDescent="0.2">
      <c r="B11">
        <f t="shared" si="0"/>
        <v>0.55000000000000004</v>
      </c>
      <c r="C11">
        <v>4</v>
      </c>
      <c r="D11" s="3">
        <v>-1363230</v>
      </c>
      <c r="E11" s="3">
        <v>-4236560000</v>
      </c>
      <c r="J11">
        <f t="shared" si="1"/>
        <v>0.55000000000000004</v>
      </c>
      <c r="K11">
        <v>4</v>
      </c>
      <c r="L11" s="3">
        <v>4569120</v>
      </c>
      <c r="M11" s="3">
        <v>12715900000</v>
      </c>
      <c r="R11">
        <f t="shared" si="2"/>
        <v>0.55000000000000004</v>
      </c>
      <c r="S11">
        <v>4</v>
      </c>
      <c r="T11" s="3">
        <v>-14508900</v>
      </c>
      <c r="U11" s="3">
        <v>-41599500000</v>
      </c>
      <c r="Z11">
        <f t="shared" si="3"/>
        <v>0.55000000000000004</v>
      </c>
      <c r="AA11">
        <v>4</v>
      </c>
      <c r="AB11">
        <v>-129407</v>
      </c>
      <c r="AC11" s="3">
        <v>-144172000</v>
      </c>
      <c r="AH11">
        <f t="shared" si="4"/>
        <v>0.55000000000000004</v>
      </c>
      <c r="AI11">
        <v>4</v>
      </c>
      <c r="AJ11" s="3">
        <v>-129205000</v>
      </c>
      <c r="AK11" s="3">
        <v>-316132000000</v>
      </c>
      <c r="AP11">
        <f t="shared" si="5"/>
        <v>0.55000000000000004</v>
      </c>
      <c r="AQ11">
        <v>4</v>
      </c>
      <c r="AR11" s="3">
        <v>-5263430</v>
      </c>
      <c r="AS11" s="3">
        <v>-6820550000</v>
      </c>
      <c r="AX11">
        <f t="shared" si="6"/>
        <v>0.55000000000000004</v>
      </c>
      <c r="AY11">
        <v>4</v>
      </c>
      <c r="AZ11" s="3">
        <v>-3226250</v>
      </c>
      <c r="BA11" s="3">
        <v>-10736500000</v>
      </c>
    </row>
    <row r="12" spans="2:56" x14ac:dyDescent="0.2">
      <c r="B12">
        <f t="shared" si="0"/>
        <v>0.60000000000000009</v>
      </c>
      <c r="C12">
        <v>5</v>
      </c>
      <c r="D12" s="3">
        <v>-604753</v>
      </c>
      <c r="E12" s="3">
        <v>-2143860000</v>
      </c>
      <c r="J12">
        <f t="shared" si="1"/>
        <v>0.60000000000000009</v>
      </c>
      <c r="K12">
        <v>5</v>
      </c>
      <c r="L12" s="3">
        <v>2217520</v>
      </c>
      <c r="M12" s="3">
        <v>6941010000</v>
      </c>
      <c r="R12">
        <f t="shared" si="2"/>
        <v>0.60000000000000009</v>
      </c>
      <c r="S12">
        <v>5</v>
      </c>
      <c r="T12" s="3">
        <v>-6879040</v>
      </c>
      <c r="U12" s="3">
        <v>-22273900000</v>
      </c>
      <c r="Z12">
        <f t="shared" si="3"/>
        <v>0.60000000000000009</v>
      </c>
      <c r="AA12">
        <v>5</v>
      </c>
      <c r="AB12">
        <v>-72668.100000000006</v>
      </c>
      <c r="AC12" s="3">
        <v>-90498400</v>
      </c>
      <c r="AH12">
        <f t="shared" si="4"/>
        <v>0.60000000000000009</v>
      </c>
      <c r="AI12">
        <v>5</v>
      </c>
      <c r="AJ12" s="3">
        <v>-68376700</v>
      </c>
      <c r="AK12" s="3">
        <v>-188642000000</v>
      </c>
      <c r="AP12">
        <f t="shared" si="5"/>
        <v>0.60000000000000009</v>
      </c>
      <c r="AQ12">
        <v>5</v>
      </c>
      <c r="AR12" s="3">
        <v>-2686720</v>
      </c>
      <c r="AS12" s="3">
        <v>-3906580000</v>
      </c>
      <c r="AX12">
        <f t="shared" si="6"/>
        <v>0.60000000000000009</v>
      </c>
      <c r="AY12">
        <v>5</v>
      </c>
      <c r="AZ12" s="3">
        <v>-1348380</v>
      </c>
      <c r="BA12" s="3">
        <v>-5141750000</v>
      </c>
    </row>
    <row r="13" spans="2:56" x14ac:dyDescent="0.2">
      <c r="B13">
        <f t="shared" si="0"/>
        <v>0.65000000000000013</v>
      </c>
      <c r="C13">
        <v>6</v>
      </c>
      <c r="D13" s="3">
        <v>-259833</v>
      </c>
      <c r="E13" s="3">
        <v>-1047030000</v>
      </c>
      <c r="J13">
        <f t="shared" si="1"/>
        <v>0.65000000000000013</v>
      </c>
      <c r="K13">
        <v>6</v>
      </c>
      <c r="L13" s="3">
        <v>1058710</v>
      </c>
      <c r="M13" s="3">
        <v>3698020000</v>
      </c>
      <c r="R13">
        <f t="shared" si="2"/>
        <v>0.65000000000000013</v>
      </c>
      <c r="S13">
        <v>6</v>
      </c>
      <c r="T13" s="3">
        <v>-3196020</v>
      </c>
      <c r="U13" s="3">
        <v>-11602300000</v>
      </c>
      <c r="Z13">
        <f t="shared" si="3"/>
        <v>0.65000000000000013</v>
      </c>
      <c r="AA13">
        <v>6</v>
      </c>
      <c r="AB13">
        <v>-40428.800000000003</v>
      </c>
      <c r="AC13" s="3">
        <v>-55806300</v>
      </c>
      <c r="AH13">
        <f t="shared" si="4"/>
        <v>0.65000000000000013</v>
      </c>
      <c r="AI13">
        <v>6</v>
      </c>
      <c r="AJ13" s="3">
        <v>-35602500</v>
      </c>
      <c r="AK13" s="3">
        <v>-109941000000</v>
      </c>
      <c r="AP13">
        <f t="shared" si="5"/>
        <v>0.65000000000000013</v>
      </c>
      <c r="AQ13">
        <v>6</v>
      </c>
      <c r="AR13" s="3">
        <v>-1353060</v>
      </c>
      <c r="AS13" s="3">
        <v>-2189260000</v>
      </c>
      <c r="AX13">
        <f t="shared" si="6"/>
        <v>0.65000000000000013</v>
      </c>
      <c r="AY13">
        <v>6</v>
      </c>
      <c r="AZ13" s="3">
        <v>-542646</v>
      </c>
      <c r="BA13" s="3">
        <v>-2358900000</v>
      </c>
    </row>
    <row r="14" spans="2:56" x14ac:dyDescent="0.2">
      <c r="B14">
        <f t="shared" si="0"/>
        <v>0.70000000000000018</v>
      </c>
      <c r="C14">
        <v>7</v>
      </c>
      <c r="D14" s="3">
        <v>-107436</v>
      </c>
      <c r="E14" s="3">
        <v>-492130000</v>
      </c>
      <c r="J14">
        <f t="shared" si="1"/>
        <v>0.70000000000000018</v>
      </c>
      <c r="K14">
        <v>7</v>
      </c>
      <c r="L14" s="3">
        <v>496869</v>
      </c>
      <c r="M14" s="3">
        <v>1924240000</v>
      </c>
      <c r="R14">
        <f t="shared" si="2"/>
        <v>0.70000000000000018</v>
      </c>
      <c r="S14">
        <v>7</v>
      </c>
      <c r="T14" s="3">
        <v>-1453010</v>
      </c>
      <c r="U14" s="3">
        <v>-5879470000</v>
      </c>
      <c r="Z14">
        <f t="shared" si="3"/>
        <v>0.70000000000000018</v>
      </c>
      <c r="AA14">
        <v>7</v>
      </c>
      <c r="AB14">
        <v>-22283.3</v>
      </c>
      <c r="AC14" s="3">
        <v>-33850400</v>
      </c>
      <c r="AH14">
        <f t="shared" si="4"/>
        <v>0.70000000000000018</v>
      </c>
      <c r="AI14">
        <v>7</v>
      </c>
      <c r="AJ14" s="3">
        <v>-18219100</v>
      </c>
      <c r="AK14" s="3">
        <v>-62599900000</v>
      </c>
      <c r="AP14">
        <f t="shared" si="5"/>
        <v>0.70000000000000018</v>
      </c>
      <c r="AQ14">
        <v>7</v>
      </c>
      <c r="AR14" s="3">
        <v>-672140</v>
      </c>
      <c r="AS14" s="3">
        <v>-1201570000</v>
      </c>
      <c r="AX14">
        <f t="shared" si="6"/>
        <v>0.70000000000000018</v>
      </c>
      <c r="AY14">
        <v>7</v>
      </c>
      <c r="AZ14" s="3">
        <v>-209269</v>
      </c>
      <c r="BA14" s="3">
        <v>-1033590000</v>
      </c>
    </row>
    <row r="15" spans="2:56" x14ac:dyDescent="0.2">
      <c r="B15">
        <f t="shared" si="0"/>
        <v>0.75000000000000022</v>
      </c>
      <c r="C15">
        <v>8</v>
      </c>
      <c r="D15" s="3">
        <v>-42327.8</v>
      </c>
      <c r="E15" s="3">
        <v>-221539000</v>
      </c>
      <c r="J15">
        <f t="shared" si="1"/>
        <v>0.75000000000000022</v>
      </c>
      <c r="K15">
        <v>8</v>
      </c>
      <c r="L15" s="3">
        <v>229042</v>
      </c>
      <c r="M15" s="3">
        <v>978170000</v>
      </c>
      <c r="R15">
        <f t="shared" si="2"/>
        <v>0.75000000000000022</v>
      </c>
      <c r="S15">
        <v>8</v>
      </c>
      <c r="T15">
        <v>-645372</v>
      </c>
      <c r="U15" s="3">
        <v>-2897290000</v>
      </c>
      <c r="Z15">
        <f t="shared" si="3"/>
        <v>0.75000000000000022</v>
      </c>
      <c r="AA15">
        <v>8</v>
      </c>
      <c r="AB15">
        <v>-12167.1</v>
      </c>
      <c r="AC15" s="3">
        <v>-20217400</v>
      </c>
      <c r="AH15">
        <f t="shared" si="4"/>
        <v>0.75000000000000022</v>
      </c>
      <c r="AI15">
        <v>8</v>
      </c>
      <c r="AJ15" s="3">
        <v>-9152240</v>
      </c>
      <c r="AK15" s="3">
        <v>-34822000000</v>
      </c>
      <c r="AP15">
        <f t="shared" si="5"/>
        <v>0.75000000000000022</v>
      </c>
      <c r="AQ15">
        <v>8</v>
      </c>
      <c r="AR15" s="3">
        <v>-329315</v>
      </c>
      <c r="AS15" s="3">
        <v>-646377000</v>
      </c>
      <c r="AX15">
        <f t="shared" si="6"/>
        <v>0.75000000000000022</v>
      </c>
      <c r="AY15">
        <v>8</v>
      </c>
      <c r="AZ15" s="3">
        <v>-76873.600000000006</v>
      </c>
      <c r="BA15" s="3">
        <v>-430718000</v>
      </c>
    </row>
    <row r="16" spans="2:56" x14ac:dyDescent="0.2">
      <c r="B16">
        <f t="shared" si="0"/>
        <v>0.80000000000000027</v>
      </c>
      <c r="C16">
        <v>9</v>
      </c>
      <c r="D16" s="3">
        <v>-15618.9</v>
      </c>
      <c r="E16" s="3">
        <v>-94737000</v>
      </c>
      <c r="J16">
        <f t="shared" si="1"/>
        <v>0.80000000000000027</v>
      </c>
      <c r="K16">
        <v>9</v>
      </c>
      <c r="L16" s="3">
        <v>103614</v>
      </c>
      <c r="M16" s="3">
        <v>485774000</v>
      </c>
      <c r="R16">
        <f t="shared" si="2"/>
        <v>0.80000000000000027</v>
      </c>
      <c r="S16">
        <v>9</v>
      </c>
      <c r="T16">
        <v>-279544</v>
      </c>
      <c r="U16" s="3">
        <v>-1387200000</v>
      </c>
      <c r="Z16">
        <f t="shared" si="3"/>
        <v>0.80000000000000027</v>
      </c>
      <c r="AA16">
        <v>9</v>
      </c>
      <c r="AB16">
        <v>-6580.74</v>
      </c>
      <c r="AC16" s="3">
        <v>-11899600</v>
      </c>
      <c r="AH16">
        <f t="shared" si="4"/>
        <v>0.80000000000000027</v>
      </c>
      <c r="AI16">
        <v>9</v>
      </c>
      <c r="AJ16" s="3">
        <v>-4507080</v>
      </c>
      <c r="AK16" s="3">
        <v>-18915400000</v>
      </c>
      <c r="AP16">
        <f t="shared" si="5"/>
        <v>0.80000000000000027</v>
      </c>
      <c r="AQ16">
        <v>9</v>
      </c>
      <c r="AR16" s="3">
        <v>-159145</v>
      </c>
      <c r="AS16" s="3">
        <v>-341029000</v>
      </c>
      <c r="AX16">
        <f t="shared" si="6"/>
        <v>0.80000000000000027</v>
      </c>
      <c r="AY16">
        <v>9</v>
      </c>
      <c r="AZ16">
        <v>-26692.400000000001</v>
      </c>
      <c r="BA16" s="3">
        <v>-169753000</v>
      </c>
    </row>
    <row r="17" spans="2:53" x14ac:dyDescent="0.2">
      <c r="B17">
        <f t="shared" si="0"/>
        <v>0.85000000000000031</v>
      </c>
      <c r="C17">
        <v>10</v>
      </c>
      <c r="D17" s="3">
        <v>-5214.3599999999997</v>
      </c>
      <c r="E17" s="3">
        <v>-37934300</v>
      </c>
      <c r="J17">
        <f t="shared" si="1"/>
        <v>0.85000000000000031</v>
      </c>
      <c r="K17">
        <v>10</v>
      </c>
      <c r="L17" s="3">
        <v>45955.6</v>
      </c>
      <c r="M17" s="3">
        <v>235616000</v>
      </c>
      <c r="R17">
        <f t="shared" si="2"/>
        <v>0.85000000000000031</v>
      </c>
      <c r="S17">
        <v>10</v>
      </c>
      <c r="T17">
        <v>-117835</v>
      </c>
      <c r="U17" s="3">
        <v>-644546000</v>
      </c>
      <c r="Z17">
        <f t="shared" si="3"/>
        <v>0.85000000000000031</v>
      </c>
      <c r="AA17">
        <v>10</v>
      </c>
      <c r="AB17">
        <v>-3524.96</v>
      </c>
      <c r="AC17" s="3">
        <v>-6907070</v>
      </c>
      <c r="AH17">
        <f t="shared" si="4"/>
        <v>0.85000000000000031</v>
      </c>
      <c r="AI17">
        <v>10</v>
      </c>
      <c r="AJ17" s="3">
        <v>-2172560</v>
      </c>
      <c r="AK17" s="3">
        <v>-10026300000</v>
      </c>
      <c r="AP17">
        <f t="shared" si="5"/>
        <v>0.85000000000000031</v>
      </c>
      <c r="AQ17">
        <v>10</v>
      </c>
      <c r="AR17" s="3">
        <v>-75876.800000000003</v>
      </c>
      <c r="AS17" s="3">
        <v>-176581000</v>
      </c>
      <c r="AX17">
        <f t="shared" si="6"/>
        <v>0.85000000000000031</v>
      </c>
      <c r="AY17">
        <v>10</v>
      </c>
      <c r="AZ17">
        <v>-8664.41</v>
      </c>
      <c r="BA17" s="3">
        <v>-62821800</v>
      </c>
    </row>
    <row r="18" spans="2:53" x14ac:dyDescent="0.2">
      <c r="B18">
        <f t="shared" si="0"/>
        <v>0.90000000000000036</v>
      </c>
      <c r="C18">
        <v>11</v>
      </c>
      <c r="D18" s="3">
        <v>-1440.14</v>
      </c>
      <c r="E18" s="3">
        <v>-13825100</v>
      </c>
      <c r="J18">
        <f t="shared" si="1"/>
        <v>0.90000000000000036</v>
      </c>
      <c r="K18">
        <v>11</v>
      </c>
      <c r="L18" s="3">
        <v>19963.900000000001</v>
      </c>
      <c r="M18" s="3">
        <v>111557000</v>
      </c>
      <c r="R18">
        <f t="shared" si="2"/>
        <v>0.90000000000000036</v>
      </c>
      <c r="S18">
        <v>11</v>
      </c>
      <c r="T18">
        <v>-48217.5</v>
      </c>
      <c r="U18" s="3">
        <v>-290157000</v>
      </c>
      <c r="Z18">
        <f t="shared" si="3"/>
        <v>0.90000000000000036</v>
      </c>
      <c r="AA18">
        <v>11</v>
      </c>
      <c r="AB18">
        <v>-1869.13</v>
      </c>
      <c r="AC18" s="3">
        <v>-3956070</v>
      </c>
      <c r="AH18">
        <f t="shared" si="4"/>
        <v>0.90000000000000036</v>
      </c>
      <c r="AI18">
        <v>11</v>
      </c>
      <c r="AJ18" s="3">
        <v>-1023310</v>
      </c>
      <c r="AK18" s="3">
        <v>-5180650000</v>
      </c>
      <c r="AP18">
        <f t="shared" si="5"/>
        <v>0.90000000000000036</v>
      </c>
      <c r="AQ18">
        <v>11</v>
      </c>
      <c r="AR18" s="3">
        <v>-35707.1</v>
      </c>
      <c r="AS18" s="3">
        <v>-89798300</v>
      </c>
      <c r="AX18">
        <f t="shared" si="6"/>
        <v>0.90000000000000036</v>
      </c>
      <c r="AY18">
        <v>11</v>
      </c>
      <c r="AZ18">
        <v>-2577.0700000000002</v>
      </c>
      <c r="BA18" s="3">
        <v>-21631800</v>
      </c>
    </row>
    <row r="19" spans="2:53" x14ac:dyDescent="0.2">
      <c r="B19">
        <f t="shared" si="0"/>
        <v>0.9500000000000004</v>
      </c>
      <c r="C19">
        <v>12</v>
      </c>
      <c r="D19" s="3">
        <v>-216.11600000000001</v>
      </c>
      <c r="E19" s="3">
        <v>-4282070</v>
      </c>
      <c r="J19">
        <f t="shared" si="1"/>
        <v>0.9500000000000004</v>
      </c>
      <c r="K19">
        <v>12</v>
      </c>
      <c r="L19" s="3">
        <v>8487.49</v>
      </c>
      <c r="M19" s="3">
        <v>51515200</v>
      </c>
      <c r="R19">
        <f t="shared" si="2"/>
        <v>0.9500000000000004</v>
      </c>
      <c r="S19">
        <v>12</v>
      </c>
      <c r="T19">
        <v>-19093.599999999999</v>
      </c>
      <c r="U19" s="3">
        <v>-126297000</v>
      </c>
      <c r="Z19">
        <f t="shared" si="3"/>
        <v>0.9500000000000004</v>
      </c>
      <c r="AA19">
        <v>12</v>
      </c>
      <c r="AB19">
        <v>-980.29499999999996</v>
      </c>
      <c r="AC19" s="3">
        <v>-2236820</v>
      </c>
      <c r="AH19">
        <f t="shared" si="4"/>
        <v>0.9500000000000004</v>
      </c>
      <c r="AI19">
        <v>12</v>
      </c>
      <c r="AJ19">
        <v>-470053</v>
      </c>
      <c r="AK19" s="3">
        <v>-2605920000</v>
      </c>
      <c r="AP19">
        <f t="shared" si="5"/>
        <v>0.9500000000000004</v>
      </c>
      <c r="AQ19">
        <v>12</v>
      </c>
      <c r="AR19" s="3">
        <v>-16596.8</v>
      </c>
      <c r="AS19" s="3">
        <v>-44890400</v>
      </c>
      <c r="AX19">
        <f t="shared" si="6"/>
        <v>0.9500000000000004</v>
      </c>
      <c r="AY19">
        <v>12</v>
      </c>
      <c r="AZ19">
        <v>-665.61300000000006</v>
      </c>
      <c r="BA19" s="3">
        <v>-6845070</v>
      </c>
    </row>
    <row r="20" spans="2:53" x14ac:dyDescent="0.2">
      <c r="B20">
        <f t="shared" si="0"/>
        <v>1.0000000000000004</v>
      </c>
      <c r="C20">
        <v>13</v>
      </c>
      <c r="D20" s="3">
        <v>100.968</v>
      </c>
      <c r="E20" s="3">
        <v>-869702</v>
      </c>
      <c r="J20">
        <f t="shared" si="1"/>
        <v>1.0000000000000004</v>
      </c>
      <c r="K20">
        <v>13</v>
      </c>
      <c r="L20" s="3">
        <v>3531.21</v>
      </c>
      <c r="M20" s="3">
        <v>23172800</v>
      </c>
      <c r="R20">
        <f t="shared" si="2"/>
        <v>1.0000000000000004</v>
      </c>
      <c r="S20">
        <v>13</v>
      </c>
      <c r="T20">
        <v>-7285.6</v>
      </c>
      <c r="U20" s="3">
        <v>-53017200</v>
      </c>
      <c r="Z20">
        <f t="shared" si="3"/>
        <v>1.0000000000000004</v>
      </c>
      <c r="AA20">
        <v>13</v>
      </c>
      <c r="AB20">
        <v>-507.68</v>
      </c>
      <c r="AC20" s="3">
        <v>-1248770</v>
      </c>
      <c r="AH20">
        <f t="shared" si="4"/>
        <v>1.0000000000000004</v>
      </c>
      <c r="AI20">
        <v>13</v>
      </c>
      <c r="AJ20">
        <v>-210083</v>
      </c>
      <c r="AK20" s="3">
        <v>-1273920000</v>
      </c>
      <c r="AP20">
        <f t="shared" si="5"/>
        <v>1.0000000000000004</v>
      </c>
      <c r="AQ20">
        <v>13</v>
      </c>
      <c r="AR20" s="3">
        <v>-7625.57</v>
      </c>
      <c r="AS20" s="3">
        <v>-22085500</v>
      </c>
      <c r="AX20">
        <f t="shared" si="6"/>
        <v>1.0000000000000004</v>
      </c>
      <c r="AY20">
        <v>13</v>
      </c>
      <c r="AZ20">
        <v>-115.96</v>
      </c>
      <c r="BA20" s="3">
        <v>-1947390</v>
      </c>
    </row>
    <row r="21" spans="2:53" x14ac:dyDescent="0.2">
      <c r="B21">
        <f t="shared" si="0"/>
        <v>1.0500000000000005</v>
      </c>
      <c r="C21">
        <v>14</v>
      </c>
      <c r="D21" s="3">
        <v>134.126</v>
      </c>
      <c r="E21" s="3">
        <v>147930</v>
      </c>
      <c r="J21">
        <f t="shared" si="1"/>
        <v>1.0500000000000005</v>
      </c>
      <c r="K21">
        <v>14</v>
      </c>
      <c r="L21" s="3">
        <v>1441.41</v>
      </c>
      <c r="M21" s="3">
        <v>10136100</v>
      </c>
      <c r="R21">
        <f t="shared" si="2"/>
        <v>1.0500000000000005</v>
      </c>
      <c r="S21">
        <v>14</v>
      </c>
      <c r="T21">
        <v>-2660.58</v>
      </c>
      <c r="U21" s="3">
        <v>-21393100</v>
      </c>
      <c r="Z21">
        <f t="shared" si="3"/>
        <v>1.0500000000000005</v>
      </c>
      <c r="AA21">
        <v>14</v>
      </c>
      <c r="AB21">
        <v>-258.83100000000002</v>
      </c>
      <c r="AC21" s="3">
        <v>-688203</v>
      </c>
      <c r="AH21">
        <f t="shared" si="4"/>
        <v>1.0500000000000005</v>
      </c>
      <c r="AI21">
        <v>14</v>
      </c>
      <c r="AJ21">
        <v>-91107.3</v>
      </c>
      <c r="AK21" s="3">
        <v>-604008000</v>
      </c>
      <c r="AP21">
        <f t="shared" si="5"/>
        <v>1.0500000000000005</v>
      </c>
      <c r="AQ21">
        <v>14</v>
      </c>
      <c r="AR21" s="3">
        <v>-3465.98</v>
      </c>
      <c r="AS21" s="3">
        <v>-10709300</v>
      </c>
      <c r="AX21">
        <f t="shared" si="6"/>
        <v>1.0500000000000005</v>
      </c>
      <c r="AY21">
        <v>14</v>
      </c>
      <c r="AZ21">
        <v>23.970800000000001</v>
      </c>
      <c r="BA21" s="3">
        <v>-464616</v>
      </c>
    </row>
    <row r="22" spans="2:53" x14ac:dyDescent="0.2">
      <c r="B22">
        <f t="shared" si="0"/>
        <v>1.1000000000000005</v>
      </c>
      <c r="C22">
        <v>15</v>
      </c>
      <c r="D22" s="3">
        <v>99.862399999999994</v>
      </c>
      <c r="E22" s="3">
        <v>328542</v>
      </c>
      <c r="J22">
        <f t="shared" si="1"/>
        <v>1.1000000000000005</v>
      </c>
      <c r="K22">
        <v>15</v>
      </c>
      <c r="L22">
        <v>583.01099999999997</v>
      </c>
      <c r="M22" s="3">
        <v>4301980</v>
      </c>
      <c r="R22">
        <f t="shared" si="2"/>
        <v>1.1000000000000005</v>
      </c>
      <c r="S22">
        <v>15</v>
      </c>
      <c r="T22">
        <v>-917.49099999999999</v>
      </c>
      <c r="U22" s="3">
        <v>-8260240</v>
      </c>
      <c r="Z22">
        <f t="shared" si="3"/>
        <v>1.1000000000000005</v>
      </c>
      <c r="AA22">
        <v>15</v>
      </c>
      <c r="AB22">
        <v>-129.19</v>
      </c>
      <c r="AC22">
        <v>-374024</v>
      </c>
      <c r="AH22">
        <f t="shared" si="4"/>
        <v>1.1000000000000005</v>
      </c>
      <c r="AI22">
        <v>15</v>
      </c>
      <c r="AJ22">
        <v>-38209.4</v>
      </c>
      <c r="AK22" s="3">
        <v>-277063000</v>
      </c>
      <c r="AP22">
        <f t="shared" si="5"/>
        <v>1.1000000000000005</v>
      </c>
      <c r="AQ22">
        <v>15</v>
      </c>
      <c r="AR22">
        <v>-1558.64</v>
      </c>
      <c r="AS22" s="3">
        <v>-5127000</v>
      </c>
      <c r="AX22">
        <f t="shared" si="6"/>
        <v>1.1000000000000005</v>
      </c>
      <c r="AY22">
        <v>15</v>
      </c>
      <c r="AZ22">
        <v>51.2333</v>
      </c>
      <c r="BA22" s="3">
        <v>-55806.7</v>
      </c>
    </row>
    <row r="23" spans="2:53" x14ac:dyDescent="0.2">
      <c r="B23">
        <f t="shared" si="0"/>
        <v>1.1500000000000006</v>
      </c>
      <c r="C23">
        <v>16</v>
      </c>
      <c r="D23" s="3">
        <v>63.047899999999998</v>
      </c>
      <c r="E23" s="3">
        <v>271496</v>
      </c>
      <c r="J23">
        <f t="shared" si="1"/>
        <v>1.1500000000000006</v>
      </c>
      <c r="K23">
        <v>16</v>
      </c>
      <c r="L23">
        <v>240.352</v>
      </c>
      <c r="M23" s="3">
        <v>1768290</v>
      </c>
      <c r="R23">
        <f t="shared" si="2"/>
        <v>1.1500000000000006</v>
      </c>
      <c r="S23">
        <v>16</v>
      </c>
      <c r="T23">
        <v>-288.95699999999999</v>
      </c>
      <c r="U23" s="3">
        <v>-3029960</v>
      </c>
      <c r="Z23">
        <f t="shared" si="3"/>
        <v>1.1500000000000006</v>
      </c>
      <c r="AA23">
        <v>16</v>
      </c>
      <c r="AB23">
        <v>-62.487499999999997</v>
      </c>
      <c r="AC23">
        <v>-199969</v>
      </c>
      <c r="AH23">
        <f t="shared" si="4"/>
        <v>1.1500000000000006</v>
      </c>
      <c r="AI23">
        <v>16</v>
      </c>
      <c r="AJ23">
        <v>-15427.9</v>
      </c>
      <c r="AK23" s="3">
        <v>-122580000</v>
      </c>
      <c r="AP23">
        <f t="shared" si="5"/>
        <v>1.1500000000000006</v>
      </c>
      <c r="AQ23">
        <v>16</v>
      </c>
      <c r="AR23">
        <v>-692.4</v>
      </c>
      <c r="AS23" s="3">
        <v>-2427660</v>
      </c>
      <c r="AX23">
        <f t="shared" si="6"/>
        <v>1.1500000000000006</v>
      </c>
      <c r="AY23">
        <v>16</v>
      </c>
      <c r="AZ23">
        <v>50.375300000000003</v>
      </c>
      <c r="BA23" s="3">
        <v>47093.9</v>
      </c>
    </row>
    <row r="24" spans="2:53" x14ac:dyDescent="0.2">
      <c r="B24">
        <f t="shared" si="0"/>
        <v>1.2000000000000006</v>
      </c>
      <c r="C24">
        <v>17</v>
      </c>
      <c r="D24" s="3">
        <v>37.266399999999997</v>
      </c>
      <c r="E24" s="3">
        <v>180728</v>
      </c>
      <c r="J24">
        <f t="shared" si="1"/>
        <v>1.2000000000000006</v>
      </c>
      <c r="K24">
        <v>17</v>
      </c>
      <c r="L24">
        <v>107.57299999999999</v>
      </c>
      <c r="M24" s="3">
        <v>704852</v>
      </c>
      <c r="R24">
        <f t="shared" si="2"/>
        <v>1.2000000000000006</v>
      </c>
      <c r="S24">
        <v>17</v>
      </c>
      <c r="T24">
        <v>-74.205299999999994</v>
      </c>
      <c r="U24" s="3">
        <v>-1040790</v>
      </c>
      <c r="Z24">
        <f t="shared" si="3"/>
        <v>1.2000000000000006</v>
      </c>
      <c r="AA24">
        <v>17</v>
      </c>
      <c r="AB24">
        <v>-28.72</v>
      </c>
      <c r="AC24">
        <v>-104623</v>
      </c>
      <c r="AH24">
        <f t="shared" si="4"/>
        <v>1.2000000000000006</v>
      </c>
      <c r="AI24">
        <v>17</v>
      </c>
      <c r="AJ24">
        <v>-5957.99</v>
      </c>
      <c r="AK24" s="3">
        <v>-52107800</v>
      </c>
      <c r="AP24">
        <f t="shared" si="5"/>
        <v>1.2000000000000006</v>
      </c>
      <c r="AQ24">
        <v>17</v>
      </c>
      <c r="AR24">
        <v>-302.18900000000002</v>
      </c>
      <c r="AS24" s="3">
        <v>-1138400</v>
      </c>
      <c r="AX24">
        <f t="shared" si="6"/>
        <v>1.2000000000000006</v>
      </c>
      <c r="AY24">
        <v>17</v>
      </c>
      <c r="AZ24">
        <v>43.407800000000002</v>
      </c>
      <c r="BA24" s="3">
        <v>68751.399999999994</v>
      </c>
    </row>
    <row r="25" spans="2:53" x14ac:dyDescent="0.2">
      <c r="B25">
        <f t="shared" si="0"/>
        <v>1.2500000000000007</v>
      </c>
      <c r="C25">
        <v>18</v>
      </c>
      <c r="D25" s="3">
        <v>21.561900000000001</v>
      </c>
      <c r="E25" s="3">
        <v>110608</v>
      </c>
      <c r="J25">
        <f t="shared" si="1"/>
        <v>1.2500000000000007</v>
      </c>
      <c r="K25">
        <v>18</v>
      </c>
      <c r="L25">
        <v>57.362299999999998</v>
      </c>
      <c r="M25" s="3">
        <v>276433</v>
      </c>
      <c r="R25">
        <f t="shared" si="2"/>
        <v>1.2500000000000007</v>
      </c>
      <c r="S25">
        <v>18</v>
      </c>
      <c r="T25">
        <v>-6.1584700000000003</v>
      </c>
      <c r="U25">
        <v>-322337</v>
      </c>
      <c r="Z25">
        <f t="shared" si="3"/>
        <v>1.2500000000000007</v>
      </c>
      <c r="AA25">
        <v>18</v>
      </c>
      <c r="AB25">
        <v>-12.0273</v>
      </c>
      <c r="AC25">
        <v>-52984.800000000003</v>
      </c>
      <c r="AH25">
        <f t="shared" si="4"/>
        <v>1.2500000000000007</v>
      </c>
      <c r="AI25">
        <v>18</v>
      </c>
      <c r="AJ25">
        <v>-2175.4899999999998</v>
      </c>
      <c r="AK25" s="3">
        <v>-21174300</v>
      </c>
      <c r="AP25">
        <f t="shared" si="5"/>
        <v>1.2500000000000007</v>
      </c>
      <c r="AQ25">
        <v>18</v>
      </c>
      <c r="AR25">
        <v>-127.75700000000001</v>
      </c>
      <c r="AS25" s="3">
        <v>-528469</v>
      </c>
      <c r="AX25">
        <f t="shared" si="6"/>
        <v>1.2500000000000007</v>
      </c>
      <c r="AY25">
        <v>18</v>
      </c>
      <c r="AZ25">
        <v>35.834699999999998</v>
      </c>
      <c r="BA25" s="3">
        <v>67800.600000000006</v>
      </c>
    </row>
    <row r="26" spans="2:53" x14ac:dyDescent="0.2">
      <c r="B26">
        <f t="shared" si="0"/>
        <v>1.3000000000000007</v>
      </c>
      <c r="C26">
        <v>19</v>
      </c>
      <c r="D26" s="3">
        <v>12.473699999999999</v>
      </c>
      <c r="E26" s="3">
        <v>66210.2</v>
      </c>
      <c r="J26">
        <f t="shared" si="1"/>
        <v>1.3000000000000007</v>
      </c>
      <c r="K26">
        <v>19</v>
      </c>
      <c r="L26">
        <v>38.303600000000003</v>
      </c>
      <c r="M26" s="3">
        <v>112706</v>
      </c>
      <c r="R26">
        <f t="shared" si="2"/>
        <v>1.3000000000000007</v>
      </c>
      <c r="S26">
        <v>19</v>
      </c>
      <c r="T26">
        <v>12.580299999999999</v>
      </c>
      <c r="U26">
        <v>-77947.899999999994</v>
      </c>
      <c r="Z26">
        <f t="shared" si="3"/>
        <v>1.3000000000000007</v>
      </c>
      <c r="AA26">
        <v>19</v>
      </c>
      <c r="AB26">
        <v>-4.0947199999999997</v>
      </c>
      <c r="AC26">
        <v>-25363.5</v>
      </c>
      <c r="AH26">
        <f t="shared" si="4"/>
        <v>1.3000000000000007</v>
      </c>
      <c r="AI26">
        <v>19</v>
      </c>
      <c r="AJ26">
        <v>-732.53499999999997</v>
      </c>
      <c r="AK26" s="3">
        <v>-8163630</v>
      </c>
      <c r="AP26">
        <f t="shared" si="5"/>
        <v>1.3000000000000007</v>
      </c>
      <c r="AQ26">
        <v>19</v>
      </c>
      <c r="AR26">
        <v>-50.535499999999999</v>
      </c>
      <c r="AS26" s="3">
        <v>-241791</v>
      </c>
      <c r="AX26">
        <f t="shared" si="6"/>
        <v>1.3000000000000007</v>
      </c>
      <c r="AY26">
        <v>19</v>
      </c>
      <c r="AZ26">
        <v>29.125800000000002</v>
      </c>
      <c r="BA26">
        <v>59411</v>
      </c>
    </row>
    <row r="27" spans="2:53" x14ac:dyDescent="0.2">
      <c r="B27">
        <f t="shared" si="0"/>
        <v>1.3500000000000008</v>
      </c>
      <c r="C27">
        <v>20</v>
      </c>
      <c r="D27" s="3">
        <v>7.2124699999999997</v>
      </c>
      <c r="E27" s="3">
        <v>40498.300000000003</v>
      </c>
      <c r="J27">
        <f t="shared" si="1"/>
        <v>1.3500000000000008</v>
      </c>
      <c r="K27">
        <v>20</v>
      </c>
      <c r="L27">
        <v>30.379100000000001</v>
      </c>
      <c r="M27" s="3">
        <v>54551.9</v>
      </c>
      <c r="R27">
        <f t="shared" si="2"/>
        <v>1.3500000000000008</v>
      </c>
      <c r="S27">
        <v>20</v>
      </c>
      <c r="T27">
        <v>15.817</v>
      </c>
      <c r="U27">
        <v>-971.72500000000002</v>
      </c>
      <c r="Z27">
        <f t="shared" si="3"/>
        <v>1.3500000000000008</v>
      </c>
      <c r="AA27">
        <v>20</v>
      </c>
      <c r="AB27">
        <v>-0.59815099999999999</v>
      </c>
      <c r="AC27">
        <v>-10811.3</v>
      </c>
      <c r="AH27">
        <f t="shared" si="4"/>
        <v>1.3500000000000008</v>
      </c>
      <c r="AI27">
        <v>20</v>
      </c>
      <c r="AJ27">
        <v>-211.75800000000001</v>
      </c>
      <c r="AK27" s="3">
        <v>-2947330</v>
      </c>
      <c r="AP27">
        <f t="shared" si="5"/>
        <v>1.3500000000000008</v>
      </c>
      <c r="AQ27">
        <v>20</v>
      </c>
      <c r="AR27">
        <v>-16.944299999999998</v>
      </c>
      <c r="AS27" s="3">
        <v>-107570</v>
      </c>
      <c r="AX27">
        <f t="shared" si="6"/>
        <v>1.3500000000000008</v>
      </c>
      <c r="AY27">
        <v>20</v>
      </c>
      <c r="AZ27">
        <v>23.6617</v>
      </c>
      <c r="BA27">
        <v>48900</v>
      </c>
    </row>
    <row r="28" spans="2:53" x14ac:dyDescent="0.2">
      <c r="B28">
        <f t="shared" si="0"/>
        <v>1.4000000000000008</v>
      </c>
      <c r="C28">
        <v>21</v>
      </c>
      <c r="D28" s="3">
        <v>4.0458499999999997</v>
      </c>
      <c r="E28" s="3">
        <v>26127.7</v>
      </c>
      <c r="J28">
        <f t="shared" si="1"/>
        <v>1.4000000000000008</v>
      </c>
      <c r="K28">
        <v>21</v>
      </c>
      <c r="L28">
        <v>26.160799999999998</v>
      </c>
      <c r="M28" s="3">
        <v>36043.1</v>
      </c>
      <c r="R28">
        <f t="shared" si="2"/>
        <v>1.4000000000000008</v>
      </c>
      <c r="S28">
        <v>21</v>
      </c>
      <c r="T28">
        <v>14.6488</v>
      </c>
      <c r="U28">
        <v>20364</v>
      </c>
      <c r="Z28">
        <f t="shared" si="3"/>
        <v>1.4000000000000008</v>
      </c>
      <c r="AA28">
        <v>21</v>
      </c>
      <c r="AB28">
        <v>0.69361399999999995</v>
      </c>
      <c r="AC28">
        <v>-3305.52</v>
      </c>
      <c r="AH28">
        <f t="shared" si="4"/>
        <v>1.4000000000000008</v>
      </c>
      <c r="AI28">
        <v>21</v>
      </c>
      <c r="AJ28">
        <v>-37.148099999999999</v>
      </c>
      <c r="AK28" s="3">
        <v>-967548</v>
      </c>
      <c r="AP28">
        <f t="shared" si="5"/>
        <v>1.4000000000000008</v>
      </c>
      <c r="AQ28">
        <v>21</v>
      </c>
      <c r="AR28">
        <v>-2.8887100000000001</v>
      </c>
      <c r="AS28" s="3">
        <v>-44909.1</v>
      </c>
      <c r="AX28">
        <f t="shared" si="6"/>
        <v>1.4000000000000008</v>
      </c>
      <c r="AY28">
        <v>21</v>
      </c>
      <c r="AZ28">
        <v>19.412299999999998</v>
      </c>
      <c r="BA28">
        <v>38918.699999999997</v>
      </c>
    </row>
    <row r="29" spans="2:53" x14ac:dyDescent="0.2">
      <c r="B29">
        <f t="shared" si="0"/>
        <v>1.4500000000000008</v>
      </c>
      <c r="C29">
        <v>22</v>
      </c>
      <c r="D29" s="3">
        <v>2.0152299999999999</v>
      </c>
      <c r="E29" s="3">
        <v>18039.099999999999</v>
      </c>
      <c r="J29">
        <f t="shared" si="1"/>
        <v>1.4500000000000008</v>
      </c>
      <c r="K29">
        <v>22</v>
      </c>
      <c r="L29">
        <v>23.077999999999999</v>
      </c>
      <c r="M29" s="3">
        <v>31069.8</v>
      </c>
      <c r="R29">
        <f t="shared" si="2"/>
        <v>1.4500000000000008</v>
      </c>
      <c r="S29">
        <v>22</v>
      </c>
      <c r="T29">
        <v>12.491400000000001</v>
      </c>
      <c r="U29">
        <v>24405.1</v>
      </c>
      <c r="Z29">
        <f t="shared" si="3"/>
        <v>1.4500000000000008</v>
      </c>
      <c r="AA29">
        <v>22</v>
      </c>
      <c r="AB29">
        <v>0.92209200000000002</v>
      </c>
      <c r="AC29">
        <v>436.15800000000002</v>
      </c>
      <c r="AH29">
        <f t="shared" si="4"/>
        <v>1.4500000000000008</v>
      </c>
      <c r="AI29">
        <v>22</v>
      </c>
      <c r="AJ29">
        <v>14.7721</v>
      </c>
      <c r="AK29">
        <v>-263522</v>
      </c>
      <c r="AP29">
        <f t="shared" si="5"/>
        <v>1.4500000000000008</v>
      </c>
      <c r="AQ29">
        <v>22</v>
      </c>
      <c r="AR29">
        <v>2.4547599999999998</v>
      </c>
      <c r="AS29" s="3">
        <v>-15820.3</v>
      </c>
      <c r="AX29">
        <f t="shared" si="6"/>
        <v>1.4500000000000008</v>
      </c>
      <c r="AY29">
        <v>22</v>
      </c>
      <c r="AZ29">
        <v>16.1754</v>
      </c>
      <c r="BA29">
        <v>30644.9</v>
      </c>
    </row>
    <row r="30" spans="2:53" x14ac:dyDescent="0.2">
      <c r="B30">
        <f t="shared" si="0"/>
        <v>1.5000000000000009</v>
      </c>
      <c r="C30">
        <v>23</v>
      </c>
      <c r="D30" s="3">
        <v>0.62044900000000003</v>
      </c>
      <c r="E30" s="3">
        <v>13265</v>
      </c>
      <c r="J30">
        <f t="shared" si="1"/>
        <v>1.5000000000000009</v>
      </c>
      <c r="K30">
        <v>23</v>
      </c>
      <c r="L30">
        <v>20.3401</v>
      </c>
      <c r="M30" s="3">
        <v>29918.799999999999</v>
      </c>
      <c r="R30">
        <f t="shared" si="2"/>
        <v>1.5000000000000009</v>
      </c>
      <c r="S30">
        <v>23</v>
      </c>
      <c r="T30">
        <v>10.315799999999999</v>
      </c>
      <c r="U30">
        <v>23467.7</v>
      </c>
      <c r="Z30">
        <f t="shared" si="3"/>
        <v>1.5000000000000009</v>
      </c>
      <c r="AA30">
        <v>23</v>
      </c>
      <c r="AB30">
        <v>0.66678700000000002</v>
      </c>
      <c r="AC30">
        <v>2163.71</v>
      </c>
      <c r="AH30">
        <f t="shared" si="4"/>
        <v>1.5000000000000009</v>
      </c>
      <c r="AI30">
        <v>23</v>
      </c>
      <c r="AJ30">
        <v>26.223099999999999</v>
      </c>
      <c r="AK30">
        <v>-33361.4</v>
      </c>
      <c r="AP30">
        <f t="shared" si="5"/>
        <v>1.5000000000000009</v>
      </c>
      <c r="AQ30">
        <v>23</v>
      </c>
      <c r="AR30">
        <v>3.96658</v>
      </c>
      <c r="AS30" s="3">
        <v>-2669.38</v>
      </c>
      <c r="AX30">
        <f t="shared" si="6"/>
        <v>1.5000000000000009</v>
      </c>
      <c r="AY30">
        <v>23</v>
      </c>
      <c r="AZ30">
        <v>13.7125</v>
      </c>
      <c r="BA30">
        <v>24250</v>
      </c>
    </row>
    <row r="31" spans="2:53" x14ac:dyDescent="0.2">
      <c r="B31">
        <f t="shared" si="0"/>
        <v>1.5500000000000009</v>
      </c>
      <c r="C31">
        <v>24</v>
      </c>
      <c r="D31" s="3">
        <v>-0.39388000000000001</v>
      </c>
      <c r="E31" s="3">
        <v>10213.4</v>
      </c>
      <c r="J31">
        <f t="shared" si="1"/>
        <v>1.5500000000000009</v>
      </c>
      <c r="K31">
        <v>24</v>
      </c>
      <c r="L31">
        <v>17.7593</v>
      </c>
      <c r="M31">
        <v>29321.8</v>
      </c>
      <c r="R31">
        <f t="shared" si="2"/>
        <v>1.5500000000000009</v>
      </c>
      <c r="S31">
        <v>24</v>
      </c>
      <c r="T31">
        <v>8.3640500000000007</v>
      </c>
      <c r="U31">
        <v>21252.6</v>
      </c>
      <c r="Z31">
        <f t="shared" si="3"/>
        <v>1.5500000000000009</v>
      </c>
      <c r="AA31">
        <v>24</v>
      </c>
      <c r="AB31">
        <v>0.222659</v>
      </c>
      <c r="AC31">
        <v>2812.57</v>
      </c>
      <c r="AH31">
        <f t="shared" si="4"/>
        <v>1.5500000000000009</v>
      </c>
      <c r="AI31">
        <v>24</v>
      </c>
      <c r="AJ31">
        <v>25.6404</v>
      </c>
      <c r="AK31">
        <v>32529</v>
      </c>
      <c r="AP31">
        <f t="shared" si="5"/>
        <v>1.5500000000000009</v>
      </c>
      <c r="AQ31">
        <v>24</v>
      </c>
      <c r="AR31">
        <v>3.8847200000000002</v>
      </c>
      <c r="AS31">
        <v>2776.24</v>
      </c>
      <c r="AX31">
        <f t="shared" si="6"/>
        <v>1.5500000000000009</v>
      </c>
      <c r="AY31">
        <v>24</v>
      </c>
      <c r="AZ31">
        <v>11.8202</v>
      </c>
      <c r="BA31">
        <v>19396.599999999999</v>
      </c>
    </row>
    <row r="32" spans="2:53" x14ac:dyDescent="0.2">
      <c r="B32">
        <f t="shared" si="0"/>
        <v>1.600000000000001</v>
      </c>
      <c r="C32">
        <v>25</v>
      </c>
      <c r="D32" s="3">
        <v>-1.1599999999999999</v>
      </c>
      <c r="E32" s="3">
        <v>8075.01</v>
      </c>
      <c r="J32">
        <f t="shared" si="1"/>
        <v>1.600000000000001</v>
      </c>
      <c r="K32">
        <v>25</v>
      </c>
      <c r="L32">
        <v>15.3253</v>
      </c>
      <c r="M32">
        <v>28383.1</v>
      </c>
      <c r="R32">
        <f t="shared" si="2"/>
        <v>1.600000000000001</v>
      </c>
      <c r="S32">
        <v>25</v>
      </c>
      <c r="T32">
        <v>6.6758300000000004</v>
      </c>
      <c r="U32">
        <v>18815</v>
      </c>
      <c r="Z32">
        <f t="shared" si="3"/>
        <v>1.600000000000001</v>
      </c>
      <c r="AA32">
        <v>25</v>
      </c>
      <c r="AB32">
        <v>-0.26422299999999999</v>
      </c>
      <c r="AC32">
        <v>2903.65</v>
      </c>
      <c r="AH32">
        <f t="shared" si="4"/>
        <v>1.600000000000001</v>
      </c>
      <c r="AI32">
        <v>25</v>
      </c>
      <c r="AJ32">
        <v>22.1508</v>
      </c>
      <c r="AK32">
        <v>46032.2</v>
      </c>
      <c r="AP32">
        <f t="shared" si="5"/>
        <v>1.600000000000001</v>
      </c>
      <c r="AQ32">
        <v>25</v>
      </c>
      <c r="AR32">
        <v>3.23617</v>
      </c>
      <c r="AS32">
        <v>4519.1400000000003</v>
      </c>
      <c r="AX32">
        <f t="shared" si="6"/>
        <v>1.600000000000001</v>
      </c>
      <c r="AY32">
        <v>25</v>
      </c>
      <c r="AZ32">
        <v>10.35</v>
      </c>
      <c r="BA32">
        <v>15636.4</v>
      </c>
    </row>
    <row r="33" spans="2:53" x14ac:dyDescent="0.2">
      <c r="B33">
        <f t="shared" si="0"/>
        <v>1.650000000000001</v>
      </c>
      <c r="C33">
        <v>26</v>
      </c>
      <c r="D33" s="3">
        <v>-1.7500800000000001</v>
      </c>
      <c r="E33" s="3">
        <v>6451.26</v>
      </c>
      <c r="J33">
        <f t="shared" si="1"/>
        <v>1.650000000000001</v>
      </c>
      <c r="K33">
        <v>26</v>
      </c>
      <c r="L33">
        <v>13.0639</v>
      </c>
      <c r="M33">
        <v>26993.9</v>
      </c>
      <c r="R33">
        <f t="shared" si="2"/>
        <v>1.650000000000001</v>
      </c>
      <c r="S33">
        <v>26</v>
      </c>
      <c r="T33">
        <v>5.2379300000000004</v>
      </c>
      <c r="U33">
        <v>16454.8</v>
      </c>
      <c r="Z33">
        <f t="shared" si="3"/>
        <v>1.650000000000001</v>
      </c>
      <c r="AA33">
        <v>26</v>
      </c>
      <c r="AB33">
        <v>-0.72552099999999997</v>
      </c>
      <c r="AC33">
        <v>2721.57</v>
      </c>
      <c r="AH33">
        <f t="shared" si="4"/>
        <v>1.650000000000001</v>
      </c>
      <c r="AI33">
        <v>26</v>
      </c>
      <c r="AJ33">
        <v>18.4086</v>
      </c>
      <c r="AK33">
        <v>44599.7</v>
      </c>
      <c r="AP33">
        <f t="shared" si="5"/>
        <v>1.650000000000001</v>
      </c>
      <c r="AQ33">
        <v>26</v>
      </c>
      <c r="AR33">
        <v>2.4836800000000001</v>
      </c>
      <c r="AS33">
        <v>4518.78</v>
      </c>
      <c r="AX33">
        <f t="shared" si="6"/>
        <v>1.650000000000001</v>
      </c>
      <c r="AY33">
        <v>26</v>
      </c>
      <c r="AZ33">
        <v>9.2013800000000003</v>
      </c>
      <c r="BA33">
        <v>12615.1</v>
      </c>
    </row>
    <row r="34" spans="2:53" x14ac:dyDescent="0.2">
      <c r="B34">
        <f t="shared" si="0"/>
        <v>1.7000000000000011</v>
      </c>
      <c r="C34">
        <v>27</v>
      </c>
      <c r="D34" s="3">
        <v>-2.2070799999999999</v>
      </c>
      <c r="E34" s="3">
        <v>5147.08</v>
      </c>
      <c r="J34">
        <f t="shared" si="1"/>
        <v>1.7000000000000011</v>
      </c>
      <c r="K34">
        <v>27</v>
      </c>
      <c r="L34">
        <v>10.9964</v>
      </c>
      <c r="M34">
        <v>25256.1</v>
      </c>
      <c r="R34">
        <f t="shared" si="2"/>
        <v>1.7000000000000011</v>
      </c>
      <c r="S34">
        <v>27</v>
      </c>
      <c r="T34">
        <v>4.02454</v>
      </c>
      <c r="U34">
        <v>14263.9</v>
      </c>
      <c r="Z34">
        <f t="shared" si="3"/>
        <v>1.7000000000000011</v>
      </c>
      <c r="AA34">
        <v>27</v>
      </c>
      <c r="AB34">
        <v>-1.13331</v>
      </c>
      <c r="AC34">
        <v>2425.5500000000002</v>
      </c>
      <c r="AH34">
        <f t="shared" si="4"/>
        <v>1.7000000000000011</v>
      </c>
      <c r="AI34">
        <v>27</v>
      </c>
      <c r="AJ34">
        <v>15.068199999999999</v>
      </c>
      <c r="AK34">
        <v>39693</v>
      </c>
      <c r="AP34">
        <f t="shared" si="5"/>
        <v>1.7000000000000011</v>
      </c>
      <c r="AQ34">
        <v>27</v>
      </c>
      <c r="AR34">
        <v>1.82216</v>
      </c>
      <c r="AS34">
        <v>3776.72</v>
      </c>
      <c r="AX34">
        <f t="shared" si="6"/>
        <v>1.7000000000000011</v>
      </c>
      <c r="AY34">
        <v>27</v>
      </c>
      <c r="AZ34">
        <v>8.3052700000000002</v>
      </c>
      <c r="BA34">
        <v>10119.6</v>
      </c>
    </row>
    <row r="35" spans="2:53" x14ac:dyDescent="0.2">
      <c r="B35">
        <f t="shared" si="0"/>
        <v>1.7500000000000011</v>
      </c>
      <c r="C35">
        <v>28</v>
      </c>
      <c r="D35" s="3">
        <v>-2.55931</v>
      </c>
      <c r="E35" s="3">
        <v>4064.81</v>
      </c>
      <c r="J35">
        <f t="shared" si="1"/>
        <v>1.7500000000000011</v>
      </c>
      <c r="K35">
        <v>28</v>
      </c>
      <c r="L35">
        <v>9.1331799999999994</v>
      </c>
      <c r="M35">
        <v>23296.7</v>
      </c>
      <c r="R35">
        <f t="shared" si="2"/>
        <v>1.7500000000000011</v>
      </c>
      <c r="S35">
        <v>28</v>
      </c>
      <c r="T35">
        <v>3.0079199999999999</v>
      </c>
      <c r="U35">
        <v>12272</v>
      </c>
      <c r="Z35">
        <f t="shared" si="3"/>
        <v>1.7500000000000011</v>
      </c>
      <c r="AA35">
        <v>28</v>
      </c>
      <c r="AB35">
        <v>-1.48102</v>
      </c>
      <c r="AC35">
        <v>2108.9699999999998</v>
      </c>
      <c r="AH35">
        <f t="shared" si="4"/>
        <v>1.7500000000000011</v>
      </c>
      <c r="AI35">
        <v>28</v>
      </c>
      <c r="AJ35">
        <v>12.225300000000001</v>
      </c>
      <c r="AK35">
        <v>34460.800000000003</v>
      </c>
      <c r="AP35">
        <f t="shared" si="5"/>
        <v>1.7500000000000011</v>
      </c>
      <c r="AQ35">
        <v>28</v>
      </c>
      <c r="AR35">
        <v>1.31423</v>
      </c>
      <c r="AS35">
        <v>2841.49</v>
      </c>
      <c r="AX35">
        <f t="shared" si="6"/>
        <v>1.7500000000000011</v>
      </c>
      <c r="AY35">
        <v>28</v>
      </c>
      <c r="AZ35">
        <v>7.6108500000000001</v>
      </c>
      <c r="BA35">
        <v>8044.05</v>
      </c>
    </row>
    <row r="36" spans="2:53" x14ac:dyDescent="0.2">
      <c r="B36">
        <f t="shared" si="0"/>
        <v>1.8000000000000012</v>
      </c>
      <c r="C36">
        <v>29</v>
      </c>
      <c r="D36" s="3">
        <v>-2.8272599999999999</v>
      </c>
      <c r="E36" s="3">
        <v>3152.32</v>
      </c>
      <c r="J36">
        <f t="shared" si="1"/>
        <v>1.8000000000000012</v>
      </c>
      <c r="K36">
        <v>29</v>
      </c>
      <c r="L36">
        <v>7.4747399999999997</v>
      </c>
      <c r="M36">
        <v>21221.7</v>
      </c>
      <c r="R36">
        <f t="shared" si="2"/>
        <v>1.8000000000000012</v>
      </c>
      <c r="S36">
        <v>29</v>
      </c>
      <c r="T36">
        <v>2.1615199999999999</v>
      </c>
      <c r="U36">
        <v>10484.6</v>
      </c>
      <c r="Z36">
        <f t="shared" si="3"/>
        <v>1.8000000000000012</v>
      </c>
      <c r="AA36">
        <v>29</v>
      </c>
      <c r="AB36">
        <v>-1.77376</v>
      </c>
      <c r="AC36">
        <v>1830.99</v>
      </c>
      <c r="AH36">
        <f t="shared" si="4"/>
        <v>1.8000000000000012</v>
      </c>
      <c r="AI36">
        <v>29</v>
      </c>
      <c r="AJ36">
        <v>9.8405900000000006</v>
      </c>
      <c r="AK36">
        <v>29648.6</v>
      </c>
      <c r="AP36">
        <f t="shared" si="5"/>
        <v>1.8000000000000012</v>
      </c>
      <c r="AQ36">
        <v>29</v>
      </c>
      <c r="AR36">
        <v>0.95327899999999999</v>
      </c>
      <c r="AS36">
        <v>2046.26</v>
      </c>
      <c r="AX36">
        <f t="shared" si="6"/>
        <v>1.8000000000000012</v>
      </c>
      <c r="AY36">
        <v>29</v>
      </c>
      <c r="AZ36">
        <v>7.0772300000000001</v>
      </c>
      <c r="BA36">
        <v>6337.68</v>
      </c>
    </row>
    <row r="37" spans="2:53" x14ac:dyDescent="0.2">
      <c r="B37">
        <f t="shared" si="0"/>
        <v>1.8500000000000012</v>
      </c>
      <c r="C37">
        <v>30</v>
      </c>
      <c r="D37">
        <v>-3.0267599999999999</v>
      </c>
      <c r="E37" s="3">
        <v>2378.38</v>
      </c>
      <c r="J37">
        <f t="shared" si="1"/>
        <v>1.8500000000000012</v>
      </c>
      <c r="K37">
        <v>30</v>
      </c>
      <c r="L37">
        <v>6.0148599999999997</v>
      </c>
      <c r="M37">
        <v>19112.5</v>
      </c>
      <c r="R37">
        <f t="shared" si="2"/>
        <v>1.8500000000000012</v>
      </c>
      <c r="S37">
        <v>30</v>
      </c>
      <c r="T37">
        <v>1.4611400000000001</v>
      </c>
      <c r="U37">
        <v>8895.31</v>
      </c>
      <c r="Z37">
        <f t="shared" si="3"/>
        <v>1.8500000000000012</v>
      </c>
      <c r="AA37">
        <v>30</v>
      </c>
      <c r="AB37">
        <v>-2.0233599999999998</v>
      </c>
      <c r="AC37">
        <v>1633.3</v>
      </c>
      <c r="AH37">
        <f t="shared" si="4"/>
        <v>1.8500000000000012</v>
      </c>
      <c r="AI37">
        <v>30</v>
      </c>
      <c r="AJ37">
        <v>7.8518499999999998</v>
      </c>
      <c r="AK37">
        <v>25382.1</v>
      </c>
      <c r="AP37">
        <f t="shared" si="5"/>
        <v>1.8500000000000012</v>
      </c>
      <c r="AQ37">
        <v>30</v>
      </c>
      <c r="AR37">
        <v>0.69327099999999997</v>
      </c>
      <c r="AS37">
        <v>1622.77</v>
      </c>
      <c r="AX37">
        <f t="shared" si="6"/>
        <v>1.8500000000000012</v>
      </c>
      <c r="AY37">
        <v>30</v>
      </c>
      <c r="AZ37">
        <v>6.6698899999999997</v>
      </c>
      <c r="BA37">
        <v>4965.7299999999996</v>
      </c>
    </row>
    <row r="38" spans="2:53" x14ac:dyDescent="0.2">
      <c r="B38">
        <f t="shared" si="0"/>
        <v>1.9000000000000012</v>
      </c>
      <c r="C38">
        <v>31</v>
      </c>
      <c r="D38">
        <v>-3.1705199999999998</v>
      </c>
      <c r="E38" s="3">
        <v>1721.33</v>
      </c>
      <c r="J38">
        <f t="shared" si="1"/>
        <v>1.9000000000000012</v>
      </c>
      <c r="K38">
        <v>31</v>
      </c>
      <c r="L38">
        <v>4.7427999999999999</v>
      </c>
      <c r="M38">
        <v>17031.3</v>
      </c>
      <c r="R38">
        <f t="shared" si="2"/>
        <v>1.9000000000000012</v>
      </c>
      <c r="S38">
        <v>31</v>
      </c>
      <c r="T38">
        <v>0.88525200000000004</v>
      </c>
      <c r="U38">
        <v>7491.08</v>
      </c>
      <c r="Z38">
        <f t="shared" si="3"/>
        <v>1.9000000000000012</v>
      </c>
      <c r="AA38">
        <v>31</v>
      </c>
      <c r="AB38">
        <v>-2.2435399999999999</v>
      </c>
      <c r="AC38">
        <v>1497.56</v>
      </c>
      <c r="AH38">
        <f t="shared" si="4"/>
        <v>1.9000000000000012</v>
      </c>
      <c r="AI38">
        <v>31</v>
      </c>
      <c r="AJ38">
        <v>6.1991399999999999</v>
      </c>
      <c r="AK38">
        <v>21646.2</v>
      </c>
      <c r="AP38">
        <f t="shared" si="5"/>
        <v>1.9000000000000012</v>
      </c>
      <c r="AQ38">
        <v>31</v>
      </c>
      <c r="AR38">
        <v>0.47679199999999999</v>
      </c>
      <c r="AS38">
        <v>1454.17</v>
      </c>
      <c r="AX38">
        <f t="shared" si="6"/>
        <v>1.9000000000000012</v>
      </c>
      <c r="AY38">
        <v>31</v>
      </c>
      <c r="AZ38">
        <v>6.3596500000000002</v>
      </c>
      <c r="BA38">
        <v>3890.25</v>
      </c>
    </row>
    <row r="39" spans="2:53" x14ac:dyDescent="0.2">
      <c r="B39">
        <f t="shared" si="0"/>
        <v>1.9500000000000013</v>
      </c>
      <c r="C39">
        <v>32</v>
      </c>
      <c r="D39">
        <v>-3.26892</v>
      </c>
      <c r="E39" s="3">
        <v>1164.06</v>
      </c>
      <c r="J39">
        <f t="shared" si="1"/>
        <v>1.9500000000000013</v>
      </c>
      <c r="K39">
        <v>32</v>
      </c>
      <c r="L39">
        <v>3.6449099999999999</v>
      </c>
      <c r="M39">
        <v>15025.8</v>
      </c>
      <c r="R39">
        <f t="shared" si="2"/>
        <v>1.9500000000000013</v>
      </c>
      <c r="S39">
        <v>32</v>
      </c>
      <c r="T39">
        <v>0.41506900000000002</v>
      </c>
      <c r="U39">
        <v>6256.05</v>
      </c>
      <c r="Z39">
        <f t="shared" si="3"/>
        <v>1.9500000000000013</v>
      </c>
      <c r="AA39">
        <v>32</v>
      </c>
      <c r="AB39">
        <v>-2.4407199999999998</v>
      </c>
      <c r="AC39">
        <v>1383.8</v>
      </c>
      <c r="AH39">
        <f t="shared" si="4"/>
        <v>1.9500000000000013</v>
      </c>
      <c r="AI39">
        <v>32</v>
      </c>
      <c r="AJ39">
        <v>4.82951</v>
      </c>
      <c r="AK39">
        <v>18400.400000000001</v>
      </c>
      <c r="AP39">
        <f t="shared" si="5"/>
        <v>1.9500000000000013</v>
      </c>
      <c r="AQ39">
        <v>32</v>
      </c>
      <c r="AR39">
        <v>0.28795999999999999</v>
      </c>
      <c r="AS39">
        <v>1305.52</v>
      </c>
      <c r="AX39">
        <f t="shared" si="6"/>
        <v>1.9500000000000013</v>
      </c>
      <c r="AY39">
        <v>32</v>
      </c>
      <c r="AZ39">
        <v>6.1225300000000002</v>
      </c>
      <c r="BA39">
        <v>3066.18</v>
      </c>
    </row>
    <row r="40" spans="2:53" x14ac:dyDescent="0.2">
      <c r="B40">
        <f t="shared" si="0"/>
        <v>2.0000000000000013</v>
      </c>
      <c r="C40">
        <v>33</v>
      </c>
      <c r="D40">
        <v>-3.3304800000000001</v>
      </c>
      <c r="E40" s="3">
        <v>691.89800000000002</v>
      </c>
      <c r="J40">
        <f t="shared" si="1"/>
        <v>2.0000000000000013</v>
      </c>
      <c r="K40">
        <v>33</v>
      </c>
      <c r="L40">
        <v>2.7058499999999999</v>
      </c>
      <c r="M40">
        <v>13131.7</v>
      </c>
      <c r="R40">
        <f t="shared" si="2"/>
        <v>2.0000000000000013</v>
      </c>
      <c r="S40">
        <v>33</v>
      </c>
      <c r="T40">
        <v>3.4359800000000003E-2</v>
      </c>
      <c r="U40">
        <v>5173.5200000000004</v>
      </c>
      <c r="Z40">
        <f t="shared" si="3"/>
        <v>2.0000000000000013</v>
      </c>
      <c r="AA40">
        <v>33</v>
      </c>
      <c r="AB40">
        <v>-2.6190600000000002</v>
      </c>
      <c r="AC40">
        <v>1291.77</v>
      </c>
      <c r="AH40">
        <f t="shared" si="4"/>
        <v>2.0000000000000013</v>
      </c>
      <c r="AI40">
        <v>33</v>
      </c>
      <c r="AJ40">
        <v>3.69693</v>
      </c>
      <c r="AK40">
        <v>15603.3</v>
      </c>
      <c r="AP40">
        <f t="shared" si="5"/>
        <v>2.0000000000000013</v>
      </c>
      <c r="AQ40">
        <v>33</v>
      </c>
      <c r="AR40">
        <v>0.12217699999999999</v>
      </c>
      <c r="AS40">
        <v>1182.5999999999999</v>
      </c>
      <c r="AX40">
        <f t="shared" si="6"/>
        <v>2.0000000000000013</v>
      </c>
      <c r="AY40">
        <v>33</v>
      </c>
      <c r="AZ40">
        <v>5.9395499999999997</v>
      </c>
      <c r="BA40">
        <v>2444.98</v>
      </c>
    </row>
    <row r="41" spans="2:53" x14ac:dyDescent="0.2">
      <c r="B41">
        <f t="shared" si="0"/>
        <v>2.0500000000000012</v>
      </c>
      <c r="C41">
        <v>34</v>
      </c>
      <c r="D41">
        <v>-3.3621699999999999</v>
      </c>
      <c r="E41" s="3">
        <v>291.899</v>
      </c>
      <c r="J41">
        <f t="shared" si="1"/>
        <v>2.0500000000000012</v>
      </c>
      <c r="K41">
        <v>34</v>
      </c>
      <c r="L41">
        <v>1.9094500000000001</v>
      </c>
      <c r="M41">
        <v>11374.1</v>
      </c>
      <c r="R41">
        <f t="shared" si="2"/>
        <v>2.0500000000000012</v>
      </c>
      <c r="S41">
        <v>34</v>
      </c>
      <c r="T41">
        <v>-0.27079399999999998</v>
      </c>
      <c r="U41">
        <v>4227.25</v>
      </c>
      <c r="Z41">
        <f t="shared" si="3"/>
        <v>2.0500000000000012</v>
      </c>
      <c r="AA41">
        <v>34</v>
      </c>
      <c r="AB41">
        <v>-2.7822100000000001</v>
      </c>
      <c r="AC41">
        <v>1219.3800000000001</v>
      </c>
      <c r="AH41">
        <f t="shared" si="4"/>
        <v>2.0500000000000012</v>
      </c>
      <c r="AI41">
        <v>34</v>
      </c>
      <c r="AJ41">
        <v>2.7614999999999998</v>
      </c>
      <c r="AK41">
        <v>13216</v>
      </c>
      <c r="AP41">
        <f t="shared" si="5"/>
        <v>2.0500000000000012</v>
      </c>
      <c r="AQ41">
        <v>34</v>
      </c>
      <c r="AR41">
        <v>-2.5034600000000001E-2</v>
      </c>
      <c r="AS41">
        <v>1084.0999999999999</v>
      </c>
      <c r="AX41">
        <f t="shared" si="6"/>
        <v>2.0500000000000012</v>
      </c>
      <c r="AY41">
        <v>34</v>
      </c>
      <c r="AZ41">
        <v>5.7963100000000001</v>
      </c>
      <c r="BA41">
        <v>1980.03</v>
      </c>
    </row>
    <row r="42" spans="2:53" x14ac:dyDescent="0.2">
      <c r="B42">
        <f t="shared" si="0"/>
        <v>2.100000000000001</v>
      </c>
      <c r="C42">
        <v>35</v>
      </c>
      <c r="D42">
        <v>-3.3696700000000002</v>
      </c>
      <c r="E42" s="3">
        <v>-47.364400000000003</v>
      </c>
      <c r="J42">
        <f t="shared" si="1"/>
        <v>2.100000000000001</v>
      </c>
      <c r="K42">
        <v>35</v>
      </c>
      <c r="L42">
        <v>1.2394700000000001</v>
      </c>
      <c r="M42">
        <v>9768.39</v>
      </c>
      <c r="R42">
        <f t="shared" si="2"/>
        <v>2.100000000000001</v>
      </c>
      <c r="S42">
        <v>35</v>
      </c>
      <c r="T42">
        <v>-0.51228399999999996</v>
      </c>
      <c r="U42">
        <v>3402.06</v>
      </c>
      <c r="Z42">
        <f t="shared" si="3"/>
        <v>2.100000000000001</v>
      </c>
      <c r="AA42">
        <v>35</v>
      </c>
      <c r="AB42">
        <v>-2.93323</v>
      </c>
      <c r="AC42">
        <v>1163.58</v>
      </c>
      <c r="AH42">
        <f t="shared" si="4"/>
        <v>2.100000000000001</v>
      </c>
      <c r="AI42">
        <v>35</v>
      </c>
      <c r="AJ42">
        <v>1.98868</v>
      </c>
      <c r="AK42">
        <v>11200</v>
      </c>
      <c r="AP42">
        <f t="shared" si="5"/>
        <v>2.100000000000001</v>
      </c>
      <c r="AQ42">
        <v>35</v>
      </c>
      <c r="AR42">
        <v>-0.15745000000000001</v>
      </c>
      <c r="AS42">
        <v>1005.99</v>
      </c>
      <c r="AX42">
        <f t="shared" si="6"/>
        <v>2.100000000000001</v>
      </c>
      <c r="AY42">
        <v>35</v>
      </c>
      <c r="AZ42">
        <v>5.6822499999999998</v>
      </c>
      <c r="BA42">
        <v>1630.78</v>
      </c>
    </row>
    <row r="43" spans="2:53" x14ac:dyDescent="0.2">
      <c r="B43">
        <f t="shared" si="0"/>
        <v>2.1500000000000008</v>
      </c>
      <c r="C43">
        <v>36</v>
      </c>
      <c r="D43">
        <v>-3.3576100000000002</v>
      </c>
      <c r="E43" s="3">
        <v>-335.81</v>
      </c>
      <c r="J43">
        <f t="shared" si="1"/>
        <v>2.1500000000000008</v>
      </c>
      <c r="K43">
        <v>36</v>
      </c>
      <c r="L43">
        <v>0.68018500000000004</v>
      </c>
      <c r="M43">
        <v>8321.0300000000007</v>
      </c>
      <c r="R43">
        <f t="shared" si="2"/>
        <v>2.1500000000000008</v>
      </c>
      <c r="S43">
        <v>36</v>
      </c>
      <c r="T43">
        <v>-0.70024200000000003</v>
      </c>
      <c r="U43">
        <v>2684.15</v>
      </c>
      <c r="Z43">
        <f t="shared" si="3"/>
        <v>2.1500000000000008</v>
      </c>
      <c r="AA43">
        <v>36</v>
      </c>
      <c r="AB43">
        <v>-3.0745499999999999</v>
      </c>
      <c r="AC43">
        <v>1120.95</v>
      </c>
      <c r="AH43">
        <f t="shared" si="4"/>
        <v>2.1500000000000008</v>
      </c>
      <c r="AI43">
        <v>36</v>
      </c>
      <c r="AJ43">
        <v>1.3488599999999999</v>
      </c>
      <c r="AK43">
        <v>9515.4</v>
      </c>
      <c r="AP43">
        <f t="shared" si="5"/>
        <v>2.1500000000000008</v>
      </c>
      <c r="AQ43">
        <v>36</v>
      </c>
      <c r="AR43">
        <v>-0.27802399999999999</v>
      </c>
      <c r="AS43">
        <v>943.71900000000005</v>
      </c>
      <c r="AX43">
        <f t="shared" si="6"/>
        <v>2.1500000000000008</v>
      </c>
      <c r="AY43">
        <v>36</v>
      </c>
      <c r="AZ43">
        <v>5.5898599999999998</v>
      </c>
      <c r="BA43">
        <v>1364.71</v>
      </c>
    </row>
    <row r="44" spans="2:53" x14ac:dyDescent="0.2">
      <c r="B44">
        <f t="shared" si="0"/>
        <v>2.2000000000000006</v>
      </c>
      <c r="C44">
        <v>37</v>
      </c>
      <c r="D44">
        <v>-3.3297099999999999</v>
      </c>
      <c r="E44" s="3">
        <v>-581.84900000000005</v>
      </c>
      <c r="J44">
        <f t="shared" si="1"/>
        <v>2.2000000000000006</v>
      </c>
      <c r="K44">
        <v>37</v>
      </c>
      <c r="L44">
        <v>0.21678800000000001</v>
      </c>
      <c r="M44">
        <v>7031.38</v>
      </c>
      <c r="R44">
        <f t="shared" si="2"/>
        <v>2.2000000000000006</v>
      </c>
      <c r="S44">
        <v>37</v>
      </c>
      <c r="T44">
        <v>-0.84329200000000004</v>
      </c>
      <c r="U44">
        <v>2061.06</v>
      </c>
      <c r="Z44">
        <f t="shared" si="3"/>
        <v>2.2000000000000006</v>
      </c>
      <c r="AA44">
        <v>37</v>
      </c>
      <c r="AB44">
        <v>-3.2080099999999998</v>
      </c>
      <c r="AC44">
        <v>1088.0899999999999</v>
      </c>
      <c r="AH44">
        <f t="shared" si="4"/>
        <v>2.2000000000000006</v>
      </c>
      <c r="AI44">
        <v>37</v>
      </c>
      <c r="AJ44">
        <v>0.81700899999999999</v>
      </c>
      <c r="AK44">
        <v>8120.07</v>
      </c>
      <c r="AP44">
        <f t="shared" si="5"/>
        <v>2.2000000000000006</v>
      </c>
      <c r="AQ44">
        <v>37</v>
      </c>
      <c r="AR44">
        <v>-0.38898100000000002</v>
      </c>
      <c r="AS44">
        <v>893.29499999999996</v>
      </c>
      <c r="AX44">
        <f t="shared" si="6"/>
        <v>2.2000000000000006</v>
      </c>
      <c r="AY44">
        <v>37</v>
      </c>
      <c r="AZ44">
        <v>5.5138499999999997</v>
      </c>
      <c r="BA44">
        <v>1157.33</v>
      </c>
    </row>
    <row r="45" spans="2:53" x14ac:dyDescent="0.2">
      <c r="B45">
        <f t="shared" si="0"/>
        <v>2.2500000000000004</v>
      </c>
      <c r="C45">
        <v>38</v>
      </c>
      <c r="D45">
        <v>-3.2889900000000001</v>
      </c>
      <c r="E45">
        <v>-792.46199999999999</v>
      </c>
      <c r="J45">
        <f t="shared" si="1"/>
        <v>2.2500000000000004</v>
      </c>
      <c r="K45">
        <v>38</v>
      </c>
      <c r="L45">
        <v>-0.16427800000000001</v>
      </c>
      <c r="M45">
        <v>5893.07</v>
      </c>
      <c r="R45">
        <f t="shared" si="2"/>
        <v>2.2500000000000004</v>
      </c>
      <c r="S45">
        <v>38</v>
      </c>
      <c r="T45">
        <v>-0.94876400000000005</v>
      </c>
      <c r="U45">
        <v>1521.63</v>
      </c>
      <c r="Z45">
        <f t="shared" si="3"/>
        <v>2.2500000000000004</v>
      </c>
      <c r="AA45">
        <v>38</v>
      </c>
      <c r="AB45">
        <v>-3.33494</v>
      </c>
      <c r="AC45">
        <v>1061.8599999999999</v>
      </c>
      <c r="AH45">
        <f t="shared" si="4"/>
        <v>2.2500000000000004</v>
      </c>
      <c r="AI45">
        <v>38</v>
      </c>
      <c r="AJ45">
        <v>0.37234299999999998</v>
      </c>
      <c r="AK45">
        <v>6971.18</v>
      </c>
      <c r="AP45">
        <f t="shared" si="5"/>
        <v>2.2500000000000004</v>
      </c>
      <c r="AQ45">
        <v>38</v>
      </c>
      <c r="AR45">
        <v>-0.49197200000000002</v>
      </c>
      <c r="AS45">
        <v>851.61</v>
      </c>
      <c r="AX45">
        <f t="shared" si="6"/>
        <v>2.2500000000000004</v>
      </c>
      <c r="AY45">
        <v>38</v>
      </c>
      <c r="AZ45">
        <v>5.4505600000000003</v>
      </c>
      <c r="BA45">
        <v>991.12099999999998</v>
      </c>
    </row>
    <row r="46" spans="2:53" x14ac:dyDescent="0.2">
      <c r="B46">
        <f t="shared" si="0"/>
        <v>2.3000000000000003</v>
      </c>
      <c r="C46">
        <v>39</v>
      </c>
      <c r="D46">
        <v>-3.2379099999999998</v>
      </c>
      <c r="E46">
        <v>-973.31700000000001</v>
      </c>
      <c r="J46">
        <f t="shared" si="1"/>
        <v>2.3000000000000003</v>
      </c>
      <c r="K46">
        <v>39</v>
      </c>
      <c r="L46">
        <v>-0.47517300000000001</v>
      </c>
      <c r="M46">
        <v>4895.8</v>
      </c>
      <c r="R46">
        <f t="shared" si="2"/>
        <v>2.3000000000000003</v>
      </c>
      <c r="S46">
        <v>39</v>
      </c>
      <c r="T46">
        <v>-1.02288</v>
      </c>
      <c r="U46">
        <v>1055.79</v>
      </c>
      <c r="Z46">
        <f t="shared" si="3"/>
        <v>2.3000000000000003</v>
      </c>
      <c r="AA46">
        <v>39</v>
      </c>
      <c r="AB46">
        <v>-3.4562400000000002</v>
      </c>
      <c r="AC46">
        <v>1039.53</v>
      </c>
      <c r="AH46">
        <f t="shared" si="4"/>
        <v>2.3000000000000003</v>
      </c>
      <c r="AI46">
        <v>39</v>
      </c>
      <c r="AJ46">
        <v>-2.0972600000000001E-3</v>
      </c>
      <c r="AK46">
        <v>6027.77</v>
      </c>
      <c r="AP46">
        <f t="shared" si="5"/>
        <v>2.3000000000000003</v>
      </c>
      <c r="AQ46">
        <v>39</v>
      </c>
      <c r="AR46">
        <v>-0.58822600000000003</v>
      </c>
      <c r="AS46">
        <v>816.428</v>
      </c>
      <c r="AX46">
        <f t="shared" si="6"/>
        <v>2.3000000000000003</v>
      </c>
      <c r="AY46">
        <v>39</v>
      </c>
      <c r="AZ46">
        <v>5.3974000000000002</v>
      </c>
      <c r="BA46">
        <v>853.97</v>
      </c>
    </row>
    <row r="47" spans="2:53" x14ac:dyDescent="0.2">
      <c r="B47">
        <f t="shared" si="0"/>
        <v>2.35</v>
      </c>
      <c r="C47">
        <v>40</v>
      </c>
      <c r="D47">
        <v>-3.1784599999999998</v>
      </c>
      <c r="E47">
        <v>-1128.95</v>
      </c>
      <c r="J47">
        <f t="shared" si="1"/>
        <v>2.35</v>
      </c>
      <c r="K47">
        <v>40</v>
      </c>
      <c r="L47">
        <v>-0.72659499999999999</v>
      </c>
      <c r="M47">
        <v>4026.85</v>
      </c>
      <c r="R47">
        <f t="shared" si="2"/>
        <v>2.35</v>
      </c>
      <c r="S47">
        <v>40</v>
      </c>
      <c r="T47">
        <v>-1.0709299999999999</v>
      </c>
      <c r="U47">
        <v>654.50199999999995</v>
      </c>
      <c r="Z47">
        <f t="shared" si="3"/>
        <v>2.35</v>
      </c>
      <c r="AA47">
        <v>40</v>
      </c>
      <c r="AB47">
        <v>-3.57246</v>
      </c>
      <c r="AC47">
        <v>1018.89</v>
      </c>
      <c r="AH47">
        <f t="shared" si="4"/>
        <v>2.35</v>
      </c>
      <c r="AI47">
        <v>40</v>
      </c>
      <c r="AJ47">
        <v>-0.319942</v>
      </c>
      <c r="AK47">
        <v>5253.05</v>
      </c>
      <c r="AP47">
        <f t="shared" si="5"/>
        <v>2.35</v>
      </c>
      <c r="AQ47">
        <v>40</v>
      </c>
      <c r="AR47">
        <v>-0.67868200000000001</v>
      </c>
      <c r="AS47">
        <v>786.21</v>
      </c>
      <c r="AX47">
        <f t="shared" si="6"/>
        <v>2.35</v>
      </c>
      <c r="AY47">
        <v>40</v>
      </c>
      <c r="AZ47">
        <v>5.3525299999999998</v>
      </c>
      <c r="BA47">
        <v>737.69299999999998</v>
      </c>
    </row>
    <row r="48" spans="2:53" x14ac:dyDescent="0.2">
      <c r="B48">
        <f t="shared" si="0"/>
        <v>2.4</v>
      </c>
      <c r="C48">
        <v>41</v>
      </c>
      <c r="D48">
        <v>-3.1123099999999999</v>
      </c>
      <c r="E48">
        <v>-1262.93</v>
      </c>
      <c r="J48">
        <f t="shared" si="1"/>
        <v>2.4</v>
      </c>
      <c r="K48">
        <v>41</v>
      </c>
      <c r="L48">
        <v>-0.92781499999999995</v>
      </c>
      <c r="M48">
        <v>3272.39</v>
      </c>
      <c r="R48">
        <f t="shared" si="2"/>
        <v>2.4</v>
      </c>
      <c r="S48">
        <v>41</v>
      </c>
      <c r="T48">
        <v>-1.09735</v>
      </c>
      <c r="U48">
        <v>309.64600000000002</v>
      </c>
      <c r="Z48">
        <f t="shared" si="3"/>
        <v>2.4</v>
      </c>
      <c r="AA48">
        <v>41</v>
      </c>
      <c r="AB48">
        <v>-3.6839200000000001</v>
      </c>
      <c r="AC48">
        <v>998.23099999999999</v>
      </c>
      <c r="AH48">
        <f t="shared" si="4"/>
        <v>2.4</v>
      </c>
      <c r="AI48">
        <v>41</v>
      </c>
      <c r="AJ48">
        <v>-0.59206199999999998</v>
      </c>
      <c r="AK48">
        <v>4615.91</v>
      </c>
      <c r="AP48">
        <f t="shared" si="5"/>
        <v>2.4</v>
      </c>
      <c r="AQ48">
        <v>41</v>
      </c>
      <c r="AR48">
        <v>-0.76407700000000001</v>
      </c>
      <c r="AS48">
        <v>759.88800000000003</v>
      </c>
      <c r="AX48">
        <f t="shared" si="6"/>
        <v>2.4</v>
      </c>
      <c r="AY48">
        <v>41</v>
      </c>
      <c r="AZ48">
        <v>5.3146100000000001</v>
      </c>
      <c r="BA48">
        <v>636.85400000000004</v>
      </c>
    </row>
    <row r="49" spans="2:53" x14ac:dyDescent="0.2">
      <c r="B49">
        <f t="shared" si="0"/>
        <v>2.4499999999999997</v>
      </c>
      <c r="C49">
        <v>42</v>
      </c>
      <c r="D49">
        <v>-3.0408200000000001</v>
      </c>
      <c r="E49">
        <v>-1378.07</v>
      </c>
      <c r="J49">
        <f t="shared" si="1"/>
        <v>2.4499999999999997</v>
      </c>
      <c r="K49">
        <v>42</v>
      </c>
      <c r="L49">
        <v>-1.0867599999999999</v>
      </c>
      <c r="M49">
        <v>2618.54</v>
      </c>
      <c r="R49">
        <f t="shared" si="2"/>
        <v>2.4499999999999997</v>
      </c>
      <c r="S49">
        <v>42</v>
      </c>
      <c r="T49">
        <v>-1.10592</v>
      </c>
      <c r="U49">
        <v>13.953900000000001</v>
      </c>
      <c r="Z49">
        <f t="shared" si="3"/>
        <v>2.4499999999999997</v>
      </c>
      <c r="AA49">
        <v>42</v>
      </c>
      <c r="AB49">
        <v>-3.79074</v>
      </c>
      <c r="AC49">
        <v>976.35900000000004</v>
      </c>
      <c r="AH49">
        <f t="shared" si="4"/>
        <v>2.4499999999999997</v>
      </c>
      <c r="AI49">
        <v>42</v>
      </c>
      <c r="AJ49">
        <v>-0.82711999999999997</v>
      </c>
      <c r="AK49">
        <v>4091.17</v>
      </c>
      <c r="AP49">
        <f t="shared" si="5"/>
        <v>2.4499999999999997</v>
      </c>
      <c r="AQ49">
        <v>42</v>
      </c>
      <c r="AR49">
        <v>-0.84499999999999997</v>
      </c>
      <c r="AS49">
        <v>736.68</v>
      </c>
      <c r="AX49">
        <f t="shared" si="6"/>
        <v>2.4499999999999997</v>
      </c>
      <c r="AY49">
        <v>42</v>
      </c>
      <c r="AZ49">
        <v>5.28261</v>
      </c>
      <c r="BA49">
        <v>547.96199999999999</v>
      </c>
    </row>
    <row r="50" spans="2:53" x14ac:dyDescent="0.2">
      <c r="B50">
        <f t="shared" si="0"/>
        <v>2.4999999999999996</v>
      </c>
      <c r="C50">
        <v>43</v>
      </c>
      <c r="D50">
        <v>-2.96515</v>
      </c>
      <c r="E50">
        <v>-1476.57</v>
      </c>
      <c r="J50">
        <f t="shared" si="1"/>
        <v>2.4999999999999996</v>
      </c>
      <c r="K50">
        <v>43</v>
      </c>
      <c r="L50">
        <v>-1.2101599999999999</v>
      </c>
      <c r="M50">
        <v>2052.11</v>
      </c>
      <c r="R50">
        <f t="shared" si="2"/>
        <v>2.4999999999999996</v>
      </c>
      <c r="S50">
        <v>43</v>
      </c>
      <c r="T50">
        <v>-1.09981</v>
      </c>
      <c r="U50">
        <v>-239.01300000000001</v>
      </c>
      <c r="Z50">
        <f t="shared" si="3"/>
        <v>2.4999999999999996</v>
      </c>
      <c r="AA50">
        <v>43</v>
      </c>
      <c r="AB50">
        <v>-3.8929399999999998</v>
      </c>
      <c r="AC50">
        <v>952.52</v>
      </c>
      <c r="AH50">
        <f t="shared" si="4"/>
        <v>2.4999999999999996</v>
      </c>
      <c r="AI50">
        <v>43</v>
      </c>
      <c r="AJ50">
        <v>-1.0320499999999999</v>
      </c>
      <c r="AK50">
        <v>3658.94</v>
      </c>
      <c r="AP50">
        <f t="shared" si="5"/>
        <v>2.4999999999999996</v>
      </c>
      <c r="AQ50">
        <v>43</v>
      </c>
      <c r="AR50">
        <v>-0.92193199999999997</v>
      </c>
      <c r="AS50">
        <v>715.95600000000002</v>
      </c>
      <c r="AX50">
        <f t="shared" si="6"/>
        <v>2.4999999999999996</v>
      </c>
      <c r="AY50">
        <v>43</v>
      </c>
      <c r="AZ50">
        <v>5.2557099999999997</v>
      </c>
      <c r="BA50">
        <v>468.96300000000002</v>
      </c>
    </row>
    <row r="51" spans="2:53" x14ac:dyDescent="0.2">
      <c r="B51">
        <f t="shared" si="0"/>
        <v>2.5499999999999994</v>
      </c>
      <c r="C51">
        <v>44</v>
      </c>
      <c r="D51">
        <v>-2.8862899999999998</v>
      </c>
      <c r="E51">
        <v>-1560.14</v>
      </c>
      <c r="J51">
        <f t="shared" si="1"/>
        <v>2.5499999999999994</v>
      </c>
      <c r="K51">
        <v>44</v>
      </c>
      <c r="L51">
        <v>-1.3036700000000001</v>
      </c>
      <c r="M51">
        <v>1561.09</v>
      </c>
      <c r="R51">
        <f t="shared" si="2"/>
        <v>2.5499999999999994</v>
      </c>
      <c r="S51">
        <v>44</v>
      </c>
      <c r="T51">
        <v>-1.0816699999999999</v>
      </c>
      <c r="U51">
        <v>-454.90100000000001</v>
      </c>
      <c r="Z51">
        <f t="shared" si="3"/>
        <v>2.5499999999999994</v>
      </c>
      <c r="AA51">
        <v>44</v>
      </c>
      <c r="AB51">
        <v>-3.9904799999999998</v>
      </c>
      <c r="AC51">
        <v>926.34699999999998</v>
      </c>
      <c r="AH51">
        <f t="shared" si="4"/>
        <v>2.5499999999999994</v>
      </c>
      <c r="AI51">
        <v>44</v>
      </c>
      <c r="AJ51">
        <v>-1.2124600000000001</v>
      </c>
      <c r="AK51">
        <v>3303.46</v>
      </c>
      <c r="AP51">
        <f t="shared" si="5"/>
        <v>2.5499999999999994</v>
      </c>
      <c r="AQ51">
        <v>44</v>
      </c>
      <c r="AR51">
        <v>-0.99526300000000001</v>
      </c>
      <c r="AS51">
        <v>697.15899999999999</v>
      </c>
      <c r="AX51">
        <f t="shared" si="6"/>
        <v>2.5499999999999994</v>
      </c>
      <c r="AY51">
        <v>44</v>
      </c>
      <c r="AZ51">
        <v>5.2332200000000002</v>
      </c>
      <c r="BA51">
        <v>398.93099999999998</v>
      </c>
    </row>
    <row r="52" spans="2:53" x14ac:dyDescent="0.2">
      <c r="B52">
        <f t="shared" si="0"/>
        <v>2.5999999999999992</v>
      </c>
      <c r="C52">
        <v>45</v>
      </c>
      <c r="D52">
        <v>-2.8050899999999999</v>
      </c>
      <c r="E52">
        <v>-1630.17</v>
      </c>
      <c r="J52">
        <f t="shared" si="1"/>
        <v>2.5999999999999992</v>
      </c>
      <c r="K52">
        <v>45</v>
      </c>
      <c r="L52">
        <v>-1.37202</v>
      </c>
      <c r="M52">
        <v>1134.9100000000001</v>
      </c>
      <c r="R52">
        <f t="shared" si="2"/>
        <v>2.5999999999999992</v>
      </c>
      <c r="S52">
        <v>45</v>
      </c>
      <c r="T52">
        <v>-1.05375</v>
      </c>
      <c r="U52">
        <v>-638.596</v>
      </c>
      <c r="Z52">
        <f t="shared" si="3"/>
        <v>2.5999999999999992</v>
      </c>
      <c r="AA52">
        <v>45</v>
      </c>
      <c r="AB52">
        <v>-4.0833000000000004</v>
      </c>
      <c r="AC52">
        <v>897.77300000000002</v>
      </c>
      <c r="AH52">
        <f t="shared" si="4"/>
        <v>2.5999999999999992</v>
      </c>
      <c r="AI52">
        <v>45</v>
      </c>
      <c r="AJ52">
        <v>-1.3728800000000001</v>
      </c>
      <c r="AK52">
        <v>3011.82</v>
      </c>
      <c r="AP52">
        <f t="shared" si="5"/>
        <v>2.5999999999999992</v>
      </c>
      <c r="AQ52">
        <v>45</v>
      </c>
      <c r="AR52">
        <v>-1.0652999999999999</v>
      </c>
      <c r="AS52">
        <v>679.77499999999998</v>
      </c>
      <c r="AX52">
        <f t="shared" si="6"/>
        <v>2.5999999999999992</v>
      </c>
      <c r="AY52">
        <v>45</v>
      </c>
      <c r="AZ52">
        <v>5.2145099999999998</v>
      </c>
      <c r="BA52">
        <v>337.83</v>
      </c>
    </row>
    <row r="53" spans="2:53" x14ac:dyDescent="0.2">
      <c r="B53">
        <f t="shared" si="0"/>
        <v>2.649999999999999</v>
      </c>
      <c r="C53">
        <v>46</v>
      </c>
      <c r="D53">
        <v>-2.7222900000000001</v>
      </c>
      <c r="E53">
        <v>-1687.74</v>
      </c>
      <c r="J53">
        <f t="shared" si="1"/>
        <v>2.649999999999999</v>
      </c>
      <c r="K53">
        <v>46</v>
      </c>
      <c r="L53">
        <v>-1.4192100000000001</v>
      </c>
      <c r="M53">
        <v>764.50300000000004</v>
      </c>
      <c r="R53">
        <f t="shared" si="2"/>
        <v>2.649999999999999</v>
      </c>
      <c r="S53">
        <v>46</v>
      </c>
      <c r="T53">
        <v>-1.0179100000000001</v>
      </c>
      <c r="U53">
        <v>-794.28099999999995</v>
      </c>
      <c r="Z53">
        <f t="shared" si="3"/>
        <v>2.649999999999999</v>
      </c>
      <c r="AA53">
        <v>46</v>
      </c>
      <c r="AB53">
        <v>-4.17136</v>
      </c>
      <c r="AC53">
        <v>866.96100000000001</v>
      </c>
      <c r="AH53">
        <f t="shared" si="4"/>
        <v>2.649999999999999</v>
      </c>
      <c r="AI53">
        <v>46</v>
      </c>
      <c r="AJ53">
        <v>-1.5169900000000001</v>
      </c>
      <c r="AK53">
        <v>2773.02</v>
      </c>
      <c r="AP53">
        <f t="shared" si="5"/>
        <v>2.649999999999999</v>
      </c>
      <c r="AQ53">
        <v>46</v>
      </c>
      <c r="AR53">
        <v>-1.1323000000000001</v>
      </c>
      <c r="AS53">
        <v>663.33</v>
      </c>
      <c r="AX53">
        <f t="shared" si="6"/>
        <v>2.649999999999999</v>
      </c>
      <c r="AY53">
        <v>46</v>
      </c>
      <c r="AZ53">
        <v>5.1989900000000002</v>
      </c>
      <c r="BA53">
        <v>286.27199999999999</v>
      </c>
    </row>
    <row r="54" spans="2:53" x14ac:dyDescent="0.2">
      <c r="B54">
        <f t="shared" si="0"/>
        <v>2.6999999999999988</v>
      </c>
      <c r="C54">
        <v>47</v>
      </c>
      <c r="D54">
        <v>-2.6385299999999998</v>
      </c>
      <c r="E54">
        <v>-1733.78</v>
      </c>
      <c r="J54">
        <f t="shared" si="1"/>
        <v>2.6999999999999988</v>
      </c>
      <c r="K54">
        <v>47</v>
      </c>
      <c r="L54">
        <v>-1.44858</v>
      </c>
      <c r="M54">
        <v>442.322</v>
      </c>
      <c r="R54">
        <f t="shared" si="2"/>
        <v>2.6999999999999988</v>
      </c>
      <c r="S54">
        <v>47</v>
      </c>
      <c r="T54">
        <v>-0.97575000000000001</v>
      </c>
      <c r="U54">
        <v>-925.50400000000002</v>
      </c>
      <c r="Z54">
        <f t="shared" si="3"/>
        <v>2.6999999999999988</v>
      </c>
      <c r="AA54">
        <v>47</v>
      </c>
      <c r="AB54">
        <v>-4.2546200000000001</v>
      </c>
      <c r="AC54">
        <v>834.23099999999999</v>
      </c>
      <c r="AH54">
        <f t="shared" si="4"/>
        <v>2.6999999999999988</v>
      </c>
      <c r="AI54">
        <v>47</v>
      </c>
      <c r="AJ54">
        <v>-1.64775</v>
      </c>
      <c r="AK54">
        <v>2577.2800000000002</v>
      </c>
      <c r="AP54">
        <f t="shared" si="5"/>
        <v>2.6999999999999988</v>
      </c>
      <c r="AQ54">
        <v>47</v>
      </c>
      <c r="AR54">
        <v>-1.1964399999999999</v>
      </c>
      <c r="AS54">
        <v>647.4</v>
      </c>
      <c r="AX54">
        <f t="shared" si="6"/>
        <v>2.6999999999999988</v>
      </c>
      <c r="AY54">
        <v>47</v>
      </c>
      <c r="AZ54">
        <v>5.1860200000000001</v>
      </c>
      <c r="BA54">
        <v>245.22200000000001</v>
      </c>
    </row>
    <row r="55" spans="2:53" x14ac:dyDescent="0.2">
      <c r="B55">
        <f t="shared" si="0"/>
        <v>2.7499999999999987</v>
      </c>
      <c r="C55">
        <v>48</v>
      </c>
      <c r="D55">
        <v>-2.5543900000000002</v>
      </c>
      <c r="E55">
        <v>-1769.08</v>
      </c>
      <c r="J55">
        <f t="shared" si="1"/>
        <v>2.7499999999999987</v>
      </c>
      <c r="K55">
        <v>48</v>
      </c>
      <c r="L55">
        <v>-1.46296</v>
      </c>
      <c r="M55">
        <v>162.155</v>
      </c>
      <c r="R55">
        <f t="shared" si="2"/>
        <v>2.7499999999999987</v>
      </c>
      <c r="S55">
        <v>48</v>
      </c>
      <c r="T55">
        <v>-0.92859899999999995</v>
      </c>
      <c r="U55">
        <v>-1035.27</v>
      </c>
      <c r="Z55">
        <f t="shared" si="3"/>
        <v>2.7499999999999987</v>
      </c>
      <c r="AA55">
        <v>48</v>
      </c>
      <c r="AB55">
        <v>-4.3331099999999996</v>
      </c>
      <c r="AC55">
        <v>800</v>
      </c>
      <c r="AH55">
        <f t="shared" si="4"/>
        <v>2.7499999999999987</v>
      </c>
      <c r="AI55">
        <v>48</v>
      </c>
      <c r="AJ55">
        <v>-1.76753</v>
      </c>
      <c r="AK55">
        <v>2415.7399999999998</v>
      </c>
      <c r="AP55">
        <f t="shared" si="5"/>
        <v>2.7499999999999987</v>
      </c>
      <c r="AQ55">
        <v>48</v>
      </c>
      <c r="AR55">
        <v>-1.25786</v>
      </c>
      <c r="AS55">
        <v>631.62699999999995</v>
      </c>
      <c r="AX55">
        <f t="shared" si="6"/>
        <v>2.7499999999999987</v>
      </c>
      <c r="AY55">
        <v>48</v>
      </c>
      <c r="AZ55">
        <v>5.1749999999999998</v>
      </c>
      <c r="BA55">
        <v>215.68</v>
      </c>
    </row>
    <row r="56" spans="2:53" x14ac:dyDescent="0.2">
      <c r="B56">
        <f t="shared" si="0"/>
        <v>2.7999999999999985</v>
      </c>
      <c r="C56">
        <v>49</v>
      </c>
      <c r="D56">
        <v>-2.4703599999999999</v>
      </c>
      <c r="E56">
        <v>-1794.37</v>
      </c>
      <c r="J56">
        <f t="shared" si="1"/>
        <v>2.7999999999999985</v>
      </c>
      <c r="K56">
        <v>49</v>
      </c>
      <c r="L56">
        <v>-1.46475</v>
      </c>
      <c r="M56">
        <v>-81.049400000000006</v>
      </c>
      <c r="R56">
        <f t="shared" si="2"/>
        <v>2.7999999999999985</v>
      </c>
      <c r="S56">
        <v>49</v>
      </c>
      <c r="T56">
        <v>-0.87759299999999996</v>
      </c>
      <c r="U56">
        <v>-1126.1099999999999</v>
      </c>
      <c r="Z56">
        <f t="shared" si="3"/>
        <v>2.7999999999999985</v>
      </c>
      <c r="AA56">
        <v>49</v>
      </c>
      <c r="AB56">
        <v>-4.4068899999999998</v>
      </c>
      <c r="AC56">
        <v>764.73099999999999</v>
      </c>
      <c r="AH56">
        <f t="shared" si="4"/>
        <v>2.7999999999999985</v>
      </c>
      <c r="AI56">
        <v>49</v>
      </c>
      <c r="AJ56">
        <v>-1.8781399999999999</v>
      </c>
      <c r="AK56">
        <v>2280.4499999999998</v>
      </c>
      <c r="AP56">
        <f t="shared" si="5"/>
        <v>2.7999999999999985</v>
      </c>
      <c r="AQ56">
        <v>49</v>
      </c>
      <c r="AR56">
        <v>-1.31667</v>
      </c>
      <c r="AS56">
        <v>615.73</v>
      </c>
      <c r="AX56">
        <f t="shared" si="6"/>
        <v>2.7999999999999985</v>
      </c>
      <c r="AY56">
        <v>49</v>
      </c>
      <c r="AZ56">
        <v>5.1652899999999997</v>
      </c>
      <c r="BA56">
        <v>198.36199999999999</v>
      </c>
    </row>
    <row r="57" spans="2:53" x14ac:dyDescent="0.2">
      <c r="B57">
        <f t="shared" si="0"/>
        <v>2.8499999999999983</v>
      </c>
      <c r="C57">
        <v>50</v>
      </c>
      <c r="D57">
        <v>-2.3868999999999998</v>
      </c>
      <c r="E57">
        <v>-1810.33</v>
      </c>
      <c r="J57">
        <f t="shared" si="1"/>
        <v>2.8499999999999983</v>
      </c>
      <c r="K57">
        <v>50</v>
      </c>
      <c r="L57">
        <v>-1.4560299999999999</v>
      </c>
      <c r="M57">
        <v>-291.40600000000001</v>
      </c>
      <c r="R57">
        <f t="shared" si="2"/>
        <v>2.8499999999999983</v>
      </c>
      <c r="S57">
        <v>50</v>
      </c>
      <c r="T57">
        <v>-0.82369499999999995</v>
      </c>
      <c r="U57">
        <v>-1200.23</v>
      </c>
      <c r="Z57">
        <f t="shared" si="3"/>
        <v>2.8499999999999983</v>
      </c>
      <c r="AA57">
        <v>50</v>
      </c>
      <c r="AB57">
        <v>-4.4760299999999997</v>
      </c>
      <c r="AC57">
        <v>728.88900000000001</v>
      </c>
      <c r="AH57">
        <f t="shared" si="4"/>
        <v>2.8499999999999983</v>
      </c>
      <c r="AI57">
        <v>50</v>
      </c>
      <c r="AJ57">
        <v>-1.9809600000000001</v>
      </c>
      <c r="AK57">
        <v>2164.4299999999998</v>
      </c>
      <c r="AP57">
        <f t="shared" si="5"/>
        <v>2.8499999999999983</v>
      </c>
      <c r="AQ57">
        <v>50</v>
      </c>
      <c r="AR57">
        <v>-1.37293</v>
      </c>
      <c r="AS57">
        <v>599.50900000000001</v>
      </c>
      <c r="AX57">
        <f t="shared" si="6"/>
        <v>2.8499999999999983</v>
      </c>
      <c r="AY57">
        <v>50</v>
      </c>
      <c r="AZ57">
        <v>5.1562700000000001</v>
      </c>
      <c r="BA57">
        <v>193.44</v>
      </c>
    </row>
    <row r="58" spans="2:53" x14ac:dyDescent="0.2">
      <c r="B58">
        <f t="shared" si="0"/>
        <v>2.8999999999999981</v>
      </c>
      <c r="C58">
        <v>51</v>
      </c>
      <c r="D58">
        <v>-2.3043900000000002</v>
      </c>
      <c r="E58">
        <v>-1817.69</v>
      </c>
      <c r="J58">
        <f t="shared" si="1"/>
        <v>2.8999999999999981</v>
      </c>
      <c r="K58">
        <v>51</v>
      </c>
      <c r="L58">
        <v>-1.4385699999999999</v>
      </c>
      <c r="M58">
        <v>-472.31599999999997</v>
      </c>
      <c r="R58">
        <f t="shared" si="2"/>
        <v>2.8999999999999981</v>
      </c>
      <c r="S58">
        <v>51</v>
      </c>
      <c r="T58">
        <v>-0.76772300000000004</v>
      </c>
      <c r="U58">
        <v>-1259.55</v>
      </c>
      <c r="Z58">
        <f t="shared" si="3"/>
        <v>2.8999999999999981</v>
      </c>
      <c r="AA58">
        <v>51</v>
      </c>
      <c r="AB58">
        <v>-4.5406899999999997</v>
      </c>
      <c r="AC58">
        <v>692.91800000000001</v>
      </c>
      <c r="AH58">
        <f t="shared" si="4"/>
        <v>2.8999999999999981</v>
      </c>
      <c r="AI58">
        <v>51</v>
      </c>
      <c r="AJ58">
        <v>-2.07701</v>
      </c>
      <c r="AK58">
        <v>2061.83</v>
      </c>
      <c r="AP58">
        <f t="shared" si="5"/>
        <v>2.8999999999999981</v>
      </c>
      <c r="AQ58">
        <v>51</v>
      </c>
      <c r="AR58">
        <v>-1.42669</v>
      </c>
      <c r="AS58">
        <v>582.84199999999998</v>
      </c>
      <c r="AX58">
        <f t="shared" si="6"/>
        <v>2.8999999999999981</v>
      </c>
      <c r="AY58">
        <v>51</v>
      </c>
      <c r="AZ58">
        <v>5.1473599999999999</v>
      </c>
      <c r="BA58">
        <v>200.38399999999999</v>
      </c>
    </row>
    <row r="59" spans="2:53" x14ac:dyDescent="0.2">
      <c r="B59">
        <f t="shared" si="0"/>
        <v>2.949999999999998</v>
      </c>
      <c r="C59">
        <v>52</v>
      </c>
      <c r="D59">
        <v>-2.22316</v>
      </c>
      <c r="E59">
        <v>-1817.19</v>
      </c>
      <c r="J59">
        <f t="shared" si="1"/>
        <v>2.949999999999998</v>
      </c>
      <c r="K59">
        <v>52</v>
      </c>
      <c r="L59">
        <v>-1.41394</v>
      </c>
      <c r="M59">
        <v>-626.67899999999997</v>
      </c>
      <c r="R59">
        <f t="shared" si="2"/>
        <v>2.949999999999998</v>
      </c>
      <c r="S59">
        <v>52</v>
      </c>
      <c r="T59">
        <v>-0.710372</v>
      </c>
      <c r="U59">
        <v>-1305.79</v>
      </c>
      <c r="Z59">
        <f t="shared" si="3"/>
        <v>2.949999999999998</v>
      </c>
      <c r="AA59">
        <v>52</v>
      </c>
      <c r="AB59">
        <v>-4.6010099999999996</v>
      </c>
      <c r="AC59">
        <v>657.21699999999998</v>
      </c>
      <c r="AH59">
        <f t="shared" si="4"/>
        <v>2.949999999999998</v>
      </c>
      <c r="AI59">
        <v>52</v>
      </c>
      <c r="AJ59">
        <v>-2.1670199999999999</v>
      </c>
      <c r="AK59">
        <v>1967.99</v>
      </c>
      <c r="AP59">
        <f t="shared" si="5"/>
        <v>2.949999999999998</v>
      </c>
      <c r="AQ59">
        <v>52</v>
      </c>
      <c r="AR59">
        <v>-1.47801</v>
      </c>
      <c r="AS59">
        <v>565.68200000000002</v>
      </c>
      <c r="AX59">
        <f t="shared" si="6"/>
        <v>2.949999999999998</v>
      </c>
      <c r="AY59">
        <v>52</v>
      </c>
      <c r="AZ59">
        <v>5.1380499999999998</v>
      </c>
      <c r="BA59">
        <v>217.923</v>
      </c>
    </row>
    <row r="60" spans="2:53" x14ac:dyDescent="0.2">
      <c r="B60">
        <f t="shared" si="0"/>
        <v>2.9999999999999978</v>
      </c>
      <c r="C60">
        <v>53</v>
      </c>
      <c r="D60">
        <v>-2.1434899999999999</v>
      </c>
      <c r="E60">
        <v>-1809.63</v>
      </c>
      <c r="J60">
        <f t="shared" si="1"/>
        <v>2.9999999999999978</v>
      </c>
      <c r="K60">
        <v>53</v>
      </c>
      <c r="L60">
        <v>-1.38348</v>
      </c>
      <c r="M60">
        <v>-757.07</v>
      </c>
      <c r="R60">
        <f t="shared" si="2"/>
        <v>2.9999999999999978</v>
      </c>
      <c r="S60">
        <v>53</v>
      </c>
      <c r="T60">
        <v>-0.65222599999999997</v>
      </c>
      <c r="U60">
        <v>-1340.57</v>
      </c>
      <c r="Z60">
        <f t="shared" si="3"/>
        <v>2.9999999999999978</v>
      </c>
      <c r="AA60">
        <v>53</v>
      </c>
      <c r="AB60">
        <v>-4.6571899999999999</v>
      </c>
      <c r="AC60">
        <v>622.125</v>
      </c>
      <c r="AH60">
        <f t="shared" si="4"/>
        <v>2.9999999999999978</v>
      </c>
      <c r="AI60">
        <v>53</v>
      </c>
      <c r="AJ60">
        <v>-2.25149</v>
      </c>
      <c r="AK60">
        <v>1879.52</v>
      </c>
      <c r="AP60">
        <f t="shared" si="5"/>
        <v>2.9999999999999978</v>
      </c>
      <c r="AQ60">
        <v>53</v>
      </c>
      <c r="AR60">
        <v>-1.5269299999999999</v>
      </c>
      <c r="AS60">
        <v>548.04200000000003</v>
      </c>
      <c r="AX60">
        <f t="shared" si="6"/>
        <v>2.9999999999999978</v>
      </c>
      <c r="AY60">
        <v>53</v>
      </c>
      <c r="AZ60">
        <v>5.1279399999999997</v>
      </c>
      <c r="BA60">
        <v>244.14099999999999</v>
      </c>
    </row>
    <row r="61" spans="2:53" x14ac:dyDescent="0.2">
      <c r="B61">
        <f t="shared" si="0"/>
        <v>3.0499999999999976</v>
      </c>
      <c r="C61">
        <v>54</v>
      </c>
      <c r="D61">
        <v>-2.0656300000000001</v>
      </c>
      <c r="E61">
        <v>-1795.85</v>
      </c>
      <c r="J61">
        <f t="shared" si="1"/>
        <v>3.0499999999999976</v>
      </c>
      <c r="K61">
        <v>54</v>
      </c>
      <c r="L61">
        <v>-1.3483700000000001</v>
      </c>
      <c r="M61">
        <v>-865.88099999999997</v>
      </c>
      <c r="R61">
        <f t="shared" si="2"/>
        <v>3.0499999999999976</v>
      </c>
      <c r="S61">
        <v>54</v>
      </c>
      <c r="T61">
        <v>-0.59377599999999997</v>
      </c>
      <c r="U61">
        <v>-1365.39</v>
      </c>
      <c r="Z61">
        <f t="shared" si="3"/>
        <v>3.0499999999999976</v>
      </c>
      <c r="AA61">
        <v>54</v>
      </c>
      <c r="AB61">
        <v>-4.7094399999999998</v>
      </c>
      <c r="AC61">
        <v>587.92100000000005</v>
      </c>
      <c r="AH61">
        <f t="shared" si="4"/>
        <v>3.0499999999999976</v>
      </c>
      <c r="AI61">
        <v>54</v>
      </c>
      <c r="AJ61">
        <v>-2.3308</v>
      </c>
      <c r="AK61">
        <v>1794.18</v>
      </c>
      <c r="AP61">
        <f t="shared" si="5"/>
        <v>3.0499999999999976</v>
      </c>
      <c r="AQ61">
        <v>54</v>
      </c>
      <c r="AR61">
        <v>-1.57348</v>
      </c>
      <c r="AS61">
        <v>529.98800000000006</v>
      </c>
      <c r="AX61">
        <f t="shared" si="6"/>
        <v>3.0499999999999976</v>
      </c>
      <c r="AY61">
        <v>54</v>
      </c>
      <c r="AZ61">
        <v>5.1167100000000003</v>
      </c>
      <c r="BA61">
        <v>276.65699999999998</v>
      </c>
    </row>
    <row r="62" spans="2:53" x14ac:dyDescent="0.2">
      <c r="B62">
        <f t="shared" si="0"/>
        <v>3.0999999999999974</v>
      </c>
      <c r="C62">
        <v>55</v>
      </c>
      <c r="D62">
        <v>-1.98976</v>
      </c>
      <c r="E62">
        <v>-1776.75</v>
      </c>
      <c r="J62">
        <f t="shared" si="1"/>
        <v>3.0999999999999974</v>
      </c>
      <c r="K62">
        <v>55</v>
      </c>
      <c r="L62">
        <v>-1.3096399999999999</v>
      </c>
      <c r="M62">
        <v>-955.41800000000001</v>
      </c>
      <c r="R62">
        <f t="shared" si="2"/>
        <v>3.0999999999999974</v>
      </c>
      <c r="S62">
        <v>55</v>
      </c>
      <c r="T62">
        <v>-0.53542299999999998</v>
      </c>
      <c r="U62">
        <v>-1381.73</v>
      </c>
      <c r="Z62">
        <f t="shared" si="3"/>
        <v>3.0999999999999974</v>
      </c>
      <c r="AA62">
        <v>55</v>
      </c>
      <c r="AB62">
        <v>-4.7579599999999997</v>
      </c>
      <c r="AC62">
        <v>554.81899999999996</v>
      </c>
      <c r="AH62">
        <f t="shared" si="4"/>
        <v>3.0999999999999974</v>
      </c>
      <c r="AI62">
        <v>55</v>
      </c>
      <c r="AJ62">
        <v>-2.4052099999999998</v>
      </c>
      <c r="AK62">
        <v>1710.79</v>
      </c>
      <c r="AP62">
        <f t="shared" si="5"/>
        <v>3.0999999999999974</v>
      </c>
      <c r="AQ62">
        <v>55</v>
      </c>
      <c r="AR62">
        <v>-1.61772</v>
      </c>
      <c r="AS62">
        <v>511.625</v>
      </c>
      <c r="AX62">
        <f t="shared" si="6"/>
        <v>3.0999999999999974</v>
      </c>
      <c r="AY62">
        <v>55</v>
      </c>
      <c r="AZ62">
        <v>5.1042100000000001</v>
      </c>
      <c r="BA62">
        <v>312.88200000000001</v>
      </c>
    </row>
    <row r="63" spans="2:53" x14ac:dyDescent="0.2">
      <c r="B63">
        <f t="shared" si="0"/>
        <v>3.1499999999999972</v>
      </c>
      <c r="C63">
        <v>56</v>
      </c>
      <c r="D63">
        <v>-1.9160200000000001</v>
      </c>
      <c r="E63">
        <v>-1753.27</v>
      </c>
      <c r="J63">
        <f t="shared" si="1"/>
        <v>3.1499999999999972</v>
      </c>
      <c r="K63">
        <v>56</v>
      </c>
      <c r="L63">
        <v>-1.26817</v>
      </c>
      <c r="M63">
        <v>-1027.96</v>
      </c>
      <c r="R63">
        <f t="shared" si="2"/>
        <v>3.1499999999999972</v>
      </c>
      <c r="S63">
        <v>56</v>
      </c>
      <c r="T63">
        <v>-0.477489</v>
      </c>
      <c r="U63">
        <v>-1390.96</v>
      </c>
      <c r="Z63">
        <f t="shared" si="3"/>
        <v>3.1499999999999972</v>
      </c>
      <c r="AA63">
        <v>56</v>
      </c>
      <c r="AB63">
        <v>-4.8029700000000002</v>
      </c>
      <c r="AC63">
        <v>522.97</v>
      </c>
      <c r="AH63">
        <f t="shared" si="4"/>
        <v>3.1499999999999972</v>
      </c>
      <c r="AI63">
        <v>56</v>
      </c>
      <c r="AJ63">
        <v>-2.4749699999999999</v>
      </c>
      <c r="AK63">
        <v>1629.02</v>
      </c>
      <c r="AP63">
        <f t="shared" si="5"/>
        <v>3.1499999999999972</v>
      </c>
      <c r="AQ63">
        <v>56</v>
      </c>
      <c r="AR63">
        <v>-1.6596900000000001</v>
      </c>
      <c r="AS63">
        <v>493.09</v>
      </c>
      <c r="AX63">
        <f t="shared" si="6"/>
        <v>3.1499999999999972</v>
      </c>
      <c r="AY63">
        <v>56</v>
      </c>
      <c r="AZ63">
        <v>5.0903600000000004</v>
      </c>
      <c r="BA63">
        <v>350.28</v>
      </c>
    </row>
    <row r="64" spans="2:53" x14ac:dyDescent="0.2">
      <c r="B64">
        <f t="shared" si="0"/>
        <v>3.1999999999999971</v>
      </c>
      <c r="C64">
        <v>57</v>
      </c>
      <c r="D64">
        <v>-1.84449</v>
      </c>
      <c r="E64">
        <v>-1726.34</v>
      </c>
      <c r="J64">
        <f t="shared" si="1"/>
        <v>3.1999999999999971</v>
      </c>
      <c r="K64">
        <v>57</v>
      </c>
      <c r="L64">
        <v>-1.22468</v>
      </c>
      <c r="M64">
        <v>-1085.77</v>
      </c>
      <c r="R64">
        <f t="shared" si="2"/>
        <v>3.1999999999999971</v>
      </c>
      <c r="S64">
        <v>57</v>
      </c>
      <c r="T64">
        <v>-0.42022500000000002</v>
      </c>
      <c r="U64">
        <v>-1394.43</v>
      </c>
      <c r="Z64">
        <f t="shared" si="3"/>
        <v>3.1999999999999971</v>
      </c>
      <c r="AA64">
        <v>57</v>
      </c>
      <c r="AB64">
        <v>-4.8447100000000001</v>
      </c>
      <c r="AC64">
        <v>492.47</v>
      </c>
      <c r="AH64">
        <f t="shared" si="4"/>
        <v>3.1999999999999971</v>
      </c>
      <c r="AI64">
        <v>57</v>
      </c>
      <c r="AJ64">
        <v>-2.5402900000000002</v>
      </c>
      <c r="AK64">
        <v>1549.21</v>
      </c>
      <c r="AP64">
        <f t="shared" si="5"/>
        <v>3.1999999999999971</v>
      </c>
      <c r="AQ64">
        <v>57</v>
      </c>
      <c r="AR64">
        <v>-1.69947</v>
      </c>
      <c r="AS64">
        <v>474.54300000000001</v>
      </c>
      <c r="AX64">
        <f t="shared" si="6"/>
        <v>3.1999999999999971</v>
      </c>
      <c r="AY64">
        <v>57</v>
      </c>
      <c r="AZ64">
        <v>5.0752100000000002</v>
      </c>
      <c r="BA64">
        <v>386.61099999999999</v>
      </c>
    </row>
    <row r="65" spans="2:53" x14ac:dyDescent="0.2">
      <c r="B65">
        <f t="shared" si="0"/>
        <v>3.2499999999999969</v>
      </c>
      <c r="C65">
        <v>58</v>
      </c>
      <c r="D65">
        <v>-1.7752399999999999</v>
      </c>
      <c r="E65">
        <v>-1696.86</v>
      </c>
      <c r="J65">
        <f t="shared" si="1"/>
        <v>3.2499999999999969</v>
      </c>
      <c r="K65">
        <v>58</v>
      </c>
      <c r="L65">
        <v>-1.1798</v>
      </c>
      <c r="M65">
        <v>-1131.1300000000001</v>
      </c>
      <c r="R65">
        <f t="shared" si="2"/>
        <v>3.2499999999999969</v>
      </c>
      <c r="S65">
        <v>58</v>
      </c>
      <c r="T65">
        <v>-0.363817</v>
      </c>
      <c r="U65">
        <v>-1393.39</v>
      </c>
      <c r="Z65">
        <f t="shared" si="3"/>
        <v>3.2499999999999969</v>
      </c>
      <c r="AA65">
        <v>58</v>
      </c>
      <c r="AB65">
        <v>-4.8833700000000002</v>
      </c>
      <c r="AC65">
        <v>463.36599999999999</v>
      </c>
      <c r="AH65">
        <f t="shared" si="4"/>
        <v>3.2499999999999969</v>
      </c>
      <c r="AI65">
        <v>58</v>
      </c>
      <c r="AJ65">
        <v>-2.6013999999999999</v>
      </c>
      <c r="AK65">
        <v>1472.18</v>
      </c>
      <c r="AP65">
        <f t="shared" si="5"/>
        <v>3.2499999999999969</v>
      </c>
      <c r="AQ65">
        <v>58</v>
      </c>
      <c r="AR65">
        <v>-1.73712</v>
      </c>
      <c r="AS65">
        <v>456.15899999999999</v>
      </c>
      <c r="AX65">
        <f t="shared" si="6"/>
        <v>3.2499999999999969</v>
      </c>
      <c r="AY65">
        <v>58</v>
      </c>
      <c r="AZ65">
        <v>5.0588800000000003</v>
      </c>
      <c r="BA65">
        <v>420.11799999999999</v>
      </c>
    </row>
    <row r="66" spans="2:53" x14ac:dyDescent="0.2">
      <c r="B66">
        <f t="shared" si="0"/>
        <v>3.2999999999999967</v>
      </c>
      <c r="C66">
        <v>59</v>
      </c>
      <c r="D66">
        <v>-1.7082599999999999</v>
      </c>
      <c r="E66">
        <v>-1665.72</v>
      </c>
      <c r="J66">
        <f t="shared" si="1"/>
        <v>3.2999999999999967</v>
      </c>
      <c r="K66">
        <v>59</v>
      </c>
      <c r="L66">
        <v>-1.13402</v>
      </c>
      <c r="M66">
        <v>-1166.25</v>
      </c>
      <c r="R66">
        <f t="shared" si="2"/>
        <v>3.2999999999999967</v>
      </c>
      <c r="S66">
        <v>59</v>
      </c>
      <c r="T66">
        <v>-0.308396</v>
      </c>
      <c r="U66">
        <v>-1389</v>
      </c>
      <c r="Z66">
        <f t="shared" si="3"/>
        <v>3.2999999999999967</v>
      </c>
      <c r="AA66">
        <v>59</v>
      </c>
      <c r="AB66">
        <v>-4.9191700000000003</v>
      </c>
      <c r="AC66">
        <v>435.661</v>
      </c>
      <c r="AH66">
        <f t="shared" si="4"/>
        <v>3.2999999999999967</v>
      </c>
      <c r="AI66">
        <v>59</v>
      </c>
      <c r="AJ66">
        <v>-2.6585700000000001</v>
      </c>
      <c r="AK66">
        <v>1398.95</v>
      </c>
      <c r="AP66">
        <f t="shared" si="5"/>
        <v>3.2999999999999967</v>
      </c>
      <c r="AQ66">
        <v>59</v>
      </c>
      <c r="AR66">
        <v>-1.77274</v>
      </c>
      <c r="AS66">
        <v>438.12</v>
      </c>
      <c r="AX66">
        <f t="shared" si="6"/>
        <v>3.2999999999999967</v>
      </c>
      <c r="AY66">
        <v>59</v>
      </c>
      <c r="AZ66">
        <v>5.0415400000000004</v>
      </c>
      <c r="BA66">
        <v>449.63900000000001</v>
      </c>
    </row>
    <row r="67" spans="2:53" x14ac:dyDescent="0.2">
      <c r="B67">
        <f t="shared" si="0"/>
        <v>3.3499999999999965</v>
      </c>
      <c r="C67">
        <v>60</v>
      </c>
      <c r="D67">
        <v>-1.6435599999999999</v>
      </c>
      <c r="E67">
        <v>-1633.66</v>
      </c>
      <c r="J67">
        <f t="shared" si="1"/>
        <v>3.3499999999999965</v>
      </c>
      <c r="K67">
        <v>60</v>
      </c>
      <c r="L67">
        <v>-1.08772</v>
      </c>
      <c r="M67">
        <v>-1193.3</v>
      </c>
      <c r="R67">
        <f t="shared" si="2"/>
        <v>3.3499999999999965</v>
      </c>
      <c r="S67">
        <v>60</v>
      </c>
      <c r="T67">
        <v>-0.25404100000000002</v>
      </c>
      <c r="U67">
        <v>-1382.3</v>
      </c>
      <c r="Z67">
        <f t="shared" si="3"/>
        <v>3.3499999999999965</v>
      </c>
      <c r="AA67">
        <v>60</v>
      </c>
      <c r="AB67">
        <v>-4.9523099999999998</v>
      </c>
      <c r="AC67">
        <v>409.33</v>
      </c>
      <c r="AH67">
        <f t="shared" si="4"/>
        <v>3.3499999999999965</v>
      </c>
      <c r="AI67">
        <v>60</v>
      </c>
      <c r="AJ67">
        <v>-2.7120799999999998</v>
      </c>
      <c r="AK67">
        <v>1330.66</v>
      </c>
      <c r="AP67">
        <f t="shared" si="5"/>
        <v>3.3499999999999965</v>
      </c>
      <c r="AQ67">
        <v>60</v>
      </c>
      <c r="AR67">
        <v>-1.8064199999999999</v>
      </c>
      <c r="AS67">
        <v>420.61</v>
      </c>
      <c r="AX67">
        <f t="shared" si="6"/>
        <v>3.3499999999999965</v>
      </c>
      <c r="AY67">
        <v>60</v>
      </c>
      <c r="AZ67">
        <v>5.0233999999999996</v>
      </c>
      <c r="BA67">
        <v>474.63600000000002</v>
      </c>
    </row>
    <row r="68" spans="2:53" x14ac:dyDescent="0.2">
      <c r="B68">
        <f t="shared" si="0"/>
        <v>3.3999999999999964</v>
      </c>
      <c r="C68">
        <v>61</v>
      </c>
      <c r="D68">
        <v>-1.58107</v>
      </c>
      <c r="E68">
        <v>-1601.36</v>
      </c>
      <c r="J68">
        <f t="shared" si="1"/>
        <v>3.3999999999999964</v>
      </c>
      <c r="K68">
        <v>61</v>
      </c>
      <c r="L68">
        <v>-1.0411999999999999</v>
      </c>
      <c r="M68">
        <v>-1214.33</v>
      </c>
      <c r="R68">
        <f t="shared" si="2"/>
        <v>3.3999999999999964</v>
      </c>
      <c r="S68">
        <v>61</v>
      </c>
      <c r="T68">
        <v>-0.200793</v>
      </c>
      <c r="U68">
        <v>-1374.19</v>
      </c>
      <c r="Z68">
        <f t="shared" si="3"/>
        <v>3.3999999999999964</v>
      </c>
      <c r="AA68">
        <v>61</v>
      </c>
      <c r="AB68">
        <v>-4.9829699999999999</v>
      </c>
      <c r="AC68">
        <v>384.32400000000001</v>
      </c>
      <c r="AH68">
        <f t="shared" si="4"/>
        <v>3.3999999999999964</v>
      </c>
      <c r="AI68">
        <v>61</v>
      </c>
      <c r="AJ68">
        <v>-2.76227</v>
      </c>
      <c r="AK68">
        <v>1268.3699999999999</v>
      </c>
      <c r="AP68">
        <f t="shared" si="5"/>
        <v>3.3999999999999964</v>
      </c>
      <c r="AQ68">
        <v>61</v>
      </c>
      <c r="AR68">
        <v>-1.83826</v>
      </c>
      <c r="AS68">
        <v>403.80200000000002</v>
      </c>
      <c r="AX68">
        <f t="shared" si="6"/>
        <v>3.3999999999999964</v>
      </c>
      <c r="AY68">
        <v>61</v>
      </c>
      <c r="AZ68">
        <v>5.0046600000000003</v>
      </c>
      <c r="BA68">
        <v>495.15300000000002</v>
      </c>
    </row>
    <row r="69" spans="2:53" x14ac:dyDescent="0.2">
      <c r="B69">
        <f t="shared" si="0"/>
        <v>3.4499999999999962</v>
      </c>
      <c r="C69">
        <v>62</v>
      </c>
      <c r="D69">
        <v>-1.5207299999999999</v>
      </c>
      <c r="E69">
        <v>-1569.32</v>
      </c>
      <c r="J69">
        <f t="shared" si="1"/>
        <v>3.4499999999999962</v>
      </c>
      <c r="K69">
        <v>62</v>
      </c>
      <c r="L69">
        <v>-0.99465400000000004</v>
      </c>
      <c r="M69">
        <v>-1231.24</v>
      </c>
      <c r="R69">
        <f t="shared" si="2"/>
        <v>3.4499999999999962</v>
      </c>
      <c r="S69">
        <v>62</v>
      </c>
      <c r="T69">
        <v>-0.14865600000000001</v>
      </c>
      <c r="U69">
        <v>-1365.44</v>
      </c>
      <c r="Z69">
        <f t="shared" si="3"/>
        <v>3.4499999999999962</v>
      </c>
      <c r="AA69">
        <v>62</v>
      </c>
      <c r="AB69">
        <v>-5.0113099999999999</v>
      </c>
      <c r="AC69">
        <v>360.577</v>
      </c>
      <c r="AH69">
        <f t="shared" si="4"/>
        <v>3.4499999999999962</v>
      </c>
      <c r="AI69">
        <v>62</v>
      </c>
      <c r="AJ69">
        <v>-2.8094700000000001</v>
      </c>
      <c r="AK69">
        <v>1212.92</v>
      </c>
      <c r="AP69">
        <f t="shared" si="5"/>
        <v>3.4499999999999962</v>
      </c>
      <c r="AQ69">
        <v>62</v>
      </c>
      <c r="AR69">
        <v>-1.86839</v>
      </c>
      <c r="AS69">
        <v>387.85500000000002</v>
      </c>
      <c r="AX69">
        <f t="shared" si="6"/>
        <v>3.4499999999999962</v>
      </c>
      <c r="AY69">
        <v>62</v>
      </c>
      <c r="AZ69">
        <v>4.9854900000000004</v>
      </c>
      <c r="BA69">
        <v>511.72300000000001</v>
      </c>
    </row>
    <row r="70" spans="2:53" x14ac:dyDescent="0.2">
      <c r="B70">
        <f t="shared" si="0"/>
        <v>3.499999999999996</v>
      </c>
      <c r="C70">
        <v>63</v>
      </c>
      <c r="D70">
        <v>-1.4624600000000001</v>
      </c>
      <c r="E70">
        <v>-1537.88</v>
      </c>
      <c r="J70">
        <f t="shared" si="1"/>
        <v>3.499999999999996</v>
      </c>
      <c r="K70">
        <v>63</v>
      </c>
      <c r="L70">
        <v>-0.94820099999999996</v>
      </c>
      <c r="M70">
        <v>-1245.73</v>
      </c>
      <c r="R70">
        <f t="shared" si="2"/>
        <v>3.499999999999996</v>
      </c>
      <c r="S70">
        <v>63</v>
      </c>
      <c r="T70">
        <v>-9.7611400000000001E-2</v>
      </c>
      <c r="U70">
        <v>-1356.63</v>
      </c>
      <c r="Z70">
        <f t="shared" si="3"/>
        <v>3.499999999999996</v>
      </c>
      <c r="AA70">
        <v>63</v>
      </c>
      <c r="AB70">
        <v>-5.0375100000000002</v>
      </c>
      <c r="AC70">
        <v>338.02300000000002</v>
      </c>
      <c r="AH70">
        <f t="shared" si="4"/>
        <v>3.499999999999996</v>
      </c>
      <c r="AI70">
        <v>63</v>
      </c>
      <c r="AJ70">
        <v>-2.8540299999999998</v>
      </c>
      <c r="AK70">
        <v>1164.8900000000001</v>
      </c>
      <c r="AP70">
        <f t="shared" si="5"/>
        <v>3.499999999999996</v>
      </c>
      <c r="AQ70">
        <v>63</v>
      </c>
      <c r="AR70">
        <v>-1.8969199999999999</v>
      </c>
      <c r="AS70">
        <v>372.9</v>
      </c>
      <c r="AX70">
        <f t="shared" si="6"/>
        <v>3.499999999999996</v>
      </c>
      <c r="AY70">
        <v>63</v>
      </c>
      <c r="AZ70">
        <v>4.9660299999999999</v>
      </c>
      <c r="BA70">
        <v>525.22299999999996</v>
      </c>
    </row>
    <row r="71" spans="2:53" x14ac:dyDescent="0.2">
      <c r="B71">
        <f t="shared" si="0"/>
        <v>3.5499999999999958</v>
      </c>
      <c r="C71">
        <v>64</v>
      </c>
      <c r="D71">
        <v>-1.40618</v>
      </c>
      <c r="E71">
        <v>-1507.2</v>
      </c>
      <c r="J71">
        <f t="shared" si="1"/>
        <v>3.5499999999999958</v>
      </c>
      <c r="K71">
        <v>64</v>
      </c>
      <c r="L71">
        <v>-0.90190199999999998</v>
      </c>
      <c r="M71">
        <v>-1259.28</v>
      </c>
      <c r="R71">
        <f t="shared" si="2"/>
        <v>3.5499999999999958</v>
      </c>
      <c r="S71">
        <v>64</v>
      </c>
      <c r="T71">
        <v>-4.7621299999999998E-2</v>
      </c>
      <c r="U71">
        <v>-1348.18</v>
      </c>
      <c r="Z71">
        <f t="shared" si="3"/>
        <v>3.5499999999999958</v>
      </c>
      <c r="AA71">
        <v>64</v>
      </c>
      <c r="AB71">
        <v>-5.0617000000000001</v>
      </c>
      <c r="AC71">
        <v>316.59199999999998</v>
      </c>
      <c r="AH71">
        <f t="shared" si="4"/>
        <v>3.5499999999999958</v>
      </c>
      <c r="AI71">
        <v>64</v>
      </c>
      <c r="AJ71">
        <v>-2.8963299999999998</v>
      </c>
      <c r="AK71">
        <v>1124.54</v>
      </c>
      <c r="AP71">
        <f t="shared" si="5"/>
        <v>3.5499999999999958</v>
      </c>
      <c r="AQ71">
        <v>64</v>
      </c>
      <c r="AR71">
        <v>-1.92397</v>
      </c>
      <c r="AS71">
        <v>359.03300000000002</v>
      </c>
      <c r="AX71">
        <f t="shared" si="6"/>
        <v>3.5499999999999958</v>
      </c>
      <c r="AY71">
        <v>64</v>
      </c>
      <c r="AZ71">
        <v>4.9463999999999997</v>
      </c>
      <c r="BA71">
        <v>536.72199999999998</v>
      </c>
    </row>
    <row r="72" spans="2:53" x14ac:dyDescent="0.2">
      <c r="B72">
        <f t="shared" si="0"/>
        <v>3.5999999999999956</v>
      </c>
      <c r="C72">
        <v>65</v>
      </c>
      <c r="D72">
        <v>-1.35181</v>
      </c>
      <c r="E72">
        <v>-1477.24</v>
      </c>
      <c r="J72">
        <f t="shared" si="1"/>
        <v>3.5999999999999956</v>
      </c>
      <c r="K72">
        <v>65</v>
      </c>
      <c r="L72">
        <v>-0.85576399999999997</v>
      </c>
      <c r="M72">
        <v>-1273.0899999999999</v>
      </c>
      <c r="R72">
        <f t="shared" si="2"/>
        <v>3.5999999999999956</v>
      </c>
      <c r="S72">
        <v>65</v>
      </c>
      <c r="T72">
        <v>1.3619299999999999E-3</v>
      </c>
      <c r="U72">
        <v>-1340.31</v>
      </c>
      <c r="Z72">
        <f t="shared" si="3"/>
        <v>3.5999999999999956</v>
      </c>
      <c r="AA72">
        <v>65</v>
      </c>
      <c r="AB72">
        <v>-5.0840300000000003</v>
      </c>
      <c r="AC72">
        <v>296.22699999999998</v>
      </c>
      <c r="AH72">
        <f t="shared" si="4"/>
        <v>3.5999999999999956</v>
      </c>
      <c r="AI72">
        <v>65</v>
      </c>
      <c r="AJ72">
        <v>-2.93669</v>
      </c>
      <c r="AK72">
        <v>1091.73</v>
      </c>
      <c r="AP72">
        <f t="shared" si="5"/>
        <v>3.5999999999999956</v>
      </c>
      <c r="AQ72">
        <v>65</v>
      </c>
      <c r="AR72">
        <v>-1.9496599999999999</v>
      </c>
      <c r="AS72">
        <v>346.30700000000002</v>
      </c>
      <c r="AX72">
        <f t="shared" si="6"/>
        <v>3.5999999999999956</v>
      </c>
      <c r="AY72">
        <v>65</v>
      </c>
      <c r="AZ72">
        <v>4.9266500000000004</v>
      </c>
      <c r="BA72">
        <v>547.32100000000003</v>
      </c>
    </row>
    <row r="73" spans="2:53" x14ac:dyDescent="0.2">
      <c r="B73">
        <f t="shared" ref="B73:B107" si="7">B72+0.05</f>
        <v>3.6499999999999955</v>
      </c>
      <c r="C73">
        <v>66</v>
      </c>
      <c r="D73">
        <v>-1.2992600000000001</v>
      </c>
      <c r="E73">
        <v>-1447.78</v>
      </c>
      <c r="J73">
        <f t="shared" ref="J73:J107" si="8">J72+0.05</f>
        <v>3.6499999999999955</v>
      </c>
      <c r="K73">
        <v>66</v>
      </c>
      <c r="L73">
        <v>-0.80975799999999998</v>
      </c>
      <c r="M73">
        <v>-1288.04</v>
      </c>
      <c r="R73">
        <f t="shared" ref="R73:R107" si="9">R72+0.05</f>
        <v>3.6499999999999955</v>
      </c>
      <c r="S73">
        <v>66</v>
      </c>
      <c r="T73">
        <v>4.9388399999999999E-2</v>
      </c>
      <c r="U73">
        <v>-1333.05</v>
      </c>
      <c r="Z73">
        <f t="shared" ref="Z73:Z107" si="10">Z72+0.05</f>
        <v>3.6499999999999955</v>
      </c>
      <c r="AA73">
        <v>66</v>
      </c>
      <c r="AB73">
        <v>-5.1046100000000001</v>
      </c>
      <c r="AC73">
        <v>276.88200000000001</v>
      </c>
      <c r="AH73">
        <f t="shared" ref="AH73:AH107" si="11">AH72+0.05</f>
        <v>3.6499999999999955</v>
      </c>
      <c r="AI73">
        <v>66</v>
      </c>
      <c r="AJ73">
        <v>-2.9754299999999998</v>
      </c>
      <c r="AK73">
        <v>1065.98</v>
      </c>
      <c r="AP73">
        <f t="shared" ref="AP73:AP107" si="12">AP72+0.05</f>
        <v>3.6499999999999955</v>
      </c>
      <c r="AQ73">
        <v>66</v>
      </c>
      <c r="AR73">
        <v>-1.9741299999999999</v>
      </c>
      <c r="AS73">
        <v>334.72300000000001</v>
      </c>
      <c r="AX73">
        <f t="shared" ref="AX73:AX107" si="13">AX72+0.05</f>
        <v>3.6499999999999955</v>
      </c>
      <c r="AY73">
        <v>66</v>
      </c>
      <c r="AZ73">
        <v>4.90679</v>
      </c>
      <c r="BA73">
        <v>558.01300000000003</v>
      </c>
    </row>
    <row r="74" spans="2:53" x14ac:dyDescent="0.2">
      <c r="B74">
        <f t="shared" si="7"/>
        <v>3.6999999999999953</v>
      </c>
      <c r="C74">
        <v>67</v>
      </c>
      <c r="D74">
        <v>-1.24847</v>
      </c>
      <c r="E74">
        <v>-1418.42</v>
      </c>
      <c r="J74">
        <f t="shared" si="8"/>
        <v>3.6999999999999953</v>
      </c>
      <c r="K74">
        <v>67</v>
      </c>
      <c r="L74">
        <v>-0.76382799999999995</v>
      </c>
      <c r="M74">
        <v>-1304.6500000000001</v>
      </c>
      <c r="R74">
        <f t="shared" si="9"/>
        <v>3.6999999999999953</v>
      </c>
      <c r="S74">
        <v>67</v>
      </c>
      <c r="T74">
        <v>9.6504300000000001E-2</v>
      </c>
      <c r="U74">
        <v>-1326.26</v>
      </c>
      <c r="Z74">
        <f t="shared" si="10"/>
        <v>3.6999999999999953</v>
      </c>
      <c r="AA74">
        <v>67</v>
      </c>
      <c r="AB74">
        <v>-5.1235799999999996</v>
      </c>
      <c r="AC74">
        <v>258.529</v>
      </c>
      <c r="AH74">
        <f t="shared" si="11"/>
        <v>3.6999999999999953</v>
      </c>
      <c r="AI74">
        <v>67</v>
      </c>
      <c r="AJ74">
        <v>-3.0128400000000002</v>
      </c>
      <c r="AK74">
        <v>1046.48</v>
      </c>
      <c r="AP74">
        <f t="shared" si="12"/>
        <v>3.6999999999999953</v>
      </c>
      <c r="AQ74">
        <v>67</v>
      </c>
      <c r="AR74">
        <v>-1.9974700000000001</v>
      </c>
      <c r="AS74">
        <v>324.23</v>
      </c>
      <c r="AX74">
        <f t="shared" si="13"/>
        <v>3.6999999999999953</v>
      </c>
      <c r="AY74">
        <v>67</v>
      </c>
      <c r="AZ74">
        <v>4.8868200000000002</v>
      </c>
      <c r="BA74">
        <v>569.56500000000005</v>
      </c>
    </row>
    <row r="75" spans="2:53" x14ac:dyDescent="0.2">
      <c r="B75">
        <f t="shared" si="7"/>
        <v>3.7499999999999951</v>
      </c>
      <c r="C75">
        <v>68</v>
      </c>
      <c r="D75">
        <v>-1.1994100000000001</v>
      </c>
      <c r="E75">
        <v>-1388.6</v>
      </c>
      <c r="J75">
        <f t="shared" si="8"/>
        <v>3.7499999999999951</v>
      </c>
      <c r="K75">
        <v>68</v>
      </c>
      <c r="L75">
        <v>-0.71791099999999997</v>
      </c>
      <c r="M75">
        <v>-1323.04</v>
      </c>
      <c r="R75">
        <f t="shared" si="9"/>
        <v>3.7499999999999951</v>
      </c>
      <c r="S75">
        <v>68</v>
      </c>
      <c r="T75">
        <v>0.14274500000000001</v>
      </c>
      <c r="U75">
        <v>-1319.61</v>
      </c>
      <c r="Z75">
        <f t="shared" si="10"/>
        <v>3.7499999999999951</v>
      </c>
      <c r="AA75">
        <v>68</v>
      </c>
      <c r="AB75">
        <v>-5.1410400000000003</v>
      </c>
      <c r="AC75">
        <v>241.15700000000001</v>
      </c>
      <c r="AH75">
        <f t="shared" si="11"/>
        <v>3.7499999999999951</v>
      </c>
      <c r="AI75">
        <v>68</v>
      </c>
      <c r="AJ75">
        <v>-3.0491600000000001</v>
      </c>
      <c r="AK75">
        <v>1032.1099999999999</v>
      </c>
      <c r="AP75">
        <f t="shared" si="12"/>
        <v>3.7499999999999951</v>
      </c>
      <c r="AQ75">
        <v>68</v>
      </c>
      <c r="AR75">
        <v>-2.0198</v>
      </c>
      <c r="AS75">
        <v>314.72199999999998</v>
      </c>
      <c r="AX75">
        <f t="shared" si="13"/>
        <v>3.7499999999999951</v>
      </c>
      <c r="AY75">
        <v>68</v>
      </c>
      <c r="AZ75">
        <v>4.8666900000000002</v>
      </c>
      <c r="BA75">
        <v>582.43799999999999</v>
      </c>
    </row>
    <row r="76" spans="2:53" x14ac:dyDescent="0.2">
      <c r="B76">
        <f t="shared" si="7"/>
        <v>3.7999999999999949</v>
      </c>
      <c r="C76">
        <v>69</v>
      </c>
      <c r="D76">
        <v>-1.1520600000000001</v>
      </c>
      <c r="E76">
        <v>-1357.68</v>
      </c>
      <c r="J76">
        <f t="shared" si="8"/>
        <v>3.7999999999999949</v>
      </c>
      <c r="K76">
        <v>69</v>
      </c>
      <c r="L76">
        <v>-0.67194900000000002</v>
      </c>
      <c r="M76">
        <v>-1342.92</v>
      </c>
      <c r="R76">
        <f t="shared" si="9"/>
        <v>3.7999999999999949</v>
      </c>
      <c r="S76">
        <v>69</v>
      </c>
      <c r="T76">
        <v>0.18813199999999999</v>
      </c>
      <c r="U76">
        <v>-1312.61</v>
      </c>
      <c r="Z76">
        <f t="shared" si="10"/>
        <v>3.7999999999999949</v>
      </c>
      <c r="AA76">
        <v>69</v>
      </c>
      <c r="AB76">
        <v>-5.1571100000000003</v>
      </c>
      <c r="AC76">
        <v>224.774</v>
      </c>
      <c r="AH76">
        <f t="shared" si="11"/>
        <v>3.7999999999999949</v>
      </c>
      <c r="AI76">
        <v>69</v>
      </c>
      <c r="AJ76">
        <v>-3.0845600000000002</v>
      </c>
      <c r="AK76">
        <v>1021.52</v>
      </c>
      <c r="AP76">
        <f t="shared" si="12"/>
        <v>3.7999999999999949</v>
      </c>
      <c r="AQ76">
        <v>69</v>
      </c>
      <c r="AR76">
        <v>-2.0411999999999999</v>
      </c>
      <c r="AS76">
        <v>306.03899999999999</v>
      </c>
      <c r="AX76">
        <f t="shared" si="13"/>
        <v>3.7999999999999949</v>
      </c>
      <c r="AY76">
        <v>69</v>
      </c>
      <c r="AZ76">
        <v>4.8463700000000003</v>
      </c>
      <c r="BA76">
        <v>596.74300000000005</v>
      </c>
    </row>
    <row r="77" spans="2:53" x14ac:dyDescent="0.2">
      <c r="B77">
        <f t="shared" si="7"/>
        <v>3.8499999999999948</v>
      </c>
      <c r="C77">
        <v>70</v>
      </c>
      <c r="D77">
        <v>-1.1064099999999999</v>
      </c>
      <c r="E77">
        <v>-1324.93</v>
      </c>
      <c r="J77">
        <f t="shared" si="8"/>
        <v>3.8499999999999948</v>
      </c>
      <c r="K77">
        <v>70</v>
      </c>
      <c r="L77">
        <v>-0.62590299999999999</v>
      </c>
      <c r="M77">
        <v>-1363.58</v>
      </c>
      <c r="R77">
        <f t="shared" si="9"/>
        <v>3.8499999999999948</v>
      </c>
      <c r="S77">
        <v>70</v>
      </c>
      <c r="T77">
        <v>0.23266500000000001</v>
      </c>
      <c r="U77">
        <v>-1304.67</v>
      </c>
      <c r="Z77">
        <f t="shared" si="10"/>
        <v>3.8499999999999948</v>
      </c>
      <c r="AA77">
        <v>70</v>
      </c>
      <c r="AB77">
        <v>-5.1718700000000002</v>
      </c>
      <c r="AC77">
        <v>209.404</v>
      </c>
      <c r="AH77">
        <f t="shared" si="11"/>
        <v>3.8499999999999948</v>
      </c>
      <c r="AI77">
        <v>70</v>
      </c>
      <c r="AJ77">
        <v>-3.11917</v>
      </c>
      <c r="AK77">
        <v>1013.22</v>
      </c>
      <c r="AP77">
        <f t="shared" si="12"/>
        <v>3.8499999999999948</v>
      </c>
      <c r="AQ77">
        <v>70</v>
      </c>
      <c r="AR77">
        <v>-2.06175</v>
      </c>
      <c r="AS77">
        <v>297.976</v>
      </c>
      <c r="AX77">
        <f t="shared" si="13"/>
        <v>3.8499999999999948</v>
      </c>
      <c r="AY77">
        <v>70</v>
      </c>
      <c r="AZ77">
        <v>4.8258000000000001</v>
      </c>
      <c r="BA77">
        <v>612.23900000000003</v>
      </c>
    </row>
    <row r="78" spans="2:53" x14ac:dyDescent="0.2">
      <c r="B78">
        <f t="shared" si="7"/>
        <v>3.8999999999999946</v>
      </c>
      <c r="C78">
        <v>71</v>
      </c>
      <c r="D78">
        <v>-1.0625</v>
      </c>
      <c r="E78">
        <v>-1289.6199999999999</v>
      </c>
      <c r="J78">
        <f t="shared" si="8"/>
        <v>3.8999999999999946</v>
      </c>
      <c r="K78">
        <v>71</v>
      </c>
      <c r="L78">
        <v>-0.57976700000000003</v>
      </c>
      <c r="M78">
        <v>-1383.92</v>
      </c>
      <c r="R78">
        <f t="shared" si="9"/>
        <v>3.8999999999999946</v>
      </c>
      <c r="S78">
        <v>71</v>
      </c>
      <c r="T78">
        <v>0.27632400000000001</v>
      </c>
      <c r="U78">
        <v>-1295.1099999999999</v>
      </c>
      <c r="Z78">
        <f t="shared" si="10"/>
        <v>3.8999999999999946</v>
      </c>
      <c r="AA78">
        <v>71</v>
      </c>
      <c r="AB78">
        <v>-5.1854500000000003</v>
      </c>
      <c r="AC78">
        <v>195.083</v>
      </c>
      <c r="AH78">
        <f t="shared" si="11"/>
        <v>3.8999999999999946</v>
      </c>
      <c r="AI78">
        <v>71</v>
      </c>
      <c r="AJ78">
        <v>-3.15307</v>
      </c>
      <c r="AK78">
        <v>1005.66</v>
      </c>
      <c r="AP78">
        <f t="shared" si="12"/>
        <v>3.8999999999999946</v>
      </c>
      <c r="AQ78">
        <v>71</v>
      </c>
      <c r="AR78">
        <v>-2.0815100000000002</v>
      </c>
      <c r="AS78">
        <v>290.29599999999999</v>
      </c>
      <c r="AX78">
        <f t="shared" si="13"/>
        <v>3.8999999999999946</v>
      </c>
      <c r="AY78">
        <v>71</v>
      </c>
      <c r="AZ78">
        <v>4.80497</v>
      </c>
      <c r="BA78">
        <v>628.36400000000003</v>
      </c>
    </row>
    <row r="79" spans="2:53" x14ac:dyDescent="0.2">
      <c r="B79">
        <f t="shared" si="7"/>
        <v>3.9499999999999944</v>
      </c>
      <c r="C79">
        <v>72</v>
      </c>
      <c r="D79">
        <v>-1.02037</v>
      </c>
      <c r="E79">
        <v>-1251.1199999999999</v>
      </c>
      <c r="J79">
        <f t="shared" si="8"/>
        <v>3.9499999999999944</v>
      </c>
      <c r="K79">
        <v>72</v>
      </c>
      <c r="L79">
        <v>-0.53357699999999997</v>
      </c>
      <c r="M79">
        <v>-1402.52</v>
      </c>
      <c r="R79">
        <f t="shared" si="9"/>
        <v>3.9499999999999944</v>
      </c>
      <c r="S79">
        <v>72</v>
      </c>
      <c r="T79">
        <v>0.31906699999999999</v>
      </c>
      <c r="U79">
        <v>-1283.27</v>
      </c>
      <c r="Z79">
        <f t="shared" si="10"/>
        <v>3.9499999999999944</v>
      </c>
      <c r="AA79">
        <v>72</v>
      </c>
      <c r="AB79">
        <v>-5.19794</v>
      </c>
      <c r="AC79">
        <v>181.84800000000001</v>
      </c>
      <c r="AH79">
        <f t="shared" si="11"/>
        <v>3.9499999999999944</v>
      </c>
      <c r="AI79">
        <v>72</v>
      </c>
      <c r="AJ79">
        <v>-3.1862699999999999</v>
      </c>
      <c r="AK79">
        <v>997.31399999999996</v>
      </c>
      <c r="AP79">
        <f t="shared" si="12"/>
        <v>3.9499999999999944</v>
      </c>
      <c r="AQ79">
        <v>72</v>
      </c>
      <c r="AR79">
        <v>-2.1004999999999998</v>
      </c>
      <c r="AS79">
        <v>282.74</v>
      </c>
      <c r="AX79">
        <f t="shared" si="13"/>
        <v>3.9499999999999944</v>
      </c>
      <c r="AY79">
        <v>72</v>
      </c>
      <c r="AZ79">
        <v>4.7838799999999999</v>
      </c>
      <c r="BA79">
        <v>644.30499999999995</v>
      </c>
    </row>
    <row r="80" spans="2:53" x14ac:dyDescent="0.2">
      <c r="B80">
        <f t="shared" si="7"/>
        <v>3.9999999999999942</v>
      </c>
      <c r="C80">
        <v>73</v>
      </c>
      <c r="D80">
        <v>-0.98010799999999998</v>
      </c>
      <c r="E80">
        <v>-1208.93</v>
      </c>
      <c r="J80">
        <f t="shared" si="8"/>
        <v>3.9999999999999942</v>
      </c>
      <c r="K80">
        <v>73</v>
      </c>
      <c r="L80">
        <v>-0.48741699999999999</v>
      </c>
      <c r="M80">
        <v>-1417.75</v>
      </c>
      <c r="R80">
        <f t="shared" si="9"/>
        <v>3.9999999999999942</v>
      </c>
      <c r="S80">
        <v>73</v>
      </c>
      <c r="T80">
        <v>0.36083199999999999</v>
      </c>
      <c r="U80">
        <v>-1268.54</v>
      </c>
      <c r="Z80">
        <f t="shared" si="10"/>
        <v>3.9999999999999942</v>
      </c>
      <c r="AA80">
        <v>73</v>
      </c>
      <c r="AB80">
        <v>-5.2094399999999998</v>
      </c>
      <c r="AC80">
        <v>169.73699999999999</v>
      </c>
      <c r="AH80">
        <f t="shared" si="11"/>
        <v>3.9999999999999942</v>
      </c>
      <c r="AI80">
        <v>73</v>
      </c>
      <c r="AJ80">
        <v>-3.21875</v>
      </c>
      <c r="AK80">
        <v>986.82100000000003</v>
      </c>
      <c r="AP80">
        <f t="shared" si="12"/>
        <v>3.9999999999999942</v>
      </c>
      <c r="AQ80">
        <v>73</v>
      </c>
      <c r="AR80">
        <v>-2.11876</v>
      </c>
      <c r="AS80">
        <v>275.05200000000002</v>
      </c>
      <c r="AX80">
        <f t="shared" si="13"/>
        <v>3.9999999999999942</v>
      </c>
      <c r="AY80">
        <v>73</v>
      </c>
      <c r="AZ80">
        <v>4.7625400000000004</v>
      </c>
      <c r="BA80">
        <v>659.09199999999998</v>
      </c>
    </row>
    <row r="81" spans="2:53" x14ac:dyDescent="0.2">
      <c r="B81">
        <f t="shared" si="7"/>
        <v>4.0499999999999945</v>
      </c>
      <c r="C81">
        <v>74</v>
      </c>
      <c r="D81">
        <v>-0.941774</v>
      </c>
      <c r="E81">
        <v>-1162.82</v>
      </c>
      <c r="J81">
        <f t="shared" si="8"/>
        <v>4.0499999999999945</v>
      </c>
      <c r="K81">
        <v>74</v>
      </c>
      <c r="L81">
        <v>-0.44142199999999998</v>
      </c>
      <c r="M81">
        <v>-1427.98</v>
      </c>
      <c r="R81">
        <f t="shared" si="9"/>
        <v>4.0499999999999945</v>
      </c>
      <c r="S81">
        <v>74</v>
      </c>
      <c r="T81">
        <v>0.40154299999999998</v>
      </c>
      <c r="U81">
        <v>-1250.48</v>
      </c>
      <c r="Z81">
        <f t="shared" si="10"/>
        <v>4.0499999999999945</v>
      </c>
      <c r="AA81">
        <v>74</v>
      </c>
      <c r="AB81">
        <v>-5.2200499999999996</v>
      </c>
      <c r="AC81">
        <v>158.76900000000001</v>
      </c>
      <c r="AH81">
        <f t="shared" si="11"/>
        <v>4.0499999999999945</v>
      </c>
      <c r="AI81">
        <v>74</v>
      </c>
      <c r="AJ81">
        <v>-3.2504300000000002</v>
      </c>
      <c r="AK81">
        <v>973.05700000000002</v>
      </c>
      <c r="AP81">
        <f t="shared" si="12"/>
        <v>4.0499999999999945</v>
      </c>
      <c r="AQ81">
        <v>74</v>
      </c>
      <c r="AR81">
        <v>-2.1362800000000002</v>
      </c>
      <c r="AS81">
        <v>266.99599999999998</v>
      </c>
      <c r="AX81">
        <f t="shared" si="13"/>
        <v>4.0499999999999945</v>
      </c>
      <c r="AY81">
        <v>74</v>
      </c>
      <c r="AZ81">
        <v>4.7410300000000003</v>
      </c>
      <c r="BA81">
        <v>671.721</v>
      </c>
    </row>
    <row r="82" spans="2:53" x14ac:dyDescent="0.2">
      <c r="B82">
        <f t="shared" si="7"/>
        <v>4.0999999999999943</v>
      </c>
      <c r="C82">
        <v>75</v>
      </c>
      <c r="D82">
        <v>-0.90544999999999998</v>
      </c>
      <c r="E82">
        <v>-1112.8699999999999</v>
      </c>
      <c r="J82">
        <f t="shared" si="8"/>
        <v>4.0999999999999943</v>
      </c>
      <c r="K82">
        <v>75</v>
      </c>
      <c r="L82">
        <v>-0.39577200000000001</v>
      </c>
      <c r="M82">
        <v>-1431.76</v>
      </c>
      <c r="R82">
        <f t="shared" si="9"/>
        <v>4.0999999999999943</v>
      </c>
      <c r="S82">
        <v>75</v>
      </c>
      <c r="T82">
        <v>0.44111600000000001</v>
      </c>
      <c r="U82">
        <v>-1228.9100000000001</v>
      </c>
      <c r="Z82">
        <f t="shared" si="10"/>
        <v>4.0999999999999943</v>
      </c>
      <c r="AA82">
        <v>75</v>
      </c>
      <c r="AB82">
        <v>-5.22987</v>
      </c>
      <c r="AC82">
        <v>148.94399999999999</v>
      </c>
      <c r="AH82">
        <f t="shared" si="11"/>
        <v>4.0999999999999943</v>
      </c>
      <c r="AI82">
        <v>75</v>
      </c>
      <c r="AJ82">
        <v>-3.2812100000000002</v>
      </c>
      <c r="AK82">
        <v>955.24199999999996</v>
      </c>
      <c r="AP82">
        <f t="shared" si="12"/>
        <v>4.0999999999999943</v>
      </c>
      <c r="AQ82">
        <v>75</v>
      </c>
      <c r="AR82">
        <v>-2.1530499999999999</v>
      </c>
      <c r="AS82">
        <v>258.38400000000001</v>
      </c>
      <c r="AX82">
        <f t="shared" si="13"/>
        <v>4.0999999999999943</v>
      </c>
      <c r="AY82">
        <v>75</v>
      </c>
      <c r="AZ82">
        <v>4.7194399999999996</v>
      </c>
      <c r="BA82">
        <v>681.28200000000004</v>
      </c>
    </row>
    <row r="83" spans="2:53" x14ac:dyDescent="0.2">
      <c r="B83">
        <f t="shared" si="7"/>
        <v>4.1499999999999941</v>
      </c>
      <c r="C83">
        <v>76</v>
      </c>
      <c r="D83">
        <v>-0.871201</v>
      </c>
      <c r="E83">
        <v>-1059.56</v>
      </c>
      <c r="J83">
        <f t="shared" si="8"/>
        <v>4.1499999999999941</v>
      </c>
      <c r="K83">
        <v>76</v>
      </c>
      <c r="L83">
        <v>-0.35067700000000002</v>
      </c>
      <c r="M83">
        <v>-1428.07</v>
      </c>
      <c r="R83">
        <f t="shared" si="9"/>
        <v>4.1499999999999941</v>
      </c>
      <c r="S83">
        <v>76</v>
      </c>
      <c r="T83">
        <v>0.47947000000000001</v>
      </c>
      <c r="U83">
        <v>-1203.97</v>
      </c>
      <c r="Z83">
        <f t="shared" si="10"/>
        <v>4.1499999999999941</v>
      </c>
      <c r="AA83">
        <v>76</v>
      </c>
      <c r="AB83">
        <v>-5.2389799999999997</v>
      </c>
      <c r="AC83">
        <v>140.221</v>
      </c>
      <c r="AH83">
        <f t="shared" si="11"/>
        <v>4.1499999999999941</v>
      </c>
      <c r="AI83">
        <v>76</v>
      </c>
      <c r="AJ83">
        <v>-3.3109799999999998</v>
      </c>
      <c r="AK83">
        <v>933.01900000000001</v>
      </c>
      <c r="AP83">
        <f t="shared" si="12"/>
        <v>4.1499999999999941</v>
      </c>
      <c r="AQ83">
        <v>76</v>
      </c>
      <c r="AR83">
        <v>-2.1690499999999999</v>
      </c>
      <c r="AS83">
        <v>249.09899999999999</v>
      </c>
      <c r="AX83">
        <f t="shared" si="13"/>
        <v>4.1499999999999941</v>
      </c>
      <c r="AY83">
        <v>76</v>
      </c>
      <c r="AZ83">
        <v>4.6978600000000004</v>
      </c>
      <c r="BA83">
        <v>687.10299999999995</v>
      </c>
    </row>
    <row r="84" spans="2:53" x14ac:dyDescent="0.2">
      <c r="B84">
        <f t="shared" si="7"/>
        <v>4.199999999999994</v>
      </c>
      <c r="C84">
        <v>77</v>
      </c>
      <c r="D84">
        <v>-0.83906800000000004</v>
      </c>
      <c r="E84">
        <v>-1003.83</v>
      </c>
      <c r="J84">
        <f t="shared" si="8"/>
        <v>4.199999999999994</v>
      </c>
      <c r="K84">
        <v>77</v>
      </c>
      <c r="L84">
        <v>-0.30636600000000003</v>
      </c>
      <c r="M84">
        <v>-1416.58</v>
      </c>
      <c r="R84">
        <f t="shared" si="9"/>
        <v>4.199999999999994</v>
      </c>
      <c r="S84">
        <v>77</v>
      </c>
      <c r="T84">
        <v>0.516536</v>
      </c>
      <c r="U84">
        <v>-1176.17</v>
      </c>
      <c r="Z84">
        <f t="shared" si="10"/>
        <v>4.199999999999994</v>
      </c>
      <c r="AA84">
        <v>77</v>
      </c>
      <c r="AB84">
        <v>-5.2474699999999999</v>
      </c>
      <c r="AC84">
        <v>132.51300000000001</v>
      </c>
      <c r="AH84">
        <f t="shared" si="11"/>
        <v>4.199999999999994</v>
      </c>
      <c r="AI84">
        <v>77</v>
      </c>
      <c r="AJ84">
        <v>-3.3396300000000001</v>
      </c>
      <c r="AK84">
        <v>906.52</v>
      </c>
      <c r="AP84">
        <f t="shared" si="12"/>
        <v>4.199999999999994</v>
      </c>
      <c r="AQ84">
        <v>77</v>
      </c>
      <c r="AR84">
        <v>-2.1842600000000001</v>
      </c>
      <c r="AS84">
        <v>239.12</v>
      </c>
      <c r="AX84">
        <f t="shared" si="13"/>
        <v>4.199999999999994</v>
      </c>
      <c r="AY84">
        <v>77</v>
      </c>
      <c r="AZ84">
        <v>4.6764200000000002</v>
      </c>
      <c r="BA84">
        <v>688.875</v>
      </c>
    </row>
    <row r="85" spans="2:53" x14ac:dyDescent="0.2">
      <c r="B85">
        <f t="shared" si="7"/>
        <v>4.2499999999999938</v>
      </c>
      <c r="C85">
        <v>78</v>
      </c>
      <c r="D85">
        <v>-0.80905300000000002</v>
      </c>
      <c r="E85">
        <v>-947.11400000000003</v>
      </c>
      <c r="J85">
        <f t="shared" si="8"/>
        <v>4.2499999999999938</v>
      </c>
      <c r="K85">
        <v>78</v>
      </c>
      <c r="L85">
        <v>-0.26305299999999998</v>
      </c>
      <c r="M85">
        <v>-1397.86</v>
      </c>
      <c r="R85">
        <f t="shared" si="9"/>
        <v>4.2499999999999938</v>
      </c>
      <c r="S85">
        <v>78</v>
      </c>
      <c r="T85">
        <v>0.55227000000000004</v>
      </c>
      <c r="U85">
        <v>-1146.47</v>
      </c>
      <c r="Z85">
        <f t="shared" si="10"/>
        <v>4.2499999999999938</v>
      </c>
      <c r="AA85">
        <v>78</v>
      </c>
      <c r="AB85">
        <v>-5.2554100000000004</v>
      </c>
      <c r="AC85">
        <v>125.68</v>
      </c>
      <c r="AH85">
        <f t="shared" si="11"/>
        <v>4.2499999999999938</v>
      </c>
      <c r="AI85">
        <v>78</v>
      </c>
      <c r="AJ85">
        <v>-3.36707</v>
      </c>
      <c r="AK85">
        <v>876.39099999999996</v>
      </c>
      <c r="AP85">
        <f t="shared" si="12"/>
        <v>4.2499999999999938</v>
      </c>
      <c r="AQ85">
        <v>78</v>
      </c>
      <c r="AR85">
        <v>-2.1986500000000002</v>
      </c>
      <c r="AS85">
        <v>228.54400000000001</v>
      </c>
      <c r="AX85">
        <f t="shared" si="13"/>
        <v>4.2499999999999938</v>
      </c>
      <c r="AY85">
        <v>78</v>
      </c>
      <c r="AZ85">
        <v>4.6552499999999997</v>
      </c>
      <c r="BA85">
        <v>686.76900000000001</v>
      </c>
    </row>
    <row r="86" spans="2:53" x14ac:dyDescent="0.2">
      <c r="B86">
        <f t="shared" si="7"/>
        <v>4.2999999999999936</v>
      </c>
      <c r="C86">
        <v>79</v>
      </c>
      <c r="D86" s="3">
        <v>-0.78110999999999997</v>
      </c>
      <c r="E86">
        <v>-891.30700000000002</v>
      </c>
      <c r="J86">
        <f t="shared" si="8"/>
        <v>4.2999999999999936</v>
      </c>
      <c r="K86">
        <v>79</v>
      </c>
      <c r="L86">
        <v>-0.220912</v>
      </c>
      <c r="M86">
        <v>-1373.52</v>
      </c>
      <c r="R86">
        <f t="shared" si="9"/>
        <v>4.2999999999999936</v>
      </c>
      <c r="S86">
        <v>79</v>
      </c>
      <c r="T86">
        <v>0.58666700000000005</v>
      </c>
      <c r="U86">
        <v>-1116.25</v>
      </c>
      <c r="Z86">
        <f t="shared" si="10"/>
        <v>4.2999999999999936</v>
      </c>
      <c r="AA86">
        <v>79</v>
      </c>
      <c r="AB86">
        <v>-5.2628599999999999</v>
      </c>
      <c r="AC86">
        <v>119.515</v>
      </c>
      <c r="AH86">
        <f t="shared" si="11"/>
        <v>4.2999999999999936</v>
      </c>
      <c r="AI86">
        <v>79</v>
      </c>
      <c r="AJ86">
        <v>-3.3932199999999999</v>
      </c>
      <c r="AK86">
        <v>843.79600000000005</v>
      </c>
      <c r="AP86">
        <f t="shared" si="12"/>
        <v>4.2999999999999936</v>
      </c>
      <c r="AQ86">
        <v>79</v>
      </c>
      <c r="AR86">
        <v>-2.2122199999999999</v>
      </c>
      <c r="AS86">
        <v>217.596</v>
      </c>
      <c r="AX86">
        <f t="shared" si="13"/>
        <v>4.2999999999999936</v>
      </c>
      <c r="AY86">
        <v>79</v>
      </c>
      <c r="AZ86">
        <v>4.6344500000000002</v>
      </c>
      <c r="BA86">
        <v>681.51800000000003</v>
      </c>
    </row>
    <row r="87" spans="2:53" x14ac:dyDescent="0.2">
      <c r="B87">
        <f t="shared" si="7"/>
        <v>4.3499999999999934</v>
      </c>
      <c r="C87">
        <v>80</v>
      </c>
      <c r="D87">
        <v>-0.75512800000000002</v>
      </c>
      <c r="E87">
        <v>-838.73500000000001</v>
      </c>
      <c r="J87">
        <f t="shared" si="8"/>
        <v>4.3499999999999934</v>
      </c>
      <c r="K87">
        <v>80</v>
      </c>
      <c r="L87">
        <v>-0.18004700000000001</v>
      </c>
      <c r="M87">
        <v>-1346.3</v>
      </c>
      <c r="R87">
        <f t="shared" si="9"/>
        <v>4.3499999999999934</v>
      </c>
      <c r="S87">
        <v>80</v>
      </c>
      <c r="T87">
        <v>0.61976699999999996</v>
      </c>
      <c r="U87">
        <v>-1087.27</v>
      </c>
      <c r="Z87">
        <f t="shared" si="10"/>
        <v>4.3499999999999934</v>
      </c>
      <c r="AA87">
        <v>80</v>
      </c>
      <c r="AB87">
        <v>-5.2698700000000001</v>
      </c>
      <c r="AC87">
        <v>113.746</v>
      </c>
      <c r="AH87">
        <f t="shared" si="11"/>
        <v>4.3499999999999934</v>
      </c>
      <c r="AI87">
        <v>80</v>
      </c>
      <c r="AJ87">
        <v>-3.4180799999999998</v>
      </c>
      <c r="AK87">
        <v>810.36500000000001</v>
      </c>
      <c r="AP87">
        <f t="shared" si="12"/>
        <v>4.3499999999999934</v>
      </c>
      <c r="AQ87">
        <v>80</v>
      </c>
      <c r="AR87">
        <v>-2.2249599999999998</v>
      </c>
      <c r="AS87">
        <v>206.63900000000001</v>
      </c>
      <c r="AX87">
        <f t="shared" si="13"/>
        <v>4.3499999999999934</v>
      </c>
      <c r="AY87">
        <v>80</v>
      </c>
      <c r="AZ87">
        <v>4.6140699999999999</v>
      </c>
      <c r="BA87">
        <v>674.44799999999998</v>
      </c>
    </row>
    <row r="88" spans="2:53" x14ac:dyDescent="0.2">
      <c r="B88">
        <f t="shared" si="7"/>
        <v>4.3999999999999932</v>
      </c>
      <c r="C88">
        <v>81</v>
      </c>
      <c r="D88">
        <v>-0.73092800000000002</v>
      </c>
      <c r="E88">
        <v>-792.02700000000004</v>
      </c>
      <c r="J88">
        <f t="shared" si="8"/>
        <v>4.3999999999999932</v>
      </c>
      <c r="K88">
        <v>81</v>
      </c>
      <c r="L88">
        <v>-0.14046</v>
      </c>
      <c r="M88">
        <v>-1319.97</v>
      </c>
      <c r="R88">
        <f t="shared" si="9"/>
        <v>4.3999999999999932</v>
      </c>
      <c r="S88">
        <v>81</v>
      </c>
      <c r="T88">
        <v>0.651667</v>
      </c>
      <c r="U88">
        <v>-1061.5899999999999</v>
      </c>
      <c r="Z88">
        <f t="shared" si="10"/>
        <v>4.3999999999999932</v>
      </c>
      <c r="AA88">
        <v>81</v>
      </c>
      <c r="AB88">
        <v>-5.2764600000000002</v>
      </c>
      <c r="AC88">
        <v>108.041</v>
      </c>
      <c r="AH88">
        <f t="shared" si="11"/>
        <v>4.3999999999999932</v>
      </c>
      <c r="AI88">
        <v>81</v>
      </c>
      <c r="AJ88">
        <v>-3.4416600000000002</v>
      </c>
      <c r="AK88">
        <v>778.1</v>
      </c>
      <c r="AP88">
        <f t="shared" si="12"/>
        <v>4.3999999999999932</v>
      </c>
      <c r="AQ88">
        <v>81</v>
      </c>
      <c r="AR88">
        <v>-2.23692</v>
      </c>
      <c r="AS88">
        <v>196.16300000000001</v>
      </c>
      <c r="AX88">
        <f t="shared" si="13"/>
        <v>4.3999999999999932</v>
      </c>
      <c r="AY88">
        <v>81</v>
      </c>
      <c r="AZ88">
        <v>4.59415</v>
      </c>
      <c r="BA88">
        <v>667.44899999999996</v>
      </c>
    </row>
    <row r="89" spans="2:53" x14ac:dyDescent="0.2">
      <c r="B89">
        <f t="shared" si="7"/>
        <v>4.4499999999999931</v>
      </c>
      <c r="C89">
        <v>82</v>
      </c>
      <c r="D89">
        <v>-0.70825700000000003</v>
      </c>
      <c r="E89">
        <v>-753.923</v>
      </c>
      <c r="J89">
        <f t="shared" si="8"/>
        <v>4.4499999999999931</v>
      </c>
      <c r="K89">
        <v>82</v>
      </c>
      <c r="L89">
        <v>-0.10203</v>
      </c>
      <c r="M89">
        <v>-1299.1099999999999</v>
      </c>
      <c r="R89">
        <f t="shared" si="9"/>
        <v>4.4499999999999931</v>
      </c>
      <c r="S89">
        <v>82</v>
      </c>
      <c r="T89">
        <v>0.68252400000000002</v>
      </c>
      <c r="U89">
        <v>-1041.3800000000001</v>
      </c>
      <c r="Z89">
        <f t="shared" si="10"/>
        <v>4.4499999999999931</v>
      </c>
      <c r="AA89">
        <v>82</v>
      </c>
      <c r="AB89">
        <v>-5.2826300000000002</v>
      </c>
      <c r="AC89">
        <v>102.012</v>
      </c>
      <c r="AH89">
        <f t="shared" si="11"/>
        <v>4.4499999999999931</v>
      </c>
      <c r="AI89">
        <v>82</v>
      </c>
      <c r="AJ89">
        <v>-3.46407</v>
      </c>
      <c r="AK89">
        <v>749.21600000000001</v>
      </c>
      <c r="AP89">
        <f t="shared" si="12"/>
        <v>4.4499999999999931</v>
      </c>
      <c r="AQ89">
        <v>82</v>
      </c>
      <c r="AR89">
        <v>-2.2481599999999999</v>
      </c>
      <c r="AS89">
        <v>186.75899999999999</v>
      </c>
      <c r="AX89">
        <f t="shared" si="13"/>
        <v>4.4499999999999931</v>
      </c>
      <c r="AY89">
        <v>82</v>
      </c>
      <c r="AZ89">
        <v>4.57463</v>
      </c>
      <c r="BA89">
        <v>662.86199999999997</v>
      </c>
    </row>
    <row r="90" spans="2:53" x14ac:dyDescent="0.2">
      <c r="B90">
        <f t="shared" si="7"/>
        <v>4.4999999999999929</v>
      </c>
      <c r="C90">
        <v>83</v>
      </c>
      <c r="D90">
        <v>-0.68679100000000004</v>
      </c>
      <c r="E90">
        <v>-727.01300000000003</v>
      </c>
      <c r="J90">
        <f t="shared" si="8"/>
        <v>4.4999999999999929</v>
      </c>
      <c r="K90">
        <v>83</v>
      </c>
      <c r="L90">
        <v>-6.4499799999999996E-2</v>
      </c>
      <c r="M90">
        <v>-1288.79</v>
      </c>
      <c r="R90">
        <f t="shared" si="9"/>
        <v>4.4999999999999929</v>
      </c>
      <c r="S90">
        <v>83</v>
      </c>
      <c r="T90">
        <v>0.71255000000000002</v>
      </c>
      <c r="U90">
        <v>-1028.73</v>
      </c>
      <c r="Z90">
        <f t="shared" si="10"/>
        <v>4.4999999999999929</v>
      </c>
      <c r="AA90">
        <v>83</v>
      </c>
      <c r="AB90">
        <v>-5.2883599999999999</v>
      </c>
      <c r="AC90">
        <v>95.239000000000004</v>
      </c>
      <c r="AH90">
        <f t="shared" si="11"/>
        <v>4.4999999999999929</v>
      </c>
      <c r="AI90">
        <v>83</v>
      </c>
      <c r="AJ90">
        <v>-3.4854699999999998</v>
      </c>
      <c r="AK90">
        <v>725.91600000000005</v>
      </c>
      <c r="AP90">
        <f t="shared" si="12"/>
        <v>4.4999999999999929</v>
      </c>
      <c r="AQ90">
        <v>83</v>
      </c>
      <c r="AR90">
        <v>-2.2587700000000002</v>
      </c>
      <c r="AS90">
        <v>179.071</v>
      </c>
      <c r="AX90">
        <f t="shared" si="13"/>
        <v>4.4999999999999929</v>
      </c>
      <c r="AY90">
        <v>83</v>
      </c>
      <c r="AZ90">
        <v>4.5553900000000001</v>
      </c>
      <c r="BA90">
        <v>663.26300000000003</v>
      </c>
    </row>
    <row r="91" spans="2:53" x14ac:dyDescent="0.2">
      <c r="B91">
        <f t="shared" si="7"/>
        <v>4.5499999999999927</v>
      </c>
      <c r="C91">
        <v>84</v>
      </c>
      <c r="D91">
        <v>-0.66615199999999997</v>
      </c>
      <c r="E91">
        <v>-713.37</v>
      </c>
      <c r="J91">
        <f t="shared" si="8"/>
        <v>4.5499999999999927</v>
      </c>
      <c r="K91">
        <v>84</v>
      </c>
      <c r="L91">
        <v>-2.7474599999999998E-2</v>
      </c>
      <c r="M91">
        <v>-1293.94</v>
      </c>
      <c r="R91">
        <f t="shared" si="9"/>
        <v>4.5499999999999927</v>
      </c>
      <c r="S91">
        <v>84</v>
      </c>
      <c r="T91">
        <v>0.74200600000000005</v>
      </c>
      <c r="U91">
        <v>-1025.3</v>
      </c>
      <c r="Z91">
        <f t="shared" si="10"/>
        <v>4.5499999999999927</v>
      </c>
      <c r="AA91">
        <v>84</v>
      </c>
      <c r="AB91">
        <v>-5.2935999999999996</v>
      </c>
      <c r="AC91">
        <v>87.299199999999999</v>
      </c>
      <c r="AH91">
        <f t="shared" si="11"/>
        <v>4.5499999999999927</v>
      </c>
      <c r="AI91">
        <v>84</v>
      </c>
      <c r="AJ91">
        <v>-3.5060600000000002</v>
      </c>
      <c r="AK91">
        <v>710.08100000000002</v>
      </c>
      <c r="AP91">
        <f t="shared" si="12"/>
        <v>4.5499999999999927</v>
      </c>
      <c r="AQ91">
        <v>84</v>
      </c>
      <c r="AR91">
        <v>-2.2688799999999998</v>
      </c>
      <c r="AS91">
        <v>173.71600000000001</v>
      </c>
      <c r="AX91">
        <f t="shared" si="13"/>
        <v>4.5499999999999927</v>
      </c>
      <c r="AY91">
        <v>84</v>
      </c>
      <c r="AZ91">
        <v>4.5362600000000004</v>
      </c>
      <c r="BA91">
        <v>671.12</v>
      </c>
    </row>
    <row r="92" spans="2:53" x14ac:dyDescent="0.2">
      <c r="B92">
        <f t="shared" si="7"/>
        <v>4.5999999999999925</v>
      </c>
      <c r="C92">
        <v>85</v>
      </c>
      <c r="D92">
        <v>-0.64592499999999997</v>
      </c>
      <c r="E92">
        <v>-714.08500000000004</v>
      </c>
      <c r="J92">
        <f t="shared" si="8"/>
        <v>4.5999999999999925</v>
      </c>
      <c r="K92">
        <v>85</v>
      </c>
      <c r="L92">
        <v>9.5566499999999999E-3</v>
      </c>
      <c r="M92">
        <v>-1318.63</v>
      </c>
      <c r="R92">
        <f t="shared" si="9"/>
        <v>4.5999999999999925</v>
      </c>
      <c r="S92">
        <v>85</v>
      </c>
      <c r="T92">
        <v>0.77118100000000001</v>
      </c>
      <c r="U92">
        <v>-1031.8599999999999</v>
      </c>
      <c r="Z92">
        <f t="shared" si="10"/>
        <v>4.5999999999999925</v>
      </c>
      <c r="AA92">
        <v>85</v>
      </c>
      <c r="AB92">
        <v>-5.2983000000000002</v>
      </c>
      <c r="AC92">
        <v>77.809799999999996</v>
      </c>
      <c r="AH92">
        <f t="shared" si="11"/>
        <v>4.5999999999999925</v>
      </c>
      <c r="AI92">
        <v>85</v>
      </c>
      <c r="AJ92">
        <v>-3.5260899999999999</v>
      </c>
      <c r="AK92">
        <v>702.88</v>
      </c>
      <c r="AP92">
        <f t="shared" si="12"/>
        <v>4.5999999999999925</v>
      </c>
      <c r="AQ92">
        <v>85</v>
      </c>
      <c r="AR92">
        <v>-2.2786599999999999</v>
      </c>
      <c r="AS92">
        <v>171.179</v>
      </c>
      <c r="AX92">
        <f t="shared" si="13"/>
        <v>4.5999999999999925</v>
      </c>
      <c r="AY92">
        <v>85</v>
      </c>
      <c r="AZ92">
        <v>4.5169899999999998</v>
      </c>
      <c r="BA92">
        <v>688.3</v>
      </c>
    </row>
    <row r="93" spans="2:53" x14ac:dyDescent="0.2">
      <c r="B93">
        <f t="shared" si="7"/>
        <v>4.6499999999999924</v>
      </c>
      <c r="C93">
        <v>86</v>
      </c>
      <c r="D93">
        <v>-0.62570199999999998</v>
      </c>
      <c r="E93">
        <v>-728.67899999999997</v>
      </c>
      <c r="J93">
        <f t="shared" si="8"/>
        <v>4.6499999999999924</v>
      </c>
      <c r="K93">
        <v>86</v>
      </c>
      <c r="L93">
        <v>4.7177400000000001E-2</v>
      </c>
      <c r="M93">
        <v>-1364.91</v>
      </c>
      <c r="R93">
        <f t="shared" si="9"/>
        <v>4.6499999999999924</v>
      </c>
      <c r="S93">
        <v>86</v>
      </c>
      <c r="T93">
        <v>0.80035500000000004</v>
      </c>
      <c r="U93">
        <v>-1047.7</v>
      </c>
      <c r="Z93">
        <f t="shared" si="10"/>
        <v>4.6499999999999924</v>
      </c>
      <c r="AA93">
        <v>86</v>
      </c>
      <c r="AB93">
        <v>-5.3023600000000002</v>
      </c>
      <c r="AC93">
        <v>66.489000000000004</v>
      </c>
      <c r="AH93">
        <f t="shared" si="11"/>
        <v>4.6499999999999924</v>
      </c>
      <c r="AI93">
        <v>86</v>
      </c>
      <c r="AJ93">
        <v>-3.54583</v>
      </c>
      <c r="AK93">
        <v>704.27099999999996</v>
      </c>
      <c r="AP93">
        <f t="shared" si="12"/>
        <v>4.6499999999999924</v>
      </c>
      <c r="AQ93">
        <v>86</v>
      </c>
      <c r="AR93">
        <v>-2.2882699999999998</v>
      </c>
      <c r="AS93">
        <v>171.661</v>
      </c>
      <c r="AX93">
        <f t="shared" si="13"/>
        <v>4.6499999999999924</v>
      </c>
      <c r="AY93">
        <v>86</v>
      </c>
      <c r="AZ93">
        <v>4.4973099999999997</v>
      </c>
      <c r="BA93">
        <v>715.39200000000005</v>
      </c>
    </row>
    <row r="94" spans="2:53" x14ac:dyDescent="0.2">
      <c r="B94">
        <f t="shared" si="7"/>
        <v>4.6999999999999922</v>
      </c>
      <c r="C94">
        <v>87</v>
      </c>
      <c r="D94">
        <v>-0.60512900000000003</v>
      </c>
      <c r="E94">
        <v>-754.35799999999995</v>
      </c>
      <c r="J94">
        <f t="shared" si="8"/>
        <v>4.6999999999999922</v>
      </c>
      <c r="K94">
        <v>87</v>
      </c>
      <c r="L94">
        <v>8.5963700000000004E-2</v>
      </c>
      <c r="M94">
        <v>-1431.22</v>
      </c>
      <c r="R94">
        <f t="shared" si="9"/>
        <v>4.6999999999999922</v>
      </c>
      <c r="S94">
        <v>87</v>
      </c>
      <c r="T94">
        <v>0.82975100000000002</v>
      </c>
      <c r="U94">
        <v>-1069.8</v>
      </c>
      <c r="Z94">
        <f t="shared" si="10"/>
        <v>4.6999999999999922</v>
      </c>
      <c r="AA94">
        <v>87</v>
      </c>
      <c r="AB94">
        <v>-5.3056900000000002</v>
      </c>
      <c r="AC94">
        <v>53.235900000000001</v>
      </c>
      <c r="AH94">
        <f t="shared" si="11"/>
        <v>4.6999999999999922</v>
      </c>
      <c r="AI94">
        <v>87</v>
      </c>
      <c r="AJ94">
        <v>-3.56549</v>
      </c>
      <c r="AK94">
        <v>712.37900000000002</v>
      </c>
      <c r="AP94">
        <f t="shared" si="12"/>
        <v>4.6999999999999922</v>
      </c>
      <c r="AQ94">
        <v>87</v>
      </c>
      <c r="AR94">
        <v>-2.2978900000000002</v>
      </c>
      <c r="AS94">
        <v>174.88399999999999</v>
      </c>
      <c r="AX94">
        <f t="shared" si="13"/>
        <v>4.6999999999999922</v>
      </c>
      <c r="AY94">
        <v>87</v>
      </c>
      <c r="AZ94">
        <v>4.4769699999999997</v>
      </c>
      <c r="BA94">
        <v>750.82500000000005</v>
      </c>
    </row>
    <row r="95" spans="2:53" x14ac:dyDescent="0.2">
      <c r="B95">
        <f t="shared" si="7"/>
        <v>4.749999999999992</v>
      </c>
      <c r="C95">
        <v>88</v>
      </c>
      <c r="D95">
        <v>-0.583982</v>
      </c>
      <c r="E95">
        <v>-785.10900000000004</v>
      </c>
      <c r="J95">
        <f t="shared" si="8"/>
        <v>4.749999999999992</v>
      </c>
      <c r="K95">
        <v>88</v>
      </c>
      <c r="L95">
        <v>0.126355</v>
      </c>
      <c r="M95">
        <v>-1510.07</v>
      </c>
      <c r="R95">
        <f t="shared" si="9"/>
        <v>4.749999999999992</v>
      </c>
      <c r="S95">
        <v>88</v>
      </c>
      <c r="T95">
        <v>0.859456</v>
      </c>
      <c r="U95">
        <v>-1091.68</v>
      </c>
      <c r="Z95">
        <f t="shared" si="10"/>
        <v>4.749999999999992</v>
      </c>
      <c r="AA95">
        <v>88</v>
      </c>
      <c r="AB95">
        <v>-5.3082200000000004</v>
      </c>
      <c r="AC95">
        <v>38.235599999999998</v>
      </c>
      <c r="AH95">
        <f t="shared" si="11"/>
        <v>4.749999999999992</v>
      </c>
      <c r="AI95">
        <v>88</v>
      </c>
      <c r="AJ95">
        <v>-3.5851999999999999</v>
      </c>
      <c r="AK95">
        <v>722.75199999999995</v>
      </c>
      <c r="AP95">
        <f t="shared" si="12"/>
        <v>4.749999999999992</v>
      </c>
      <c r="AQ95">
        <v>88</v>
      </c>
      <c r="AR95">
        <v>-2.3076300000000001</v>
      </c>
      <c r="AS95">
        <v>179.84</v>
      </c>
      <c r="AX95">
        <f t="shared" si="13"/>
        <v>4.749999999999992</v>
      </c>
      <c r="AY95">
        <v>88</v>
      </c>
      <c r="AZ95">
        <v>4.4558</v>
      </c>
      <c r="BA95">
        <v>789.74599999999998</v>
      </c>
    </row>
    <row r="96" spans="2:53" x14ac:dyDescent="0.2">
      <c r="B96">
        <f t="shared" si="7"/>
        <v>4.7999999999999918</v>
      </c>
      <c r="C96">
        <v>89</v>
      </c>
      <c r="D96">
        <v>-0.56226500000000001</v>
      </c>
      <c r="E96">
        <v>-810.57799999999997</v>
      </c>
      <c r="J96">
        <f t="shared" si="8"/>
        <v>4.7999999999999918</v>
      </c>
      <c r="K96">
        <v>89</v>
      </c>
      <c r="L96">
        <v>0.168457</v>
      </c>
      <c r="M96">
        <v>-1584.63</v>
      </c>
      <c r="R96">
        <f t="shared" si="9"/>
        <v>4.7999999999999918</v>
      </c>
      <c r="S96">
        <v>89</v>
      </c>
      <c r="T96">
        <v>0.88931700000000002</v>
      </c>
      <c r="U96">
        <v>-1102.01</v>
      </c>
      <c r="Z96">
        <f t="shared" si="10"/>
        <v>4.7999999999999918</v>
      </c>
      <c r="AA96">
        <v>89</v>
      </c>
      <c r="AB96">
        <v>-5.3098599999999996</v>
      </c>
      <c r="AC96">
        <v>22.0929</v>
      </c>
      <c r="AH96">
        <f t="shared" si="11"/>
        <v>4.7999999999999918</v>
      </c>
      <c r="AI96">
        <v>89</v>
      </c>
      <c r="AJ96">
        <v>-3.60494</v>
      </c>
      <c r="AK96">
        <v>727.46699999999998</v>
      </c>
      <c r="AP96">
        <f t="shared" si="12"/>
        <v>4.7999999999999918</v>
      </c>
      <c r="AQ96">
        <v>89</v>
      </c>
      <c r="AR96">
        <v>-2.3175400000000002</v>
      </c>
      <c r="AS96">
        <v>184.46899999999999</v>
      </c>
      <c r="AX96">
        <f t="shared" si="13"/>
        <v>4.7999999999999918</v>
      </c>
      <c r="AY96">
        <v>89</v>
      </c>
      <c r="AZ96">
        <v>4.4338600000000001</v>
      </c>
      <c r="BA96">
        <v>822.63599999999997</v>
      </c>
    </row>
    <row r="97" spans="2:53" x14ac:dyDescent="0.2">
      <c r="B97">
        <f t="shared" si="7"/>
        <v>4.8499999999999917</v>
      </c>
      <c r="C97">
        <v>90</v>
      </c>
      <c r="D97">
        <v>-0.54033399999999998</v>
      </c>
      <c r="E97">
        <v>-814.70600000000002</v>
      </c>
      <c r="J97">
        <f t="shared" si="8"/>
        <v>4.8499999999999917</v>
      </c>
      <c r="K97">
        <v>90</v>
      </c>
      <c r="L97">
        <v>0.21174000000000001</v>
      </c>
      <c r="M97">
        <v>-1623.98</v>
      </c>
      <c r="R97">
        <f t="shared" si="9"/>
        <v>4.8499999999999917</v>
      </c>
      <c r="S97">
        <v>90</v>
      </c>
      <c r="T97">
        <v>0.91879599999999995</v>
      </c>
      <c r="U97">
        <v>-1082.75</v>
      </c>
      <c r="Z97">
        <f t="shared" si="10"/>
        <v>4.8499999999999917</v>
      </c>
      <c r="AA97">
        <v>90</v>
      </c>
      <c r="AB97">
        <v>-5.3106099999999996</v>
      </c>
      <c r="AC97">
        <v>6.0035800000000004</v>
      </c>
      <c r="AH97">
        <f t="shared" si="11"/>
        <v>4.8499999999999917</v>
      </c>
      <c r="AI97">
        <v>90</v>
      </c>
      <c r="AJ97">
        <v>-3.62439</v>
      </c>
      <c r="AK97">
        <v>714.07500000000005</v>
      </c>
      <c r="AP97">
        <f t="shared" si="12"/>
        <v>4.8499999999999917</v>
      </c>
      <c r="AQ97">
        <v>90</v>
      </c>
      <c r="AR97">
        <v>-2.3275100000000002</v>
      </c>
      <c r="AS97">
        <v>185.25899999999999</v>
      </c>
      <c r="AX97">
        <f t="shared" si="13"/>
        <v>4.8499999999999917</v>
      </c>
      <c r="AY97">
        <v>90</v>
      </c>
      <c r="AZ97">
        <v>4.4115099999999998</v>
      </c>
      <c r="BA97">
        <v>833.63199999999995</v>
      </c>
    </row>
    <row r="98" spans="2:53" x14ac:dyDescent="0.2">
      <c r="B98">
        <f t="shared" si="7"/>
        <v>4.8999999999999915</v>
      </c>
      <c r="C98">
        <v>91</v>
      </c>
      <c r="D98">
        <v>-0.51905299999999999</v>
      </c>
      <c r="E98">
        <v>-774.10699999999997</v>
      </c>
      <c r="J98">
        <f t="shared" si="8"/>
        <v>4.8999999999999915</v>
      </c>
      <c r="K98">
        <v>91</v>
      </c>
      <c r="L98">
        <v>0.25461699999999998</v>
      </c>
      <c r="M98">
        <v>-1577.18</v>
      </c>
      <c r="R98">
        <f t="shared" si="9"/>
        <v>4.8999999999999915</v>
      </c>
      <c r="S98">
        <v>91</v>
      </c>
      <c r="T98">
        <v>0.94677800000000001</v>
      </c>
      <c r="U98">
        <v>-1007.09</v>
      </c>
      <c r="Z98">
        <f t="shared" si="10"/>
        <v>4.8999999999999915</v>
      </c>
      <c r="AA98">
        <v>91</v>
      </c>
      <c r="AB98">
        <v>-5.3105399999999996</v>
      </c>
      <c r="AC98">
        <v>-8.0333000000000006</v>
      </c>
      <c r="AH98">
        <f t="shared" si="11"/>
        <v>4.8999999999999915</v>
      </c>
      <c r="AI98">
        <v>91</v>
      </c>
      <c r="AJ98">
        <v>-3.6428400000000001</v>
      </c>
      <c r="AK98">
        <v>664.38800000000003</v>
      </c>
      <c r="AP98">
        <f t="shared" si="12"/>
        <v>4.8999999999999915</v>
      </c>
      <c r="AQ98">
        <v>91</v>
      </c>
      <c r="AR98">
        <v>-2.3372099999999998</v>
      </c>
      <c r="AS98">
        <v>176.76499999999999</v>
      </c>
      <c r="AX98">
        <f t="shared" si="13"/>
        <v>4.8999999999999915</v>
      </c>
      <c r="AY98">
        <v>91</v>
      </c>
      <c r="AZ98">
        <v>4.38964</v>
      </c>
      <c r="BA98">
        <v>798.56399999999996</v>
      </c>
    </row>
    <row r="99" spans="2:53" x14ac:dyDescent="0.2">
      <c r="B99">
        <f t="shared" si="7"/>
        <v>4.9499999999999913</v>
      </c>
      <c r="C99">
        <v>92</v>
      </c>
      <c r="D99">
        <v>-0.49999399999999999</v>
      </c>
      <c r="E99">
        <v>-656.197</v>
      </c>
      <c r="J99">
        <f t="shared" si="8"/>
        <v>4.9499999999999913</v>
      </c>
      <c r="K99">
        <v>92</v>
      </c>
      <c r="L99">
        <v>0.293873</v>
      </c>
      <c r="M99">
        <v>-1366.88</v>
      </c>
      <c r="R99">
        <f t="shared" si="9"/>
        <v>4.9499999999999913</v>
      </c>
      <c r="S99">
        <v>92</v>
      </c>
      <c r="T99">
        <v>0.97133700000000001</v>
      </c>
      <c r="U99">
        <v>-837.25800000000004</v>
      </c>
      <c r="Z99">
        <f t="shared" si="10"/>
        <v>4.9499999999999913</v>
      </c>
      <c r="AA99">
        <v>92</v>
      </c>
      <c r="AB99">
        <v>-5.3098599999999996</v>
      </c>
      <c r="AC99">
        <v>-16.954799999999999</v>
      </c>
      <c r="AH99">
        <f t="shared" si="11"/>
        <v>4.9499999999999913</v>
      </c>
      <c r="AI99">
        <v>92</v>
      </c>
      <c r="AJ99">
        <v>-3.6590600000000002</v>
      </c>
      <c r="AK99">
        <v>553.11400000000003</v>
      </c>
      <c r="AP99">
        <f t="shared" si="12"/>
        <v>4.9499999999999913</v>
      </c>
      <c r="AQ99">
        <v>92</v>
      </c>
      <c r="AR99">
        <v>-2.3459400000000001</v>
      </c>
      <c r="AS99">
        <v>151.036</v>
      </c>
      <c r="AX99">
        <f t="shared" si="13"/>
        <v>4.9499999999999913</v>
      </c>
      <c r="AY99">
        <v>92</v>
      </c>
      <c r="AZ99">
        <v>4.3699000000000003</v>
      </c>
      <c r="BA99">
        <v>682.65800000000002</v>
      </c>
    </row>
    <row r="100" spans="2:53" x14ac:dyDescent="0.2">
      <c r="B100">
        <f t="shared" si="7"/>
        <v>4.9999999999999911</v>
      </c>
      <c r="C100">
        <v>93</v>
      </c>
      <c r="D100">
        <v>-0.48567199999999999</v>
      </c>
      <c r="E100">
        <v>-417.161</v>
      </c>
      <c r="J100">
        <f t="shared" si="8"/>
        <v>4.9999999999999911</v>
      </c>
      <c r="K100">
        <v>93</v>
      </c>
      <c r="L100">
        <v>0.32398199999999999</v>
      </c>
      <c r="M100">
        <v>-885.47900000000004</v>
      </c>
      <c r="R100">
        <f t="shared" si="9"/>
        <v>4.9999999999999911</v>
      </c>
      <c r="S100">
        <v>93</v>
      </c>
      <c r="T100">
        <v>0.98945799999999995</v>
      </c>
      <c r="U100">
        <v>-522.74800000000005</v>
      </c>
      <c r="Z100">
        <f t="shared" si="10"/>
        <v>4.9999999999999911</v>
      </c>
      <c r="AA100">
        <v>93</v>
      </c>
      <c r="AB100">
        <v>-5.3089300000000001</v>
      </c>
      <c r="AC100">
        <v>-16.326799999999999</v>
      </c>
      <c r="AH100">
        <f t="shared" si="11"/>
        <v>4.9999999999999911</v>
      </c>
      <c r="AI100">
        <v>93</v>
      </c>
      <c r="AJ100">
        <v>-3.6710400000000001</v>
      </c>
      <c r="AK100">
        <v>346.34899999999999</v>
      </c>
      <c r="AP100">
        <f t="shared" si="12"/>
        <v>4.9999999999999911</v>
      </c>
      <c r="AQ100">
        <v>93</v>
      </c>
      <c r="AR100">
        <v>-2.3525700000000001</v>
      </c>
      <c r="AS100">
        <v>97.013499999999993</v>
      </c>
      <c r="AX100">
        <f t="shared" si="13"/>
        <v>4.9999999999999911</v>
      </c>
      <c r="AY100">
        <v>93</v>
      </c>
      <c r="AZ100">
        <v>4.35494</v>
      </c>
      <c r="BA100">
        <v>437.89800000000002</v>
      </c>
    </row>
    <row r="101" spans="2:53" x14ac:dyDescent="0.2">
      <c r="B101">
        <f t="shared" si="7"/>
        <v>5.0499999999999909</v>
      </c>
      <c r="C101">
        <v>94</v>
      </c>
      <c r="D101">
        <v>-0.479823</v>
      </c>
      <c r="E101" s="3">
        <v>-1.69089E-10</v>
      </c>
      <c r="J101">
        <f t="shared" si="8"/>
        <v>5.0499999999999909</v>
      </c>
      <c r="K101">
        <v>94</v>
      </c>
      <c r="L101">
        <v>0.336453</v>
      </c>
      <c r="M101" s="3">
        <v>-3.6263299999999999E-10</v>
      </c>
      <c r="R101">
        <f t="shared" si="9"/>
        <v>5.0499999999999909</v>
      </c>
      <c r="S101">
        <v>94</v>
      </c>
      <c r="T101">
        <v>0.99674200000000002</v>
      </c>
      <c r="U101" s="3">
        <v>-2.0813399999999999E-10</v>
      </c>
      <c r="Z101">
        <f t="shared" si="10"/>
        <v>5.0499999999999909</v>
      </c>
      <c r="AA101">
        <v>94</v>
      </c>
      <c r="AB101">
        <v>-5.3084300000000004</v>
      </c>
      <c r="AC101" s="3">
        <v>-8.5453400000000004E-12</v>
      </c>
      <c r="AH101">
        <f t="shared" si="11"/>
        <v>5.0499999999999909</v>
      </c>
      <c r="AI101">
        <v>94</v>
      </c>
      <c r="AJ101">
        <v>-3.6758799999999998</v>
      </c>
      <c r="AK101" s="3">
        <v>1.3867199999999999E-10</v>
      </c>
      <c r="AP101">
        <f t="shared" si="12"/>
        <v>5.0499999999999909</v>
      </c>
      <c r="AQ101">
        <v>94</v>
      </c>
      <c r="AR101">
        <v>-2.3553000000000002</v>
      </c>
      <c r="AS101" s="3">
        <v>3.9769699999999997E-11</v>
      </c>
      <c r="AX101">
        <f t="shared" si="13"/>
        <v>5.0499999999999909</v>
      </c>
      <c r="AY101">
        <v>94</v>
      </c>
      <c r="AZ101">
        <v>4.3487799999999996</v>
      </c>
      <c r="BA101" s="3">
        <v>1.79259E-10</v>
      </c>
    </row>
    <row r="102" spans="2:53" x14ac:dyDescent="0.2">
      <c r="B102">
        <f t="shared" si="7"/>
        <v>5.0999999999999908</v>
      </c>
      <c r="C102">
        <v>95</v>
      </c>
      <c r="D102">
        <v>-0.479823</v>
      </c>
      <c r="E102">
        <v>0</v>
      </c>
      <c r="J102">
        <f t="shared" si="8"/>
        <v>5.0999999999999908</v>
      </c>
      <c r="K102">
        <v>95</v>
      </c>
      <c r="L102">
        <v>0.336453</v>
      </c>
      <c r="M102">
        <v>0</v>
      </c>
      <c r="R102">
        <f t="shared" si="9"/>
        <v>5.0999999999999908</v>
      </c>
      <c r="S102">
        <v>95</v>
      </c>
      <c r="T102">
        <v>0.99674200000000002</v>
      </c>
      <c r="U102">
        <v>0</v>
      </c>
      <c r="Z102">
        <f t="shared" si="10"/>
        <v>5.0999999999999908</v>
      </c>
      <c r="AA102">
        <v>95</v>
      </c>
      <c r="AB102">
        <v>-5.3084300000000004</v>
      </c>
      <c r="AC102">
        <v>0</v>
      </c>
      <c r="AH102">
        <f t="shared" si="11"/>
        <v>5.0999999999999908</v>
      </c>
      <c r="AI102">
        <v>95</v>
      </c>
      <c r="AJ102">
        <v>-3.6758799999999998</v>
      </c>
      <c r="AK102">
        <v>0</v>
      </c>
      <c r="AP102">
        <f t="shared" si="12"/>
        <v>5.0999999999999908</v>
      </c>
      <c r="AQ102">
        <v>95</v>
      </c>
      <c r="AR102">
        <v>-2.3553000000000002</v>
      </c>
      <c r="AS102">
        <v>0</v>
      </c>
      <c r="AX102">
        <f t="shared" si="13"/>
        <v>5.0999999999999908</v>
      </c>
      <c r="AY102">
        <v>95</v>
      </c>
      <c r="AZ102">
        <v>4.3487799999999996</v>
      </c>
      <c r="BA102">
        <v>0</v>
      </c>
    </row>
    <row r="103" spans="2:53" x14ac:dyDescent="0.2">
      <c r="B103">
        <f t="shared" si="7"/>
        <v>5.1499999999999906</v>
      </c>
      <c r="C103">
        <v>96</v>
      </c>
      <c r="D103">
        <v>-0.479823</v>
      </c>
      <c r="E103">
        <v>0</v>
      </c>
      <c r="J103">
        <f t="shared" si="8"/>
        <v>5.1499999999999906</v>
      </c>
      <c r="K103">
        <v>96</v>
      </c>
      <c r="L103">
        <v>0.336453</v>
      </c>
      <c r="M103">
        <v>0</v>
      </c>
      <c r="R103">
        <f t="shared" si="9"/>
        <v>5.1499999999999906</v>
      </c>
      <c r="S103">
        <v>96</v>
      </c>
      <c r="T103">
        <v>0.99674200000000002</v>
      </c>
      <c r="U103">
        <v>0</v>
      </c>
      <c r="Z103">
        <f t="shared" si="10"/>
        <v>5.1499999999999906</v>
      </c>
      <c r="AA103">
        <v>96</v>
      </c>
      <c r="AB103">
        <v>-5.3084300000000004</v>
      </c>
      <c r="AC103">
        <v>0</v>
      </c>
      <c r="AH103">
        <f t="shared" si="11"/>
        <v>5.1499999999999906</v>
      </c>
      <c r="AI103">
        <v>96</v>
      </c>
      <c r="AJ103">
        <v>-3.6758799999999998</v>
      </c>
      <c r="AK103">
        <v>0</v>
      </c>
      <c r="AP103">
        <f t="shared" si="12"/>
        <v>5.1499999999999906</v>
      </c>
      <c r="AQ103">
        <v>96</v>
      </c>
      <c r="AR103">
        <v>-2.3553000000000002</v>
      </c>
      <c r="AS103">
        <v>0</v>
      </c>
      <c r="AX103">
        <f t="shared" si="13"/>
        <v>5.1499999999999906</v>
      </c>
      <c r="AY103">
        <v>96</v>
      </c>
      <c r="AZ103">
        <v>4.3487799999999996</v>
      </c>
      <c r="BA103">
        <v>0</v>
      </c>
    </row>
    <row r="104" spans="2:53" x14ac:dyDescent="0.2">
      <c r="B104">
        <f t="shared" si="7"/>
        <v>5.1999999999999904</v>
      </c>
      <c r="C104">
        <v>97</v>
      </c>
      <c r="D104">
        <v>-0.479823</v>
      </c>
      <c r="E104">
        <v>0</v>
      </c>
      <c r="J104">
        <f t="shared" si="8"/>
        <v>5.1999999999999904</v>
      </c>
      <c r="K104">
        <v>97</v>
      </c>
      <c r="L104">
        <v>0.336453</v>
      </c>
      <c r="M104">
        <v>0</v>
      </c>
      <c r="R104">
        <f t="shared" si="9"/>
        <v>5.1999999999999904</v>
      </c>
      <c r="S104">
        <v>97</v>
      </c>
      <c r="T104">
        <v>0.99674200000000002</v>
      </c>
      <c r="U104">
        <v>0</v>
      </c>
      <c r="Z104">
        <f t="shared" si="10"/>
        <v>5.1999999999999904</v>
      </c>
      <c r="AA104">
        <v>97</v>
      </c>
      <c r="AB104">
        <v>-5.3084300000000004</v>
      </c>
      <c r="AC104">
        <v>0</v>
      </c>
      <c r="AH104">
        <f t="shared" si="11"/>
        <v>5.1999999999999904</v>
      </c>
      <c r="AI104">
        <v>97</v>
      </c>
      <c r="AJ104">
        <v>-3.6758799999999998</v>
      </c>
      <c r="AK104">
        <v>0</v>
      </c>
      <c r="AP104">
        <f t="shared" si="12"/>
        <v>5.1999999999999904</v>
      </c>
      <c r="AQ104">
        <v>97</v>
      </c>
      <c r="AR104">
        <v>-2.3553000000000002</v>
      </c>
      <c r="AS104">
        <v>0</v>
      </c>
      <c r="AX104">
        <f t="shared" si="13"/>
        <v>5.1999999999999904</v>
      </c>
      <c r="AY104">
        <v>97</v>
      </c>
      <c r="AZ104">
        <v>4.3487799999999996</v>
      </c>
      <c r="BA104">
        <v>0</v>
      </c>
    </row>
    <row r="105" spans="2:53" x14ac:dyDescent="0.2">
      <c r="B105">
        <f t="shared" si="7"/>
        <v>5.2499999999999902</v>
      </c>
      <c r="C105">
        <v>98</v>
      </c>
      <c r="D105">
        <v>-0.479823</v>
      </c>
      <c r="E105">
        <v>0</v>
      </c>
      <c r="J105">
        <f t="shared" si="8"/>
        <v>5.2499999999999902</v>
      </c>
      <c r="K105">
        <v>98</v>
      </c>
      <c r="L105">
        <v>0.336453</v>
      </c>
      <c r="M105">
        <v>0</v>
      </c>
      <c r="R105">
        <f t="shared" si="9"/>
        <v>5.2499999999999902</v>
      </c>
      <c r="S105">
        <v>98</v>
      </c>
      <c r="T105">
        <v>0.99674200000000002</v>
      </c>
      <c r="U105">
        <v>0</v>
      </c>
      <c r="Z105">
        <f t="shared" si="10"/>
        <v>5.2499999999999902</v>
      </c>
      <c r="AA105">
        <v>98</v>
      </c>
      <c r="AB105">
        <v>-5.3084300000000004</v>
      </c>
      <c r="AC105">
        <v>0</v>
      </c>
      <c r="AH105">
        <f t="shared" si="11"/>
        <v>5.2499999999999902</v>
      </c>
      <c r="AI105">
        <v>98</v>
      </c>
      <c r="AJ105">
        <v>-3.6758799999999998</v>
      </c>
      <c r="AK105">
        <v>0</v>
      </c>
      <c r="AP105">
        <f t="shared" si="12"/>
        <v>5.2499999999999902</v>
      </c>
      <c r="AQ105">
        <v>98</v>
      </c>
      <c r="AR105">
        <v>-2.3553000000000002</v>
      </c>
      <c r="AS105">
        <v>0</v>
      </c>
      <c r="AX105">
        <f t="shared" si="13"/>
        <v>5.2499999999999902</v>
      </c>
      <c r="AY105">
        <v>98</v>
      </c>
      <c r="AZ105">
        <v>4.3487799999999996</v>
      </c>
      <c r="BA105">
        <v>0</v>
      </c>
    </row>
    <row r="106" spans="2:53" x14ac:dyDescent="0.2">
      <c r="B106">
        <f t="shared" si="7"/>
        <v>5.2999999999999901</v>
      </c>
      <c r="C106">
        <v>99</v>
      </c>
      <c r="D106">
        <v>-0.479823</v>
      </c>
      <c r="E106">
        <v>0</v>
      </c>
      <c r="J106">
        <f t="shared" si="8"/>
        <v>5.2999999999999901</v>
      </c>
      <c r="K106">
        <v>99</v>
      </c>
      <c r="L106">
        <v>0.336453</v>
      </c>
      <c r="M106">
        <v>0</v>
      </c>
      <c r="R106">
        <f t="shared" si="9"/>
        <v>5.2999999999999901</v>
      </c>
      <c r="S106">
        <v>99</v>
      </c>
      <c r="T106">
        <v>0.99674200000000002</v>
      </c>
      <c r="U106">
        <v>0</v>
      </c>
      <c r="Z106">
        <f t="shared" si="10"/>
        <v>5.2999999999999901</v>
      </c>
      <c r="AA106">
        <v>99</v>
      </c>
      <c r="AB106">
        <v>-5.3084300000000004</v>
      </c>
      <c r="AC106">
        <v>0</v>
      </c>
      <c r="AH106">
        <f t="shared" si="11"/>
        <v>5.2999999999999901</v>
      </c>
      <c r="AI106">
        <v>99</v>
      </c>
      <c r="AJ106">
        <v>-3.6758799999999998</v>
      </c>
      <c r="AK106">
        <v>0</v>
      </c>
      <c r="AP106">
        <f t="shared" si="12"/>
        <v>5.2999999999999901</v>
      </c>
      <c r="AQ106">
        <v>99</v>
      </c>
      <c r="AR106">
        <v>-2.3553000000000002</v>
      </c>
      <c r="AS106">
        <v>0</v>
      </c>
      <c r="AX106">
        <f t="shared" si="13"/>
        <v>5.2999999999999901</v>
      </c>
      <c r="AY106">
        <v>99</v>
      </c>
      <c r="AZ106">
        <v>4.3487799999999996</v>
      </c>
      <c r="BA106">
        <v>0</v>
      </c>
    </row>
    <row r="107" spans="2:53" x14ac:dyDescent="0.2">
      <c r="B107">
        <f t="shared" si="7"/>
        <v>5.3499999999999899</v>
      </c>
      <c r="C107">
        <v>100</v>
      </c>
      <c r="D107">
        <v>-0.479823</v>
      </c>
      <c r="E107">
        <v>0</v>
      </c>
      <c r="J107">
        <f t="shared" si="8"/>
        <v>5.3499999999999899</v>
      </c>
      <c r="K107">
        <v>100</v>
      </c>
      <c r="L107">
        <v>0.336453</v>
      </c>
      <c r="M107">
        <v>0</v>
      </c>
      <c r="R107">
        <f t="shared" si="9"/>
        <v>5.3499999999999899</v>
      </c>
      <c r="S107">
        <v>100</v>
      </c>
      <c r="T107">
        <v>0.99674200000000002</v>
      </c>
      <c r="U107">
        <v>0</v>
      </c>
      <c r="Z107">
        <f t="shared" si="10"/>
        <v>5.3499999999999899</v>
      </c>
      <c r="AA107">
        <v>100</v>
      </c>
      <c r="AB107">
        <v>-5.3084300000000004</v>
      </c>
      <c r="AC107">
        <v>0</v>
      </c>
      <c r="AH107">
        <f t="shared" si="11"/>
        <v>5.3499999999999899</v>
      </c>
      <c r="AI107">
        <v>100</v>
      </c>
      <c r="AJ107">
        <v>-3.6758799999999998</v>
      </c>
      <c r="AK107">
        <v>0</v>
      </c>
      <c r="AP107">
        <f t="shared" si="12"/>
        <v>5.3499999999999899</v>
      </c>
      <c r="AQ107">
        <v>100</v>
      </c>
      <c r="AR107">
        <v>-2.3553000000000002</v>
      </c>
      <c r="AS107">
        <v>0</v>
      </c>
      <c r="AX107">
        <f t="shared" si="13"/>
        <v>5.3499999999999899</v>
      </c>
      <c r="AY107">
        <v>100</v>
      </c>
      <c r="AZ107">
        <v>4.3487799999999996</v>
      </c>
      <c r="BA107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LiKNaCl MTP 14B</vt:lpstr>
      <vt:lpstr>LiCl-KCl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2025-11-07T20:03:10Z</dcterms:modified>
</cp:coreProperties>
</file>