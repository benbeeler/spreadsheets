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F8968743-36C3-E24B-87E0-ECE5CCB3FFDC}" xr6:coauthVersionLast="47" xr6:coauthVersionMax="47" xr10:uidLastSave="{00000000-0000-0000-0000-000000000000}"/>
  <bookViews>
    <workbookView minimized="1" xWindow="5240" yWindow="1260" windowWidth="35160" windowHeight="19440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new_ternaries" sheetId="10" r:id="rId6"/>
    <sheet name="rdfs" sheetId="9" r:id="rId7"/>
    <sheet name="viscosity" sheetId="7" r:id="rId8"/>
    <sheet name="Sheet1" sheetId="11" r:id="rId9"/>
    <sheet name="therm cond" sheetId="8" r:id="rId10"/>
    <sheet name="dimer EvsR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12" i="1"/>
  <c r="G42" i="1"/>
  <c r="F42" i="1"/>
  <c r="E42" i="1"/>
  <c r="AQ42" i="1"/>
  <c r="V42" i="1"/>
  <c r="U42" i="1"/>
  <c r="W42" i="1"/>
  <c r="AG42" i="1"/>
  <c r="AF42" i="1"/>
  <c r="AH42" i="1"/>
  <c r="AR42" i="1"/>
  <c r="AS42" i="1"/>
  <c r="K40" i="1"/>
  <c r="L40" i="1"/>
  <c r="K41" i="1"/>
  <c r="L41" i="1"/>
  <c r="K39" i="1"/>
  <c r="L39" i="1"/>
  <c r="K42" i="1"/>
  <c r="L42" i="1"/>
  <c r="K38" i="1"/>
  <c r="L38" i="1"/>
  <c r="P7" i="10"/>
  <c r="Q7" i="10"/>
  <c r="S8" i="10"/>
  <c r="R7" i="10"/>
  <c r="X8" i="11"/>
  <c r="X9" i="11"/>
  <c r="X10" i="11"/>
  <c r="X7" i="11"/>
  <c r="W10" i="11"/>
  <c r="W8" i="11"/>
  <c r="W9" i="11"/>
  <c r="W7" i="11"/>
  <c r="S8" i="11"/>
  <c r="S9" i="11"/>
  <c r="S10" i="11"/>
  <c r="S7" i="11"/>
  <c r="U5" i="11"/>
  <c r="U6" i="11"/>
  <c r="U7" i="11"/>
  <c r="U8" i="11"/>
  <c r="U9" i="11"/>
  <c r="U10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7" i="11"/>
  <c r="U110" i="7"/>
  <c r="V110" i="7"/>
  <c r="W110" i="7"/>
  <c r="U109" i="7"/>
  <c r="V109" i="7"/>
  <c r="W109" i="7"/>
  <c r="U108" i="7"/>
  <c r="V108" i="7"/>
  <c r="W108" i="7"/>
  <c r="U105" i="7"/>
  <c r="V105" i="7"/>
  <c r="W105" i="7"/>
  <c r="U104" i="7"/>
  <c r="V104" i="7"/>
  <c r="W104" i="7"/>
  <c r="U103" i="7"/>
  <c r="V103" i="7"/>
  <c r="W103" i="7"/>
  <c r="U100" i="7"/>
  <c r="V100" i="7"/>
  <c r="W100" i="7"/>
  <c r="U99" i="7"/>
  <c r="V99" i="7"/>
  <c r="W99" i="7"/>
  <c r="W98" i="7"/>
  <c r="V98" i="7"/>
  <c r="U98" i="7"/>
  <c r="L62" i="7"/>
  <c r="T62" i="7"/>
  <c r="T81" i="7"/>
  <c r="S81" i="7"/>
  <c r="U85" i="7"/>
  <c r="V85" i="7"/>
  <c r="U95" i="7"/>
  <c r="V95" i="7"/>
  <c r="W95" i="7"/>
  <c r="U94" i="7"/>
  <c r="V94" i="7"/>
  <c r="W94" i="7"/>
  <c r="U93" i="7"/>
  <c r="V93" i="7"/>
  <c r="W93" i="7"/>
  <c r="V90" i="7"/>
  <c r="W90" i="7"/>
  <c r="U89" i="7"/>
  <c r="U90" i="7"/>
  <c r="U88" i="7"/>
  <c r="V88" i="7"/>
  <c r="W88" i="7"/>
  <c r="V89" i="7"/>
  <c r="W89" i="7"/>
  <c r="S7" i="10" a="1"/>
  <c r="S7" i="10"/>
  <c r="S152" i="10"/>
  <c r="S151" i="10" a="1"/>
  <c r="S151" i="10"/>
  <c r="P151" i="10"/>
  <c r="Q151" i="10"/>
  <c r="R151" i="10"/>
  <c r="P152" i="10"/>
  <c r="Q152" i="10"/>
  <c r="R152" i="10"/>
  <c r="P153" i="10"/>
  <c r="Q153" i="10"/>
  <c r="R153" i="10"/>
  <c r="P154" i="10"/>
  <c r="Q154" i="10"/>
  <c r="R154" i="10"/>
  <c r="P155" i="10"/>
  <c r="Q155" i="10"/>
  <c r="R155" i="10"/>
  <c r="P156" i="10"/>
  <c r="Q156" i="10"/>
  <c r="R156" i="10"/>
  <c r="S155" i="10" a="1"/>
  <c r="S155" i="10"/>
  <c r="S156" i="10"/>
  <c r="P157" i="10"/>
  <c r="Q157" i="10"/>
  <c r="R157" i="10"/>
  <c r="P158" i="10"/>
  <c r="Q158" i="10"/>
  <c r="R158" i="10"/>
  <c r="P159" i="10"/>
  <c r="Q159" i="10"/>
  <c r="R159" i="10"/>
  <c r="P160" i="10"/>
  <c r="Q160" i="10"/>
  <c r="R160" i="10"/>
  <c r="S159" i="10" a="1"/>
  <c r="S159" i="10"/>
  <c r="S160" i="10"/>
  <c r="P161" i="10"/>
  <c r="Q161" i="10"/>
  <c r="R161" i="10"/>
  <c r="P162" i="10"/>
  <c r="Q162" i="10"/>
  <c r="R162" i="10"/>
  <c r="P163" i="10"/>
  <c r="Q163" i="10"/>
  <c r="R163" i="10"/>
  <c r="S163" i="10" a="1"/>
  <c r="S163" i="10"/>
  <c r="S164" i="10"/>
  <c r="P164" i="10"/>
  <c r="Q164" i="10"/>
  <c r="R164" i="10"/>
  <c r="P165" i="10"/>
  <c r="Q165" i="10"/>
  <c r="R165" i="10"/>
  <c r="P166" i="10"/>
  <c r="Q166" i="10"/>
  <c r="R166" i="10"/>
  <c r="P167" i="10"/>
  <c r="Q167" i="10"/>
  <c r="R167" i="10"/>
  <c r="P168" i="10"/>
  <c r="Q168" i="10"/>
  <c r="R168" i="10"/>
  <c r="S167" i="10" a="1"/>
  <c r="S167" i="10"/>
  <c r="S168" i="10"/>
  <c r="P169" i="10"/>
  <c r="Q169" i="10"/>
  <c r="R169" i="10"/>
  <c r="P170" i="10"/>
  <c r="Q170" i="10"/>
  <c r="R170" i="10"/>
  <c r="P171" i="10"/>
  <c r="Q171" i="10"/>
  <c r="R171" i="10"/>
  <c r="P172" i="10"/>
  <c r="Q172" i="10"/>
  <c r="R172" i="10"/>
  <c r="S171" i="10" a="1"/>
  <c r="S171" i="10"/>
  <c r="S172" i="10"/>
  <c r="P173" i="10"/>
  <c r="Q173" i="10"/>
  <c r="R173" i="10"/>
  <c r="P174" i="10"/>
  <c r="Q174" i="10"/>
  <c r="R174" i="10"/>
  <c r="P175" i="10"/>
  <c r="Q175" i="10"/>
  <c r="R175" i="10"/>
  <c r="P176" i="10"/>
  <c r="Q176" i="10"/>
  <c r="R176" i="10"/>
  <c r="S175" i="10" a="1"/>
  <c r="S175" i="10"/>
  <c r="S176" i="10"/>
  <c r="P177" i="10"/>
  <c r="Q177" i="10"/>
  <c r="R177" i="10"/>
  <c r="P178" i="10"/>
  <c r="Q178" i="10"/>
  <c r="R178" i="10"/>
  <c r="P179" i="10"/>
  <c r="Q179" i="10"/>
  <c r="R179" i="10"/>
  <c r="S179" i="10" a="1"/>
  <c r="S179" i="10"/>
  <c r="S180" i="10"/>
  <c r="P180" i="10"/>
  <c r="Q180" i="10"/>
  <c r="R180" i="10"/>
  <c r="P181" i="10"/>
  <c r="Q181" i="10"/>
  <c r="R181" i="10"/>
  <c r="P182" i="10"/>
  <c r="Q182" i="10"/>
  <c r="R182" i="10"/>
  <c r="P183" i="10"/>
  <c r="Q183" i="10"/>
  <c r="R183" i="10"/>
  <c r="P184" i="10"/>
  <c r="Q184" i="10"/>
  <c r="R184" i="10"/>
  <c r="S183" i="10" a="1"/>
  <c r="S183" i="10"/>
  <c r="S184" i="10"/>
  <c r="P185" i="10"/>
  <c r="Q185" i="10"/>
  <c r="R185" i="10"/>
  <c r="P186" i="10"/>
  <c r="Q186" i="10"/>
  <c r="R186" i="10"/>
  <c r="M6" i="1"/>
  <c r="K6" i="1"/>
  <c r="L6" i="1"/>
  <c r="R8" i="10"/>
  <c r="R9" i="10"/>
  <c r="R10" i="10"/>
  <c r="R11" i="10"/>
  <c r="R12" i="10"/>
  <c r="R13" i="10"/>
  <c r="R14" i="10"/>
  <c r="R15" i="10"/>
  <c r="S15" i="10" a="1"/>
  <c r="S15" i="10"/>
  <c r="S16" i="10"/>
  <c r="R16" i="10"/>
  <c r="R17" i="10"/>
  <c r="R18" i="10"/>
  <c r="R19" i="10"/>
  <c r="S19" i="10" a="1"/>
  <c r="S19" i="10"/>
  <c r="S20" i="10"/>
  <c r="R20" i="10"/>
  <c r="R21" i="10"/>
  <c r="R22" i="10"/>
  <c r="R23" i="10"/>
  <c r="S23" i="10" a="1"/>
  <c r="S23" i="10"/>
  <c r="S24" i="10"/>
  <c r="R24" i="10"/>
  <c r="R25" i="10"/>
  <c r="R26" i="10"/>
  <c r="R27" i="10"/>
  <c r="S27" i="10" a="1"/>
  <c r="S27" i="10"/>
  <c r="S28" i="10"/>
  <c r="R28" i="10"/>
  <c r="R29" i="10"/>
  <c r="R30" i="10"/>
  <c r="R31" i="10"/>
  <c r="S31" i="10" a="1"/>
  <c r="S31" i="10"/>
  <c r="S32" i="10"/>
  <c r="R32" i="10"/>
  <c r="R33" i="10"/>
  <c r="R34" i="10"/>
  <c r="R35" i="10"/>
  <c r="S35" i="10" a="1"/>
  <c r="S35" i="10"/>
  <c r="S36" i="10"/>
  <c r="R36" i="10"/>
  <c r="R37" i="10"/>
  <c r="R38" i="10"/>
  <c r="R39" i="10"/>
  <c r="S39" i="10" a="1"/>
  <c r="S39" i="10"/>
  <c r="S40" i="10"/>
  <c r="R40" i="10"/>
  <c r="R41" i="10"/>
  <c r="R42" i="10"/>
  <c r="R43" i="10"/>
  <c r="S43" i="10" a="1"/>
  <c r="S43" i="10"/>
  <c r="S44" i="10"/>
  <c r="R44" i="10"/>
  <c r="R45" i="10"/>
  <c r="R46" i="10"/>
  <c r="R47" i="10"/>
  <c r="R48" i="10"/>
  <c r="R49" i="10"/>
  <c r="R50" i="10"/>
  <c r="R51" i="10"/>
  <c r="S51" i="10" a="1"/>
  <c r="S51" i="10"/>
  <c r="S52" i="10"/>
  <c r="R52" i="10"/>
  <c r="R53" i="10"/>
  <c r="R54" i="10"/>
  <c r="R55" i="10"/>
  <c r="R56" i="10"/>
  <c r="R57" i="10"/>
  <c r="R58" i="10"/>
  <c r="R59" i="10"/>
  <c r="S59" i="10" a="1"/>
  <c r="S59" i="10"/>
  <c r="S60" i="10"/>
  <c r="R60" i="10"/>
  <c r="R61" i="10"/>
  <c r="R62" i="10"/>
  <c r="R63" i="10"/>
  <c r="S63" i="10" a="1"/>
  <c r="S63" i="10"/>
  <c r="S64" i="10"/>
  <c r="R64" i="10"/>
  <c r="R65" i="10"/>
  <c r="R66" i="10"/>
  <c r="R67" i="10"/>
  <c r="R68" i="10"/>
  <c r="R69" i="10"/>
  <c r="R70" i="10"/>
  <c r="R71" i="10"/>
  <c r="S71" i="10" a="1"/>
  <c r="S71" i="10"/>
  <c r="S72" i="10"/>
  <c r="R72" i="10"/>
  <c r="R73" i="10"/>
  <c r="R74" i="10"/>
  <c r="R75" i="10"/>
  <c r="S75" i="10" a="1"/>
  <c r="S75" i="10"/>
  <c r="S76" i="10"/>
  <c r="R76" i="10"/>
  <c r="R77" i="10"/>
  <c r="R78" i="10"/>
  <c r="R79" i="10"/>
  <c r="S79" i="10" a="1"/>
  <c r="S79" i="10"/>
  <c r="S80" i="10"/>
  <c r="R80" i="10"/>
  <c r="R81" i="10"/>
  <c r="R82" i="10"/>
  <c r="R83" i="10"/>
  <c r="S83" i="10" a="1"/>
  <c r="S83" i="10"/>
  <c r="S84" i="10"/>
  <c r="R84" i="10"/>
  <c r="R85" i="10"/>
  <c r="R86" i="10"/>
  <c r="R87" i="10"/>
  <c r="S87" i="10" a="1"/>
  <c r="S87" i="10"/>
  <c r="S88" i="10"/>
  <c r="R88" i="10"/>
  <c r="R89" i="10"/>
  <c r="R90" i="10"/>
  <c r="R91" i="10"/>
  <c r="S91" i="10" a="1"/>
  <c r="S91" i="10"/>
  <c r="S92" i="10"/>
  <c r="R92" i="10"/>
  <c r="R93" i="10"/>
  <c r="R94" i="10"/>
  <c r="R95" i="10"/>
  <c r="S95" i="10" a="1"/>
  <c r="S95" i="10"/>
  <c r="S96" i="10"/>
  <c r="R96" i="10"/>
  <c r="R97" i="10"/>
  <c r="R98" i="10"/>
  <c r="R99" i="10"/>
  <c r="S99" i="10" a="1"/>
  <c r="S99" i="10"/>
  <c r="S100" i="10"/>
  <c r="R100" i="10"/>
  <c r="R101" i="10"/>
  <c r="R102" i="10"/>
  <c r="R103" i="10"/>
  <c r="S103" i="10" a="1"/>
  <c r="S103" i="10"/>
  <c r="S104" i="10"/>
  <c r="R104" i="10"/>
  <c r="R105" i="10"/>
  <c r="R106" i="10"/>
  <c r="R107" i="10"/>
  <c r="S107" i="10" a="1"/>
  <c r="S107" i="10"/>
  <c r="S108" i="10"/>
  <c r="R108" i="10"/>
  <c r="R109" i="10"/>
  <c r="R110" i="10"/>
  <c r="R111" i="10"/>
  <c r="S111" i="10" a="1"/>
  <c r="S111" i="10"/>
  <c r="S112" i="10"/>
  <c r="R112" i="10"/>
  <c r="R113" i="10"/>
  <c r="R114" i="10"/>
  <c r="R115" i="10"/>
  <c r="S115" i="10" a="1"/>
  <c r="S115" i="10"/>
  <c r="S116" i="10"/>
  <c r="R116" i="10"/>
  <c r="R117" i="10"/>
  <c r="R118" i="10"/>
  <c r="R119" i="10"/>
  <c r="S119" i="10" a="1"/>
  <c r="S119" i="10"/>
  <c r="S120" i="10"/>
  <c r="R120" i="10"/>
  <c r="R121" i="10"/>
  <c r="R122" i="10"/>
  <c r="R123" i="10"/>
  <c r="S123" i="10" a="1"/>
  <c r="S123" i="10"/>
  <c r="S124" i="10"/>
  <c r="R124" i="10"/>
  <c r="R125" i="10"/>
  <c r="R126" i="10"/>
  <c r="R127" i="10"/>
  <c r="S127" i="10" a="1"/>
  <c r="S127" i="10"/>
  <c r="S128" i="10"/>
  <c r="R128" i="10"/>
  <c r="R129" i="10"/>
  <c r="R130" i="10"/>
  <c r="R131" i="10"/>
  <c r="R132" i="10"/>
  <c r="R133" i="10"/>
  <c r="R134" i="10"/>
  <c r="R135" i="10"/>
  <c r="S135" i="10" a="1"/>
  <c r="S135" i="10"/>
  <c r="S136" i="10"/>
  <c r="R136" i="10"/>
  <c r="R137" i="10"/>
  <c r="R138" i="10"/>
  <c r="R139" i="10"/>
  <c r="S139" i="10" a="1"/>
  <c r="S139" i="10"/>
  <c r="S140" i="10"/>
  <c r="R140" i="10"/>
  <c r="R141" i="10"/>
  <c r="R142" i="10"/>
  <c r="R143" i="10"/>
  <c r="S143" i="10" a="1"/>
  <c r="S143" i="10"/>
  <c r="S144" i="10"/>
  <c r="R144" i="10"/>
  <c r="R145" i="10"/>
  <c r="R146" i="10"/>
  <c r="R147" i="10"/>
  <c r="S147" i="10" a="1"/>
  <c r="S147" i="10"/>
  <c r="S148" i="10"/>
  <c r="R148" i="10"/>
  <c r="R149" i="10"/>
  <c r="R150" i="10"/>
  <c r="S47" i="10" a="1"/>
  <c r="S47" i="10"/>
  <c r="S48" i="10"/>
  <c r="S55" i="10" a="1"/>
  <c r="S55" i="10"/>
  <c r="S56" i="10"/>
  <c r="S67" i="10" a="1"/>
  <c r="S67" i="10"/>
  <c r="S68" i="10"/>
  <c r="S131" i="10" a="1"/>
  <c r="S131" i="10"/>
  <c r="S132" i="10"/>
  <c r="Q8" i="10"/>
  <c r="Q9" i="10"/>
  <c r="Q10" i="10"/>
  <c r="Q12" i="10"/>
  <c r="Q13" i="10"/>
  <c r="Q14" i="10"/>
  <c r="Q16" i="10"/>
  <c r="Q17" i="10"/>
  <c r="Q18" i="10"/>
  <c r="Q20" i="10"/>
  <c r="Q21" i="10"/>
  <c r="Q22" i="10"/>
  <c r="Q24" i="10"/>
  <c r="Q25" i="10"/>
  <c r="Q26" i="10"/>
  <c r="Q28" i="10"/>
  <c r="Q29" i="10"/>
  <c r="Q30" i="10"/>
  <c r="Q32" i="10"/>
  <c r="Q33" i="10"/>
  <c r="Q34" i="10"/>
  <c r="Q36" i="10"/>
  <c r="Q37" i="10"/>
  <c r="Q38" i="10"/>
  <c r="Q40" i="10"/>
  <c r="Q41" i="10"/>
  <c r="Q42" i="10"/>
  <c r="Q44" i="10"/>
  <c r="Q45" i="10"/>
  <c r="Q46" i="10"/>
  <c r="Q48" i="10"/>
  <c r="Q49" i="10"/>
  <c r="Q50" i="10"/>
  <c r="Q52" i="10"/>
  <c r="Q53" i="10"/>
  <c r="Q54" i="10"/>
  <c r="Q56" i="10"/>
  <c r="Q57" i="10"/>
  <c r="Q58" i="10"/>
  <c r="Q60" i="10"/>
  <c r="Q61" i="10"/>
  <c r="Q62" i="10"/>
  <c r="Q64" i="10"/>
  <c r="Q65" i="10"/>
  <c r="Q66" i="10"/>
  <c r="Q68" i="10"/>
  <c r="Q69" i="10"/>
  <c r="Q70" i="10"/>
  <c r="Q72" i="10"/>
  <c r="Q73" i="10"/>
  <c r="Q74" i="10"/>
  <c r="Q76" i="10"/>
  <c r="Q77" i="10"/>
  <c r="Q78" i="10"/>
  <c r="Q80" i="10"/>
  <c r="Q81" i="10"/>
  <c r="Q82" i="10"/>
  <c r="Q84" i="10"/>
  <c r="Q85" i="10"/>
  <c r="Q86" i="10"/>
  <c r="Q88" i="10"/>
  <c r="Q89" i="10"/>
  <c r="Q90" i="10"/>
  <c r="Q92" i="10"/>
  <c r="Q93" i="10"/>
  <c r="Q94" i="10"/>
  <c r="Q96" i="10"/>
  <c r="Q97" i="10"/>
  <c r="Q98" i="10"/>
  <c r="Q100" i="10"/>
  <c r="Q101" i="10"/>
  <c r="Q102" i="10"/>
  <c r="Q104" i="10"/>
  <c r="Q105" i="10"/>
  <c r="Q106" i="10"/>
  <c r="Q108" i="10"/>
  <c r="Q109" i="10"/>
  <c r="Q110" i="10"/>
  <c r="Q112" i="10"/>
  <c r="Q113" i="10"/>
  <c r="Q114" i="10"/>
  <c r="Q116" i="10"/>
  <c r="Q117" i="10"/>
  <c r="Q118" i="10"/>
  <c r="Q120" i="10"/>
  <c r="Q121" i="10"/>
  <c r="Q122" i="10"/>
  <c r="Q124" i="10"/>
  <c r="Q125" i="10"/>
  <c r="Q126" i="10"/>
  <c r="Q128" i="10"/>
  <c r="Q129" i="10"/>
  <c r="Q130" i="10"/>
  <c r="Q132" i="10"/>
  <c r="Q133" i="10"/>
  <c r="Q134" i="10"/>
  <c r="Q136" i="10"/>
  <c r="Q137" i="10"/>
  <c r="Q138" i="10"/>
  <c r="Q140" i="10"/>
  <c r="Q141" i="10"/>
  <c r="Q142" i="10"/>
  <c r="Q144" i="10"/>
  <c r="Q145" i="10"/>
  <c r="Q148" i="10"/>
  <c r="Q149" i="10"/>
  <c r="Q150" i="10"/>
  <c r="P8" i="10"/>
  <c r="P9" i="10"/>
  <c r="P10" i="10"/>
  <c r="P11" i="10"/>
  <c r="Q11" i="10"/>
  <c r="P12" i="10"/>
  <c r="P13" i="10"/>
  <c r="P14" i="10"/>
  <c r="P15" i="10"/>
  <c r="Q15" i="10"/>
  <c r="P16" i="10"/>
  <c r="P17" i="10"/>
  <c r="P18" i="10"/>
  <c r="P19" i="10"/>
  <c r="Q19" i="10"/>
  <c r="P20" i="10"/>
  <c r="P21" i="10"/>
  <c r="P22" i="10"/>
  <c r="P23" i="10"/>
  <c r="Q23" i="10"/>
  <c r="P24" i="10"/>
  <c r="P25" i="10"/>
  <c r="P26" i="10"/>
  <c r="P27" i="10"/>
  <c r="Q27" i="10"/>
  <c r="P28" i="10"/>
  <c r="P29" i="10"/>
  <c r="P30" i="10"/>
  <c r="P31" i="10"/>
  <c r="Q31" i="10"/>
  <c r="P32" i="10"/>
  <c r="P33" i="10"/>
  <c r="P34" i="10"/>
  <c r="P35" i="10"/>
  <c r="Q35" i="10"/>
  <c r="P36" i="10"/>
  <c r="P37" i="10"/>
  <c r="P38" i="10"/>
  <c r="P39" i="10"/>
  <c r="Q39" i="10"/>
  <c r="P40" i="10"/>
  <c r="P41" i="10"/>
  <c r="P42" i="10"/>
  <c r="P43" i="10"/>
  <c r="Q43" i="10"/>
  <c r="P44" i="10"/>
  <c r="P45" i="10"/>
  <c r="P46" i="10"/>
  <c r="P47" i="10"/>
  <c r="Q47" i="10"/>
  <c r="P48" i="10"/>
  <c r="P49" i="10"/>
  <c r="P50" i="10"/>
  <c r="P51" i="10"/>
  <c r="Q51" i="10"/>
  <c r="P52" i="10"/>
  <c r="P53" i="10"/>
  <c r="P54" i="10"/>
  <c r="P55" i="10"/>
  <c r="Q55" i="10"/>
  <c r="P56" i="10"/>
  <c r="P57" i="10"/>
  <c r="P58" i="10"/>
  <c r="P59" i="10"/>
  <c r="Q59" i="10"/>
  <c r="P60" i="10"/>
  <c r="P61" i="10"/>
  <c r="P62" i="10"/>
  <c r="P63" i="10"/>
  <c r="Q63" i="10"/>
  <c r="P64" i="10"/>
  <c r="P65" i="10"/>
  <c r="P66" i="10"/>
  <c r="P67" i="10"/>
  <c r="Q67" i="10"/>
  <c r="P68" i="10"/>
  <c r="P69" i="10"/>
  <c r="P70" i="10"/>
  <c r="P71" i="10"/>
  <c r="Q71" i="10"/>
  <c r="P72" i="10"/>
  <c r="P73" i="10"/>
  <c r="P74" i="10"/>
  <c r="P75" i="10"/>
  <c r="Q75" i="10"/>
  <c r="P76" i="10"/>
  <c r="P77" i="10"/>
  <c r="P78" i="10"/>
  <c r="P79" i="10"/>
  <c r="Q79" i="10"/>
  <c r="P80" i="10"/>
  <c r="P81" i="10"/>
  <c r="P82" i="10"/>
  <c r="P83" i="10"/>
  <c r="Q83" i="10"/>
  <c r="P84" i="10"/>
  <c r="P85" i="10"/>
  <c r="P86" i="10"/>
  <c r="P87" i="10"/>
  <c r="Q87" i="10"/>
  <c r="P88" i="10"/>
  <c r="P89" i="10"/>
  <c r="P90" i="10"/>
  <c r="P91" i="10"/>
  <c r="Q91" i="10"/>
  <c r="P92" i="10"/>
  <c r="P93" i="10"/>
  <c r="P94" i="10"/>
  <c r="P95" i="10"/>
  <c r="Q95" i="10"/>
  <c r="P96" i="10"/>
  <c r="P97" i="10"/>
  <c r="P98" i="10"/>
  <c r="P99" i="10"/>
  <c r="Q99" i="10"/>
  <c r="P100" i="10"/>
  <c r="P101" i="10"/>
  <c r="P102" i="10"/>
  <c r="P103" i="10"/>
  <c r="Q103" i="10"/>
  <c r="P104" i="10"/>
  <c r="P105" i="10"/>
  <c r="P106" i="10"/>
  <c r="P107" i="10"/>
  <c r="Q107" i="10"/>
  <c r="P108" i="10"/>
  <c r="P109" i="10"/>
  <c r="P110" i="10"/>
  <c r="P111" i="10"/>
  <c r="Q111" i="10"/>
  <c r="P112" i="10"/>
  <c r="P113" i="10"/>
  <c r="P114" i="10"/>
  <c r="P115" i="10"/>
  <c r="Q115" i="10"/>
  <c r="P116" i="10"/>
  <c r="P117" i="10"/>
  <c r="P118" i="10"/>
  <c r="P119" i="10"/>
  <c r="Q119" i="10"/>
  <c r="P120" i="10"/>
  <c r="P121" i="10"/>
  <c r="P122" i="10"/>
  <c r="P123" i="10"/>
  <c r="Q123" i="10"/>
  <c r="P124" i="10"/>
  <c r="P125" i="10"/>
  <c r="P126" i="10"/>
  <c r="P127" i="10"/>
  <c r="Q127" i="10"/>
  <c r="P128" i="10"/>
  <c r="P129" i="10"/>
  <c r="P130" i="10"/>
  <c r="P131" i="10"/>
  <c r="Q131" i="10"/>
  <c r="P132" i="10"/>
  <c r="P133" i="10"/>
  <c r="P134" i="10"/>
  <c r="P135" i="10"/>
  <c r="Q135" i="10"/>
  <c r="P136" i="10"/>
  <c r="P137" i="10"/>
  <c r="P138" i="10"/>
  <c r="P139" i="10"/>
  <c r="Q139" i="10"/>
  <c r="P140" i="10"/>
  <c r="P141" i="10"/>
  <c r="P142" i="10"/>
  <c r="P143" i="10"/>
  <c r="Q143" i="10"/>
  <c r="P144" i="10"/>
  <c r="P145" i="10"/>
  <c r="P146" i="10"/>
  <c r="Q146" i="10"/>
  <c r="P147" i="10"/>
  <c r="Q147" i="10"/>
  <c r="P148" i="10"/>
  <c r="P149" i="10"/>
  <c r="P150" i="10"/>
  <c r="O14" i="6"/>
  <c r="H47" i="3"/>
  <c r="H46" i="3"/>
  <c r="G70" i="8"/>
  <c r="X35" i="8"/>
  <c r="X34" i="8"/>
  <c r="K34" i="8"/>
  <c r="X38" i="8"/>
  <c r="X30" i="8"/>
  <c r="X29" i="8"/>
  <c r="X31" i="8"/>
  <c r="X28" i="8"/>
  <c r="K37" i="8"/>
  <c r="K65" i="8"/>
  <c r="G72" i="8"/>
  <c r="G71" i="8"/>
  <c r="G73" i="8"/>
  <c r="K61" i="8"/>
  <c r="K62" i="8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/>
  <c r="R77" i="7"/>
  <c r="S77" i="7"/>
  <c r="R76" i="7"/>
  <c r="S76" i="7"/>
  <c r="R75" i="7"/>
  <c r="S75" i="7"/>
  <c r="R74" i="7"/>
  <c r="S74" i="7"/>
  <c r="R73" i="7"/>
  <c r="S73" i="7"/>
  <c r="R72" i="7"/>
  <c r="S72" i="7"/>
  <c r="R71" i="7"/>
  <c r="S71" i="7"/>
  <c r="R70" i="7"/>
  <c r="S70" i="7"/>
  <c r="R69" i="7"/>
  <c r="S69" i="7"/>
  <c r="R68" i="7"/>
  <c r="S68" i="7"/>
  <c r="R61" i="7"/>
  <c r="S61" i="7"/>
  <c r="R58" i="7"/>
  <c r="S58" i="7"/>
  <c r="R57" i="7"/>
  <c r="S57" i="7"/>
  <c r="R56" i="7"/>
  <c r="S56" i="7"/>
  <c r="R55" i="7"/>
  <c r="S55" i="7"/>
  <c r="R54" i="7"/>
  <c r="S54" i="7"/>
  <c r="S62" i="7"/>
  <c r="R53" i="7"/>
  <c r="S53" i="7"/>
  <c r="R52" i="7"/>
  <c r="S52" i="7"/>
  <c r="R51" i="7"/>
  <c r="S51" i="7"/>
  <c r="R50" i="7"/>
  <c r="S50" i="7"/>
  <c r="R49" i="7"/>
  <c r="S49" i="7"/>
  <c r="J61" i="7"/>
  <c r="K61" i="7"/>
  <c r="J58" i="7"/>
  <c r="K58" i="7"/>
  <c r="J57" i="7"/>
  <c r="K57" i="7"/>
  <c r="J56" i="7"/>
  <c r="K56" i="7"/>
  <c r="K62" i="7"/>
  <c r="J55" i="7"/>
  <c r="K55" i="7"/>
  <c r="J54" i="7"/>
  <c r="K54" i="7"/>
  <c r="J53" i="7"/>
  <c r="K53" i="7"/>
  <c r="J52" i="7"/>
  <c r="K52" i="7"/>
  <c r="J51" i="7"/>
  <c r="K51" i="7"/>
  <c r="J50" i="7"/>
  <c r="K50" i="7"/>
  <c r="J49" i="7"/>
  <c r="K49" i="7"/>
  <c r="B53" i="7"/>
  <c r="B52" i="7"/>
  <c r="B51" i="7"/>
  <c r="B50" i="7"/>
  <c r="B49" i="7"/>
  <c r="B48" i="7"/>
  <c r="S40" i="7"/>
  <c r="T40" i="7"/>
  <c r="S37" i="7"/>
  <c r="T37" i="7"/>
  <c r="S36" i="7"/>
  <c r="T36" i="7"/>
  <c r="S35" i="7"/>
  <c r="T35" i="7"/>
  <c r="S34" i="7"/>
  <c r="T34" i="7"/>
  <c r="S33" i="7"/>
  <c r="T33" i="7"/>
  <c r="S32" i="7"/>
  <c r="T32" i="7"/>
  <c r="S31" i="7"/>
  <c r="T31" i="7"/>
  <c r="S30" i="7"/>
  <c r="T30" i="7"/>
  <c r="S29" i="7"/>
  <c r="T29" i="7"/>
  <c r="S28" i="7"/>
  <c r="T28" i="7"/>
  <c r="T41" i="7"/>
  <c r="S11" i="10" a="1"/>
  <c r="S11" i="10"/>
  <c r="S12" i="10"/>
  <c r="K66" i="8"/>
  <c r="K67" i="8"/>
  <c r="X39" i="8"/>
  <c r="X40" i="8"/>
  <c r="H31" i="8"/>
  <c r="K38" i="8"/>
  <c r="K39" i="8"/>
  <c r="F46" i="6" a="1"/>
  <c r="F46" i="6"/>
  <c r="H46" i="6"/>
  <c r="F47" i="6" a="1"/>
  <c r="F47" i="6"/>
  <c r="H47" i="6"/>
  <c r="F48" i="6" a="1"/>
  <c r="F48" i="6"/>
  <c r="H48" i="6"/>
  <c r="F49" i="6" a="1"/>
  <c r="F49" i="6"/>
  <c r="H49" i="6"/>
  <c r="F50" i="6" a="1"/>
  <c r="F50" i="6"/>
  <c r="H50" i="6"/>
  <c r="F51" i="6" a="1"/>
  <c r="F51" i="6"/>
  <c r="H51" i="6"/>
  <c r="F52" i="6" a="1"/>
  <c r="F52" i="6"/>
  <c r="H52" i="6"/>
  <c r="F53" i="6" a="1"/>
  <c r="F53" i="6"/>
  <c r="H53" i="6"/>
  <c r="F54" i="6" a="1"/>
  <c r="F54" i="6"/>
  <c r="H54" i="6"/>
  <c r="F55" i="6" a="1"/>
  <c r="F55" i="6"/>
  <c r="H55" i="6"/>
  <c r="F56" i="6" a="1"/>
  <c r="F56" i="6"/>
  <c r="H56" i="6"/>
  <c r="F57" i="6" a="1"/>
  <c r="F57" i="6"/>
  <c r="H57" i="6"/>
  <c r="F45" i="6" a="1"/>
  <c r="F45" i="6"/>
  <c r="H45" i="6"/>
  <c r="O30" i="6"/>
  <c r="O33" i="6"/>
  <c r="F49" i="5" a="1"/>
  <c r="F49" i="5"/>
  <c r="H49" i="5"/>
  <c r="F39" i="5" a="1"/>
  <c r="F39" i="5"/>
  <c r="H39" i="5"/>
  <c r="F48" i="5" a="1"/>
  <c r="F48" i="5"/>
  <c r="H48" i="5"/>
  <c r="F47" i="5" a="1"/>
  <c r="F47" i="5"/>
  <c r="H47" i="5"/>
  <c r="F46" i="5" a="1"/>
  <c r="F46" i="5"/>
  <c r="H46" i="5"/>
  <c r="F45" i="5" a="1"/>
  <c r="F45" i="5"/>
  <c r="H45" i="5"/>
  <c r="F44" i="5" a="1"/>
  <c r="F44" i="5"/>
  <c r="H44" i="5"/>
  <c r="F43" i="5" a="1"/>
  <c r="F43" i="5"/>
  <c r="H43" i="5"/>
  <c r="F42" i="5" a="1"/>
  <c r="F42" i="5"/>
  <c r="H42" i="5"/>
  <c r="F41" i="5" a="1"/>
  <c r="F41" i="5"/>
  <c r="H41" i="5"/>
  <c r="F40" i="5" a="1"/>
  <c r="F40" i="5"/>
  <c r="H40" i="5"/>
  <c r="O24" i="5"/>
  <c r="O34" i="5"/>
  <c r="M34" i="5"/>
  <c r="N34" i="5"/>
  <c r="C34" i="5"/>
  <c r="B34" i="5"/>
  <c r="A34" i="5"/>
  <c r="O33" i="5"/>
  <c r="M33" i="5"/>
  <c r="N33" i="5"/>
  <c r="C33" i="5"/>
  <c r="B33" i="5"/>
  <c r="A33" i="5"/>
  <c r="O32" i="5"/>
  <c r="M32" i="5"/>
  <c r="N32" i="5"/>
  <c r="C32" i="5"/>
  <c r="B32" i="5"/>
  <c r="A32" i="5"/>
  <c r="O31" i="5"/>
  <c r="M31" i="5"/>
  <c r="N31" i="5"/>
  <c r="C31" i="5"/>
  <c r="B31" i="5"/>
  <c r="A31" i="5"/>
  <c r="O30" i="5"/>
  <c r="M30" i="5"/>
  <c r="N30" i="5"/>
  <c r="C30" i="5"/>
  <c r="B30" i="5"/>
  <c r="A30" i="5"/>
  <c r="O29" i="5"/>
  <c r="M29" i="5"/>
  <c r="N29" i="5"/>
  <c r="C29" i="5"/>
  <c r="B29" i="5"/>
  <c r="A29" i="5"/>
  <c r="O28" i="5"/>
  <c r="M28" i="5"/>
  <c r="N28" i="5"/>
  <c r="C28" i="5"/>
  <c r="B28" i="5"/>
  <c r="A28" i="5"/>
  <c r="O27" i="5"/>
  <c r="M27" i="5"/>
  <c r="N27" i="5"/>
  <c r="C27" i="5"/>
  <c r="B27" i="5"/>
  <c r="A27" i="5"/>
  <c r="O26" i="5"/>
  <c r="M26" i="5"/>
  <c r="N26" i="5"/>
  <c r="C26" i="5"/>
  <c r="B26" i="5"/>
  <c r="A26" i="5"/>
  <c r="O25" i="5"/>
  <c r="M25" i="5"/>
  <c r="N25" i="5"/>
  <c r="C25" i="5"/>
  <c r="B25" i="5"/>
  <c r="A25" i="5"/>
  <c r="M24" i="5"/>
  <c r="N24" i="5"/>
  <c r="C24" i="5"/>
  <c r="B24" i="5"/>
  <c r="A24" i="5"/>
  <c r="F40" i="4" a="1"/>
  <c r="F40" i="4"/>
  <c r="H40" i="4"/>
  <c r="F41" i="4" a="1"/>
  <c r="F41" i="4"/>
  <c r="H41" i="4"/>
  <c r="F42" i="4" a="1"/>
  <c r="F42" i="4"/>
  <c r="H42" i="4"/>
  <c r="F43" i="4" a="1"/>
  <c r="F43" i="4"/>
  <c r="H43" i="4"/>
  <c r="F44" i="4" a="1"/>
  <c r="F44" i="4"/>
  <c r="H44" i="4"/>
  <c r="F45" i="4" a="1"/>
  <c r="F45" i="4"/>
  <c r="H45" i="4"/>
  <c r="F46" i="4" a="1"/>
  <c r="F46" i="4"/>
  <c r="H46" i="4"/>
  <c r="F47" i="4" a="1"/>
  <c r="F47" i="4"/>
  <c r="H47" i="4"/>
  <c r="F48" i="4" a="1"/>
  <c r="F48" i="4"/>
  <c r="H48" i="4"/>
  <c r="F49" i="4" a="1"/>
  <c r="F49" i="4"/>
  <c r="H49" i="4"/>
  <c r="F39" i="4" a="1"/>
  <c r="F39" i="4"/>
  <c r="H39" i="4"/>
  <c r="O34" i="4"/>
  <c r="M34" i="4"/>
  <c r="N34" i="4"/>
  <c r="C34" i="4"/>
  <c r="B34" i="4"/>
  <c r="A34" i="4"/>
  <c r="O33" i="4"/>
  <c r="M33" i="4"/>
  <c r="N33" i="4"/>
  <c r="C33" i="4"/>
  <c r="B33" i="4"/>
  <c r="A33" i="4"/>
  <c r="O32" i="4"/>
  <c r="M32" i="4"/>
  <c r="N32" i="4"/>
  <c r="C32" i="4"/>
  <c r="B32" i="4"/>
  <c r="A32" i="4"/>
  <c r="O31" i="4"/>
  <c r="M31" i="4"/>
  <c r="N31" i="4"/>
  <c r="C31" i="4"/>
  <c r="B31" i="4"/>
  <c r="A31" i="4"/>
  <c r="O30" i="4"/>
  <c r="M30" i="4"/>
  <c r="N30" i="4"/>
  <c r="C30" i="4"/>
  <c r="B30" i="4"/>
  <c r="A30" i="4"/>
  <c r="O29" i="4"/>
  <c r="M29" i="4"/>
  <c r="N29" i="4"/>
  <c r="C29" i="4"/>
  <c r="B29" i="4"/>
  <c r="A29" i="4"/>
  <c r="O28" i="4"/>
  <c r="M28" i="4"/>
  <c r="N28" i="4"/>
  <c r="C28" i="4"/>
  <c r="B28" i="4"/>
  <c r="A28" i="4"/>
  <c r="O27" i="4"/>
  <c r="M27" i="4"/>
  <c r="N27" i="4"/>
  <c r="C27" i="4"/>
  <c r="B27" i="4"/>
  <c r="A27" i="4"/>
  <c r="O26" i="4"/>
  <c r="M26" i="4"/>
  <c r="N26" i="4"/>
  <c r="C26" i="4"/>
  <c r="B26" i="4"/>
  <c r="A26" i="4"/>
  <c r="O25" i="4"/>
  <c r="M25" i="4"/>
  <c r="N25" i="4"/>
  <c r="C25" i="4"/>
  <c r="B25" i="4"/>
  <c r="A25" i="4"/>
  <c r="O24" i="4"/>
  <c r="M24" i="4"/>
  <c r="N24" i="4"/>
  <c r="C24" i="4"/>
  <c r="B24" i="4"/>
  <c r="A24" i="4"/>
  <c r="F41" i="3" a="1"/>
  <c r="F41" i="3"/>
  <c r="H41" i="3"/>
  <c r="F42" i="3" a="1"/>
  <c r="F42" i="3"/>
  <c r="H42" i="3"/>
  <c r="F43" i="3" a="1"/>
  <c r="F43" i="3"/>
  <c r="H43" i="3"/>
  <c r="F44" i="3" a="1"/>
  <c r="F44" i="3"/>
  <c r="H44" i="3"/>
  <c r="F45" i="3" a="1"/>
  <c r="F45" i="3"/>
  <c r="H45" i="3"/>
  <c r="F46" i="3" a="1"/>
  <c r="F46" i="3"/>
  <c r="F47" i="3" a="1"/>
  <c r="F47" i="3"/>
  <c r="F48" i="3" a="1"/>
  <c r="F48" i="3"/>
  <c r="H48" i="3"/>
  <c r="F49" i="3" a="1"/>
  <c r="F49" i="3"/>
  <c r="H49" i="3"/>
  <c r="F50" i="3" a="1"/>
  <c r="F50" i="3"/>
  <c r="H50" i="3"/>
  <c r="F40" i="3" a="1"/>
  <c r="F40" i="3"/>
  <c r="H40" i="3"/>
  <c r="K33" i="8"/>
  <c r="O35" i="3"/>
  <c r="M35" i="3"/>
  <c r="N35" i="3"/>
  <c r="C35" i="3"/>
  <c r="B35" i="3"/>
  <c r="A35" i="3"/>
  <c r="O34" i="3"/>
  <c r="M34" i="3"/>
  <c r="N34" i="3"/>
  <c r="C34" i="3"/>
  <c r="B34" i="3"/>
  <c r="A34" i="3"/>
  <c r="O33" i="3"/>
  <c r="M33" i="3"/>
  <c r="N33" i="3"/>
  <c r="C33" i="3"/>
  <c r="B33" i="3"/>
  <c r="A33" i="3"/>
  <c r="O32" i="3"/>
  <c r="M32" i="3"/>
  <c r="N32" i="3"/>
  <c r="C32" i="3"/>
  <c r="B32" i="3"/>
  <c r="A32" i="3"/>
  <c r="O31" i="3"/>
  <c r="M31" i="3"/>
  <c r="N31" i="3"/>
  <c r="C31" i="3"/>
  <c r="B31" i="3"/>
  <c r="A31" i="3"/>
  <c r="O30" i="3"/>
  <c r="M30" i="3"/>
  <c r="N30" i="3"/>
  <c r="C30" i="3"/>
  <c r="B30" i="3"/>
  <c r="A30" i="3"/>
  <c r="O29" i="3"/>
  <c r="M29" i="3"/>
  <c r="N29" i="3"/>
  <c r="C29" i="3"/>
  <c r="B29" i="3"/>
  <c r="A29" i="3"/>
  <c r="O28" i="3"/>
  <c r="M28" i="3"/>
  <c r="N28" i="3"/>
  <c r="C28" i="3"/>
  <c r="B28" i="3"/>
  <c r="A28" i="3"/>
  <c r="O27" i="3"/>
  <c r="M27" i="3"/>
  <c r="N27" i="3"/>
  <c r="C27" i="3"/>
  <c r="B27" i="3"/>
  <c r="A27" i="3"/>
  <c r="O26" i="3"/>
  <c r="M26" i="3"/>
  <c r="N26" i="3"/>
  <c r="C26" i="3"/>
  <c r="B26" i="3"/>
  <c r="A26" i="3"/>
  <c r="O25" i="3"/>
  <c r="M25" i="3"/>
  <c r="N25" i="3"/>
  <c r="C25" i="3"/>
  <c r="B25" i="3"/>
  <c r="A25" i="3"/>
  <c r="S20" i="7"/>
  <c r="T20" i="7"/>
  <c r="S17" i="7"/>
  <c r="T17" i="7"/>
  <c r="S16" i="7"/>
  <c r="T16" i="7"/>
  <c r="S15" i="7"/>
  <c r="T15" i="7"/>
  <c r="S14" i="7"/>
  <c r="T14" i="7"/>
  <c r="S13" i="7"/>
  <c r="T13" i="7"/>
  <c r="S12" i="7"/>
  <c r="T12" i="7"/>
  <c r="S11" i="7"/>
  <c r="T11" i="7"/>
  <c r="S10" i="7"/>
  <c r="T10" i="7"/>
  <c r="S9" i="7"/>
  <c r="T9" i="7"/>
  <c r="S8" i="7"/>
  <c r="T8" i="7"/>
  <c r="B13" i="7"/>
  <c r="B9" i="7"/>
  <c r="B10" i="7"/>
  <c r="B11" i="7"/>
  <c r="B12" i="7"/>
  <c r="B8" i="7"/>
  <c r="O39" i="6"/>
  <c r="M39" i="6"/>
  <c r="N39" i="6"/>
  <c r="C39" i="6"/>
  <c r="B39" i="6"/>
  <c r="A39" i="6"/>
  <c r="O38" i="6"/>
  <c r="M38" i="6"/>
  <c r="N38" i="6"/>
  <c r="C38" i="6"/>
  <c r="B38" i="6"/>
  <c r="A38" i="6"/>
  <c r="O37" i="6"/>
  <c r="M37" i="6"/>
  <c r="N37" i="6"/>
  <c r="C37" i="6"/>
  <c r="B37" i="6"/>
  <c r="A37" i="6"/>
  <c r="O36" i="6"/>
  <c r="M36" i="6"/>
  <c r="N36" i="6"/>
  <c r="C36" i="6"/>
  <c r="B36" i="6"/>
  <c r="A36" i="6"/>
  <c r="O35" i="6"/>
  <c r="M35" i="6"/>
  <c r="N35" i="6"/>
  <c r="C35" i="6"/>
  <c r="B35" i="6"/>
  <c r="A35" i="6"/>
  <c r="O34" i="6"/>
  <c r="M34" i="6"/>
  <c r="N34" i="6"/>
  <c r="C34" i="6"/>
  <c r="B34" i="6"/>
  <c r="A34" i="6"/>
  <c r="M33" i="6"/>
  <c r="N33" i="6"/>
  <c r="C33" i="6"/>
  <c r="B33" i="6"/>
  <c r="A33" i="6"/>
  <c r="O32" i="6"/>
  <c r="M32" i="6"/>
  <c r="N32" i="6"/>
  <c r="C32" i="6"/>
  <c r="B32" i="6"/>
  <c r="A32" i="6"/>
  <c r="O31" i="6"/>
  <c r="M31" i="6"/>
  <c r="N31" i="6"/>
  <c r="C31" i="6"/>
  <c r="B31" i="6"/>
  <c r="A31" i="6"/>
  <c r="M30" i="6"/>
  <c r="N30" i="6"/>
  <c r="C30" i="6"/>
  <c r="B30" i="6"/>
  <c r="A30" i="6"/>
  <c r="O29" i="6"/>
  <c r="M29" i="6"/>
  <c r="N29" i="6"/>
  <c r="C29" i="6"/>
  <c r="B29" i="6"/>
  <c r="A29" i="6"/>
  <c r="O28" i="6"/>
  <c r="M28" i="6"/>
  <c r="N28" i="6"/>
  <c r="C28" i="6"/>
  <c r="B28" i="6"/>
  <c r="A28" i="6"/>
  <c r="O27" i="6"/>
  <c r="M27" i="6"/>
  <c r="N27" i="6"/>
  <c r="C27" i="6"/>
  <c r="B27" i="6"/>
  <c r="A27" i="6"/>
  <c r="J20" i="7"/>
  <c r="K20" i="7"/>
  <c r="J9" i="7"/>
  <c r="K9" i="7"/>
  <c r="J10" i="7"/>
  <c r="K10" i="7"/>
  <c r="J11" i="7"/>
  <c r="K11" i="7"/>
  <c r="J12" i="7"/>
  <c r="K12" i="7"/>
  <c r="J13" i="7"/>
  <c r="K13" i="7"/>
  <c r="J14" i="7"/>
  <c r="K14" i="7"/>
  <c r="J15" i="7"/>
  <c r="K15" i="7"/>
  <c r="J16" i="7"/>
  <c r="K16" i="7"/>
  <c r="J17" i="7"/>
  <c r="K17" i="7"/>
  <c r="J8" i="7"/>
  <c r="K8" i="7"/>
  <c r="K21" i="7"/>
  <c r="T21" i="7"/>
  <c r="C9" i="3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/>
  <c r="N20" i="6"/>
  <c r="O20" i="6"/>
  <c r="A20" i="6"/>
  <c r="B20" i="6"/>
  <c r="C20" i="6"/>
  <c r="M19" i="6"/>
  <c r="N19" i="6"/>
  <c r="A14" i="6"/>
  <c r="B14" i="6"/>
  <c r="C14" i="6"/>
  <c r="M14" i="6"/>
  <c r="N14" i="6"/>
  <c r="A9" i="6"/>
  <c r="A10" i="6"/>
  <c r="A11" i="6"/>
  <c r="A12" i="6"/>
  <c r="A13" i="6"/>
  <c r="A15" i="6"/>
  <c r="A16" i="6"/>
  <c r="A17" i="6"/>
  <c r="A18" i="6"/>
  <c r="A19" i="6"/>
  <c r="A8" i="6"/>
  <c r="K16" i="1"/>
  <c r="L1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/>
  <c r="O17" i="6"/>
  <c r="M17" i="6"/>
  <c r="N17" i="6"/>
  <c r="O16" i="6"/>
  <c r="M16" i="6"/>
  <c r="N16" i="6"/>
  <c r="O15" i="6"/>
  <c r="M15" i="6"/>
  <c r="N15" i="6"/>
  <c r="C15" i="6"/>
  <c r="O13" i="6"/>
  <c r="M13" i="6"/>
  <c r="N13" i="6"/>
  <c r="C13" i="6"/>
  <c r="O12" i="6"/>
  <c r="M12" i="6"/>
  <c r="N12" i="6"/>
  <c r="C12" i="6"/>
  <c r="O11" i="6"/>
  <c r="M11" i="6"/>
  <c r="N11" i="6"/>
  <c r="C11" i="6"/>
  <c r="O10" i="6"/>
  <c r="M10" i="6"/>
  <c r="N10" i="6"/>
  <c r="C10" i="6"/>
  <c r="O9" i="6"/>
  <c r="M9" i="6"/>
  <c r="N9" i="6"/>
  <c r="C9" i="6"/>
  <c r="O8" i="6"/>
  <c r="M8" i="6"/>
  <c r="N8" i="6"/>
  <c r="C9" i="4"/>
  <c r="C10" i="4"/>
  <c r="C11" i="4"/>
  <c r="C12" i="4"/>
  <c r="C13" i="4"/>
  <c r="C14" i="4"/>
  <c r="C15" i="4"/>
  <c r="C16" i="4"/>
  <c r="C17" i="4"/>
  <c r="C18" i="4"/>
  <c r="O18" i="5"/>
  <c r="M18" i="5"/>
  <c r="N18" i="5"/>
  <c r="O17" i="5"/>
  <c r="M17" i="5"/>
  <c r="N17" i="5"/>
  <c r="O16" i="5"/>
  <c r="M16" i="5"/>
  <c r="N16" i="5"/>
  <c r="O15" i="5"/>
  <c r="M15" i="5"/>
  <c r="N15" i="5"/>
  <c r="O14" i="5"/>
  <c r="M14" i="5"/>
  <c r="N14" i="5"/>
  <c r="O13" i="5"/>
  <c r="M13" i="5"/>
  <c r="N13" i="5"/>
  <c r="O12" i="5"/>
  <c r="M12" i="5"/>
  <c r="N12" i="5"/>
  <c r="O11" i="5"/>
  <c r="M11" i="5"/>
  <c r="N11" i="5"/>
  <c r="O10" i="5"/>
  <c r="M10" i="5"/>
  <c r="N10" i="5"/>
  <c r="O9" i="5"/>
  <c r="M9" i="5"/>
  <c r="N9" i="5"/>
  <c r="O8" i="5"/>
  <c r="M8" i="5"/>
  <c r="N8" i="5"/>
  <c r="O18" i="4"/>
  <c r="M18" i="4"/>
  <c r="N18" i="4"/>
  <c r="O17" i="4"/>
  <c r="M17" i="4"/>
  <c r="N17" i="4"/>
  <c r="O16" i="4"/>
  <c r="M16" i="4"/>
  <c r="N16" i="4"/>
  <c r="O15" i="4"/>
  <c r="M15" i="4"/>
  <c r="N15" i="4"/>
  <c r="O14" i="4"/>
  <c r="M14" i="4"/>
  <c r="N14" i="4"/>
  <c r="O13" i="4"/>
  <c r="M13" i="4"/>
  <c r="N13" i="4"/>
  <c r="O12" i="4"/>
  <c r="M12" i="4"/>
  <c r="N12" i="4"/>
  <c r="O11" i="4"/>
  <c r="M11" i="4"/>
  <c r="N11" i="4"/>
  <c r="O10" i="4"/>
  <c r="M10" i="4"/>
  <c r="N10" i="4"/>
  <c r="O9" i="4"/>
  <c r="M9" i="4"/>
  <c r="N9" i="4"/>
  <c r="O8" i="4"/>
  <c r="M8" i="4"/>
  <c r="N8" i="4"/>
  <c r="B9" i="3"/>
  <c r="B10" i="3"/>
  <c r="B11" i="3"/>
  <c r="B12" i="3"/>
  <c r="B13" i="3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BF100" i="2"/>
  <c r="BF101" i="2"/>
  <c r="BF102" i="2"/>
  <c r="BF103" i="2"/>
  <c r="BF104" i="2"/>
  <c r="BF105" i="2"/>
  <c r="BF106" i="2"/>
  <c r="BF107" i="2"/>
  <c r="BV7" i="2"/>
  <c r="BV8" i="2"/>
  <c r="BV9" i="2"/>
  <c r="BV10" i="2"/>
  <c r="BN7" i="2"/>
  <c r="BN8" i="2"/>
  <c r="BN9" i="2"/>
  <c r="BN10" i="2"/>
  <c r="BF7" i="2"/>
  <c r="BF8" i="2"/>
  <c r="BF9" i="2"/>
  <c r="BF10" i="2"/>
  <c r="O18" i="3"/>
  <c r="M18" i="3"/>
  <c r="N18" i="3"/>
  <c r="B15" i="3"/>
  <c r="B16" i="3"/>
  <c r="B17" i="3"/>
  <c r="B18" i="3"/>
  <c r="B14" i="3"/>
  <c r="B8" i="3"/>
  <c r="M9" i="3"/>
  <c r="N9" i="3"/>
  <c r="O9" i="3"/>
  <c r="M10" i="3"/>
  <c r="N10" i="3"/>
  <c r="O10" i="3"/>
  <c r="M11" i="3"/>
  <c r="O11" i="3"/>
  <c r="M12" i="3"/>
  <c r="N12" i="3"/>
  <c r="O12" i="3"/>
  <c r="M13" i="3"/>
  <c r="N13" i="3"/>
  <c r="O13" i="3"/>
  <c r="M14" i="3"/>
  <c r="N14" i="3"/>
  <c r="O14" i="3"/>
  <c r="M15" i="3"/>
  <c r="N15" i="3"/>
  <c r="O15" i="3"/>
  <c r="M16" i="3"/>
  <c r="N16" i="3"/>
  <c r="O16" i="3"/>
  <c r="M17" i="3"/>
  <c r="N17" i="3"/>
  <c r="O17" i="3"/>
  <c r="O8" i="3"/>
  <c r="M8" i="3"/>
  <c r="N8" i="3"/>
  <c r="N11" i="3"/>
  <c r="Q7" i="1"/>
  <c r="Q8" i="1"/>
  <c r="Q9" i="1"/>
  <c r="Q6" i="1"/>
  <c r="Q28" i="1"/>
  <c r="Q29" i="1"/>
  <c r="Q30" i="1"/>
  <c r="Q27" i="1"/>
  <c r="Q17" i="1"/>
  <c r="Q18" i="1"/>
  <c r="Q19" i="1"/>
  <c r="Q16" i="1"/>
  <c r="K19" i="1"/>
  <c r="G11" i="1" a="1"/>
  <c r="G11" i="1"/>
  <c r="G12" i="1"/>
  <c r="G32" i="1" a="1"/>
  <c r="G32" i="1"/>
  <c r="G33" i="1"/>
  <c r="M30" i="1"/>
  <c r="K30" i="1"/>
  <c r="L30" i="1"/>
  <c r="R30" i="1"/>
  <c r="M29" i="1"/>
  <c r="K29" i="1"/>
  <c r="L29" i="1"/>
  <c r="M28" i="1"/>
  <c r="K28" i="1"/>
  <c r="L28" i="1"/>
  <c r="M27" i="1"/>
  <c r="K27" i="1"/>
  <c r="L27" i="1"/>
  <c r="G21" i="1" a="1"/>
  <c r="G21" i="1"/>
  <c r="G22" i="1"/>
  <c r="K9" i="1"/>
  <c r="L19" i="1"/>
  <c r="R19" i="1"/>
  <c r="M19" i="1"/>
  <c r="M18" i="1"/>
  <c r="K18" i="1"/>
  <c r="L18" i="1"/>
  <c r="M17" i="1"/>
  <c r="K17" i="1"/>
  <c r="L17" i="1"/>
  <c r="M16" i="1"/>
  <c r="L32" i="1" a="1"/>
  <c r="L32" i="1"/>
  <c r="L33" i="1"/>
  <c r="L21" i="1" a="1"/>
  <c r="L21" i="1"/>
  <c r="L22" i="1"/>
  <c r="N10" i="1"/>
  <c r="L9" i="1"/>
  <c r="S9" i="1"/>
  <c r="R27" i="1"/>
  <c r="S27" i="1"/>
  <c r="S16" i="1"/>
  <c r="R16" i="1"/>
  <c r="S17" i="1"/>
  <c r="R17" i="1"/>
  <c r="R18" i="1"/>
  <c r="S18" i="1"/>
  <c r="S19" i="1"/>
  <c r="S30" i="1"/>
  <c r="R29" i="1"/>
  <c r="S29" i="1"/>
  <c r="R28" i="1"/>
  <c r="S28" i="1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X7" i="2"/>
  <c r="AX8" i="2"/>
  <c r="AX9" i="2"/>
  <c r="AP7" i="2"/>
  <c r="AP8" i="2"/>
  <c r="AP9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8" i="2"/>
  <c r="AH7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7" i="2"/>
  <c r="Z8" i="2"/>
  <c r="Z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7" i="2"/>
  <c r="R8" i="2"/>
  <c r="R9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7" i="2"/>
  <c r="J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8" i="2"/>
  <c r="B7" i="2"/>
  <c r="M7" i="1"/>
  <c r="M8" i="1"/>
  <c r="M9" i="1"/>
  <c r="K8" i="1"/>
  <c r="L8" i="1"/>
  <c r="R6" i="1"/>
  <c r="K7" i="1"/>
  <c r="L7" i="1"/>
  <c r="L11" i="1" a="1"/>
  <c r="L11" i="1"/>
  <c r="L12" i="1"/>
  <c r="R9" i="1"/>
  <c r="R7" i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<sst xmlns="http://schemas.openxmlformats.org/spreadsheetml/2006/main" count="733" uniqueCount="141">
  <si>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</si>
  <si>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</si>
  <si>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</si>
  <si>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</si>
  <si>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</si>
  <si>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</si>
  <si>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</si>
  <si>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</si>
  <si>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</si>
  <si>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</si>
  <si>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</si>
  <si>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</si>
  <si>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</si>
  <si>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</si>
  <si>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</si>
  <si>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</si>
  <si>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</si>
  <si>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</si>
  <si>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</si>
  <si>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</si>
  <si>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</si>
  <si>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</si>
  <si>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</si>
  <si>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</si>
  <si>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</si>
  <si>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</si>
  <si>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</si>
  <si>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</si>
  <si>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</si>
  <si>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</si>
  <si>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</si>
  <si>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</si>
  <si>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</si>
  <si>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</si>
  <si>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</si>
  <si>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</si>
  <si>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</si>
  <si>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</si>
  <si>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</si>
  <si>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</si>
  <si>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</si>
  <si>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</si>
  <si>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</si>
  <si>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</si>
  <si>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</si>
  <si>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</si>
  <si>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</si>
  <si>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</si>
  <si>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</si>
  <si>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</si>
  <si>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</si>
  <si>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</si>
  <si>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</si>
  <si>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</si>
  <si>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</si>
  <si>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</si>
  <si>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</si>
  <si>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</si>
  <si>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</si>
  <si>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</si>
  <si>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</si>
  <si>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</si>
  <si>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</si>
  <si>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</si>
  <si>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</si>
  <si>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</si>
  <si>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</si>
  <si>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</si>
  <si>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</si>
  <si>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</si>
  <si>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</si>
  <si>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</si>
  <si>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</si>
  <si>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</si>
  <si>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</si>
  <si>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</si>
  <si>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</si>
  <si>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</si>
  <si>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</si>
  <si>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</si>
  <si>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</si>
  <si>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</si>
  <si>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</si>
  <si>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</si>
  <si>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</si>
  <si>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</si>
  <si>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</si>
  <si>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</si>
  <si>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</si>
  <si>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</si>
  <si>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</si>
  <si>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</si>
  <si>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</si>
  <si>
    <t>comp_idx</t>
  </si>
  <si>
    <t>temperature_K</t>
  </si>
  <si>
    <t>frac_Li</t>
  </si>
  <si>
    <t>frac_K</t>
  </si>
  <si>
    <t>frac_Na</t>
  </si>
  <si>
    <t>timestep</t>
  </si>
  <si>
    <t>c_nat_1</t>
  </si>
  <si>
    <t>c_nat_2</t>
  </si>
  <si>
    <t>c_nat_3</t>
  </si>
  <si>
    <t>c_nat_4</t>
  </si>
  <si>
    <t>total E</t>
  </si>
  <si>
    <t>T_K</t>
  </si>
  <si>
    <t>v_rVis_mean</t>
  </si>
  <si>
    <t>v_rVis_std</t>
  </si>
  <si>
    <t>n_avg</t>
  </si>
  <si>
    <t>last_timestep</t>
  </si>
  <si>
    <t>stdev</t>
  </si>
  <si>
    <t>Mean</t>
  </si>
  <si>
    <t>and</t>
  </si>
  <si>
    <t>sample</t>
  </si>
  <si>
    <t>std</t>
  </si>
  <si>
    <t>(n-1)</t>
  </si>
  <si>
    <t>of</t>
  </si>
  <si>
    <t>last</t>
  </si>
  <si>
    <t>values</t>
  </si>
  <si>
    <t>per</t>
  </si>
  <si>
    <t>composition</t>
  </si>
  <si>
    <t>temperature</t>
  </si>
  <si>
    <t>long avg</t>
  </si>
  <si>
    <t>going forward with 0.06</t>
  </si>
  <si>
    <t>EXPT-NaCl</t>
  </si>
  <si>
    <t>frac error</t>
  </si>
  <si>
    <t>abs error</t>
  </si>
  <si>
    <t>Parameters:</t>
  </si>
  <si>
    <t>A_0_Li-K</t>
  </si>
  <si>
    <t>=</t>
  </si>
  <si>
    <t>B_0_Li-K</t>
  </si>
  <si>
    <t>A_1_Li-K</t>
  </si>
  <si>
    <t>B_1_Li-K</t>
  </si>
  <si>
    <t>A_0_Li-Na</t>
  </si>
  <si>
    <t>B_0_Li-Na</t>
  </si>
  <si>
    <t>A_1_Li-Na</t>
  </si>
  <si>
    <t>B_1_Li-Na</t>
  </si>
  <si>
    <t>A_0_K-Na</t>
  </si>
  <si>
    <t>B_0_K-Na</t>
  </si>
  <si>
    <t>A_1_K-Na</t>
  </si>
  <si>
    <t>B_1_K-Na</t>
  </si>
  <si>
    <t>c_pvir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</si>
</sst>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1497.86</c:v>
                </c:pt>
                <c:pt idx="1">
                  <c:v>1402.36</c:v>
                </c:pt>
                <c:pt idx="2">
                  <c:v>1300.1400000000001</c:v>
                </c:pt>
                <c:pt idx="3">
                  <c:v>1200.19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1.3961029787803736</c:v>
                </c:pt>
                <c:pt idx="1">
                  <c:v>1.4202973269908852</c:v>
                </c:pt>
                <c:pt idx="2">
                  <c:v>1.4460465120101076</c:v>
                </c:pt>
                <c:pt idx="3">
                  <c:v>1.4736484235648788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18C'!$B$45:$B$144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18C'!$D$45:$D$144</c:f>
              <c:numCache>
                <c:formatCode>General</c:formatCode>
                <c:ptCount val="100"/>
                <c:pt idx="0">
                  <c:v>-2099.64</c:v>
                </c:pt>
                <c:pt idx="1">
                  <c:v>-2145.98</c:v>
                </c:pt>
                <c:pt idx="2">
                  <c:v>-2163.04</c:v>
                </c:pt>
                <c:pt idx="3">
                  <c:v>-2180.87</c:v>
                </c:pt>
                <c:pt idx="4">
                  <c:v>-2187.0100000000002</c:v>
                </c:pt>
                <c:pt idx="5">
                  <c:v>-2203.7600000000002</c:v>
                </c:pt>
                <c:pt idx="6">
                  <c:v>-2223.7600000000002</c:v>
                </c:pt>
                <c:pt idx="7">
                  <c:v>-2228.0300000000002</c:v>
                </c:pt>
                <c:pt idx="8">
                  <c:v>-2244.73</c:v>
                </c:pt>
                <c:pt idx="9">
                  <c:v>-2247.13</c:v>
                </c:pt>
                <c:pt idx="10">
                  <c:v>-2259.14</c:v>
                </c:pt>
                <c:pt idx="11">
                  <c:v>-2249.84</c:v>
                </c:pt>
                <c:pt idx="12">
                  <c:v>-2250.34</c:v>
                </c:pt>
                <c:pt idx="13">
                  <c:v>-2252.08</c:v>
                </c:pt>
                <c:pt idx="14">
                  <c:v>-2257.1999999999998</c:v>
                </c:pt>
                <c:pt idx="15">
                  <c:v>-2255.2399999999998</c:v>
                </c:pt>
                <c:pt idx="16">
                  <c:v>-2258.71</c:v>
                </c:pt>
                <c:pt idx="17">
                  <c:v>-2252.2199999999998</c:v>
                </c:pt>
                <c:pt idx="18">
                  <c:v>-2256.91</c:v>
                </c:pt>
                <c:pt idx="19">
                  <c:v>-2254.64</c:v>
                </c:pt>
                <c:pt idx="20">
                  <c:v>-2252.8200000000002</c:v>
                </c:pt>
                <c:pt idx="21">
                  <c:v>-2251.48</c:v>
                </c:pt>
                <c:pt idx="22">
                  <c:v>-2259.4499999999998</c:v>
                </c:pt>
                <c:pt idx="23">
                  <c:v>-2260.59</c:v>
                </c:pt>
                <c:pt idx="24">
                  <c:v>-2252.7399999999998</c:v>
                </c:pt>
                <c:pt idx="25">
                  <c:v>-2257.66</c:v>
                </c:pt>
                <c:pt idx="26">
                  <c:v>-2255.83</c:v>
                </c:pt>
                <c:pt idx="27">
                  <c:v>-2265.71</c:v>
                </c:pt>
                <c:pt idx="28">
                  <c:v>-2259.7600000000002</c:v>
                </c:pt>
                <c:pt idx="29">
                  <c:v>-2258.0300000000002</c:v>
                </c:pt>
                <c:pt idx="30">
                  <c:v>-2255.23</c:v>
                </c:pt>
                <c:pt idx="31">
                  <c:v>-2252</c:v>
                </c:pt>
                <c:pt idx="32">
                  <c:v>-2251.6999999999998</c:v>
                </c:pt>
                <c:pt idx="33">
                  <c:v>-2255.2600000000002</c:v>
                </c:pt>
                <c:pt idx="34">
                  <c:v>-2261.85</c:v>
                </c:pt>
                <c:pt idx="35">
                  <c:v>-2257.65</c:v>
                </c:pt>
                <c:pt idx="36">
                  <c:v>-2262.15</c:v>
                </c:pt>
                <c:pt idx="37">
                  <c:v>-2267.29</c:v>
                </c:pt>
                <c:pt idx="38">
                  <c:v>-2264.5</c:v>
                </c:pt>
                <c:pt idx="39">
                  <c:v>-2262.4899999999998</c:v>
                </c:pt>
                <c:pt idx="40">
                  <c:v>-2248.5300000000002</c:v>
                </c:pt>
                <c:pt idx="41">
                  <c:v>-2255.06</c:v>
                </c:pt>
                <c:pt idx="42">
                  <c:v>-2251.34</c:v>
                </c:pt>
                <c:pt idx="43">
                  <c:v>-2256.4499999999998</c:v>
                </c:pt>
                <c:pt idx="44">
                  <c:v>-2255.36</c:v>
                </c:pt>
                <c:pt idx="45">
                  <c:v>-2254.1799999999998</c:v>
                </c:pt>
                <c:pt idx="46">
                  <c:v>-2253.67</c:v>
                </c:pt>
                <c:pt idx="47">
                  <c:v>-2256.16</c:v>
                </c:pt>
                <c:pt idx="48">
                  <c:v>-2253.86</c:v>
                </c:pt>
                <c:pt idx="49">
                  <c:v>-2256.16</c:v>
                </c:pt>
                <c:pt idx="50">
                  <c:v>-2260.92</c:v>
                </c:pt>
                <c:pt idx="51">
                  <c:v>-2253.98</c:v>
                </c:pt>
                <c:pt idx="52">
                  <c:v>-2261.88</c:v>
                </c:pt>
                <c:pt idx="53">
                  <c:v>-2261.86</c:v>
                </c:pt>
                <c:pt idx="54">
                  <c:v>-2248.54</c:v>
                </c:pt>
                <c:pt idx="55">
                  <c:v>-2255.0700000000002</c:v>
                </c:pt>
                <c:pt idx="56">
                  <c:v>-2257.8000000000002</c:v>
                </c:pt>
                <c:pt idx="57">
                  <c:v>-2248.5500000000002</c:v>
                </c:pt>
                <c:pt idx="58">
                  <c:v>-2256.75</c:v>
                </c:pt>
                <c:pt idx="59">
                  <c:v>-2253.81</c:v>
                </c:pt>
                <c:pt idx="60">
                  <c:v>-2257.56</c:v>
                </c:pt>
                <c:pt idx="61">
                  <c:v>-2257.4899999999998</c:v>
                </c:pt>
                <c:pt idx="62">
                  <c:v>-2263.9499999999998</c:v>
                </c:pt>
                <c:pt idx="63">
                  <c:v>-2256.04</c:v>
                </c:pt>
                <c:pt idx="64">
                  <c:v>-2252.7399999999998</c:v>
                </c:pt>
                <c:pt idx="65">
                  <c:v>-2258.67</c:v>
                </c:pt>
                <c:pt idx="66">
                  <c:v>-2257.42</c:v>
                </c:pt>
                <c:pt idx="67">
                  <c:v>-2255.7600000000002</c:v>
                </c:pt>
                <c:pt idx="68">
                  <c:v>-2263.4699999999998</c:v>
                </c:pt>
                <c:pt idx="69">
                  <c:v>-2254.52</c:v>
                </c:pt>
                <c:pt idx="70">
                  <c:v>-2255.16</c:v>
                </c:pt>
                <c:pt idx="71">
                  <c:v>-2259.86</c:v>
                </c:pt>
                <c:pt idx="72">
                  <c:v>-2258.46</c:v>
                </c:pt>
                <c:pt idx="73">
                  <c:v>-2255.81</c:v>
                </c:pt>
                <c:pt idx="74">
                  <c:v>-2256.1999999999998</c:v>
                </c:pt>
                <c:pt idx="75">
                  <c:v>-2265.31</c:v>
                </c:pt>
                <c:pt idx="76">
                  <c:v>-2258.44</c:v>
                </c:pt>
                <c:pt idx="77">
                  <c:v>-2264.7199999999998</c:v>
                </c:pt>
                <c:pt idx="78">
                  <c:v>-2261.17</c:v>
                </c:pt>
                <c:pt idx="79">
                  <c:v>-2263.12</c:v>
                </c:pt>
                <c:pt idx="80">
                  <c:v>-2260.39</c:v>
                </c:pt>
                <c:pt idx="81">
                  <c:v>-2251.38</c:v>
                </c:pt>
                <c:pt idx="82">
                  <c:v>-2253.81</c:v>
                </c:pt>
                <c:pt idx="83">
                  <c:v>-2250.06</c:v>
                </c:pt>
                <c:pt idx="84">
                  <c:v>-2260.65</c:v>
                </c:pt>
                <c:pt idx="85">
                  <c:v>-2262.2199999999998</c:v>
                </c:pt>
                <c:pt idx="86">
                  <c:v>-2266.7600000000002</c:v>
                </c:pt>
                <c:pt idx="87">
                  <c:v>-2259.94</c:v>
                </c:pt>
                <c:pt idx="88">
                  <c:v>-2260.2199999999998</c:v>
                </c:pt>
                <c:pt idx="89">
                  <c:v>-2256.25</c:v>
                </c:pt>
                <c:pt idx="90">
                  <c:v>-2255.0700000000002</c:v>
                </c:pt>
                <c:pt idx="91">
                  <c:v>-2255.63</c:v>
                </c:pt>
                <c:pt idx="92">
                  <c:v>-2252.6999999999998</c:v>
                </c:pt>
                <c:pt idx="93">
                  <c:v>-2255.86</c:v>
                </c:pt>
                <c:pt idx="94">
                  <c:v>-2251.06</c:v>
                </c:pt>
                <c:pt idx="95">
                  <c:v>-2263.5</c:v>
                </c:pt>
                <c:pt idx="96">
                  <c:v>-2258.7199999999998</c:v>
                </c:pt>
                <c:pt idx="97">
                  <c:v>-2260.4899999999998</c:v>
                </c:pt>
                <c:pt idx="98">
                  <c:v>-2256.67</c:v>
                </c:pt>
                <c:pt idx="99">
                  <c:v>-2255.15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18C'!$B$45:$B$244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'LiKNaCl MTP 18C'!$E$45:$E$244</c:f>
              <c:numCache>
                <c:formatCode>General</c:formatCode>
                <c:ptCount val="200"/>
                <c:pt idx="0">
                  <c:v>70535</c:v>
                </c:pt>
                <c:pt idx="1">
                  <c:v>66380.3</c:v>
                </c:pt>
                <c:pt idx="2">
                  <c:v>62823.4</c:v>
                </c:pt>
                <c:pt idx="3">
                  <c:v>60024.2</c:v>
                </c:pt>
                <c:pt idx="4">
                  <c:v>57645.9</c:v>
                </c:pt>
                <c:pt idx="5">
                  <c:v>55545.1</c:v>
                </c:pt>
                <c:pt idx="6">
                  <c:v>53652.9</c:v>
                </c:pt>
                <c:pt idx="7">
                  <c:v>52228.1</c:v>
                </c:pt>
                <c:pt idx="8">
                  <c:v>51166.2</c:v>
                </c:pt>
                <c:pt idx="9">
                  <c:v>50311.6</c:v>
                </c:pt>
                <c:pt idx="10">
                  <c:v>49871.7</c:v>
                </c:pt>
                <c:pt idx="11">
                  <c:v>49736.7</c:v>
                </c:pt>
                <c:pt idx="12">
                  <c:v>49829.7</c:v>
                </c:pt>
                <c:pt idx="13">
                  <c:v>49867.199999999997</c:v>
                </c:pt>
                <c:pt idx="14">
                  <c:v>49788.7</c:v>
                </c:pt>
                <c:pt idx="15">
                  <c:v>49631</c:v>
                </c:pt>
                <c:pt idx="16">
                  <c:v>49593.9</c:v>
                </c:pt>
                <c:pt idx="17">
                  <c:v>49461.9</c:v>
                </c:pt>
                <c:pt idx="18">
                  <c:v>49471.1</c:v>
                </c:pt>
                <c:pt idx="19">
                  <c:v>49559.3</c:v>
                </c:pt>
                <c:pt idx="20">
                  <c:v>49706.3</c:v>
                </c:pt>
                <c:pt idx="21">
                  <c:v>49840.7</c:v>
                </c:pt>
                <c:pt idx="22">
                  <c:v>49850</c:v>
                </c:pt>
                <c:pt idx="23">
                  <c:v>49759.4</c:v>
                </c:pt>
                <c:pt idx="24">
                  <c:v>49656.3</c:v>
                </c:pt>
                <c:pt idx="25">
                  <c:v>49708.2</c:v>
                </c:pt>
                <c:pt idx="26">
                  <c:v>49757.4</c:v>
                </c:pt>
                <c:pt idx="27">
                  <c:v>49640.6</c:v>
                </c:pt>
                <c:pt idx="28">
                  <c:v>49544.2</c:v>
                </c:pt>
                <c:pt idx="29">
                  <c:v>49579.199999999997</c:v>
                </c:pt>
                <c:pt idx="30">
                  <c:v>49699.8</c:v>
                </c:pt>
                <c:pt idx="31">
                  <c:v>49741.8</c:v>
                </c:pt>
                <c:pt idx="32">
                  <c:v>49837.3</c:v>
                </c:pt>
                <c:pt idx="33">
                  <c:v>49944.800000000003</c:v>
                </c:pt>
                <c:pt idx="34">
                  <c:v>49971.3</c:v>
                </c:pt>
                <c:pt idx="35">
                  <c:v>49672.9</c:v>
                </c:pt>
                <c:pt idx="36">
                  <c:v>49396.800000000003</c:v>
                </c:pt>
                <c:pt idx="37">
                  <c:v>49252.6</c:v>
                </c:pt>
                <c:pt idx="38">
                  <c:v>49340.3</c:v>
                </c:pt>
                <c:pt idx="39">
                  <c:v>49520.2</c:v>
                </c:pt>
                <c:pt idx="40">
                  <c:v>49671.3</c:v>
                </c:pt>
                <c:pt idx="41">
                  <c:v>49774.1</c:v>
                </c:pt>
                <c:pt idx="42">
                  <c:v>49730</c:v>
                </c:pt>
                <c:pt idx="43">
                  <c:v>49547</c:v>
                </c:pt>
                <c:pt idx="44">
                  <c:v>49435.199999999997</c:v>
                </c:pt>
                <c:pt idx="45">
                  <c:v>49412.4</c:v>
                </c:pt>
                <c:pt idx="46">
                  <c:v>49482.400000000001</c:v>
                </c:pt>
                <c:pt idx="47">
                  <c:v>49663.9</c:v>
                </c:pt>
                <c:pt idx="48">
                  <c:v>49768.3</c:v>
                </c:pt>
                <c:pt idx="49">
                  <c:v>49771</c:v>
                </c:pt>
                <c:pt idx="50">
                  <c:v>49780.7</c:v>
                </c:pt>
                <c:pt idx="51">
                  <c:v>49720.800000000003</c:v>
                </c:pt>
                <c:pt idx="52">
                  <c:v>49842.1</c:v>
                </c:pt>
                <c:pt idx="53">
                  <c:v>49766.1</c:v>
                </c:pt>
                <c:pt idx="54">
                  <c:v>49665.1</c:v>
                </c:pt>
                <c:pt idx="55">
                  <c:v>49473.599999999999</c:v>
                </c:pt>
                <c:pt idx="56">
                  <c:v>49310.6</c:v>
                </c:pt>
                <c:pt idx="57">
                  <c:v>49423.9</c:v>
                </c:pt>
                <c:pt idx="58">
                  <c:v>49677.3</c:v>
                </c:pt>
                <c:pt idx="59">
                  <c:v>49860.800000000003</c:v>
                </c:pt>
                <c:pt idx="60">
                  <c:v>49796.6</c:v>
                </c:pt>
                <c:pt idx="61">
                  <c:v>49571.8</c:v>
                </c:pt>
                <c:pt idx="62">
                  <c:v>49459</c:v>
                </c:pt>
                <c:pt idx="63">
                  <c:v>49619.3</c:v>
                </c:pt>
                <c:pt idx="64">
                  <c:v>49790.6</c:v>
                </c:pt>
                <c:pt idx="65">
                  <c:v>49933.2</c:v>
                </c:pt>
                <c:pt idx="66">
                  <c:v>50065.5</c:v>
                </c:pt>
                <c:pt idx="67">
                  <c:v>49902.5</c:v>
                </c:pt>
                <c:pt idx="68">
                  <c:v>49454.400000000001</c:v>
                </c:pt>
                <c:pt idx="69">
                  <c:v>49246.5</c:v>
                </c:pt>
                <c:pt idx="70">
                  <c:v>49295.6</c:v>
                </c:pt>
                <c:pt idx="71">
                  <c:v>49476.1</c:v>
                </c:pt>
                <c:pt idx="72">
                  <c:v>49793.599999999999</c:v>
                </c:pt>
                <c:pt idx="73">
                  <c:v>49755</c:v>
                </c:pt>
                <c:pt idx="74">
                  <c:v>49660.3</c:v>
                </c:pt>
                <c:pt idx="75">
                  <c:v>49547.3</c:v>
                </c:pt>
                <c:pt idx="76">
                  <c:v>49530.2</c:v>
                </c:pt>
                <c:pt idx="77">
                  <c:v>49547</c:v>
                </c:pt>
                <c:pt idx="78">
                  <c:v>49391</c:v>
                </c:pt>
                <c:pt idx="79">
                  <c:v>49352.800000000003</c:v>
                </c:pt>
                <c:pt idx="80">
                  <c:v>49553.9</c:v>
                </c:pt>
                <c:pt idx="81">
                  <c:v>49812.4</c:v>
                </c:pt>
                <c:pt idx="82">
                  <c:v>50025.8</c:v>
                </c:pt>
                <c:pt idx="83">
                  <c:v>50082.5</c:v>
                </c:pt>
                <c:pt idx="84">
                  <c:v>49843.199999999997</c:v>
                </c:pt>
                <c:pt idx="85">
                  <c:v>49410.2</c:v>
                </c:pt>
                <c:pt idx="86">
                  <c:v>49072.5</c:v>
                </c:pt>
                <c:pt idx="87">
                  <c:v>49090.2</c:v>
                </c:pt>
                <c:pt idx="88">
                  <c:v>49321.3</c:v>
                </c:pt>
                <c:pt idx="89">
                  <c:v>49614</c:v>
                </c:pt>
                <c:pt idx="90">
                  <c:v>49876.800000000003</c:v>
                </c:pt>
                <c:pt idx="91">
                  <c:v>49898.3</c:v>
                </c:pt>
                <c:pt idx="92">
                  <c:v>49737.7</c:v>
                </c:pt>
                <c:pt idx="93">
                  <c:v>49638.3</c:v>
                </c:pt>
                <c:pt idx="94">
                  <c:v>49519.8</c:v>
                </c:pt>
                <c:pt idx="95">
                  <c:v>49440.1</c:v>
                </c:pt>
                <c:pt idx="96">
                  <c:v>49525.599999999999</c:v>
                </c:pt>
                <c:pt idx="97">
                  <c:v>49761.3</c:v>
                </c:pt>
                <c:pt idx="98">
                  <c:v>50052.2</c:v>
                </c:pt>
                <c:pt idx="99">
                  <c:v>50030.400000000001</c:v>
                </c:pt>
                <c:pt idx="100">
                  <c:v>49776.2</c:v>
                </c:pt>
                <c:pt idx="101">
                  <c:v>49441.3</c:v>
                </c:pt>
                <c:pt idx="102">
                  <c:v>49274.7</c:v>
                </c:pt>
                <c:pt idx="103">
                  <c:v>49194.400000000001</c:v>
                </c:pt>
                <c:pt idx="104">
                  <c:v>49314.3</c:v>
                </c:pt>
                <c:pt idx="105">
                  <c:v>49561.1</c:v>
                </c:pt>
                <c:pt idx="106">
                  <c:v>49691.1</c:v>
                </c:pt>
                <c:pt idx="107">
                  <c:v>49646.1</c:v>
                </c:pt>
                <c:pt idx="108">
                  <c:v>49657.1</c:v>
                </c:pt>
                <c:pt idx="109">
                  <c:v>49772.2</c:v>
                </c:pt>
                <c:pt idx="110">
                  <c:v>49782.6</c:v>
                </c:pt>
                <c:pt idx="111">
                  <c:v>49815.9</c:v>
                </c:pt>
                <c:pt idx="112">
                  <c:v>49847.3</c:v>
                </c:pt>
                <c:pt idx="113">
                  <c:v>49633.4</c:v>
                </c:pt>
                <c:pt idx="114">
                  <c:v>49399.4</c:v>
                </c:pt>
                <c:pt idx="115">
                  <c:v>49246.7</c:v>
                </c:pt>
                <c:pt idx="116">
                  <c:v>49234.400000000001</c:v>
                </c:pt>
                <c:pt idx="117">
                  <c:v>49602.7</c:v>
                </c:pt>
                <c:pt idx="118">
                  <c:v>49967.1</c:v>
                </c:pt>
                <c:pt idx="119">
                  <c:v>50090.1</c:v>
                </c:pt>
                <c:pt idx="120">
                  <c:v>49858.400000000001</c:v>
                </c:pt>
                <c:pt idx="121">
                  <c:v>49588.6</c:v>
                </c:pt>
                <c:pt idx="122">
                  <c:v>49405.1</c:v>
                </c:pt>
                <c:pt idx="123">
                  <c:v>49238</c:v>
                </c:pt>
                <c:pt idx="124">
                  <c:v>49230.6</c:v>
                </c:pt>
                <c:pt idx="125">
                  <c:v>49387.9</c:v>
                </c:pt>
                <c:pt idx="126">
                  <c:v>49636.800000000003</c:v>
                </c:pt>
                <c:pt idx="127">
                  <c:v>49820.7</c:v>
                </c:pt>
                <c:pt idx="128">
                  <c:v>50167.8</c:v>
                </c:pt>
                <c:pt idx="129">
                  <c:v>50118.9</c:v>
                </c:pt>
                <c:pt idx="130">
                  <c:v>49798.7</c:v>
                </c:pt>
                <c:pt idx="131">
                  <c:v>49430.9</c:v>
                </c:pt>
                <c:pt idx="132">
                  <c:v>49355.199999999997</c:v>
                </c:pt>
                <c:pt idx="133">
                  <c:v>49362.5</c:v>
                </c:pt>
                <c:pt idx="134">
                  <c:v>49446.2</c:v>
                </c:pt>
                <c:pt idx="135">
                  <c:v>49682.3</c:v>
                </c:pt>
                <c:pt idx="136">
                  <c:v>49854.400000000001</c:v>
                </c:pt>
                <c:pt idx="137">
                  <c:v>49676.6</c:v>
                </c:pt>
                <c:pt idx="138">
                  <c:v>49483.7</c:v>
                </c:pt>
                <c:pt idx="139">
                  <c:v>49346.3</c:v>
                </c:pt>
                <c:pt idx="140">
                  <c:v>49322.6</c:v>
                </c:pt>
                <c:pt idx="141">
                  <c:v>49421</c:v>
                </c:pt>
                <c:pt idx="142">
                  <c:v>49675.3</c:v>
                </c:pt>
                <c:pt idx="143">
                  <c:v>49970.400000000001</c:v>
                </c:pt>
                <c:pt idx="144">
                  <c:v>50145.7</c:v>
                </c:pt>
                <c:pt idx="145">
                  <c:v>50015.5</c:v>
                </c:pt>
                <c:pt idx="146">
                  <c:v>49682.5</c:v>
                </c:pt>
                <c:pt idx="147">
                  <c:v>49336.5</c:v>
                </c:pt>
                <c:pt idx="148">
                  <c:v>49239.6</c:v>
                </c:pt>
                <c:pt idx="149">
                  <c:v>49448.800000000003</c:v>
                </c:pt>
                <c:pt idx="150">
                  <c:v>49759.8</c:v>
                </c:pt>
                <c:pt idx="151">
                  <c:v>50075.6</c:v>
                </c:pt>
                <c:pt idx="152">
                  <c:v>50157.2</c:v>
                </c:pt>
                <c:pt idx="153">
                  <c:v>49884.800000000003</c:v>
                </c:pt>
                <c:pt idx="154">
                  <c:v>49559.6</c:v>
                </c:pt>
                <c:pt idx="155">
                  <c:v>49342.9</c:v>
                </c:pt>
                <c:pt idx="156">
                  <c:v>49259.9</c:v>
                </c:pt>
                <c:pt idx="157">
                  <c:v>49358.5</c:v>
                </c:pt>
                <c:pt idx="158">
                  <c:v>49432.9</c:v>
                </c:pt>
                <c:pt idx="159">
                  <c:v>49575.3</c:v>
                </c:pt>
                <c:pt idx="160">
                  <c:v>49740</c:v>
                </c:pt>
                <c:pt idx="161">
                  <c:v>49680.7</c:v>
                </c:pt>
                <c:pt idx="162">
                  <c:v>49591.4</c:v>
                </c:pt>
                <c:pt idx="163">
                  <c:v>49521.3</c:v>
                </c:pt>
                <c:pt idx="164">
                  <c:v>49858.5</c:v>
                </c:pt>
                <c:pt idx="165">
                  <c:v>50165.4</c:v>
                </c:pt>
                <c:pt idx="166">
                  <c:v>50110.400000000001</c:v>
                </c:pt>
                <c:pt idx="167">
                  <c:v>49882.1</c:v>
                </c:pt>
                <c:pt idx="168">
                  <c:v>49592.2</c:v>
                </c:pt>
                <c:pt idx="169">
                  <c:v>49381.4</c:v>
                </c:pt>
                <c:pt idx="170">
                  <c:v>49396.4</c:v>
                </c:pt>
                <c:pt idx="171">
                  <c:v>49571.1</c:v>
                </c:pt>
                <c:pt idx="172">
                  <c:v>49778.8</c:v>
                </c:pt>
                <c:pt idx="173">
                  <c:v>49861</c:v>
                </c:pt>
                <c:pt idx="174">
                  <c:v>49716.2</c:v>
                </c:pt>
                <c:pt idx="175">
                  <c:v>49453.9</c:v>
                </c:pt>
                <c:pt idx="176">
                  <c:v>49183.5</c:v>
                </c:pt>
                <c:pt idx="177">
                  <c:v>49274.5</c:v>
                </c:pt>
                <c:pt idx="178">
                  <c:v>49592.7</c:v>
                </c:pt>
                <c:pt idx="179">
                  <c:v>49897.599999999999</c:v>
                </c:pt>
                <c:pt idx="180">
                  <c:v>50078</c:v>
                </c:pt>
                <c:pt idx="181">
                  <c:v>50165.599999999999</c:v>
                </c:pt>
                <c:pt idx="182">
                  <c:v>49973.8</c:v>
                </c:pt>
                <c:pt idx="183">
                  <c:v>49601.8</c:v>
                </c:pt>
                <c:pt idx="184">
                  <c:v>49303.199999999997</c:v>
                </c:pt>
                <c:pt idx="185">
                  <c:v>49204.9</c:v>
                </c:pt>
                <c:pt idx="186">
                  <c:v>49231</c:v>
                </c:pt>
                <c:pt idx="187">
                  <c:v>49266.8</c:v>
                </c:pt>
                <c:pt idx="188">
                  <c:v>49501.9</c:v>
                </c:pt>
                <c:pt idx="189">
                  <c:v>49597.599999999999</c:v>
                </c:pt>
                <c:pt idx="190">
                  <c:v>49546.400000000001</c:v>
                </c:pt>
                <c:pt idx="191">
                  <c:v>49456.6</c:v>
                </c:pt>
                <c:pt idx="192">
                  <c:v>49511.1</c:v>
                </c:pt>
                <c:pt idx="193">
                  <c:v>49619</c:v>
                </c:pt>
                <c:pt idx="194">
                  <c:v>49666.2</c:v>
                </c:pt>
                <c:pt idx="195">
                  <c:v>49512.2</c:v>
                </c:pt>
                <c:pt idx="196">
                  <c:v>49240.2</c:v>
                </c:pt>
                <c:pt idx="197">
                  <c:v>49061.8</c:v>
                </c:pt>
                <c:pt idx="198">
                  <c:v>49199.3</c:v>
                </c:pt>
                <c:pt idx="199">
                  <c:v>49484.800000000003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18C'!$R$45:$R$101</c:f>
              <c:numCache>
                <c:formatCode>General</c:formatCode>
                <c:ptCount val="5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</c:numCache>
            </c:numRef>
          </c:xVal>
          <c:yVal>
            <c:numRef>
              <c:f>'LiKNaCl MTP 18C'!$U$45:$U$101</c:f>
              <c:numCache>
                <c:formatCode>General</c:formatCode>
                <c:ptCount val="57"/>
                <c:pt idx="0">
                  <c:v>53887.1</c:v>
                </c:pt>
                <c:pt idx="1">
                  <c:v>54330.1</c:v>
                </c:pt>
                <c:pt idx="2">
                  <c:v>53965.8</c:v>
                </c:pt>
                <c:pt idx="3">
                  <c:v>54345.2</c:v>
                </c:pt>
                <c:pt idx="4">
                  <c:v>54039.6</c:v>
                </c:pt>
                <c:pt idx="5">
                  <c:v>54154.3</c:v>
                </c:pt>
                <c:pt idx="6">
                  <c:v>53566.7</c:v>
                </c:pt>
                <c:pt idx="7">
                  <c:v>53610.9</c:v>
                </c:pt>
                <c:pt idx="8">
                  <c:v>54206.9</c:v>
                </c:pt>
                <c:pt idx="9">
                  <c:v>53468.1</c:v>
                </c:pt>
                <c:pt idx="10">
                  <c:v>54065.3</c:v>
                </c:pt>
                <c:pt idx="11">
                  <c:v>53461.3</c:v>
                </c:pt>
                <c:pt idx="12">
                  <c:v>54227.7</c:v>
                </c:pt>
                <c:pt idx="13">
                  <c:v>53630.1</c:v>
                </c:pt>
                <c:pt idx="14">
                  <c:v>53335.8</c:v>
                </c:pt>
                <c:pt idx="15">
                  <c:v>53988.7</c:v>
                </c:pt>
                <c:pt idx="16">
                  <c:v>54010.3</c:v>
                </c:pt>
                <c:pt idx="17">
                  <c:v>54082.1</c:v>
                </c:pt>
                <c:pt idx="18">
                  <c:v>54108.6</c:v>
                </c:pt>
                <c:pt idx="19">
                  <c:v>54155.6</c:v>
                </c:pt>
                <c:pt idx="20">
                  <c:v>52854.7</c:v>
                </c:pt>
                <c:pt idx="21">
                  <c:v>53897.9</c:v>
                </c:pt>
                <c:pt idx="22">
                  <c:v>53756.7</c:v>
                </c:pt>
                <c:pt idx="23">
                  <c:v>54303.1</c:v>
                </c:pt>
                <c:pt idx="24">
                  <c:v>53816.5</c:v>
                </c:pt>
                <c:pt idx="25">
                  <c:v>54430.2</c:v>
                </c:pt>
                <c:pt idx="26">
                  <c:v>53312.9</c:v>
                </c:pt>
                <c:pt idx="27">
                  <c:v>54605.599999999999</c:v>
                </c:pt>
                <c:pt idx="28">
                  <c:v>54418.7</c:v>
                </c:pt>
                <c:pt idx="29">
                  <c:v>53770.2</c:v>
                </c:pt>
                <c:pt idx="30">
                  <c:v>54197.5</c:v>
                </c:pt>
                <c:pt idx="31">
                  <c:v>54116.2</c:v>
                </c:pt>
                <c:pt idx="32">
                  <c:v>54202.400000000001</c:v>
                </c:pt>
                <c:pt idx="33">
                  <c:v>54228.4</c:v>
                </c:pt>
                <c:pt idx="34">
                  <c:v>53988</c:v>
                </c:pt>
                <c:pt idx="35">
                  <c:v>53376.4</c:v>
                </c:pt>
                <c:pt idx="36">
                  <c:v>54433.4</c:v>
                </c:pt>
                <c:pt idx="37">
                  <c:v>54056.1</c:v>
                </c:pt>
                <c:pt idx="38">
                  <c:v>53955</c:v>
                </c:pt>
                <c:pt idx="39">
                  <c:v>53236.800000000003</c:v>
                </c:pt>
                <c:pt idx="40">
                  <c:v>53273.7</c:v>
                </c:pt>
                <c:pt idx="41">
                  <c:v>53715.4</c:v>
                </c:pt>
                <c:pt idx="42">
                  <c:v>54146.8</c:v>
                </c:pt>
                <c:pt idx="43">
                  <c:v>54082.8</c:v>
                </c:pt>
                <c:pt idx="44">
                  <c:v>54186.9</c:v>
                </c:pt>
                <c:pt idx="45">
                  <c:v>54133.599999999999</c:v>
                </c:pt>
                <c:pt idx="46">
                  <c:v>53600.800000000003</c:v>
                </c:pt>
                <c:pt idx="47">
                  <c:v>53519</c:v>
                </c:pt>
                <c:pt idx="48">
                  <c:v>53880.6</c:v>
                </c:pt>
                <c:pt idx="49">
                  <c:v>54316.1</c:v>
                </c:pt>
                <c:pt idx="50">
                  <c:v>53441.4</c:v>
                </c:pt>
                <c:pt idx="51">
                  <c:v>54406.2</c:v>
                </c:pt>
                <c:pt idx="52">
                  <c:v>54131.5</c:v>
                </c:pt>
                <c:pt idx="53">
                  <c:v>54411.6</c:v>
                </c:pt>
                <c:pt idx="54">
                  <c:v>53870.6</c:v>
                </c:pt>
                <c:pt idx="55">
                  <c:v>53995.1</c:v>
                </c:pt>
                <c:pt idx="56">
                  <c:v>54443.199999999997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A3-FB4D-BC7D-1D9F76D794E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18C'!$AC$45:$AC$133</c:f>
              <c:numCache>
                <c:formatCode>General</c:formatCode>
                <c:ptCount val="8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</c:numCache>
            </c:numRef>
          </c:xVal>
          <c:yVal>
            <c:numRef>
              <c:f>'LiKNaCl MTP 18C'!$AF$45:$AF$133</c:f>
              <c:numCache>
                <c:formatCode>General</c:formatCode>
                <c:ptCount val="89"/>
                <c:pt idx="0">
                  <c:v>53602.6</c:v>
                </c:pt>
                <c:pt idx="1">
                  <c:v>53759.6</c:v>
                </c:pt>
                <c:pt idx="2">
                  <c:v>53934.7</c:v>
                </c:pt>
                <c:pt idx="3">
                  <c:v>54164.800000000003</c:v>
                </c:pt>
                <c:pt idx="4">
                  <c:v>54329</c:v>
                </c:pt>
                <c:pt idx="5">
                  <c:v>54431.3</c:v>
                </c:pt>
                <c:pt idx="6">
                  <c:v>54452.3</c:v>
                </c:pt>
                <c:pt idx="7">
                  <c:v>54420.7</c:v>
                </c:pt>
                <c:pt idx="8">
                  <c:v>54278.5</c:v>
                </c:pt>
                <c:pt idx="9">
                  <c:v>54031.7</c:v>
                </c:pt>
                <c:pt idx="10">
                  <c:v>53774.2</c:v>
                </c:pt>
                <c:pt idx="11">
                  <c:v>53598.6</c:v>
                </c:pt>
                <c:pt idx="12">
                  <c:v>53455.4</c:v>
                </c:pt>
                <c:pt idx="13">
                  <c:v>53277.8</c:v>
                </c:pt>
                <c:pt idx="14">
                  <c:v>53239.4</c:v>
                </c:pt>
                <c:pt idx="15">
                  <c:v>53366.9</c:v>
                </c:pt>
                <c:pt idx="16">
                  <c:v>53636</c:v>
                </c:pt>
                <c:pt idx="17">
                  <c:v>53935.7</c:v>
                </c:pt>
                <c:pt idx="18">
                  <c:v>54303.9</c:v>
                </c:pt>
                <c:pt idx="19">
                  <c:v>54678</c:v>
                </c:pt>
                <c:pt idx="20">
                  <c:v>55000.4</c:v>
                </c:pt>
                <c:pt idx="21">
                  <c:v>55155.4</c:v>
                </c:pt>
                <c:pt idx="22">
                  <c:v>55085.5</c:v>
                </c:pt>
                <c:pt idx="23">
                  <c:v>54655.4</c:v>
                </c:pt>
                <c:pt idx="24">
                  <c:v>53954.1</c:v>
                </c:pt>
                <c:pt idx="25">
                  <c:v>53220</c:v>
                </c:pt>
                <c:pt idx="26">
                  <c:v>52759</c:v>
                </c:pt>
                <c:pt idx="27">
                  <c:v>52605.9</c:v>
                </c:pt>
                <c:pt idx="28">
                  <c:v>52738.6</c:v>
                </c:pt>
                <c:pt idx="29">
                  <c:v>53084.800000000003</c:v>
                </c:pt>
                <c:pt idx="30">
                  <c:v>53435.8</c:v>
                </c:pt>
                <c:pt idx="31">
                  <c:v>53754.5</c:v>
                </c:pt>
                <c:pt idx="32">
                  <c:v>54036.5</c:v>
                </c:pt>
                <c:pt idx="33">
                  <c:v>54313.2</c:v>
                </c:pt>
                <c:pt idx="34">
                  <c:v>54497.9</c:v>
                </c:pt>
                <c:pt idx="35">
                  <c:v>54566.3</c:v>
                </c:pt>
                <c:pt idx="36">
                  <c:v>54540.7</c:v>
                </c:pt>
                <c:pt idx="37">
                  <c:v>54431.3</c:v>
                </c:pt>
                <c:pt idx="38">
                  <c:v>54244.6</c:v>
                </c:pt>
                <c:pt idx="39">
                  <c:v>54046.2</c:v>
                </c:pt>
                <c:pt idx="40">
                  <c:v>53807.6</c:v>
                </c:pt>
                <c:pt idx="41">
                  <c:v>53570.7</c:v>
                </c:pt>
                <c:pt idx="42">
                  <c:v>53384.4</c:v>
                </c:pt>
                <c:pt idx="43">
                  <c:v>53261.3</c:v>
                </c:pt>
                <c:pt idx="44">
                  <c:v>53283.6</c:v>
                </c:pt>
                <c:pt idx="45">
                  <c:v>53458.9</c:v>
                </c:pt>
                <c:pt idx="46">
                  <c:v>53695.6</c:v>
                </c:pt>
                <c:pt idx="47">
                  <c:v>54042.3</c:v>
                </c:pt>
                <c:pt idx="48">
                  <c:v>54349.2</c:v>
                </c:pt>
                <c:pt idx="49">
                  <c:v>54591.3</c:v>
                </c:pt>
                <c:pt idx="50">
                  <c:v>54749.599999999999</c:v>
                </c:pt>
                <c:pt idx="51">
                  <c:v>54717.9</c:v>
                </c:pt>
                <c:pt idx="52">
                  <c:v>54516.6</c:v>
                </c:pt>
                <c:pt idx="53">
                  <c:v>54211.1</c:v>
                </c:pt>
                <c:pt idx="54">
                  <c:v>53816.2</c:v>
                </c:pt>
                <c:pt idx="55">
                  <c:v>53431.9</c:v>
                </c:pt>
                <c:pt idx="56">
                  <c:v>53202.7</c:v>
                </c:pt>
                <c:pt idx="57">
                  <c:v>53123.1</c:v>
                </c:pt>
                <c:pt idx="58">
                  <c:v>53231.199999999997</c:v>
                </c:pt>
                <c:pt idx="59">
                  <c:v>53492</c:v>
                </c:pt>
                <c:pt idx="60">
                  <c:v>53751.3</c:v>
                </c:pt>
                <c:pt idx="61">
                  <c:v>54032</c:v>
                </c:pt>
                <c:pt idx="62">
                  <c:v>54307.9</c:v>
                </c:pt>
                <c:pt idx="63">
                  <c:v>54484.5</c:v>
                </c:pt>
                <c:pt idx="64">
                  <c:v>54537.4</c:v>
                </c:pt>
                <c:pt idx="65">
                  <c:v>54464.3</c:v>
                </c:pt>
                <c:pt idx="66">
                  <c:v>54391.199999999997</c:v>
                </c:pt>
                <c:pt idx="67">
                  <c:v>54220.2</c:v>
                </c:pt>
                <c:pt idx="68">
                  <c:v>53990.3</c:v>
                </c:pt>
                <c:pt idx="69">
                  <c:v>53698.9</c:v>
                </c:pt>
                <c:pt idx="70">
                  <c:v>53481.7</c:v>
                </c:pt>
                <c:pt idx="71">
                  <c:v>53366.8</c:v>
                </c:pt>
                <c:pt idx="72">
                  <c:v>53417.5</c:v>
                </c:pt>
                <c:pt idx="73">
                  <c:v>53656.5</c:v>
                </c:pt>
                <c:pt idx="74">
                  <c:v>54007.6</c:v>
                </c:pt>
                <c:pt idx="75">
                  <c:v>54260.7</c:v>
                </c:pt>
                <c:pt idx="76">
                  <c:v>54330.1</c:v>
                </c:pt>
                <c:pt idx="77">
                  <c:v>54351.199999999997</c:v>
                </c:pt>
                <c:pt idx="78">
                  <c:v>54300.800000000003</c:v>
                </c:pt>
                <c:pt idx="79">
                  <c:v>54245.5</c:v>
                </c:pt>
                <c:pt idx="80">
                  <c:v>54170.9</c:v>
                </c:pt>
                <c:pt idx="81">
                  <c:v>54065</c:v>
                </c:pt>
                <c:pt idx="82">
                  <c:v>53905</c:v>
                </c:pt>
                <c:pt idx="83">
                  <c:v>53695.3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A3-FB4D-BC7D-1D9F76D794E3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18C'!$AN$45:$AN$231</c:f>
              <c:numCache>
                <c:formatCode>General</c:formatCode>
                <c:ptCount val="18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</c:numCache>
            </c:numRef>
          </c:xVal>
          <c:yVal>
            <c:numRef>
              <c:f>'LiKNaCl MTP 18C'!$AQ$45:$AQ$231</c:f>
              <c:numCache>
                <c:formatCode>General</c:formatCode>
                <c:ptCount val="187"/>
                <c:pt idx="0">
                  <c:v>47649.1</c:v>
                </c:pt>
                <c:pt idx="1">
                  <c:v>49598.9</c:v>
                </c:pt>
                <c:pt idx="2">
                  <c:v>51067.199999999997</c:v>
                </c:pt>
                <c:pt idx="3">
                  <c:v>52203.8</c:v>
                </c:pt>
                <c:pt idx="4">
                  <c:v>53232.3</c:v>
                </c:pt>
                <c:pt idx="5">
                  <c:v>53907.4</c:v>
                </c:pt>
                <c:pt idx="6">
                  <c:v>54317.5</c:v>
                </c:pt>
                <c:pt idx="7">
                  <c:v>54526.6</c:v>
                </c:pt>
                <c:pt idx="8">
                  <c:v>54572.3</c:v>
                </c:pt>
                <c:pt idx="9">
                  <c:v>54479.3</c:v>
                </c:pt>
                <c:pt idx="10">
                  <c:v>54319.1</c:v>
                </c:pt>
                <c:pt idx="11">
                  <c:v>54201.4</c:v>
                </c:pt>
                <c:pt idx="12">
                  <c:v>54035.7</c:v>
                </c:pt>
                <c:pt idx="13">
                  <c:v>53916.3</c:v>
                </c:pt>
                <c:pt idx="14">
                  <c:v>53805.9</c:v>
                </c:pt>
                <c:pt idx="15">
                  <c:v>53761.8</c:v>
                </c:pt>
                <c:pt idx="16">
                  <c:v>53718.5</c:v>
                </c:pt>
                <c:pt idx="17">
                  <c:v>53681.8</c:v>
                </c:pt>
                <c:pt idx="18">
                  <c:v>53612.7</c:v>
                </c:pt>
                <c:pt idx="19">
                  <c:v>53615.8</c:v>
                </c:pt>
                <c:pt idx="20">
                  <c:v>53769.599999999999</c:v>
                </c:pt>
                <c:pt idx="21">
                  <c:v>54013.9</c:v>
                </c:pt>
                <c:pt idx="22">
                  <c:v>54152.800000000003</c:v>
                </c:pt>
                <c:pt idx="23">
                  <c:v>54196.3</c:v>
                </c:pt>
                <c:pt idx="24">
                  <c:v>54152.3</c:v>
                </c:pt>
                <c:pt idx="25">
                  <c:v>54068.3</c:v>
                </c:pt>
                <c:pt idx="26">
                  <c:v>54030.8</c:v>
                </c:pt>
                <c:pt idx="27">
                  <c:v>54002</c:v>
                </c:pt>
                <c:pt idx="28">
                  <c:v>53915.3</c:v>
                </c:pt>
                <c:pt idx="29">
                  <c:v>53812.9</c:v>
                </c:pt>
                <c:pt idx="30">
                  <c:v>53742.3</c:v>
                </c:pt>
                <c:pt idx="31">
                  <c:v>53727.4</c:v>
                </c:pt>
                <c:pt idx="32">
                  <c:v>53792</c:v>
                </c:pt>
                <c:pt idx="33">
                  <c:v>53876.6</c:v>
                </c:pt>
                <c:pt idx="34">
                  <c:v>53892.6</c:v>
                </c:pt>
                <c:pt idx="35">
                  <c:v>53894.5</c:v>
                </c:pt>
                <c:pt idx="36">
                  <c:v>53909.599999999999</c:v>
                </c:pt>
                <c:pt idx="37">
                  <c:v>53955.6</c:v>
                </c:pt>
                <c:pt idx="38">
                  <c:v>54007.1</c:v>
                </c:pt>
                <c:pt idx="39">
                  <c:v>54005.1</c:v>
                </c:pt>
                <c:pt idx="40">
                  <c:v>53960.3</c:v>
                </c:pt>
                <c:pt idx="41">
                  <c:v>53850.1</c:v>
                </c:pt>
                <c:pt idx="42">
                  <c:v>53773.7</c:v>
                </c:pt>
                <c:pt idx="43">
                  <c:v>53730.3</c:v>
                </c:pt>
                <c:pt idx="44">
                  <c:v>53653.9</c:v>
                </c:pt>
                <c:pt idx="45">
                  <c:v>53557.7</c:v>
                </c:pt>
                <c:pt idx="46">
                  <c:v>53499.1</c:v>
                </c:pt>
                <c:pt idx="47">
                  <c:v>53500.6</c:v>
                </c:pt>
                <c:pt idx="48">
                  <c:v>53554</c:v>
                </c:pt>
                <c:pt idx="49">
                  <c:v>53743.199999999997</c:v>
                </c:pt>
                <c:pt idx="50">
                  <c:v>53970.2</c:v>
                </c:pt>
                <c:pt idx="51">
                  <c:v>54162.400000000001</c:v>
                </c:pt>
                <c:pt idx="52">
                  <c:v>54297.4</c:v>
                </c:pt>
                <c:pt idx="53">
                  <c:v>54474.3</c:v>
                </c:pt>
                <c:pt idx="54">
                  <c:v>54641.5</c:v>
                </c:pt>
                <c:pt idx="55">
                  <c:v>54682.6</c:v>
                </c:pt>
                <c:pt idx="56">
                  <c:v>54560.6</c:v>
                </c:pt>
                <c:pt idx="57">
                  <c:v>54213.599999999999</c:v>
                </c:pt>
                <c:pt idx="58">
                  <c:v>53756</c:v>
                </c:pt>
                <c:pt idx="59">
                  <c:v>53288.800000000003</c:v>
                </c:pt>
                <c:pt idx="60">
                  <c:v>52872.4</c:v>
                </c:pt>
                <c:pt idx="61">
                  <c:v>52622.7</c:v>
                </c:pt>
                <c:pt idx="62">
                  <c:v>52656.6</c:v>
                </c:pt>
                <c:pt idx="63">
                  <c:v>53015.7</c:v>
                </c:pt>
                <c:pt idx="64">
                  <c:v>53579.5</c:v>
                </c:pt>
                <c:pt idx="65">
                  <c:v>54199.8</c:v>
                </c:pt>
                <c:pt idx="66">
                  <c:v>54707.9</c:v>
                </c:pt>
                <c:pt idx="67">
                  <c:v>55074.5</c:v>
                </c:pt>
                <c:pt idx="68">
                  <c:v>55162.3</c:v>
                </c:pt>
                <c:pt idx="69">
                  <c:v>54923.9</c:v>
                </c:pt>
                <c:pt idx="70">
                  <c:v>54421.4</c:v>
                </c:pt>
                <c:pt idx="71">
                  <c:v>53940.2</c:v>
                </c:pt>
                <c:pt idx="72">
                  <c:v>53605.8</c:v>
                </c:pt>
                <c:pt idx="73">
                  <c:v>53476</c:v>
                </c:pt>
                <c:pt idx="74">
                  <c:v>53440.4</c:v>
                </c:pt>
                <c:pt idx="75">
                  <c:v>53469.2</c:v>
                </c:pt>
                <c:pt idx="76">
                  <c:v>53542.3</c:v>
                </c:pt>
                <c:pt idx="77">
                  <c:v>53573.2</c:v>
                </c:pt>
                <c:pt idx="78">
                  <c:v>53629.2</c:v>
                </c:pt>
                <c:pt idx="79">
                  <c:v>53705</c:v>
                </c:pt>
                <c:pt idx="80">
                  <c:v>53823</c:v>
                </c:pt>
                <c:pt idx="81">
                  <c:v>53992.800000000003</c:v>
                </c:pt>
                <c:pt idx="82">
                  <c:v>54122.7</c:v>
                </c:pt>
                <c:pt idx="83">
                  <c:v>54263.199999999997</c:v>
                </c:pt>
                <c:pt idx="84">
                  <c:v>54286.6</c:v>
                </c:pt>
                <c:pt idx="85">
                  <c:v>54159.9</c:v>
                </c:pt>
                <c:pt idx="86">
                  <c:v>53916.3</c:v>
                </c:pt>
                <c:pt idx="87">
                  <c:v>53679.199999999997</c:v>
                </c:pt>
                <c:pt idx="88">
                  <c:v>53501.2</c:v>
                </c:pt>
                <c:pt idx="89">
                  <c:v>53357.7</c:v>
                </c:pt>
                <c:pt idx="90">
                  <c:v>53351.9</c:v>
                </c:pt>
                <c:pt idx="91">
                  <c:v>53483.199999999997</c:v>
                </c:pt>
                <c:pt idx="92">
                  <c:v>53686.7</c:v>
                </c:pt>
                <c:pt idx="93">
                  <c:v>53978.3</c:v>
                </c:pt>
                <c:pt idx="94">
                  <c:v>54303.3</c:v>
                </c:pt>
                <c:pt idx="95">
                  <c:v>54600.4</c:v>
                </c:pt>
                <c:pt idx="96">
                  <c:v>54923.4</c:v>
                </c:pt>
                <c:pt idx="97">
                  <c:v>55103.1</c:v>
                </c:pt>
                <c:pt idx="98">
                  <c:v>55058.8</c:v>
                </c:pt>
                <c:pt idx="99">
                  <c:v>54808</c:v>
                </c:pt>
                <c:pt idx="100">
                  <c:v>54456.6</c:v>
                </c:pt>
                <c:pt idx="101">
                  <c:v>54086.7</c:v>
                </c:pt>
                <c:pt idx="102">
                  <c:v>53716.5</c:v>
                </c:pt>
                <c:pt idx="103">
                  <c:v>53409.7</c:v>
                </c:pt>
                <c:pt idx="104">
                  <c:v>53225.3</c:v>
                </c:pt>
                <c:pt idx="105">
                  <c:v>53137.5</c:v>
                </c:pt>
                <c:pt idx="106">
                  <c:v>53280.1</c:v>
                </c:pt>
                <c:pt idx="107">
                  <c:v>53518</c:v>
                </c:pt>
                <c:pt idx="108">
                  <c:v>53833.4</c:v>
                </c:pt>
                <c:pt idx="109">
                  <c:v>54160.7</c:v>
                </c:pt>
                <c:pt idx="110">
                  <c:v>54428.6</c:v>
                </c:pt>
                <c:pt idx="111">
                  <c:v>54544</c:v>
                </c:pt>
                <c:pt idx="112">
                  <c:v>54558.400000000001</c:v>
                </c:pt>
                <c:pt idx="113">
                  <c:v>54563.9</c:v>
                </c:pt>
                <c:pt idx="114">
                  <c:v>54530.400000000001</c:v>
                </c:pt>
                <c:pt idx="115">
                  <c:v>54404.2</c:v>
                </c:pt>
                <c:pt idx="116">
                  <c:v>54213.7</c:v>
                </c:pt>
                <c:pt idx="117">
                  <c:v>54083.7</c:v>
                </c:pt>
                <c:pt idx="118">
                  <c:v>53970.2</c:v>
                </c:pt>
                <c:pt idx="119">
                  <c:v>53823.199999999997</c:v>
                </c:pt>
                <c:pt idx="120">
                  <c:v>53744</c:v>
                </c:pt>
                <c:pt idx="121">
                  <c:v>53680</c:v>
                </c:pt>
                <c:pt idx="122">
                  <c:v>53645.1</c:v>
                </c:pt>
                <c:pt idx="123">
                  <c:v>53616.1</c:v>
                </c:pt>
                <c:pt idx="124">
                  <c:v>53569.9</c:v>
                </c:pt>
                <c:pt idx="125">
                  <c:v>53556.3</c:v>
                </c:pt>
                <c:pt idx="126">
                  <c:v>53571.1</c:v>
                </c:pt>
                <c:pt idx="127">
                  <c:v>53641.5</c:v>
                </c:pt>
                <c:pt idx="128">
                  <c:v>53721.5</c:v>
                </c:pt>
                <c:pt idx="129">
                  <c:v>53729.9</c:v>
                </c:pt>
                <c:pt idx="130">
                  <c:v>53704.6</c:v>
                </c:pt>
                <c:pt idx="131">
                  <c:v>53750.5</c:v>
                </c:pt>
                <c:pt idx="132">
                  <c:v>53853.599999999999</c:v>
                </c:pt>
                <c:pt idx="133">
                  <c:v>53955.199999999997</c:v>
                </c:pt>
                <c:pt idx="134">
                  <c:v>54016.7</c:v>
                </c:pt>
                <c:pt idx="135">
                  <c:v>54100.1</c:v>
                </c:pt>
                <c:pt idx="136">
                  <c:v>54162</c:v>
                </c:pt>
                <c:pt idx="137">
                  <c:v>54126.3</c:v>
                </c:pt>
                <c:pt idx="138">
                  <c:v>54085.4</c:v>
                </c:pt>
                <c:pt idx="139">
                  <c:v>54000.800000000003</c:v>
                </c:pt>
                <c:pt idx="140">
                  <c:v>53863.4</c:v>
                </c:pt>
                <c:pt idx="141">
                  <c:v>53804.6</c:v>
                </c:pt>
                <c:pt idx="142">
                  <c:v>53798.9</c:v>
                </c:pt>
                <c:pt idx="143">
                  <c:v>53857.7</c:v>
                </c:pt>
                <c:pt idx="144">
                  <c:v>54003.3</c:v>
                </c:pt>
                <c:pt idx="145">
                  <c:v>54149.3</c:v>
                </c:pt>
                <c:pt idx="146">
                  <c:v>54212.6</c:v>
                </c:pt>
                <c:pt idx="147">
                  <c:v>54177.3</c:v>
                </c:pt>
                <c:pt idx="148">
                  <c:v>54072.6</c:v>
                </c:pt>
                <c:pt idx="149">
                  <c:v>53962.3</c:v>
                </c:pt>
                <c:pt idx="150">
                  <c:v>53819.199999999997</c:v>
                </c:pt>
                <c:pt idx="151">
                  <c:v>53701.1</c:v>
                </c:pt>
                <c:pt idx="152">
                  <c:v>53565.1</c:v>
                </c:pt>
                <c:pt idx="153">
                  <c:v>53513.3</c:v>
                </c:pt>
                <c:pt idx="154">
                  <c:v>53590.6</c:v>
                </c:pt>
                <c:pt idx="155">
                  <c:v>53647.7</c:v>
                </c:pt>
                <c:pt idx="156">
                  <c:v>53698.6</c:v>
                </c:pt>
                <c:pt idx="157">
                  <c:v>53721.9</c:v>
                </c:pt>
                <c:pt idx="158">
                  <c:v>53701.3</c:v>
                </c:pt>
                <c:pt idx="159">
                  <c:v>53657.5</c:v>
                </c:pt>
                <c:pt idx="160">
                  <c:v>53697.9</c:v>
                </c:pt>
                <c:pt idx="161">
                  <c:v>53796.3</c:v>
                </c:pt>
                <c:pt idx="162">
                  <c:v>53907.3</c:v>
                </c:pt>
                <c:pt idx="163">
                  <c:v>54022.400000000001</c:v>
                </c:pt>
                <c:pt idx="164">
                  <c:v>54167.3</c:v>
                </c:pt>
                <c:pt idx="165">
                  <c:v>54311.199999999997</c:v>
                </c:pt>
                <c:pt idx="166">
                  <c:v>54370</c:v>
                </c:pt>
                <c:pt idx="167">
                  <c:v>54300.7</c:v>
                </c:pt>
                <c:pt idx="168">
                  <c:v>54134.7</c:v>
                </c:pt>
                <c:pt idx="169">
                  <c:v>53882.9</c:v>
                </c:pt>
                <c:pt idx="170">
                  <c:v>53625.9</c:v>
                </c:pt>
                <c:pt idx="171">
                  <c:v>53481.4</c:v>
                </c:pt>
                <c:pt idx="172">
                  <c:v>53470.2</c:v>
                </c:pt>
                <c:pt idx="173">
                  <c:v>53579</c:v>
                </c:pt>
                <c:pt idx="174">
                  <c:v>53815.6</c:v>
                </c:pt>
                <c:pt idx="175">
                  <c:v>54138.8</c:v>
                </c:pt>
                <c:pt idx="176">
                  <c:v>54377.8</c:v>
                </c:pt>
                <c:pt idx="177">
                  <c:v>54521.2</c:v>
                </c:pt>
                <c:pt idx="178">
                  <c:v>54509.1</c:v>
                </c:pt>
                <c:pt idx="179">
                  <c:v>54344</c:v>
                </c:pt>
                <c:pt idx="180">
                  <c:v>54071.8</c:v>
                </c:pt>
                <c:pt idx="181">
                  <c:v>53749.599999999999</c:v>
                </c:pt>
                <c:pt idx="182">
                  <c:v>53450.2</c:v>
                </c:pt>
                <c:pt idx="183">
                  <c:v>53246.9</c:v>
                </c:pt>
                <c:pt idx="184">
                  <c:v>53193.8</c:v>
                </c:pt>
                <c:pt idx="185">
                  <c:v>53318.2</c:v>
                </c:pt>
                <c:pt idx="186">
                  <c:v>53489.8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A3-FB4D-BC7D-1D9F76D79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  <c:max val="2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4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939616443650066E-3"/>
                  <c:y val="0.206001749781277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plus>
            <c:min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(viscosity!$V$88,viscosity!$V$93,viscosity!$V$98,viscosity!$V$103,viscosity!$V$108)</c:f>
              <c:numCache>
                <c:formatCode>General</c:formatCode>
                <c:ptCount val="5"/>
                <c:pt idx="0">
                  <c:v>0.56224818309499636</c:v>
                </c:pt>
                <c:pt idx="1">
                  <c:v>0.56483899829192685</c:v>
                </c:pt>
                <c:pt idx="2">
                  <c:v>0.61110724076525291</c:v>
                </c:pt>
                <c:pt idx="3">
                  <c:v>0.60212961201176318</c:v>
                </c:pt>
                <c:pt idx="4">
                  <c:v>0.54579849774421474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E-9F41-A4AD-A5046FE2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410946331095117E-2"/>
                  <c:y val="0.225114100320793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plus>
            <c:min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(viscosity!$V$89,viscosity!$V$94,viscosity!$V$99,viscosity!$V$104,viscosity!$V$109)</c:f>
              <c:numCache>
                <c:formatCode>General</c:formatCode>
                <c:ptCount val="5"/>
                <c:pt idx="0">
                  <c:v>0.50789471545706466</c:v>
                </c:pt>
                <c:pt idx="1">
                  <c:v>0.6047777441790142</c:v>
                </c:pt>
                <c:pt idx="2">
                  <c:v>0.53538464174201317</c:v>
                </c:pt>
                <c:pt idx="3">
                  <c:v>0.54677854484732302</c:v>
                </c:pt>
                <c:pt idx="4">
                  <c:v>0.39604901502609963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2E-344A-AA3A-5566772B1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1726969711608136E-2"/>
                  <c:y val="-0.13559966462525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plus>
            <c:min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(viscosity!$V$90,viscosity!$V$95,viscosity!$V$100,viscosity!$V$105,viscosity!$V$110)</c:f>
              <c:numCache>
                <c:formatCode>General</c:formatCode>
                <c:ptCount val="5"/>
                <c:pt idx="0">
                  <c:v>0.69733246622365597</c:v>
                </c:pt>
                <c:pt idx="1">
                  <c:v>0.66823121869336732</c:v>
                </c:pt>
                <c:pt idx="2">
                  <c:v>0.61505154131916251</c:v>
                </c:pt>
                <c:pt idx="3">
                  <c:v>0.60730373840998775</c:v>
                </c:pt>
                <c:pt idx="4">
                  <c:v>0.61730224105405596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45-C248-B842-53B6F9E03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805468066491688"/>
                  <c:y val="1.3888888888888888E-2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Sheet1!$Q$7:$Q$10</c:f>
              <c:numCache>
                <c:formatCode>General</c:formatCode>
                <c:ptCount val="4"/>
                <c:pt idx="0">
                  <c:v>0.87917003535318539</c:v>
                </c:pt>
                <c:pt idx="1">
                  <c:v>0.78294066249307093</c:v>
                </c:pt>
                <c:pt idx="2">
                  <c:v>0.67524041935131007</c:v>
                </c:pt>
                <c:pt idx="3">
                  <c:v>0.61110724076525291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E7-7948-99BF-77FE3ED5FA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6943569553805774E-2"/>
                  <c:y val="0.32764581510644503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Sheet1!$U$7:$U$10</c:f>
              <c:numCache>
                <c:formatCode>General</c:formatCode>
                <c:ptCount val="4"/>
                <c:pt idx="0">
                  <c:v>0.80669592221134334</c:v>
                </c:pt>
                <c:pt idx="1">
                  <c:v>0.68106103333154533</c:v>
                </c:pt>
                <c:pt idx="2">
                  <c:v>0.58906824047027018</c:v>
                </c:pt>
                <c:pt idx="3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E7-7948-99BF-77FE3ED5F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740496"/>
        <c:axId val="499193456"/>
      </c:scatterChart>
      <c:valAx>
        <c:axId val="987740496"/>
        <c:scaling>
          <c:orientation val="minMax"/>
          <c:min val="6.000000000000001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93456"/>
        <c:crosses val="autoZero"/>
        <c:crossBetween val="midCat"/>
      </c:valAx>
      <c:valAx>
        <c:axId val="4991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74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361950</xdr:colOff>
      <xdr:row>42</xdr:row>
      <xdr:rowOff>0</xdr:rowOff>
    </xdr:from>
    <xdr:to>
      <xdr:col>16</xdr:col>
      <xdr:colOff>806450</xdr:colOff>
      <xdr:row>55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76200</xdr:colOff>
      <xdr:row>57</xdr:row>
      <xdr:rowOff>76200</xdr:rowOff>
    </xdr:from>
    <xdr:to>
      <xdr:col>16</xdr:col>
      <xdr:colOff>558800</xdr:colOff>
      <xdr:row>76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438150</xdr:colOff>
      <xdr:row>53</xdr:row>
      <xdr:rowOff>6350</xdr:rowOff>
    </xdr:from>
    <xdr:to>
      <xdr:col>26</xdr:col>
      <xdr:colOff>57150</xdr:colOff>
      <xdr:row>66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304800</xdr:colOff>
      <xdr:row>79</xdr:row>
      <xdr:rowOff>158750</xdr:rowOff>
    </xdr:from>
    <xdr:to>
      <xdr:col>28</xdr:col>
      <xdr:colOff>317500</xdr:colOff>
      <xdr:row>93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0632AE-ADF0-7F3F-04B4-F24C9CE5F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330200</xdr:colOff>
      <xdr:row>94</xdr:row>
      <xdr:rowOff>0</xdr:rowOff>
    </xdr:from>
    <xdr:to>
      <xdr:col>28</xdr:col>
      <xdr:colOff>342900</xdr:colOff>
      <xdr:row>107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10848F-995E-EA4C-B586-D52401CB8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109</xdr:row>
      <xdr:rowOff>0</xdr:rowOff>
    </xdr:from>
    <xdr:to>
      <xdr:col>28</xdr:col>
      <xdr:colOff>12700</xdr:colOff>
      <xdr:row>122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76E577-D455-E24E-95BB-70C181AD4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50800</xdr:colOff>
      <xdr:row>14</xdr:row>
      <xdr:rowOff>82550</xdr:rowOff>
    </xdr:from>
    <xdr:to>
      <xdr:col>23</xdr:col>
      <xdr:colOff>495300</xdr:colOff>
      <xdr:row>27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5BD57-F8CD-611E-CFBE-62475D10C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AW244"/>
  <sheetViews>
    <sheetView tabSelected="1" workbookViewId="0">
      <selection activeCell="O34" sqref="O34"/>
    </sheetView>
  </sheetViews>
  <sheetFormatPr baseColWidth="10" defaultRowHeight="16" x14ac:dyDescent="0.2"/>
  <cols>
    <col min="14" max="14" width="12.1640625" bestFit="1" customWidth="1"/>
  </cols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1497.86</v>
      </c>
      <c r="D6">
        <v>-4077.73</v>
      </c>
      <c r="E6">
        <v>40335.300000000003</v>
      </c>
      <c r="F6">
        <v>-8.1739999999999995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1.3961029787803736</v>
      </c>
      <c r="M6">
        <f>D6+SUM(G6:J6)*1.5*(0.000086173)*C6</f>
        <v>-3767.9497845280002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7.7339995980459667E-2</v>
      </c>
      <c r="S6">
        <f>ABS(Q6-L6)/Q6</f>
        <v>0.13458186004093756</v>
      </c>
    </row>
    <row r="7" spans="2:19" x14ac:dyDescent="0.2">
      <c r="B7">
        <v>100000</v>
      </c>
      <c r="C7">
        <v>1402.36</v>
      </c>
      <c r="D7">
        <v>-4102.79</v>
      </c>
      <c r="E7">
        <v>39648.199999999997</v>
      </c>
      <c r="F7">
        <v>4.9122399999999997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1.4202973269908852</v>
      </c>
      <c r="M7">
        <f t="shared" ref="M7:M9" si="0">D7+SUM(G7:J7)*1.5*(0.000086173)*C7</f>
        <v>-3812.760636128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6.2246586461134623E-2</v>
      </c>
      <c r="S7">
        <f>ABS(Q7-L7)/Q7</f>
        <v>0.11500810723102931</v>
      </c>
    </row>
    <row r="8" spans="2:19" x14ac:dyDescent="0.2">
      <c r="B8">
        <v>100000</v>
      </c>
      <c r="C8">
        <v>1300.1400000000001</v>
      </c>
      <c r="D8">
        <v>-4130.51</v>
      </c>
      <c r="E8">
        <v>38942.199999999997</v>
      </c>
      <c r="F8">
        <v>0.96300600000000003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1.4460465120101076</v>
      </c>
      <c r="M8">
        <f t="shared" si="0"/>
        <v>-3861.621285872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4.3772043745977061E-2</v>
      </c>
      <c r="S8">
        <f>ABS(Q8-L8)/Q8</f>
        <v>9.7901838896141263E-2</v>
      </c>
    </row>
    <row r="9" spans="2:19" x14ac:dyDescent="0.2">
      <c r="B9">
        <v>100000</v>
      </c>
      <c r="C9">
        <v>1200.19</v>
      </c>
      <c r="D9">
        <v>-4159.05</v>
      </c>
      <c r="E9">
        <v>38212.800000000003</v>
      </c>
      <c r="F9">
        <v>9.0181100000000001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1.4736484235648788</v>
      </c>
      <c r="M9">
        <f t="shared" si="0"/>
        <v>-3910.8324651120001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5.2317758053479546E-2</v>
      </c>
      <c r="S9">
        <f>ABS(Q9-L9)/Q9</f>
        <v>8.324641544022271E-2</v>
      </c>
    </row>
    <row r="10" spans="2:19" x14ac:dyDescent="0.2">
      <c r="N10">
        <f>K9*(1.66054E-24)/(P9)/(1E-24)</f>
        <v>40212.008024946008</v>
      </c>
    </row>
    <row r="11" spans="2:19" x14ac:dyDescent="0.2">
      <c r="F11" t="s">
        <v>20</v>
      </c>
      <c r="G11" cm="1">
        <f t="array" ref="G11:H11">LINEST(E6:E9,C6:C9)</f>
        <v>7.1070213290093047</v>
      </c>
      <c r="H11">
        <v>29689.168990404702</v>
      </c>
      <c r="K11" t="s">
        <v>22</v>
      </c>
      <c r="L11" cm="1">
        <f t="array" ref="L11:M11">LINEST(M6:M9,C6:C9)</f>
        <v>0.47984262826760371</v>
      </c>
      <c r="M11">
        <v>-4486.1445694326512</v>
      </c>
      <c r="O11" t="s">
        <v>42</v>
      </c>
      <c r="P11" t="s">
        <v>43</v>
      </c>
    </row>
    <row r="12" spans="2:19" x14ac:dyDescent="0.2">
      <c r="G12" s="2">
        <f>G11/E9</f>
        <v>1.8598535906840912E-4</v>
      </c>
      <c r="L12">
        <f>L11/SUM(G6:I6)*(1.602E-19)*(6.022E+23)</f>
        <v>57.86448645623588</v>
      </c>
      <c r="O12">
        <f>73.3832-0.0094726*1350</f>
        <v>60.595190000000002</v>
      </c>
      <c r="P12" s="1">
        <v>60.59140807</v>
      </c>
    </row>
    <row r="14" spans="2:19" x14ac:dyDescent="0.2">
      <c r="B14" t="s">
        <v>17</v>
      </c>
      <c r="P14" t="s">
        <v>18</v>
      </c>
      <c r="Q14" t="s">
        <v>19</v>
      </c>
      <c r="R14" t="s">
        <v>38</v>
      </c>
      <c r="S14" t="s">
        <v>39</v>
      </c>
    </row>
    <row r="15" spans="2:19" x14ac:dyDescent="0.2">
      <c r="K15" t="s">
        <v>15</v>
      </c>
      <c r="L15" t="s">
        <v>16</v>
      </c>
      <c r="M15" t="s">
        <v>21</v>
      </c>
    </row>
    <row r="16" spans="2:19" x14ac:dyDescent="0.2">
      <c r="B16">
        <v>100000</v>
      </c>
      <c r="C16">
        <v>1498.09</v>
      </c>
      <c r="D16">
        <v>-2285.09</v>
      </c>
      <c r="E16">
        <v>70822</v>
      </c>
      <c r="F16">
        <v>3.2452100000000002</v>
      </c>
      <c r="G16">
        <v>0</v>
      </c>
      <c r="H16">
        <v>800</v>
      </c>
      <c r="I16">
        <v>0</v>
      </c>
      <c r="J16">
        <v>800</v>
      </c>
      <c r="K16">
        <f>G16*G$2+H16*H$2+I16*I$2+J16*J$2</f>
        <v>59638.400000000001</v>
      </c>
      <c r="L16">
        <f>K16*(1.66054E-24)/(E16)/(1E-24)</f>
        <v>1.3983218312953603</v>
      </c>
      <c r="M16">
        <f>D16+SUM(G16:J16)*1.5*(0.000086173)*C16</f>
        <v>-1975.2622170320001</v>
      </c>
      <c r="O16">
        <v>1500</v>
      </c>
      <c r="P16" s="1">
        <v>1.2364900494846502</v>
      </c>
      <c r="Q16" s="1">
        <f>2.14-0.000583*O16</f>
        <v>1.2655000000000003</v>
      </c>
      <c r="R16">
        <f>ABS(P16-L16)/P16</f>
        <v>0.13087997099382964</v>
      </c>
      <c r="S16">
        <f>ABS(Q16-L16)/Q16</f>
        <v>0.10495601050601337</v>
      </c>
    </row>
    <row r="17" spans="2:19" x14ac:dyDescent="0.2">
      <c r="B17">
        <v>100000</v>
      </c>
      <c r="C17">
        <v>1399.83</v>
      </c>
      <c r="D17">
        <v>-2318.06</v>
      </c>
      <c r="E17">
        <v>68696.2</v>
      </c>
      <c r="F17">
        <v>3.4557500000000001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1.4415928207964925</v>
      </c>
      <c r="M17">
        <f t="shared" ref="M17:M19" si="2">D17+SUM(G17:J17)*1.5*(0.000086173)*C17</f>
        <v>-2028.5538785839999</v>
      </c>
      <c r="O17">
        <v>1400</v>
      </c>
      <c r="P17" s="1">
        <v>1.3211261595752612</v>
      </c>
      <c r="Q17" s="1">
        <f t="shared" ref="Q17:Q19" si="3">2.14-0.000583*O17</f>
        <v>1.3238000000000003</v>
      </c>
      <c r="R17">
        <f>ABS(P17-L17)/P17</f>
        <v>9.1184827692732243E-2</v>
      </c>
      <c r="S17">
        <f>ABS(Q17-L17)/Q17</f>
        <v>8.8980828521296421E-2</v>
      </c>
    </row>
    <row r="18" spans="2:19" x14ac:dyDescent="0.2">
      <c r="B18">
        <v>100000</v>
      </c>
      <c r="C18">
        <v>1299.17</v>
      </c>
      <c r="D18">
        <v>-2349.75</v>
      </c>
      <c r="E18">
        <v>66960.800000000003</v>
      </c>
      <c r="F18">
        <v>5.9862399999999996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1.4789540856142698</v>
      </c>
      <c r="M18">
        <f t="shared" si="2"/>
        <v>-2081.061896616</v>
      </c>
      <c r="O18">
        <v>1300</v>
      </c>
      <c r="P18" s="1">
        <v>1.3401986936666646</v>
      </c>
      <c r="Q18" s="1">
        <f t="shared" si="3"/>
        <v>1.3821000000000003</v>
      </c>
      <c r="R18">
        <f>ABS(P18-L18)/P18</f>
        <v>0.10353344813968055</v>
      </c>
      <c r="S18">
        <f>ABS(Q18-L18)/Q18</f>
        <v>7.0077480366304484E-2</v>
      </c>
    </row>
    <row r="19" spans="2:19" x14ac:dyDescent="0.2">
      <c r="B19">
        <v>100000</v>
      </c>
      <c r="C19">
        <v>1200.6099999999999</v>
      </c>
      <c r="D19">
        <v>-2383.0100000000002</v>
      </c>
      <c r="E19">
        <v>65339</v>
      </c>
      <c r="F19">
        <v>0.26987800000000001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1.5156636730895792</v>
      </c>
      <c r="M19">
        <f t="shared" si="2"/>
        <v>-2134.705602728</v>
      </c>
      <c r="O19">
        <v>1200</v>
      </c>
      <c r="P19" s="1">
        <v>1.4500536936330108</v>
      </c>
      <c r="Q19" s="1">
        <f t="shared" si="3"/>
        <v>1.4404000000000001</v>
      </c>
      <c r="R19">
        <f>ABS(P19-L19)/P19</f>
        <v>4.5246586208947191E-2</v>
      </c>
      <c r="S19">
        <f>ABS(Q19-L19)/Q19</f>
        <v>5.2251925221868258E-2</v>
      </c>
    </row>
    <row r="21" spans="2:19" x14ac:dyDescent="0.2">
      <c r="F21" t="s">
        <v>20</v>
      </c>
      <c r="G21" cm="1">
        <f t="array" ref="G21:H21">LINEST(E16:E19,C16:C19)</f>
        <v>18.308330356878241</v>
      </c>
      <c r="H21">
        <v>43248.781308169579</v>
      </c>
      <c r="K21" t="s">
        <v>22</v>
      </c>
      <c r="L21" cm="1">
        <f t="array" ref="L21:M21">LINEST(M16:M19,C16:C19)</f>
        <v>0.53450696675665477</v>
      </c>
      <c r="M21">
        <v>-2776.1729623555989</v>
      </c>
      <c r="O21" t="s">
        <v>42</v>
      </c>
      <c r="P21" t="s">
        <v>43</v>
      </c>
    </row>
    <row r="22" spans="2:19" x14ac:dyDescent="0.2">
      <c r="G22" s="2">
        <f>G21/E19</f>
        <v>2.8020524276279468E-4</v>
      </c>
      <c r="L22">
        <f>L21/SUM(G16:I16)*(1.602E-19)*(6.022E+23)</f>
        <v>64.456489100016725</v>
      </c>
      <c r="O22">
        <v>73.596559999999997</v>
      </c>
      <c r="P22" s="1">
        <v>73.050966509999995</v>
      </c>
    </row>
    <row r="25" spans="2:19" x14ac:dyDescent="0.2">
      <c r="B25" t="s">
        <v>37</v>
      </c>
      <c r="P25" t="s">
        <v>18</v>
      </c>
      <c r="Q25" t="s">
        <v>19</v>
      </c>
      <c r="R25" t="s">
        <v>38</v>
      </c>
      <c r="S25" t="s">
        <v>39</v>
      </c>
    </row>
    <row r="26" spans="2:19" x14ac:dyDescent="0.2">
      <c r="K26" t="s">
        <v>15</v>
      </c>
      <c r="L26" t="s">
        <v>16</v>
      </c>
      <c r="M26" t="s">
        <v>21</v>
      </c>
    </row>
    <row r="27" spans="2:19" x14ac:dyDescent="0.2">
      <c r="B27">
        <v>200000</v>
      </c>
      <c r="C27">
        <v>1498.45</v>
      </c>
      <c r="D27">
        <v>-2171.81</v>
      </c>
      <c r="E27">
        <v>52688.3</v>
      </c>
      <c r="F27">
        <v>46.172899999999998</v>
      </c>
      <c r="G27">
        <v>0</v>
      </c>
      <c r="H27">
        <v>0</v>
      </c>
      <c r="I27">
        <v>800</v>
      </c>
      <c r="J27">
        <v>800</v>
      </c>
      <c r="K27">
        <f>G27*G$2+H27*H$2+I27*I$2+J27*J$2</f>
        <v>46752</v>
      </c>
      <c r="L27">
        <f>K27*(1.66054E-24)/(E27)/(1E-24)</f>
        <v>1.4734498186504403</v>
      </c>
      <c r="M27">
        <f>D27+SUM(G27:J27)*1.5*(0.000086173)*C27</f>
        <v>-1861.9077635599999</v>
      </c>
      <c r="O27">
        <v>1500</v>
      </c>
      <c r="P27" s="1">
        <v>1.3428222322799708</v>
      </c>
      <c r="Q27" s="1">
        <f>2.14-0.000543*O27</f>
        <v>1.3255000000000001</v>
      </c>
      <c r="R27">
        <f>ABS(P27-L27)/P27</f>
        <v>9.7278391160293548E-2</v>
      </c>
      <c r="S27">
        <f>ABS(Q27-L27)/Q27</f>
        <v>0.11161812044544715</v>
      </c>
    </row>
    <row r="28" spans="2:19" x14ac:dyDescent="0.2">
      <c r="B28">
        <v>100000</v>
      </c>
      <c r="C28">
        <v>1400.5</v>
      </c>
      <c r="D28">
        <v>-2198.94</v>
      </c>
      <c r="E28">
        <v>51093.9</v>
      </c>
      <c r="F28">
        <v>-2.5346199999999999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1.5194292485012888</v>
      </c>
      <c r="M28">
        <f t="shared" ref="M28:M30" si="4">D28+SUM(G28:J28)*1.5*(0.000086173)*C28</f>
        <v>-1909.2953124000001</v>
      </c>
      <c r="O28">
        <v>1400</v>
      </c>
      <c r="P28" s="1">
        <v>1.4065319716795661</v>
      </c>
      <c r="Q28" s="1">
        <f t="shared" ref="Q28:Q30" si="5">2.14-0.000543*O28</f>
        <v>1.3798000000000001</v>
      </c>
      <c r="R28">
        <f>ABS(P28-L28)/P28</f>
        <v>8.0266413487145929E-2</v>
      </c>
      <c r="S28">
        <f>ABS(Q28-L28)/Q28</f>
        <v>0.10119528083873652</v>
      </c>
    </row>
    <row r="29" spans="2:19" x14ac:dyDescent="0.2">
      <c r="B29">
        <v>100000</v>
      </c>
      <c r="C29">
        <v>1300.3</v>
      </c>
      <c r="D29">
        <v>-2228.23</v>
      </c>
      <c r="E29">
        <v>50001.7</v>
      </c>
      <c r="F29">
        <v>12.8124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1.5526185325698927</v>
      </c>
      <c r="M29">
        <f t="shared" si="4"/>
        <v>-1959.30819544</v>
      </c>
      <c r="O29">
        <v>1300</v>
      </c>
      <c r="P29" s="1">
        <v>1.4522421926736833</v>
      </c>
      <c r="Q29" s="1">
        <f t="shared" si="5"/>
        <v>1.4341000000000002</v>
      </c>
      <c r="R29">
        <f>ABS(P29-L29)/P29</f>
        <v>6.9118181803690268E-2</v>
      </c>
      <c r="S29">
        <f>ABS(Q29-L29)/Q29</f>
        <v>8.2643143832293792E-2</v>
      </c>
    </row>
    <row r="30" spans="2:19" x14ac:dyDescent="0.2">
      <c r="B30">
        <v>100000</v>
      </c>
      <c r="C30">
        <v>1200.53</v>
      </c>
      <c r="D30">
        <v>-2257.89</v>
      </c>
      <c r="E30">
        <v>48953.8</v>
      </c>
      <c r="F30">
        <v>-11.8607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1.5858537249406583</v>
      </c>
      <c r="M30">
        <f t="shared" si="4"/>
        <v>-2009.6021479439999</v>
      </c>
      <c r="O30">
        <v>1200</v>
      </c>
      <c r="P30" s="1">
        <v>1.4776892983616661</v>
      </c>
      <c r="Q30" s="1">
        <f t="shared" si="5"/>
        <v>1.4884000000000002</v>
      </c>
      <c r="R30">
        <f>ABS(P30-L30)/P30</f>
        <v>7.3198355499302606E-2</v>
      </c>
      <c r="S30">
        <f>ABS(Q30-L30)/Q30</f>
        <v>6.5475493778996349E-2</v>
      </c>
    </row>
    <row r="32" spans="2:19" x14ac:dyDescent="0.2">
      <c r="F32" t="s">
        <v>20</v>
      </c>
      <c r="G32" cm="1">
        <f t="array" ref="G32:H32">LINEST(E27:E30,C27:C30)</f>
        <v>12.363844263822342</v>
      </c>
      <c r="H32">
        <v>33993.915255274347</v>
      </c>
      <c r="K32" t="s">
        <v>22</v>
      </c>
      <c r="L32" cm="1">
        <f t="array" ref="L32:M32">LINEST(M27:M30,C27:C30)</f>
        <v>0.49611364087790433</v>
      </c>
      <c r="M32">
        <v>-2604.7544837709224</v>
      </c>
      <c r="O32" t="s">
        <v>42</v>
      </c>
      <c r="P32" t="s">
        <v>43</v>
      </c>
    </row>
    <row r="33" spans="2:49" x14ac:dyDescent="0.2">
      <c r="G33" s="2">
        <f>G32/E30</f>
        <v>2.5256148171995515E-4</v>
      </c>
      <c r="L33">
        <f>L32/SUM(G27:I27)*(1.602E-19)*(6.022E+23)</f>
        <v>59.826616815968968</v>
      </c>
      <c r="O33">
        <f>77.7638-0.0075312*1350</f>
        <v>67.596680000000006</v>
      </c>
      <c r="P33" s="1">
        <v>63.718300079999999</v>
      </c>
    </row>
    <row r="34" spans="2:49" x14ac:dyDescent="0.2">
      <c r="G34" s="2"/>
      <c r="P34" s="1"/>
    </row>
    <row r="35" spans="2:49" x14ac:dyDescent="0.2">
      <c r="G35" s="2"/>
      <c r="P35" s="1"/>
    </row>
    <row r="36" spans="2:49" x14ac:dyDescent="0.2">
      <c r="G36" s="2"/>
      <c r="P36" s="1"/>
    </row>
    <row r="37" spans="2:49" x14ac:dyDescent="0.2">
      <c r="G37" s="2"/>
    </row>
    <row r="38" spans="2:49" x14ac:dyDescent="0.2">
      <c r="E38">
        <v>6726.87</v>
      </c>
      <c r="I38">
        <v>100</v>
      </c>
      <c r="J38">
        <v>100</v>
      </c>
      <c r="K38">
        <f>G38*G$2+H38*H$2+I38*I$2+J38*J$2</f>
        <v>5844</v>
      </c>
      <c r="L38">
        <f>K38*(1.66054E-24)/(E38)/(1E-24)</f>
        <v>1.4426019471165639</v>
      </c>
    </row>
    <row r="39" spans="2:49" x14ac:dyDescent="0.2">
      <c r="E39">
        <v>13421.9</v>
      </c>
      <c r="I39">
        <v>200</v>
      </c>
      <c r="J39">
        <v>200</v>
      </c>
      <c r="K39">
        <f>G39*G$2+H39*H$2+I39*I$2+J39*J$2</f>
        <v>11688</v>
      </c>
      <c r="L39">
        <f>K39*(1.66054E-24)/(E39)/(1E-24)</f>
        <v>1.4460241485929712</v>
      </c>
    </row>
    <row r="40" spans="2:49" x14ac:dyDescent="0.2">
      <c r="I40">
        <v>400</v>
      </c>
      <c r="J40">
        <v>400</v>
      </c>
      <c r="K40">
        <f t="shared" ref="K40:K41" si="6">G40*G$2+H40*H$2+I40*I$2+J40*J$2</f>
        <v>23376</v>
      </c>
      <c r="L40" t="e">
        <f t="shared" ref="L40:L41" si="7">K40*(1.66054E-24)/(E40)/(1E-24)</f>
        <v>#DIV/0!</v>
      </c>
    </row>
    <row r="41" spans="2:49" x14ac:dyDescent="0.2">
      <c r="E41">
        <v>53944</v>
      </c>
      <c r="G41" s="2"/>
      <c r="I41">
        <v>800</v>
      </c>
      <c r="J41">
        <v>800</v>
      </c>
      <c r="K41">
        <f t="shared" si="6"/>
        <v>46752</v>
      </c>
      <c r="L41">
        <f t="shared" si="7"/>
        <v>1.4391510840872015</v>
      </c>
    </row>
    <row r="42" spans="2:49" x14ac:dyDescent="0.2">
      <c r="E42">
        <f>AVERAGE(E55:E244)</f>
        <v>49623.558421052636</v>
      </c>
      <c r="F42">
        <f>STDEV(E55:E244)</f>
        <v>252.00317019008602</v>
      </c>
      <c r="G42">
        <f>F42/E42</f>
        <v>5.0782970469762699E-3</v>
      </c>
      <c r="I42">
        <v>800</v>
      </c>
      <c r="J42">
        <v>800</v>
      </c>
      <c r="K42">
        <f>G42*G$2+H42*H$2+I42*I$2+J42*J$2</f>
        <v>46752.035243381513</v>
      </c>
      <c r="L42">
        <f>K42*(1.66054E-24)/(E42)/(1E-24)</f>
        <v>1.5644509800028552</v>
      </c>
      <c r="U42">
        <f>AVERAGE(U55:U244)</f>
        <v>53948.457446808512</v>
      </c>
      <c r="V42">
        <f>STDEV(U55:U244)</f>
        <v>389.62093325195161</v>
      </c>
      <c r="W42">
        <f>V42/U42</f>
        <v>7.2220958984064677E-3</v>
      </c>
      <c r="AF42">
        <f>AVERAGE(AF55:AF244)</f>
        <v>53925.159459459472</v>
      </c>
      <c r="AG42">
        <f>STDEV(AF55:AF244)</f>
        <v>570.46606370650989</v>
      </c>
      <c r="AH42">
        <f>AG42/AF42</f>
        <v>1.0578847970498483E-2</v>
      </c>
      <c r="AQ42">
        <f>AVERAGE(AQ55:AQ244)</f>
        <v>53910.596842105253</v>
      </c>
      <c r="AR42">
        <f>STDEV(AQ55:AQ244)</f>
        <v>455.37675859128734</v>
      </c>
      <c r="AS42">
        <f>AR42/AQ42</f>
        <v>8.4468877227422759E-3</v>
      </c>
    </row>
    <row r="43" spans="2:49" x14ac:dyDescent="0.2"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>
        <v>3</v>
      </c>
      <c r="R43" t="s">
        <v>24</v>
      </c>
      <c r="S43" t="s">
        <v>25</v>
      </c>
      <c r="T43" t="s">
        <v>26</v>
      </c>
      <c r="U43" t="s">
        <v>27</v>
      </c>
      <c r="V43" t="s">
        <v>28</v>
      </c>
      <c r="W43">
        <v>3</v>
      </c>
      <c r="AC43" t="s">
        <v>24</v>
      </c>
      <c r="AD43" t="s">
        <v>25</v>
      </c>
      <c r="AE43" t="s">
        <v>26</v>
      </c>
      <c r="AF43" t="s">
        <v>27</v>
      </c>
      <c r="AG43" t="s">
        <v>28</v>
      </c>
      <c r="AH43">
        <v>3</v>
      </c>
      <c r="AN43" t="s">
        <v>24</v>
      </c>
      <c r="AO43" t="s">
        <v>25</v>
      </c>
      <c r="AP43" t="s">
        <v>26</v>
      </c>
      <c r="AQ43" t="s">
        <v>27</v>
      </c>
      <c r="AR43" t="s">
        <v>28</v>
      </c>
      <c r="AS43">
        <v>3</v>
      </c>
    </row>
    <row r="44" spans="2:49" x14ac:dyDescent="0.2">
      <c r="B44" t="s">
        <v>24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</v>
      </c>
      <c r="J44" t="s">
        <v>8</v>
      </c>
      <c r="K44" t="s">
        <v>9</v>
      </c>
      <c r="R44" t="s">
        <v>24</v>
      </c>
      <c r="S44" t="s">
        <v>1</v>
      </c>
      <c r="T44" t="s">
        <v>2</v>
      </c>
      <c r="U44" t="s">
        <v>3</v>
      </c>
      <c r="V44" t="s">
        <v>4</v>
      </c>
      <c r="W44" t="s">
        <v>5</v>
      </c>
      <c r="X44" t="s">
        <v>6</v>
      </c>
      <c r="Y44" t="s">
        <v>7</v>
      </c>
      <c r="Z44" t="s">
        <v>8</v>
      </c>
      <c r="AA44" t="s">
        <v>9</v>
      </c>
      <c r="AB44" t="s">
        <v>140</v>
      </c>
      <c r="AC44" t="s">
        <v>24</v>
      </c>
      <c r="AD44" t="s">
        <v>1</v>
      </c>
      <c r="AE44" t="s">
        <v>2</v>
      </c>
      <c r="AF44" t="s">
        <v>3</v>
      </c>
      <c r="AG44" t="s">
        <v>4</v>
      </c>
      <c r="AH44" t="s">
        <v>5</v>
      </c>
      <c r="AI44" t="s">
        <v>6</v>
      </c>
      <c r="AJ44" t="s">
        <v>7</v>
      </c>
      <c r="AK44" t="s">
        <v>8</v>
      </c>
      <c r="AL44" t="s">
        <v>9</v>
      </c>
      <c r="AM44" t="s">
        <v>140</v>
      </c>
      <c r="AN44" t="s">
        <v>24</v>
      </c>
      <c r="AO44" t="s">
        <v>1</v>
      </c>
      <c r="AP44" t="s">
        <v>2</v>
      </c>
      <c r="AQ44" t="s">
        <v>3</v>
      </c>
      <c r="AR44" t="s">
        <v>4</v>
      </c>
      <c r="AS44" t="s">
        <v>5</v>
      </c>
      <c r="AT44" t="s">
        <v>6</v>
      </c>
      <c r="AU44" t="s">
        <v>7</v>
      </c>
      <c r="AV44" t="s">
        <v>8</v>
      </c>
      <c r="AW44" t="s">
        <v>9</v>
      </c>
    </row>
    <row r="45" spans="2:49" x14ac:dyDescent="0.2">
      <c r="B45">
        <v>1000</v>
      </c>
      <c r="C45">
        <v>1223.55</v>
      </c>
      <c r="D45">
        <v>-2099.64</v>
      </c>
      <c r="E45">
        <v>70535</v>
      </c>
      <c r="F45">
        <v>-10427.799999999999</v>
      </c>
      <c r="G45">
        <v>0</v>
      </c>
      <c r="H45">
        <v>0</v>
      </c>
      <c r="I45">
        <v>800</v>
      </c>
      <c r="J45">
        <v>800</v>
      </c>
      <c r="R45">
        <v>1000</v>
      </c>
      <c r="S45">
        <v>1323.36</v>
      </c>
      <c r="T45">
        <v>-2196.91</v>
      </c>
      <c r="U45">
        <v>53887.1</v>
      </c>
      <c r="V45">
        <v>45.651299999999999</v>
      </c>
      <c r="W45">
        <v>0</v>
      </c>
      <c r="X45">
        <v>0</v>
      </c>
      <c r="Y45">
        <v>800</v>
      </c>
      <c r="Z45">
        <v>800</v>
      </c>
      <c r="AA45">
        <v>-5375.9</v>
      </c>
      <c r="AC45">
        <v>1000</v>
      </c>
      <c r="AD45">
        <v>1239.67</v>
      </c>
      <c r="AE45">
        <v>-2210.9699999999998</v>
      </c>
      <c r="AF45">
        <v>53602.6</v>
      </c>
      <c r="AG45">
        <v>-367.39400000000001</v>
      </c>
      <c r="AH45">
        <v>0</v>
      </c>
      <c r="AI45">
        <v>0</v>
      </c>
      <c r="AJ45">
        <v>800</v>
      </c>
      <c r="AK45">
        <v>800</v>
      </c>
      <c r="AL45">
        <v>-5473.08</v>
      </c>
      <c r="AN45">
        <v>1000</v>
      </c>
      <c r="AO45">
        <v>1300.48</v>
      </c>
      <c r="AP45">
        <v>-2255.91</v>
      </c>
      <c r="AQ45">
        <v>47649.1</v>
      </c>
      <c r="AR45">
        <v>6702.01</v>
      </c>
      <c r="AS45">
        <v>0</v>
      </c>
      <c r="AT45">
        <v>0</v>
      </c>
      <c r="AU45">
        <v>800</v>
      </c>
      <c r="AV45">
        <v>800</v>
      </c>
    </row>
    <row r="46" spans="2:49" x14ac:dyDescent="0.2">
      <c r="B46">
        <v>2000</v>
      </c>
      <c r="C46">
        <v>1178.32</v>
      </c>
      <c r="D46">
        <v>-2145.98</v>
      </c>
      <c r="E46">
        <v>66380.3</v>
      </c>
      <c r="F46">
        <v>-10639.9</v>
      </c>
      <c r="G46">
        <v>0</v>
      </c>
      <c r="H46">
        <v>0</v>
      </c>
      <c r="I46">
        <v>800</v>
      </c>
      <c r="J46">
        <v>800</v>
      </c>
      <c r="R46">
        <v>2000</v>
      </c>
      <c r="S46">
        <v>1304.56</v>
      </c>
      <c r="T46">
        <v>-2202.64</v>
      </c>
      <c r="U46">
        <v>54330.1</v>
      </c>
      <c r="V46">
        <v>-16.910599999999999</v>
      </c>
      <c r="W46">
        <v>0</v>
      </c>
      <c r="X46">
        <v>0</v>
      </c>
      <c r="Y46">
        <v>800</v>
      </c>
      <c r="Z46">
        <v>800</v>
      </c>
      <c r="AA46">
        <v>-5317.97</v>
      </c>
      <c r="AC46">
        <v>2000</v>
      </c>
      <c r="AD46">
        <v>1318.62</v>
      </c>
      <c r="AE46">
        <v>-2202.11</v>
      </c>
      <c r="AF46">
        <v>53759.6</v>
      </c>
      <c r="AG46">
        <v>-64.070099999999996</v>
      </c>
      <c r="AH46">
        <v>0</v>
      </c>
      <c r="AI46">
        <v>0</v>
      </c>
      <c r="AJ46">
        <v>800</v>
      </c>
      <c r="AK46">
        <v>800</v>
      </c>
      <c r="AL46">
        <v>-5479.04</v>
      </c>
      <c r="AN46">
        <v>2000</v>
      </c>
      <c r="AO46">
        <v>1299</v>
      </c>
      <c r="AP46">
        <v>-2244.85</v>
      </c>
      <c r="AQ46">
        <v>49598.9</v>
      </c>
      <c r="AR46">
        <v>2995.18</v>
      </c>
      <c r="AS46">
        <v>0</v>
      </c>
      <c r="AT46">
        <v>0</v>
      </c>
      <c r="AU46">
        <v>800</v>
      </c>
      <c r="AV46">
        <v>800</v>
      </c>
    </row>
    <row r="47" spans="2:49" x14ac:dyDescent="0.2">
      <c r="B47">
        <v>3000</v>
      </c>
      <c r="C47">
        <v>1201.17</v>
      </c>
      <c r="D47">
        <v>-2163.04</v>
      </c>
      <c r="E47">
        <v>62823.4</v>
      </c>
      <c r="F47">
        <v>-9667.07</v>
      </c>
      <c r="G47">
        <v>0</v>
      </c>
      <c r="H47">
        <v>0</v>
      </c>
      <c r="I47">
        <v>800</v>
      </c>
      <c r="J47">
        <v>800</v>
      </c>
      <c r="R47">
        <v>3000</v>
      </c>
      <c r="S47">
        <v>1292.23</v>
      </c>
      <c r="T47">
        <v>-2205.5700000000002</v>
      </c>
      <c r="U47">
        <v>53965.8</v>
      </c>
      <c r="V47">
        <v>163.30199999999999</v>
      </c>
      <c r="W47">
        <v>0</v>
      </c>
      <c r="X47">
        <v>0</v>
      </c>
      <c r="Y47">
        <v>800</v>
      </c>
      <c r="Z47">
        <v>800</v>
      </c>
      <c r="AA47">
        <v>-5123.16</v>
      </c>
      <c r="AC47">
        <v>3000</v>
      </c>
      <c r="AD47">
        <v>1325.73</v>
      </c>
      <c r="AE47">
        <v>-2201.91</v>
      </c>
      <c r="AF47">
        <v>53934.7</v>
      </c>
      <c r="AG47">
        <v>627.98299999999995</v>
      </c>
      <c r="AH47">
        <v>0</v>
      </c>
      <c r="AI47">
        <v>0</v>
      </c>
      <c r="AJ47">
        <v>800</v>
      </c>
      <c r="AK47">
        <v>800</v>
      </c>
      <c r="AL47">
        <v>-4798.5200000000004</v>
      </c>
      <c r="AN47">
        <v>3000</v>
      </c>
      <c r="AO47">
        <v>1284.98</v>
      </c>
      <c r="AP47">
        <v>-2228.56</v>
      </c>
      <c r="AQ47">
        <v>51067.199999999997</v>
      </c>
      <c r="AR47">
        <v>2005.15</v>
      </c>
      <c r="AS47">
        <v>0</v>
      </c>
      <c r="AT47">
        <v>0</v>
      </c>
      <c r="AU47">
        <v>800</v>
      </c>
      <c r="AV47">
        <v>800</v>
      </c>
    </row>
    <row r="48" spans="2:49" x14ac:dyDescent="0.2">
      <c r="B48">
        <v>4000</v>
      </c>
      <c r="C48">
        <v>1206.29</v>
      </c>
      <c r="D48">
        <v>-2180.87</v>
      </c>
      <c r="E48">
        <v>60024.2</v>
      </c>
      <c r="F48">
        <v>-8650.93</v>
      </c>
      <c r="G48">
        <v>0</v>
      </c>
      <c r="H48">
        <v>0</v>
      </c>
      <c r="I48">
        <v>800</v>
      </c>
      <c r="J48">
        <v>800</v>
      </c>
      <c r="R48">
        <v>4000</v>
      </c>
      <c r="S48">
        <v>1329.61</v>
      </c>
      <c r="T48">
        <v>-2187.2199999999998</v>
      </c>
      <c r="U48">
        <v>54345.2</v>
      </c>
      <c r="V48">
        <v>209.685</v>
      </c>
      <c r="W48">
        <v>0</v>
      </c>
      <c r="X48">
        <v>0</v>
      </c>
      <c r="Y48">
        <v>800</v>
      </c>
      <c r="Z48">
        <v>800</v>
      </c>
      <c r="AA48">
        <v>-5191.67</v>
      </c>
      <c r="AC48">
        <v>4000</v>
      </c>
      <c r="AD48">
        <v>1277.45</v>
      </c>
      <c r="AE48">
        <v>-2197.88</v>
      </c>
      <c r="AF48">
        <v>54164.800000000003</v>
      </c>
      <c r="AG48">
        <v>-213.02799999999999</v>
      </c>
      <c r="AH48">
        <v>0</v>
      </c>
      <c r="AI48">
        <v>0</v>
      </c>
      <c r="AJ48">
        <v>800</v>
      </c>
      <c r="AK48">
        <v>800</v>
      </c>
      <c r="AL48">
        <v>-5419.71</v>
      </c>
      <c r="AN48">
        <v>4000</v>
      </c>
      <c r="AO48">
        <v>1321.05</v>
      </c>
      <c r="AP48">
        <v>-2211.41</v>
      </c>
      <c r="AQ48">
        <v>52203.8</v>
      </c>
      <c r="AR48">
        <v>2317.59</v>
      </c>
      <c r="AS48">
        <v>0</v>
      </c>
      <c r="AT48">
        <v>0</v>
      </c>
      <c r="AU48">
        <v>800</v>
      </c>
      <c r="AV48">
        <v>800</v>
      </c>
    </row>
    <row r="49" spans="2:48" x14ac:dyDescent="0.2">
      <c r="B49">
        <v>5000</v>
      </c>
      <c r="C49">
        <v>1202.3900000000001</v>
      </c>
      <c r="D49">
        <v>-2187.0100000000002</v>
      </c>
      <c r="E49">
        <v>57645.9</v>
      </c>
      <c r="F49">
        <v>-9184.26</v>
      </c>
      <c r="G49">
        <v>0</v>
      </c>
      <c r="H49">
        <v>0</v>
      </c>
      <c r="I49">
        <v>800</v>
      </c>
      <c r="J49">
        <v>800</v>
      </c>
      <c r="R49">
        <v>5000</v>
      </c>
      <c r="S49">
        <v>1296.25</v>
      </c>
      <c r="T49">
        <v>-2203.7399999999998</v>
      </c>
      <c r="U49">
        <v>54039.6</v>
      </c>
      <c r="V49">
        <v>14.4339</v>
      </c>
      <c r="W49">
        <v>0</v>
      </c>
      <c r="X49">
        <v>0</v>
      </c>
      <c r="Y49">
        <v>800</v>
      </c>
      <c r="Z49">
        <v>800</v>
      </c>
      <c r="AA49">
        <v>-5281.18</v>
      </c>
      <c r="AC49">
        <v>5000</v>
      </c>
      <c r="AD49">
        <v>1267.76</v>
      </c>
      <c r="AE49">
        <v>-2200.4899999999998</v>
      </c>
      <c r="AF49">
        <v>54329</v>
      </c>
      <c r="AG49">
        <v>533.95100000000002</v>
      </c>
      <c r="AH49">
        <v>0</v>
      </c>
      <c r="AI49">
        <v>0</v>
      </c>
      <c r="AJ49">
        <v>800</v>
      </c>
      <c r="AK49">
        <v>800</v>
      </c>
      <c r="AL49">
        <v>-4617.58</v>
      </c>
      <c r="AN49">
        <v>5000</v>
      </c>
      <c r="AO49">
        <v>1284.83</v>
      </c>
      <c r="AP49">
        <v>-2214.77</v>
      </c>
      <c r="AQ49">
        <v>53232.3</v>
      </c>
      <c r="AR49">
        <v>161.70400000000001</v>
      </c>
      <c r="AS49">
        <v>0</v>
      </c>
      <c r="AT49">
        <v>0</v>
      </c>
      <c r="AU49">
        <v>800</v>
      </c>
      <c r="AV49">
        <v>800</v>
      </c>
    </row>
    <row r="50" spans="2:48" x14ac:dyDescent="0.2">
      <c r="B50">
        <v>6000</v>
      </c>
      <c r="C50">
        <v>1180.1099999999999</v>
      </c>
      <c r="D50">
        <v>-2203.7600000000002</v>
      </c>
      <c r="E50">
        <v>55545.1</v>
      </c>
      <c r="F50">
        <v>-8123.07</v>
      </c>
      <c r="G50">
        <v>0</v>
      </c>
      <c r="H50">
        <v>0</v>
      </c>
      <c r="I50">
        <v>800</v>
      </c>
      <c r="J50">
        <v>800</v>
      </c>
      <c r="R50">
        <v>6000</v>
      </c>
      <c r="S50">
        <v>1332.96</v>
      </c>
      <c r="T50">
        <v>-2189.8200000000002</v>
      </c>
      <c r="U50">
        <v>54154.3</v>
      </c>
      <c r="V50">
        <v>-90.235200000000006</v>
      </c>
      <c r="W50">
        <v>0</v>
      </c>
      <c r="X50">
        <v>0</v>
      </c>
      <c r="Y50">
        <v>800</v>
      </c>
      <c r="Z50">
        <v>800</v>
      </c>
      <c r="AA50">
        <v>-5524.81</v>
      </c>
      <c r="AC50">
        <v>6000</v>
      </c>
      <c r="AD50">
        <v>1281.54</v>
      </c>
      <c r="AE50">
        <v>-2195.29</v>
      </c>
      <c r="AF50">
        <v>54431.3</v>
      </c>
      <c r="AG50">
        <v>-628.23299999999995</v>
      </c>
      <c r="AH50">
        <v>0</v>
      </c>
      <c r="AI50">
        <v>0</v>
      </c>
      <c r="AJ50">
        <v>800</v>
      </c>
      <c r="AK50">
        <v>800</v>
      </c>
      <c r="AL50">
        <v>-5826</v>
      </c>
      <c r="AN50">
        <v>6000</v>
      </c>
      <c r="AO50">
        <v>1341.94</v>
      </c>
      <c r="AP50">
        <v>-2204.5100000000002</v>
      </c>
      <c r="AQ50">
        <v>53907.4</v>
      </c>
      <c r="AR50">
        <v>-510.58100000000002</v>
      </c>
      <c r="AS50">
        <v>0</v>
      </c>
      <c r="AT50">
        <v>0</v>
      </c>
      <c r="AU50">
        <v>800</v>
      </c>
      <c r="AV50">
        <v>800</v>
      </c>
    </row>
    <row r="51" spans="2:48" x14ac:dyDescent="0.2">
      <c r="B51">
        <v>7000</v>
      </c>
      <c r="C51">
        <v>1219.54</v>
      </c>
      <c r="D51">
        <v>-2223.7600000000002</v>
      </c>
      <c r="E51">
        <v>53652.9</v>
      </c>
      <c r="F51">
        <v>-6453.75</v>
      </c>
      <c r="G51">
        <v>0</v>
      </c>
      <c r="H51">
        <v>0</v>
      </c>
      <c r="I51">
        <v>800</v>
      </c>
      <c r="J51">
        <v>800</v>
      </c>
      <c r="R51">
        <v>7000</v>
      </c>
      <c r="S51">
        <v>1293.17</v>
      </c>
      <c r="T51">
        <v>-2199.81</v>
      </c>
      <c r="U51">
        <v>53566.7</v>
      </c>
      <c r="V51">
        <v>-126.14100000000001</v>
      </c>
      <c r="W51">
        <v>0</v>
      </c>
      <c r="X51">
        <v>0</v>
      </c>
      <c r="Y51">
        <v>800</v>
      </c>
      <c r="Z51">
        <v>800</v>
      </c>
      <c r="AA51">
        <v>-5456.75</v>
      </c>
      <c r="AC51">
        <v>7000</v>
      </c>
      <c r="AD51">
        <v>1309.71</v>
      </c>
      <c r="AE51">
        <v>-2190.9</v>
      </c>
      <c r="AF51">
        <v>54452.3</v>
      </c>
      <c r="AG51">
        <v>-278.767</v>
      </c>
      <c r="AH51">
        <v>0</v>
      </c>
      <c r="AI51">
        <v>0</v>
      </c>
      <c r="AJ51">
        <v>800</v>
      </c>
      <c r="AK51">
        <v>800</v>
      </c>
      <c r="AL51">
        <v>-5588.75</v>
      </c>
      <c r="AN51">
        <v>7000</v>
      </c>
      <c r="AO51">
        <v>1301.6500000000001</v>
      </c>
      <c r="AP51">
        <v>-2194.2800000000002</v>
      </c>
      <c r="AQ51">
        <v>54317.5</v>
      </c>
      <c r="AR51">
        <v>-593.02700000000004</v>
      </c>
      <c r="AS51">
        <v>0</v>
      </c>
      <c r="AT51">
        <v>0</v>
      </c>
      <c r="AU51">
        <v>800</v>
      </c>
      <c r="AV51">
        <v>800</v>
      </c>
    </row>
    <row r="52" spans="2:48" x14ac:dyDescent="0.2">
      <c r="B52">
        <v>8000</v>
      </c>
      <c r="C52">
        <v>1233.02</v>
      </c>
      <c r="D52">
        <v>-2228.0300000000002</v>
      </c>
      <c r="E52">
        <v>52228.1</v>
      </c>
      <c r="F52">
        <v>-3673.52</v>
      </c>
      <c r="G52">
        <v>0</v>
      </c>
      <c r="H52">
        <v>0</v>
      </c>
      <c r="I52">
        <v>800</v>
      </c>
      <c r="J52">
        <v>800</v>
      </c>
      <c r="R52">
        <v>8000</v>
      </c>
      <c r="S52">
        <v>1292.75</v>
      </c>
      <c r="T52">
        <v>-2207.73</v>
      </c>
      <c r="U52">
        <v>53610.9</v>
      </c>
      <c r="V52">
        <v>-43.804600000000001</v>
      </c>
      <c r="W52">
        <v>0</v>
      </c>
      <c r="X52">
        <v>0</v>
      </c>
      <c r="Y52">
        <v>800</v>
      </c>
      <c r="Z52">
        <v>800</v>
      </c>
      <c r="AA52">
        <v>-5367.31</v>
      </c>
      <c r="AC52">
        <v>8000</v>
      </c>
      <c r="AD52">
        <v>1305.81</v>
      </c>
      <c r="AE52">
        <v>-2191</v>
      </c>
      <c r="AF52">
        <v>54420.7</v>
      </c>
      <c r="AG52">
        <v>-25.246300000000002</v>
      </c>
      <c r="AH52">
        <v>0</v>
      </c>
      <c r="AI52">
        <v>0</v>
      </c>
      <c r="AJ52">
        <v>800</v>
      </c>
      <c r="AK52">
        <v>800</v>
      </c>
      <c r="AL52">
        <v>-5322.49</v>
      </c>
      <c r="AN52">
        <v>8000</v>
      </c>
      <c r="AO52">
        <v>1317.73</v>
      </c>
      <c r="AP52">
        <v>-2190.9699999999998</v>
      </c>
      <c r="AQ52">
        <v>54526.6</v>
      </c>
      <c r="AR52">
        <v>-190.09100000000001</v>
      </c>
      <c r="AS52">
        <v>0</v>
      </c>
      <c r="AT52">
        <v>0</v>
      </c>
      <c r="AU52">
        <v>800</v>
      </c>
      <c r="AV52">
        <v>800</v>
      </c>
    </row>
    <row r="53" spans="2:48" x14ac:dyDescent="0.2">
      <c r="B53">
        <v>9000</v>
      </c>
      <c r="C53">
        <v>1180.9100000000001</v>
      </c>
      <c r="D53">
        <v>-2244.73</v>
      </c>
      <c r="E53">
        <v>51166.2</v>
      </c>
      <c r="F53">
        <v>-2432.7399999999998</v>
      </c>
      <c r="G53">
        <v>0</v>
      </c>
      <c r="H53">
        <v>0</v>
      </c>
      <c r="I53">
        <v>800</v>
      </c>
      <c r="J53">
        <v>800</v>
      </c>
      <c r="R53">
        <v>9000</v>
      </c>
      <c r="S53">
        <v>1314.79</v>
      </c>
      <c r="T53">
        <v>-2197.1799999999998</v>
      </c>
      <c r="U53">
        <v>54206.9</v>
      </c>
      <c r="V53">
        <v>-149.81200000000001</v>
      </c>
      <c r="W53">
        <v>0</v>
      </c>
      <c r="X53">
        <v>0</v>
      </c>
      <c r="Y53">
        <v>800</v>
      </c>
      <c r="Z53">
        <v>800</v>
      </c>
      <c r="AA53">
        <v>-5504.63</v>
      </c>
      <c r="AC53">
        <v>9000</v>
      </c>
      <c r="AD53">
        <v>1319.29</v>
      </c>
      <c r="AE53">
        <v>-2184.88</v>
      </c>
      <c r="AF53">
        <v>54278.5</v>
      </c>
      <c r="AG53">
        <v>517.94899999999996</v>
      </c>
      <c r="AH53">
        <v>0</v>
      </c>
      <c r="AI53">
        <v>0</v>
      </c>
      <c r="AJ53">
        <v>800</v>
      </c>
      <c r="AK53">
        <v>800</v>
      </c>
      <c r="AL53">
        <v>-4847.99</v>
      </c>
      <c r="AN53">
        <v>9000</v>
      </c>
      <c r="AO53">
        <v>1313.95</v>
      </c>
      <c r="AP53">
        <v>-2190.92</v>
      </c>
      <c r="AQ53">
        <v>54572.3</v>
      </c>
      <c r="AR53">
        <v>-605.13400000000001</v>
      </c>
      <c r="AS53">
        <v>0</v>
      </c>
      <c r="AT53">
        <v>0</v>
      </c>
      <c r="AU53">
        <v>800</v>
      </c>
      <c r="AV53">
        <v>800</v>
      </c>
    </row>
    <row r="54" spans="2:48" x14ac:dyDescent="0.2">
      <c r="B54">
        <v>10000</v>
      </c>
      <c r="C54">
        <v>1210.92</v>
      </c>
      <c r="D54">
        <v>-2247.13</v>
      </c>
      <c r="E54">
        <v>50311.6</v>
      </c>
      <c r="F54">
        <v>-1431.4</v>
      </c>
      <c r="G54">
        <v>0</v>
      </c>
      <c r="H54">
        <v>0</v>
      </c>
      <c r="I54">
        <v>800</v>
      </c>
      <c r="J54">
        <v>800</v>
      </c>
      <c r="R54">
        <v>10000</v>
      </c>
      <c r="S54">
        <v>1313.16</v>
      </c>
      <c r="T54">
        <v>-2207.13</v>
      </c>
      <c r="U54">
        <v>53468.1</v>
      </c>
      <c r="V54">
        <v>203.63800000000001</v>
      </c>
      <c r="W54">
        <v>0</v>
      </c>
      <c r="X54">
        <v>0</v>
      </c>
      <c r="Y54">
        <v>800</v>
      </c>
      <c r="Z54">
        <v>800</v>
      </c>
      <c r="AA54">
        <v>-5218.58</v>
      </c>
      <c r="AC54">
        <v>10000</v>
      </c>
      <c r="AD54">
        <v>1320.47</v>
      </c>
      <c r="AE54">
        <v>-2200.0100000000002</v>
      </c>
      <c r="AF54">
        <v>54031.7</v>
      </c>
      <c r="AG54">
        <v>546.61099999999999</v>
      </c>
      <c r="AH54">
        <v>0</v>
      </c>
      <c r="AI54">
        <v>0</v>
      </c>
      <c r="AJ54">
        <v>800</v>
      </c>
      <c r="AK54">
        <v>800</v>
      </c>
      <c r="AL54">
        <v>-4848.6499999999996</v>
      </c>
      <c r="AN54">
        <v>10000</v>
      </c>
      <c r="AO54">
        <v>1259.32</v>
      </c>
      <c r="AP54">
        <v>-2199.1</v>
      </c>
      <c r="AQ54">
        <v>54479.3</v>
      </c>
      <c r="AR54">
        <v>-610.97900000000004</v>
      </c>
      <c r="AS54">
        <v>0</v>
      </c>
      <c r="AT54">
        <v>0</v>
      </c>
      <c r="AU54">
        <v>800</v>
      </c>
      <c r="AV54">
        <v>800</v>
      </c>
    </row>
    <row r="55" spans="2:48" x14ac:dyDescent="0.2">
      <c r="B55">
        <v>11000</v>
      </c>
      <c r="C55">
        <v>1155.6199999999999</v>
      </c>
      <c r="D55">
        <v>-2259.14</v>
      </c>
      <c r="E55">
        <v>49871.7</v>
      </c>
      <c r="F55">
        <v>806.42499999999995</v>
      </c>
      <c r="G55">
        <v>0</v>
      </c>
      <c r="H55">
        <v>0</v>
      </c>
      <c r="I55">
        <v>800</v>
      </c>
      <c r="J55">
        <v>800</v>
      </c>
      <c r="R55">
        <v>11000</v>
      </c>
      <c r="S55">
        <v>1313.25</v>
      </c>
      <c r="T55">
        <v>-2196.12</v>
      </c>
      <c r="U55">
        <v>54065.3</v>
      </c>
      <c r="V55">
        <v>-166.124</v>
      </c>
      <c r="W55">
        <v>0</v>
      </c>
      <c r="X55">
        <v>0</v>
      </c>
      <c r="Y55">
        <v>800</v>
      </c>
      <c r="Z55">
        <v>800</v>
      </c>
      <c r="AA55">
        <v>-5528.89</v>
      </c>
      <c r="AC55">
        <v>11000</v>
      </c>
      <c r="AD55">
        <v>1316.5</v>
      </c>
      <c r="AE55">
        <v>-2201.85</v>
      </c>
      <c r="AF55">
        <v>53774.2</v>
      </c>
      <c r="AG55">
        <v>245.30699999999999</v>
      </c>
      <c r="AH55">
        <v>0</v>
      </c>
      <c r="AI55">
        <v>0</v>
      </c>
      <c r="AJ55">
        <v>800</v>
      </c>
      <c r="AK55">
        <v>800</v>
      </c>
      <c r="AL55">
        <v>-5159.47</v>
      </c>
      <c r="AN55">
        <v>11000</v>
      </c>
      <c r="AO55">
        <v>1288.8599999999999</v>
      </c>
      <c r="AP55">
        <v>-2192.98</v>
      </c>
      <c r="AQ55">
        <v>54319.1</v>
      </c>
      <c r="AR55">
        <v>70.344499999999996</v>
      </c>
      <c r="AS55">
        <v>0</v>
      </c>
      <c r="AT55">
        <v>0</v>
      </c>
      <c r="AU55">
        <v>800</v>
      </c>
      <c r="AV55">
        <v>800</v>
      </c>
    </row>
    <row r="56" spans="2:48" x14ac:dyDescent="0.2">
      <c r="B56">
        <v>12000</v>
      </c>
      <c r="C56">
        <v>1179.0899999999999</v>
      </c>
      <c r="D56">
        <v>-2249.84</v>
      </c>
      <c r="E56">
        <v>49736.7</v>
      </c>
      <c r="F56">
        <v>1799.43</v>
      </c>
      <c r="G56">
        <v>0</v>
      </c>
      <c r="H56">
        <v>0</v>
      </c>
      <c r="I56">
        <v>800</v>
      </c>
      <c r="J56">
        <v>800</v>
      </c>
      <c r="R56">
        <v>12000</v>
      </c>
      <c r="S56">
        <v>1307.1300000000001</v>
      </c>
      <c r="T56">
        <v>-2209.14</v>
      </c>
      <c r="U56">
        <v>53461.3</v>
      </c>
      <c r="V56">
        <v>132.655</v>
      </c>
      <c r="W56">
        <v>0</v>
      </c>
      <c r="X56">
        <v>0</v>
      </c>
      <c r="Y56">
        <v>800</v>
      </c>
      <c r="Z56">
        <v>800</v>
      </c>
      <c r="AA56">
        <v>-5265.38</v>
      </c>
      <c r="AC56">
        <v>12000</v>
      </c>
      <c r="AD56">
        <v>1281.5899999999999</v>
      </c>
      <c r="AE56">
        <v>-2206.04</v>
      </c>
      <c r="AF56">
        <v>53598.6</v>
      </c>
      <c r="AG56">
        <v>-57.748800000000003</v>
      </c>
      <c r="AH56">
        <v>0</v>
      </c>
      <c r="AI56">
        <v>0</v>
      </c>
      <c r="AJ56">
        <v>800</v>
      </c>
      <c r="AK56">
        <v>800</v>
      </c>
      <c r="AL56">
        <v>-5336.46</v>
      </c>
      <c r="AN56">
        <v>12000</v>
      </c>
      <c r="AO56">
        <v>1334.95</v>
      </c>
      <c r="AP56">
        <v>-2196.8200000000002</v>
      </c>
      <c r="AQ56">
        <v>54201.4</v>
      </c>
      <c r="AR56">
        <v>-891.88699999999994</v>
      </c>
      <c r="AS56">
        <v>0</v>
      </c>
      <c r="AT56">
        <v>0</v>
      </c>
      <c r="AU56">
        <v>800</v>
      </c>
      <c r="AV56">
        <v>800</v>
      </c>
    </row>
    <row r="57" spans="2:48" x14ac:dyDescent="0.2">
      <c r="B57">
        <v>13000</v>
      </c>
      <c r="C57">
        <v>1226.47</v>
      </c>
      <c r="D57">
        <v>-2250.34</v>
      </c>
      <c r="E57">
        <v>49829.7</v>
      </c>
      <c r="F57">
        <v>4.2904900000000001</v>
      </c>
      <c r="G57">
        <v>0</v>
      </c>
      <c r="H57">
        <v>0</v>
      </c>
      <c r="I57">
        <v>800</v>
      </c>
      <c r="J57">
        <v>800</v>
      </c>
      <c r="R57">
        <v>13000</v>
      </c>
      <c r="S57">
        <v>1290.1600000000001</v>
      </c>
      <c r="T57">
        <v>-2204.8000000000002</v>
      </c>
      <c r="U57">
        <v>54227.7</v>
      </c>
      <c r="V57">
        <v>-88.747699999999995</v>
      </c>
      <c r="W57">
        <v>0</v>
      </c>
      <c r="X57">
        <v>0</v>
      </c>
      <c r="Y57">
        <v>800</v>
      </c>
      <c r="Z57">
        <v>800</v>
      </c>
      <c r="AA57">
        <v>-5341.95</v>
      </c>
      <c r="AC57">
        <v>13000</v>
      </c>
      <c r="AD57">
        <v>1318.91</v>
      </c>
      <c r="AE57">
        <v>-2204.5</v>
      </c>
      <c r="AF57">
        <v>53455.4</v>
      </c>
      <c r="AG57">
        <v>379.685</v>
      </c>
      <c r="AH57">
        <v>0</v>
      </c>
      <c r="AI57">
        <v>0</v>
      </c>
      <c r="AJ57">
        <v>800</v>
      </c>
      <c r="AK57">
        <v>800</v>
      </c>
      <c r="AL57">
        <v>-5067.3100000000004</v>
      </c>
      <c r="AN57">
        <v>13000</v>
      </c>
      <c r="AO57">
        <v>1306.43</v>
      </c>
      <c r="AP57">
        <v>-2193.85</v>
      </c>
      <c r="AQ57">
        <v>54035.7</v>
      </c>
      <c r="AR57">
        <v>-369.47699999999998</v>
      </c>
      <c r="AS57">
        <v>0</v>
      </c>
      <c r="AT57">
        <v>0</v>
      </c>
      <c r="AU57">
        <v>800</v>
      </c>
      <c r="AV57">
        <v>800</v>
      </c>
    </row>
    <row r="58" spans="2:48" x14ac:dyDescent="0.2">
      <c r="B58">
        <v>14000</v>
      </c>
      <c r="C58">
        <v>1181.8699999999999</v>
      </c>
      <c r="D58">
        <v>-2252.08</v>
      </c>
      <c r="E58">
        <v>49867.199999999997</v>
      </c>
      <c r="F58">
        <v>-350.005</v>
      </c>
      <c r="G58">
        <v>0</v>
      </c>
      <c r="H58">
        <v>0</v>
      </c>
      <c r="I58">
        <v>800</v>
      </c>
      <c r="J58">
        <v>800</v>
      </c>
      <c r="R58">
        <v>14000</v>
      </c>
      <c r="S58">
        <v>1308</v>
      </c>
      <c r="T58">
        <v>-2197.7800000000002</v>
      </c>
      <c r="U58">
        <v>53630.1</v>
      </c>
      <c r="V58">
        <v>-107.845</v>
      </c>
      <c r="W58">
        <v>0</v>
      </c>
      <c r="X58">
        <v>0</v>
      </c>
      <c r="Y58">
        <v>800</v>
      </c>
      <c r="Z58">
        <v>800</v>
      </c>
      <c r="AA58">
        <v>-5492.49</v>
      </c>
      <c r="AC58">
        <v>14000</v>
      </c>
      <c r="AD58">
        <v>1278.42</v>
      </c>
      <c r="AE58">
        <v>-2207.64</v>
      </c>
      <c r="AF58">
        <v>53277.8</v>
      </c>
      <c r="AG58">
        <v>88.527799999999999</v>
      </c>
      <c r="AH58">
        <v>0</v>
      </c>
      <c r="AI58">
        <v>0</v>
      </c>
      <c r="AJ58">
        <v>800</v>
      </c>
      <c r="AK58">
        <v>800</v>
      </c>
      <c r="AL58">
        <v>-5208.83</v>
      </c>
      <c r="AN58">
        <v>14000</v>
      </c>
      <c r="AO58">
        <v>1307.56</v>
      </c>
      <c r="AP58">
        <v>-2204.29</v>
      </c>
      <c r="AQ58">
        <v>53916.3</v>
      </c>
      <c r="AR58">
        <v>-252.005</v>
      </c>
      <c r="AS58">
        <v>0</v>
      </c>
      <c r="AT58">
        <v>0</v>
      </c>
      <c r="AU58">
        <v>800</v>
      </c>
      <c r="AV58">
        <v>800</v>
      </c>
    </row>
    <row r="59" spans="2:48" x14ac:dyDescent="0.2">
      <c r="B59">
        <v>15000</v>
      </c>
      <c r="C59">
        <v>1164.8800000000001</v>
      </c>
      <c r="D59">
        <v>-2257.1999999999998</v>
      </c>
      <c r="E59">
        <v>49788.7</v>
      </c>
      <c r="F59">
        <v>284.57100000000003</v>
      </c>
      <c r="G59">
        <v>0</v>
      </c>
      <c r="H59">
        <v>0</v>
      </c>
      <c r="I59">
        <v>800</v>
      </c>
      <c r="J59">
        <v>800</v>
      </c>
      <c r="R59">
        <v>15000</v>
      </c>
      <c r="S59">
        <v>1276.4000000000001</v>
      </c>
      <c r="T59">
        <v>-2197.61</v>
      </c>
      <c r="U59">
        <v>53335.8</v>
      </c>
      <c r="V59">
        <v>-1.87001</v>
      </c>
      <c r="W59">
        <v>0</v>
      </c>
      <c r="X59">
        <v>0</v>
      </c>
      <c r="Y59">
        <v>800</v>
      </c>
      <c r="Z59">
        <v>800</v>
      </c>
      <c r="AA59">
        <v>-5285.78</v>
      </c>
      <c r="AC59">
        <v>15000</v>
      </c>
      <c r="AD59">
        <v>1293.6400000000001</v>
      </c>
      <c r="AE59">
        <v>-2204.48</v>
      </c>
      <c r="AF59">
        <v>53239.4</v>
      </c>
      <c r="AG59">
        <v>-100.675</v>
      </c>
      <c r="AH59">
        <v>0</v>
      </c>
      <c r="AI59">
        <v>0</v>
      </c>
      <c r="AJ59">
        <v>800</v>
      </c>
      <c r="AK59">
        <v>800</v>
      </c>
      <c r="AL59">
        <v>-5464.97</v>
      </c>
      <c r="AN59">
        <v>15000</v>
      </c>
      <c r="AO59">
        <v>1312.95</v>
      </c>
      <c r="AP59">
        <v>-2202.4299999999998</v>
      </c>
      <c r="AQ59">
        <v>53805.9</v>
      </c>
      <c r="AR59">
        <v>461.97199999999998</v>
      </c>
      <c r="AS59">
        <v>0</v>
      </c>
      <c r="AT59">
        <v>0</v>
      </c>
      <c r="AU59">
        <v>800</v>
      </c>
      <c r="AV59">
        <v>800</v>
      </c>
    </row>
    <row r="60" spans="2:48" x14ac:dyDescent="0.2">
      <c r="B60">
        <v>16000</v>
      </c>
      <c r="C60">
        <v>1199.9100000000001</v>
      </c>
      <c r="D60">
        <v>-2255.2399999999998</v>
      </c>
      <c r="E60">
        <v>49631</v>
      </c>
      <c r="F60">
        <v>-237.619</v>
      </c>
      <c r="G60">
        <v>0</v>
      </c>
      <c r="H60">
        <v>0</v>
      </c>
      <c r="I60">
        <v>800</v>
      </c>
      <c r="J60">
        <v>800</v>
      </c>
      <c r="R60">
        <v>16000</v>
      </c>
      <c r="S60">
        <v>1267.82</v>
      </c>
      <c r="T60">
        <v>-2204.81</v>
      </c>
      <c r="U60">
        <v>53988.7</v>
      </c>
      <c r="V60">
        <v>147.28700000000001</v>
      </c>
      <c r="W60">
        <v>0</v>
      </c>
      <c r="X60">
        <v>0</v>
      </c>
      <c r="Y60">
        <v>800</v>
      </c>
      <c r="Z60">
        <v>800</v>
      </c>
      <c r="AA60">
        <v>-5037.7</v>
      </c>
      <c r="AC60">
        <v>16000</v>
      </c>
      <c r="AD60">
        <v>1260.3399999999999</v>
      </c>
      <c r="AE60">
        <v>-2210.79</v>
      </c>
      <c r="AF60">
        <v>53366.9</v>
      </c>
      <c r="AG60">
        <v>1051.26</v>
      </c>
      <c r="AH60">
        <v>0</v>
      </c>
      <c r="AI60">
        <v>0</v>
      </c>
      <c r="AJ60">
        <v>800</v>
      </c>
      <c r="AK60">
        <v>800</v>
      </c>
      <c r="AL60">
        <v>-4162.45</v>
      </c>
      <c r="AN60">
        <v>16000</v>
      </c>
      <c r="AO60">
        <v>1244</v>
      </c>
      <c r="AP60">
        <v>-2204.59</v>
      </c>
      <c r="AQ60">
        <v>53761.8</v>
      </c>
      <c r="AR60">
        <v>-385.94099999999997</v>
      </c>
      <c r="AS60">
        <v>0</v>
      </c>
      <c r="AT60">
        <v>0</v>
      </c>
      <c r="AU60">
        <v>800</v>
      </c>
      <c r="AV60">
        <v>800</v>
      </c>
    </row>
    <row r="61" spans="2:48" x14ac:dyDescent="0.2">
      <c r="B61">
        <v>17000</v>
      </c>
      <c r="C61">
        <v>1206.73</v>
      </c>
      <c r="D61">
        <v>-2258.71</v>
      </c>
      <c r="E61">
        <v>49593.9</v>
      </c>
      <c r="F61">
        <v>-22.052299999999999</v>
      </c>
      <c r="G61">
        <v>0</v>
      </c>
      <c r="H61">
        <v>0</v>
      </c>
      <c r="I61">
        <v>800</v>
      </c>
      <c r="J61">
        <v>800</v>
      </c>
      <c r="R61">
        <v>17000</v>
      </c>
      <c r="S61">
        <v>1309.18</v>
      </c>
      <c r="T61">
        <v>-2196.4</v>
      </c>
      <c r="U61">
        <v>54010.3</v>
      </c>
      <c r="V61">
        <v>-412.56</v>
      </c>
      <c r="W61">
        <v>0</v>
      </c>
      <c r="X61">
        <v>0</v>
      </c>
      <c r="Y61">
        <v>800</v>
      </c>
      <c r="Z61">
        <v>800</v>
      </c>
      <c r="AA61">
        <v>-5764.58</v>
      </c>
      <c r="AC61">
        <v>17000</v>
      </c>
      <c r="AD61">
        <v>1315.56</v>
      </c>
      <c r="AE61">
        <v>-2199.41</v>
      </c>
      <c r="AF61">
        <v>53636</v>
      </c>
      <c r="AG61">
        <v>371.72800000000001</v>
      </c>
      <c r="AH61">
        <v>0</v>
      </c>
      <c r="AI61">
        <v>0</v>
      </c>
      <c r="AJ61">
        <v>800</v>
      </c>
      <c r="AK61">
        <v>800</v>
      </c>
      <c r="AL61">
        <v>-5043.1400000000003</v>
      </c>
      <c r="AN61">
        <v>17000</v>
      </c>
      <c r="AO61">
        <v>1309.23</v>
      </c>
      <c r="AP61">
        <v>-2199.37</v>
      </c>
      <c r="AQ61">
        <v>53718.5</v>
      </c>
      <c r="AR61">
        <v>-255.7</v>
      </c>
      <c r="AS61">
        <v>0</v>
      </c>
      <c r="AT61">
        <v>0</v>
      </c>
      <c r="AU61">
        <v>800</v>
      </c>
      <c r="AV61">
        <v>800</v>
      </c>
    </row>
    <row r="62" spans="2:48" x14ac:dyDescent="0.2">
      <c r="B62">
        <v>18000</v>
      </c>
      <c r="C62">
        <v>1233.5899999999999</v>
      </c>
      <c r="D62">
        <v>-2252.2199999999998</v>
      </c>
      <c r="E62">
        <v>49461.9</v>
      </c>
      <c r="F62">
        <v>1800.25</v>
      </c>
      <c r="G62">
        <v>0</v>
      </c>
      <c r="H62">
        <v>0</v>
      </c>
      <c r="I62">
        <v>800</v>
      </c>
      <c r="J62">
        <v>800</v>
      </c>
      <c r="R62">
        <v>18000</v>
      </c>
      <c r="S62">
        <v>1276.68</v>
      </c>
      <c r="T62">
        <v>-2198.11</v>
      </c>
      <c r="U62">
        <v>54082.1</v>
      </c>
      <c r="V62">
        <v>-214.89599999999999</v>
      </c>
      <c r="W62">
        <v>0</v>
      </c>
      <c r="X62">
        <v>0</v>
      </c>
      <c r="Y62">
        <v>800</v>
      </c>
      <c r="Z62">
        <v>800</v>
      </c>
      <c r="AA62">
        <v>-5426.59</v>
      </c>
      <c r="AC62">
        <v>18000</v>
      </c>
      <c r="AD62">
        <v>1330.35</v>
      </c>
      <c r="AE62">
        <v>-2200.5500000000002</v>
      </c>
      <c r="AF62">
        <v>53935.7</v>
      </c>
      <c r="AG62">
        <v>1013.62</v>
      </c>
      <c r="AH62">
        <v>0</v>
      </c>
      <c r="AI62">
        <v>0</v>
      </c>
      <c r="AJ62">
        <v>800</v>
      </c>
      <c r="AK62">
        <v>800</v>
      </c>
      <c r="AL62">
        <v>-4431.6499999999996</v>
      </c>
      <c r="AN62">
        <v>18000</v>
      </c>
      <c r="AO62">
        <v>1314.02</v>
      </c>
      <c r="AP62">
        <v>-2208.87</v>
      </c>
      <c r="AQ62">
        <v>53681.8</v>
      </c>
      <c r="AR62">
        <v>-166.571</v>
      </c>
      <c r="AS62">
        <v>0</v>
      </c>
      <c r="AT62">
        <v>0</v>
      </c>
      <c r="AU62">
        <v>800</v>
      </c>
      <c r="AV62">
        <v>800</v>
      </c>
    </row>
    <row r="63" spans="2:48" x14ac:dyDescent="0.2">
      <c r="B63">
        <v>19000</v>
      </c>
      <c r="C63">
        <v>1199.18</v>
      </c>
      <c r="D63">
        <v>-2256.91</v>
      </c>
      <c r="E63">
        <v>49471.1</v>
      </c>
      <c r="F63">
        <v>1293.3399999999999</v>
      </c>
      <c r="G63">
        <v>0</v>
      </c>
      <c r="H63">
        <v>0</v>
      </c>
      <c r="I63">
        <v>800</v>
      </c>
      <c r="J63">
        <v>800</v>
      </c>
      <c r="R63">
        <v>19000</v>
      </c>
      <c r="S63">
        <v>1306.23</v>
      </c>
      <c r="T63">
        <v>-2193.5500000000002</v>
      </c>
      <c r="U63">
        <v>54108.6</v>
      </c>
      <c r="V63">
        <v>-94.354200000000006</v>
      </c>
      <c r="W63">
        <v>0</v>
      </c>
      <c r="X63">
        <v>0</v>
      </c>
      <c r="Y63">
        <v>800</v>
      </c>
      <c r="Z63">
        <v>800</v>
      </c>
      <c r="AA63">
        <v>-5424.17</v>
      </c>
      <c r="AC63">
        <v>19000</v>
      </c>
      <c r="AD63">
        <v>1320.44</v>
      </c>
      <c r="AE63">
        <v>-2194.16</v>
      </c>
      <c r="AF63">
        <v>54303.9</v>
      </c>
      <c r="AG63">
        <v>680.02300000000002</v>
      </c>
      <c r="AH63">
        <v>0</v>
      </c>
      <c r="AI63">
        <v>0</v>
      </c>
      <c r="AJ63">
        <v>800</v>
      </c>
      <c r="AK63">
        <v>800</v>
      </c>
      <c r="AL63">
        <v>-4688.1000000000004</v>
      </c>
      <c r="AN63">
        <v>19000</v>
      </c>
      <c r="AO63">
        <v>1267.24</v>
      </c>
      <c r="AP63">
        <v>-2202.77</v>
      </c>
      <c r="AQ63">
        <v>53612.7</v>
      </c>
      <c r="AR63">
        <v>190.702</v>
      </c>
      <c r="AS63">
        <v>0</v>
      </c>
      <c r="AT63">
        <v>0</v>
      </c>
      <c r="AU63">
        <v>800</v>
      </c>
      <c r="AV63">
        <v>800</v>
      </c>
    </row>
    <row r="64" spans="2:48" x14ac:dyDescent="0.2">
      <c r="B64">
        <v>20000</v>
      </c>
      <c r="C64">
        <v>1220.05</v>
      </c>
      <c r="D64">
        <v>-2254.64</v>
      </c>
      <c r="E64">
        <v>49559.3</v>
      </c>
      <c r="F64">
        <v>734.07</v>
      </c>
      <c r="G64">
        <v>0</v>
      </c>
      <c r="H64">
        <v>0</v>
      </c>
      <c r="I64">
        <v>800</v>
      </c>
      <c r="J64">
        <v>800</v>
      </c>
      <c r="R64">
        <v>20000</v>
      </c>
      <c r="S64">
        <v>1284.01</v>
      </c>
      <c r="T64">
        <v>-2203.15</v>
      </c>
      <c r="U64">
        <v>54155.6</v>
      </c>
      <c r="V64">
        <v>19.017299999999999</v>
      </c>
      <c r="W64">
        <v>0</v>
      </c>
      <c r="X64">
        <v>0</v>
      </c>
      <c r="Y64">
        <v>800</v>
      </c>
      <c r="Z64">
        <v>800</v>
      </c>
      <c r="AA64">
        <v>-5215.93</v>
      </c>
      <c r="AC64">
        <v>20000</v>
      </c>
      <c r="AD64">
        <v>1304.8699999999999</v>
      </c>
      <c r="AE64">
        <v>-2196.23</v>
      </c>
      <c r="AF64">
        <v>54678</v>
      </c>
      <c r="AG64">
        <v>-1298.19</v>
      </c>
      <c r="AH64">
        <v>0</v>
      </c>
      <c r="AI64">
        <v>0</v>
      </c>
      <c r="AJ64">
        <v>800</v>
      </c>
      <c r="AK64">
        <v>800</v>
      </c>
      <c r="AL64">
        <v>-6566.67</v>
      </c>
      <c r="AN64">
        <v>20000</v>
      </c>
      <c r="AO64">
        <v>1301.06</v>
      </c>
      <c r="AP64">
        <v>-2196.87</v>
      </c>
      <c r="AQ64">
        <v>53615.8</v>
      </c>
      <c r="AR64">
        <v>-127.33799999999999</v>
      </c>
      <c r="AS64">
        <v>0</v>
      </c>
      <c r="AT64">
        <v>0</v>
      </c>
      <c r="AU64">
        <v>800</v>
      </c>
      <c r="AV64">
        <v>800</v>
      </c>
    </row>
    <row r="65" spans="2:48" x14ac:dyDescent="0.2">
      <c r="B65">
        <v>21000</v>
      </c>
      <c r="C65">
        <v>1192.3</v>
      </c>
      <c r="D65">
        <v>-2252.8200000000002</v>
      </c>
      <c r="E65">
        <v>49706.3</v>
      </c>
      <c r="F65">
        <v>-26.1525</v>
      </c>
      <c r="G65">
        <v>0</v>
      </c>
      <c r="H65">
        <v>0</v>
      </c>
      <c r="I65">
        <v>800</v>
      </c>
      <c r="J65">
        <v>800</v>
      </c>
      <c r="R65">
        <v>21000</v>
      </c>
      <c r="S65">
        <v>1270.27</v>
      </c>
      <c r="T65">
        <v>-2210.79</v>
      </c>
      <c r="U65">
        <v>52854.7</v>
      </c>
      <c r="V65">
        <v>-223.88300000000001</v>
      </c>
      <c r="W65">
        <v>0</v>
      </c>
      <c r="X65">
        <v>0</v>
      </c>
      <c r="Y65">
        <v>800</v>
      </c>
      <c r="Z65">
        <v>800</v>
      </c>
      <c r="AA65">
        <v>-5529.64</v>
      </c>
      <c r="AC65">
        <v>21000</v>
      </c>
      <c r="AD65">
        <v>1337.55</v>
      </c>
      <c r="AE65">
        <v>-2187.73</v>
      </c>
      <c r="AF65">
        <v>55000.4</v>
      </c>
      <c r="AG65">
        <v>-1004.82</v>
      </c>
      <c r="AH65">
        <v>0</v>
      </c>
      <c r="AI65">
        <v>0</v>
      </c>
      <c r="AJ65">
        <v>800</v>
      </c>
      <c r="AK65">
        <v>800</v>
      </c>
      <c r="AL65">
        <v>-6373.59</v>
      </c>
      <c r="AN65">
        <v>21000</v>
      </c>
      <c r="AO65">
        <v>1323.52</v>
      </c>
      <c r="AP65">
        <v>-2196.75</v>
      </c>
      <c r="AQ65">
        <v>53769.599999999999</v>
      </c>
      <c r="AR65">
        <v>634.78300000000002</v>
      </c>
      <c r="AS65">
        <v>0</v>
      </c>
      <c r="AT65">
        <v>0</v>
      </c>
      <c r="AU65">
        <v>800</v>
      </c>
      <c r="AV65">
        <v>800</v>
      </c>
    </row>
    <row r="66" spans="2:48" x14ac:dyDescent="0.2">
      <c r="B66">
        <v>22000</v>
      </c>
      <c r="C66">
        <v>1230.8</v>
      </c>
      <c r="D66">
        <v>-2251.48</v>
      </c>
      <c r="E66">
        <v>49840.7</v>
      </c>
      <c r="F66">
        <v>831.88499999999999</v>
      </c>
      <c r="G66">
        <v>0</v>
      </c>
      <c r="H66">
        <v>0</v>
      </c>
      <c r="I66">
        <v>800</v>
      </c>
      <c r="J66">
        <v>800</v>
      </c>
      <c r="R66">
        <v>22000</v>
      </c>
      <c r="S66">
        <v>1286.42</v>
      </c>
      <c r="T66">
        <v>-2203.2600000000002</v>
      </c>
      <c r="U66">
        <v>53897.9</v>
      </c>
      <c r="V66">
        <v>-113.122</v>
      </c>
      <c r="W66">
        <v>0</v>
      </c>
      <c r="X66">
        <v>0</v>
      </c>
      <c r="Y66">
        <v>800</v>
      </c>
      <c r="Z66">
        <v>800</v>
      </c>
      <c r="AA66">
        <v>-5382.23</v>
      </c>
      <c r="AC66">
        <v>22000</v>
      </c>
      <c r="AD66">
        <v>1300.8800000000001</v>
      </c>
      <c r="AE66">
        <v>-2190.23</v>
      </c>
      <c r="AF66">
        <v>55155.4</v>
      </c>
      <c r="AG66">
        <v>-1039.28</v>
      </c>
      <c r="AH66">
        <v>0</v>
      </c>
      <c r="AI66">
        <v>0</v>
      </c>
      <c r="AJ66">
        <v>800</v>
      </c>
      <c r="AK66">
        <v>800</v>
      </c>
      <c r="AL66">
        <v>-6246.23</v>
      </c>
      <c r="AN66">
        <v>22000</v>
      </c>
      <c r="AO66">
        <v>1289.33</v>
      </c>
      <c r="AP66">
        <v>-2206.41</v>
      </c>
      <c r="AQ66">
        <v>54013.9</v>
      </c>
      <c r="AR66">
        <v>-119.49</v>
      </c>
      <c r="AS66">
        <v>0</v>
      </c>
      <c r="AT66">
        <v>0</v>
      </c>
      <c r="AU66">
        <v>800</v>
      </c>
      <c r="AV66">
        <v>800</v>
      </c>
    </row>
    <row r="67" spans="2:48" x14ac:dyDescent="0.2">
      <c r="B67">
        <v>23000</v>
      </c>
      <c r="C67">
        <v>1185.3800000000001</v>
      </c>
      <c r="D67">
        <v>-2259.4499999999998</v>
      </c>
      <c r="E67">
        <v>49850</v>
      </c>
      <c r="F67">
        <v>-1160.96</v>
      </c>
      <c r="G67">
        <v>0</v>
      </c>
      <c r="H67">
        <v>0</v>
      </c>
      <c r="I67">
        <v>800</v>
      </c>
      <c r="J67">
        <v>800</v>
      </c>
      <c r="R67">
        <v>23000</v>
      </c>
      <c r="S67">
        <v>1298.6400000000001</v>
      </c>
      <c r="T67">
        <v>-2198.2800000000002</v>
      </c>
      <c r="U67">
        <v>53756.7</v>
      </c>
      <c r="V67">
        <v>144.70099999999999</v>
      </c>
      <c r="W67">
        <v>0</v>
      </c>
      <c r="X67">
        <v>0</v>
      </c>
      <c r="Y67">
        <v>800</v>
      </c>
      <c r="Z67">
        <v>800</v>
      </c>
      <c r="AA67">
        <v>-5188.6400000000003</v>
      </c>
      <c r="AC67">
        <v>23000</v>
      </c>
      <c r="AD67">
        <v>1309.33</v>
      </c>
      <c r="AE67">
        <v>-2191.75</v>
      </c>
      <c r="AF67">
        <v>55085.5</v>
      </c>
      <c r="AG67">
        <v>-1999.64</v>
      </c>
      <c r="AH67">
        <v>0</v>
      </c>
      <c r="AI67">
        <v>0</v>
      </c>
      <c r="AJ67">
        <v>800</v>
      </c>
      <c r="AK67">
        <v>800</v>
      </c>
      <c r="AL67">
        <v>-7247.04</v>
      </c>
      <c r="AN67">
        <v>23000</v>
      </c>
      <c r="AO67">
        <v>1299.58</v>
      </c>
      <c r="AP67">
        <v>-2201.1999999999998</v>
      </c>
      <c r="AQ67">
        <v>54152.800000000003</v>
      </c>
      <c r="AR67">
        <v>-393.15100000000001</v>
      </c>
      <c r="AS67">
        <v>0</v>
      </c>
      <c r="AT67">
        <v>0</v>
      </c>
      <c r="AU67">
        <v>800</v>
      </c>
      <c r="AV67">
        <v>800</v>
      </c>
    </row>
    <row r="68" spans="2:48" x14ac:dyDescent="0.2">
      <c r="B68">
        <v>24000</v>
      </c>
      <c r="C68">
        <v>1178.8800000000001</v>
      </c>
      <c r="D68">
        <v>-2260.59</v>
      </c>
      <c r="E68">
        <v>49759.4</v>
      </c>
      <c r="F68">
        <v>-131.78800000000001</v>
      </c>
      <c r="G68">
        <v>0</v>
      </c>
      <c r="H68">
        <v>0</v>
      </c>
      <c r="I68">
        <v>800</v>
      </c>
      <c r="J68">
        <v>800</v>
      </c>
      <c r="R68">
        <v>24000</v>
      </c>
      <c r="S68">
        <v>1288.97</v>
      </c>
      <c r="T68">
        <v>-2199.88</v>
      </c>
      <c r="U68">
        <v>54303.1</v>
      </c>
      <c r="V68">
        <v>46.375300000000003</v>
      </c>
      <c r="W68">
        <v>0</v>
      </c>
      <c r="X68">
        <v>0</v>
      </c>
      <c r="Y68">
        <v>800</v>
      </c>
      <c r="Z68">
        <v>800</v>
      </c>
      <c r="AA68">
        <v>-5194.0200000000004</v>
      </c>
      <c r="AC68">
        <v>24000</v>
      </c>
      <c r="AD68">
        <v>1250.58</v>
      </c>
      <c r="AE68">
        <v>-2197.02</v>
      </c>
      <c r="AF68">
        <v>54655.4</v>
      </c>
      <c r="AG68">
        <v>-1188.44</v>
      </c>
      <c r="AH68">
        <v>0</v>
      </c>
      <c r="AI68">
        <v>0</v>
      </c>
      <c r="AJ68">
        <v>800</v>
      </c>
      <c r="AK68">
        <v>800</v>
      </c>
      <c r="AL68">
        <v>-6239.82</v>
      </c>
      <c r="AN68">
        <v>24000</v>
      </c>
      <c r="AO68">
        <v>1316.5</v>
      </c>
      <c r="AP68">
        <v>-2201.36</v>
      </c>
      <c r="AQ68">
        <v>54196.3</v>
      </c>
      <c r="AR68">
        <v>-1003.98</v>
      </c>
      <c r="AS68">
        <v>0</v>
      </c>
      <c r="AT68">
        <v>0</v>
      </c>
      <c r="AU68">
        <v>800</v>
      </c>
      <c r="AV68">
        <v>800</v>
      </c>
    </row>
    <row r="69" spans="2:48" x14ac:dyDescent="0.2">
      <c r="B69">
        <v>25000</v>
      </c>
      <c r="C69">
        <v>1192.45</v>
      </c>
      <c r="D69">
        <v>-2252.7399999999998</v>
      </c>
      <c r="E69">
        <v>49656.3</v>
      </c>
      <c r="F69">
        <v>129.137</v>
      </c>
      <c r="G69">
        <v>0</v>
      </c>
      <c r="H69">
        <v>0</v>
      </c>
      <c r="I69">
        <v>800</v>
      </c>
      <c r="J69">
        <v>800</v>
      </c>
      <c r="R69">
        <v>25000</v>
      </c>
      <c r="S69">
        <v>1308.5999999999999</v>
      </c>
      <c r="T69">
        <v>-2193.5300000000002</v>
      </c>
      <c r="U69">
        <v>53816.5</v>
      </c>
      <c r="V69">
        <v>37.976199999999999</v>
      </c>
      <c r="W69">
        <v>0</v>
      </c>
      <c r="X69">
        <v>0</v>
      </c>
      <c r="Y69">
        <v>800</v>
      </c>
      <c r="Z69">
        <v>800</v>
      </c>
      <c r="AA69">
        <v>-5330.64</v>
      </c>
      <c r="AC69">
        <v>25000</v>
      </c>
      <c r="AD69">
        <v>1327.71</v>
      </c>
      <c r="AE69">
        <v>-2200.83</v>
      </c>
      <c r="AF69">
        <v>53954.1</v>
      </c>
      <c r="AG69">
        <v>138.542</v>
      </c>
      <c r="AH69">
        <v>0</v>
      </c>
      <c r="AI69">
        <v>0</v>
      </c>
      <c r="AJ69">
        <v>800</v>
      </c>
      <c r="AK69">
        <v>800</v>
      </c>
      <c r="AL69">
        <v>-5294.14</v>
      </c>
      <c r="AN69">
        <v>25000</v>
      </c>
      <c r="AO69">
        <v>1310.01</v>
      </c>
      <c r="AP69">
        <v>-2198.36</v>
      </c>
      <c r="AQ69">
        <v>54152.3</v>
      </c>
      <c r="AR69">
        <v>-192.566</v>
      </c>
      <c r="AS69">
        <v>0</v>
      </c>
      <c r="AT69">
        <v>0</v>
      </c>
      <c r="AU69">
        <v>800</v>
      </c>
      <c r="AV69">
        <v>800</v>
      </c>
    </row>
    <row r="70" spans="2:48" x14ac:dyDescent="0.2">
      <c r="B70">
        <v>26000</v>
      </c>
      <c r="C70">
        <v>1222.3699999999999</v>
      </c>
      <c r="D70">
        <v>-2257.66</v>
      </c>
      <c r="E70">
        <v>49708.2</v>
      </c>
      <c r="F70">
        <v>-163.904</v>
      </c>
      <c r="G70">
        <v>0</v>
      </c>
      <c r="H70">
        <v>0</v>
      </c>
      <c r="I70">
        <v>800</v>
      </c>
      <c r="J70">
        <v>800</v>
      </c>
      <c r="R70">
        <v>26000</v>
      </c>
      <c r="S70">
        <v>1326.38</v>
      </c>
      <c r="T70">
        <v>-2191.02</v>
      </c>
      <c r="U70">
        <v>54430.2</v>
      </c>
      <c r="V70">
        <v>143.858</v>
      </c>
      <c r="W70">
        <v>0</v>
      </c>
      <c r="X70">
        <v>0</v>
      </c>
      <c r="Y70">
        <v>800</v>
      </c>
      <c r="Z70">
        <v>800</v>
      </c>
      <c r="AA70">
        <v>-5236.59</v>
      </c>
      <c r="AC70">
        <v>26000</v>
      </c>
      <c r="AD70">
        <v>1259.8399999999999</v>
      </c>
      <c r="AE70">
        <v>-2211.75</v>
      </c>
      <c r="AF70">
        <v>53220</v>
      </c>
      <c r="AG70">
        <v>878.74099999999999</v>
      </c>
      <c r="AH70">
        <v>0</v>
      </c>
      <c r="AI70">
        <v>0</v>
      </c>
      <c r="AJ70">
        <v>800</v>
      </c>
      <c r="AK70">
        <v>800</v>
      </c>
      <c r="AL70">
        <v>-4347.3100000000004</v>
      </c>
      <c r="AN70">
        <v>26000</v>
      </c>
      <c r="AO70">
        <v>1287.5999999999999</v>
      </c>
      <c r="AP70">
        <v>-2201.87</v>
      </c>
      <c r="AQ70">
        <v>54068.3</v>
      </c>
      <c r="AR70">
        <v>-93.414199999999994</v>
      </c>
      <c r="AS70">
        <v>0</v>
      </c>
      <c r="AT70">
        <v>0</v>
      </c>
      <c r="AU70">
        <v>800</v>
      </c>
      <c r="AV70">
        <v>800</v>
      </c>
    </row>
    <row r="71" spans="2:48" x14ac:dyDescent="0.2">
      <c r="B71">
        <v>27000</v>
      </c>
      <c r="C71">
        <v>1223.19</v>
      </c>
      <c r="D71">
        <v>-2255.83</v>
      </c>
      <c r="E71">
        <v>49757.4</v>
      </c>
      <c r="F71">
        <v>-1421.44</v>
      </c>
      <c r="G71">
        <v>0</v>
      </c>
      <c r="H71">
        <v>0</v>
      </c>
      <c r="I71">
        <v>800</v>
      </c>
      <c r="J71">
        <v>800</v>
      </c>
      <c r="R71">
        <v>27000</v>
      </c>
      <c r="S71">
        <v>1277.01</v>
      </c>
      <c r="T71">
        <v>-2210.27</v>
      </c>
      <c r="U71">
        <v>53312.9</v>
      </c>
      <c r="V71">
        <v>70.744900000000001</v>
      </c>
      <c r="W71">
        <v>0</v>
      </c>
      <c r="X71">
        <v>0</v>
      </c>
      <c r="Y71">
        <v>800</v>
      </c>
      <c r="Z71">
        <v>800</v>
      </c>
      <c r="AA71">
        <v>-5217.8100000000004</v>
      </c>
      <c r="AC71">
        <v>27000</v>
      </c>
      <c r="AD71">
        <v>1302.28</v>
      </c>
      <c r="AE71">
        <v>-2209.33</v>
      </c>
      <c r="AF71">
        <v>52759</v>
      </c>
      <c r="AG71">
        <v>677.66499999999996</v>
      </c>
      <c r="AH71">
        <v>0</v>
      </c>
      <c r="AI71">
        <v>0</v>
      </c>
      <c r="AJ71">
        <v>800</v>
      </c>
      <c r="AK71">
        <v>800</v>
      </c>
      <c r="AL71">
        <v>-4771.6099999999997</v>
      </c>
      <c r="AN71">
        <v>27000</v>
      </c>
      <c r="AO71">
        <v>1277.8499999999999</v>
      </c>
      <c r="AP71">
        <v>-2200.09</v>
      </c>
      <c r="AQ71">
        <v>54030.8</v>
      </c>
      <c r="AR71">
        <v>-250.81899999999999</v>
      </c>
      <c r="AS71">
        <v>0</v>
      </c>
      <c r="AT71">
        <v>0</v>
      </c>
      <c r="AU71">
        <v>800</v>
      </c>
      <c r="AV71">
        <v>800</v>
      </c>
    </row>
    <row r="72" spans="2:48" x14ac:dyDescent="0.2">
      <c r="B72">
        <v>28000</v>
      </c>
      <c r="C72">
        <v>1191.57</v>
      </c>
      <c r="D72">
        <v>-2265.71</v>
      </c>
      <c r="E72">
        <v>49640.6</v>
      </c>
      <c r="F72">
        <v>-511.55599999999998</v>
      </c>
      <c r="G72">
        <v>0</v>
      </c>
      <c r="H72">
        <v>0</v>
      </c>
      <c r="I72">
        <v>800</v>
      </c>
      <c r="J72">
        <v>800</v>
      </c>
      <c r="R72">
        <v>28000</v>
      </c>
      <c r="S72">
        <v>1314.56</v>
      </c>
      <c r="T72">
        <v>-2183.9899999999998</v>
      </c>
      <c r="U72">
        <v>54605.599999999999</v>
      </c>
      <c r="V72">
        <v>157.30500000000001</v>
      </c>
      <c r="W72">
        <v>0</v>
      </c>
      <c r="X72">
        <v>0</v>
      </c>
      <c r="Y72">
        <v>800</v>
      </c>
      <c r="Z72">
        <v>800</v>
      </c>
      <c r="AA72">
        <v>-5157.21</v>
      </c>
      <c r="AC72">
        <v>28000</v>
      </c>
      <c r="AD72">
        <v>1322.91</v>
      </c>
      <c r="AE72">
        <v>-2225.14</v>
      </c>
      <c r="AF72">
        <v>52605.9</v>
      </c>
      <c r="AG72">
        <v>1507.8</v>
      </c>
      <c r="AH72">
        <v>0</v>
      </c>
      <c r="AI72">
        <v>0</v>
      </c>
      <c r="AJ72">
        <v>800</v>
      </c>
      <c r="AK72">
        <v>800</v>
      </c>
      <c r="AL72">
        <v>-4043.92</v>
      </c>
      <c r="AN72">
        <v>28000</v>
      </c>
      <c r="AO72">
        <v>1307.77</v>
      </c>
      <c r="AP72">
        <v>-2191.4699999999998</v>
      </c>
      <c r="AQ72">
        <v>54002</v>
      </c>
      <c r="AR72">
        <v>-1090.5999999999999</v>
      </c>
      <c r="AS72">
        <v>0</v>
      </c>
      <c r="AT72">
        <v>0</v>
      </c>
      <c r="AU72">
        <v>800</v>
      </c>
      <c r="AV72">
        <v>800</v>
      </c>
    </row>
    <row r="73" spans="2:48" x14ac:dyDescent="0.2">
      <c r="B73">
        <v>29000</v>
      </c>
      <c r="C73">
        <v>1215.5</v>
      </c>
      <c r="D73">
        <v>-2259.7600000000002</v>
      </c>
      <c r="E73">
        <v>49544.2</v>
      </c>
      <c r="F73">
        <v>273.63200000000001</v>
      </c>
      <c r="G73">
        <v>0</v>
      </c>
      <c r="H73">
        <v>0</v>
      </c>
      <c r="I73">
        <v>800</v>
      </c>
      <c r="J73">
        <v>800</v>
      </c>
      <c r="R73">
        <v>29000</v>
      </c>
      <c r="S73">
        <v>1282.55</v>
      </c>
      <c r="T73">
        <v>-2205.71</v>
      </c>
      <c r="U73">
        <v>54418.7</v>
      </c>
      <c r="V73">
        <v>-22.479099999999999</v>
      </c>
      <c r="W73">
        <v>0</v>
      </c>
      <c r="X73">
        <v>0</v>
      </c>
      <c r="Y73">
        <v>800</v>
      </c>
      <c r="Z73">
        <v>800</v>
      </c>
      <c r="AA73">
        <v>-5226.09</v>
      </c>
      <c r="AC73">
        <v>29000</v>
      </c>
      <c r="AD73">
        <v>1285.72</v>
      </c>
      <c r="AE73">
        <v>-2212.85</v>
      </c>
      <c r="AF73">
        <v>52738.6</v>
      </c>
      <c r="AG73">
        <v>1399.51</v>
      </c>
      <c r="AH73">
        <v>0</v>
      </c>
      <c r="AI73">
        <v>0</v>
      </c>
      <c r="AJ73">
        <v>800</v>
      </c>
      <c r="AK73">
        <v>800</v>
      </c>
      <c r="AL73">
        <v>-3982.58</v>
      </c>
      <c r="AN73">
        <v>29000</v>
      </c>
      <c r="AO73">
        <v>1280.18</v>
      </c>
      <c r="AP73">
        <v>-2195.92</v>
      </c>
      <c r="AQ73">
        <v>53915.3</v>
      </c>
      <c r="AR73">
        <v>-516.23199999999997</v>
      </c>
      <c r="AS73">
        <v>0</v>
      </c>
      <c r="AT73">
        <v>0</v>
      </c>
      <c r="AU73">
        <v>800</v>
      </c>
      <c r="AV73">
        <v>800</v>
      </c>
    </row>
    <row r="74" spans="2:48" x14ac:dyDescent="0.2">
      <c r="B74">
        <v>30000</v>
      </c>
      <c r="C74">
        <v>1210.98</v>
      </c>
      <c r="D74">
        <v>-2258.0300000000002</v>
      </c>
      <c r="E74">
        <v>49579.199999999997</v>
      </c>
      <c r="F74">
        <v>45.302900000000001</v>
      </c>
      <c r="G74">
        <v>0</v>
      </c>
      <c r="H74">
        <v>0</v>
      </c>
      <c r="I74">
        <v>800</v>
      </c>
      <c r="J74">
        <v>800</v>
      </c>
      <c r="R74">
        <v>30000</v>
      </c>
      <c r="S74">
        <v>1281.6400000000001</v>
      </c>
      <c r="T74">
        <v>-2203.7600000000002</v>
      </c>
      <c r="U74">
        <v>53770.2</v>
      </c>
      <c r="V74">
        <v>-2.9113099999999998</v>
      </c>
      <c r="W74">
        <v>0</v>
      </c>
      <c r="X74">
        <v>0</v>
      </c>
      <c r="Y74">
        <v>800</v>
      </c>
      <c r="Z74">
        <v>800</v>
      </c>
      <c r="AA74">
        <v>-5265.01</v>
      </c>
      <c r="AC74">
        <v>30000</v>
      </c>
      <c r="AD74">
        <v>1320.18</v>
      </c>
      <c r="AE74">
        <v>-2204.91</v>
      </c>
      <c r="AF74">
        <v>53084.800000000003</v>
      </c>
      <c r="AG74">
        <v>378.45800000000003</v>
      </c>
      <c r="AH74">
        <v>0</v>
      </c>
      <c r="AI74">
        <v>0</v>
      </c>
      <c r="AJ74">
        <v>800</v>
      </c>
      <c r="AK74">
        <v>800</v>
      </c>
      <c r="AL74">
        <v>-5111.82</v>
      </c>
      <c r="AN74">
        <v>30000</v>
      </c>
      <c r="AO74">
        <v>1300.26</v>
      </c>
      <c r="AP74">
        <v>-2202.86</v>
      </c>
      <c r="AQ74">
        <v>53812.9</v>
      </c>
      <c r="AR74">
        <v>-489.39400000000001</v>
      </c>
      <c r="AS74">
        <v>0</v>
      </c>
      <c r="AT74">
        <v>0</v>
      </c>
      <c r="AU74">
        <v>800</v>
      </c>
      <c r="AV74">
        <v>800</v>
      </c>
    </row>
    <row r="75" spans="2:48" x14ac:dyDescent="0.2">
      <c r="B75">
        <v>31000</v>
      </c>
      <c r="C75">
        <v>1207.78</v>
      </c>
      <c r="D75">
        <v>-2255.23</v>
      </c>
      <c r="E75">
        <v>49699.8</v>
      </c>
      <c r="F75">
        <v>730.48099999999999</v>
      </c>
      <c r="G75">
        <v>0</v>
      </c>
      <c r="H75">
        <v>0</v>
      </c>
      <c r="I75">
        <v>800</v>
      </c>
      <c r="J75">
        <v>800</v>
      </c>
      <c r="R75">
        <v>31000</v>
      </c>
      <c r="S75">
        <v>1305.3800000000001</v>
      </c>
      <c r="T75">
        <v>-2201.59</v>
      </c>
      <c r="U75">
        <v>54197.5</v>
      </c>
      <c r="V75">
        <v>-154.512</v>
      </c>
      <c r="W75">
        <v>0</v>
      </c>
      <c r="X75">
        <v>0</v>
      </c>
      <c r="Y75">
        <v>800</v>
      </c>
      <c r="Z75">
        <v>800</v>
      </c>
      <c r="AA75">
        <v>-5472.51</v>
      </c>
      <c r="AC75">
        <v>31000</v>
      </c>
      <c r="AD75">
        <v>1335.11</v>
      </c>
      <c r="AE75">
        <v>-2201.2800000000002</v>
      </c>
      <c r="AF75">
        <v>53435.8</v>
      </c>
      <c r="AG75">
        <v>275.55900000000003</v>
      </c>
      <c r="AH75">
        <v>0</v>
      </c>
      <c r="AI75">
        <v>0</v>
      </c>
      <c r="AJ75">
        <v>800</v>
      </c>
      <c r="AK75">
        <v>800</v>
      </c>
      <c r="AL75">
        <v>-5240.37</v>
      </c>
      <c r="AN75">
        <v>31000</v>
      </c>
      <c r="AO75">
        <v>1289.46</v>
      </c>
      <c r="AP75">
        <v>-2206.7800000000002</v>
      </c>
      <c r="AQ75">
        <v>53742.3</v>
      </c>
      <c r="AR75">
        <v>-97.720600000000005</v>
      </c>
      <c r="AS75">
        <v>0</v>
      </c>
      <c r="AT75">
        <v>0</v>
      </c>
      <c r="AU75">
        <v>800</v>
      </c>
      <c r="AV75">
        <v>800</v>
      </c>
    </row>
    <row r="76" spans="2:48" x14ac:dyDescent="0.2">
      <c r="B76">
        <v>32000</v>
      </c>
      <c r="C76">
        <v>1211.6500000000001</v>
      </c>
      <c r="D76">
        <v>-2252</v>
      </c>
      <c r="E76">
        <v>49741.8</v>
      </c>
      <c r="F76">
        <v>596.505</v>
      </c>
      <c r="G76">
        <v>0</v>
      </c>
      <c r="H76">
        <v>0</v>
      </c>
      <c r="I76">
        <v>800</v>
      </c>
      <c r="J76">
        <v>800</v>
      </c>
      <c r="R76">
        <v>32000</v>
      </c>
      <c r="S76">
        <v>1324.76</v>
      </c>
      <c r="T76">
        <v>-2194.59</v>
      </c>
      <c r="U76">
        <v>54116.2</v>
      </c>
      <c r="V76">
        <v>9.6059199999999993</v>
      </c>
      <c r="W76">
        <v>0</v>
      </c>
      <c r="X76">
        <v>0</v>
      </c>
      <c r="Y76">
        <v>800</v>
      </c>
      <c r="Z76">
        <v>800</v>
      </c>
      <c r="AA76">
        <v>-5394.88</v>
      </c>
      <c r="AC76">
        <v>32000</v>
      </c>
      <c r="AD76">
        <v>1318.8</v>
      </c>
      <c r="AE76">
        <v>-2205.4699999999998</v>
      </c>
      <c r="AF76">
        <v>53754.5</v>
      </c>
      <c r="AG76">
        <v>103.95399999999999</v>
      </c>
      <c r="AH76">
        <v>0</v>
      </c>
      <c r="AI76">
        <v>0</v>
      </c>
      <c r="AJ76">
        <v>800</v>
      </c>
      <c r="AK76">
        <v>800</v>
      </c>
      <c r="AL76">
        <v>-5312.22</v>
      </c>
      <c r="AN76">
        <v>32000</v>
      </c>
      <c r="AO76">
        <v>1296.77</v>
      </c>
      <c r="AP76">
        <v>-2208.19</v>
      </c>
      <c r="AQ76">
        <v>53727.4</v>
      </c>
      <c r="AR76">
        <v>360.69200000000001</v>
      </c>
      <c r="AS76">
        <v>0</v>
      </c>
      <c r="AT76">
        <v>0</v>
      </c>
      <c r="AU76">
        <v>800</v>
      </c>
      <c r="AV76">
        <v>800</v>
      </c>
    </row>
    <row r="77" spans="2:48" x14ac:dyDescent="0.2">
      <c r="B77">
        <v>33000</v>
      </c>
      <c r="C77">
        <v>1210.76</v>
      </c>
      <c r="D77">
        <v>-2251.6999999999998</v>
      </c>
      <c r="E77">
        <v>49837.3</v>
      </c>
      <c r="F77">
        <v>843.37599999999998</v>
      </c>
      <c r="G77">
        <v>0</v>
      </c>
      <c r="H77">
        <v>0</v>
      </c>
      <c r="I77">
        <v>800</v>
      </c>
      <c r="J77">
        <v>800</v>
      </c>
      <c r="R77">
        <v>33000</v>
      </c>
      <c r="S77">
        <v>1352.93</v>
      </c>
      <c r="T77">
        <v>-2192.42</v>
      </c>
      <c r="U77">
        <v>54202.400000000001</v>
      </c>
      <c r="V77">
        <v>-22.223400000000002</v>
      </c>
      <c r="W77">
        <v>0</v>
      </c>
      <c r="X77">
        <v>0</v>
      </c>
      <c r="Y77">
        <v>800</v>
      </c>
      <c r="Z77">
        <v>800</v>
      </c>
      <c r="AA77">
        <v>-5532.93</v>
      </c>
      <c r="AC77">
        <v>33000</v>
      </c>
      <c r="AD77">
        <v>1335.66</v>
      </c>
      <c r="AE77">
        <v>-2196.5</v>
      </c>
      <c r="AF77">
        <v>54036.5</v>
      </c>
      <c r="AG77">
        <v>336.26900000000001</v>
      </c>
      <c r="AH77">
        <v>0</v>
      </c>
      <c r="AI77">
        <v>0</v>
      </c>
      <c r="AJ77">
        <v>800</v>
      </c>
      <c r="AK77">
        <v>800</v>
      </c>
      <c r="AL77">
        <v>-5120.55</v>
      </c>
      <c r="AN77">
        <v>33000</v>
      </c>
      <c r="AO77">
        <v>1290.49</v>
      </c>
      <c r="AP77">
        <v>-2204.39</v>
      </c>
      <c r="AQ77">
        <v>53792</v>
      </c>
      <c r="AR77">
        <v>-318.56200000000001</v>
      </c>
      <c r="AS77">
        <v>0</v>
      </c>
      <c r="AT77">
        <v>0</v>
      </c>
      <c r="AU77">
        <v>800</v>
      </c>
      <c r="AV77">
        <v>800</v>
      </c>
    </row>
    <row r="78" spans="2:48" x14ac:dyDescent="0.2">
      <c r="B78">
        <v>34000</v>
      </c>
      <c r="C78">
        <v>1196.45</v>
      </c>
      <c r="D78">
        <v>-2255.2600000000002</v>
      </c>
      <c r="E78">
        <v>49944.800000000003</v>
      </c>
      <c r="F78">
        <v>-846.57600000000002</v>
      </c>
      <c r="G78">
        <v>0</v>
      </c>
      <c r="H78">
        <v>0</v>
      </c>
      <c r="I78">
        <v>800</v>
      </c>
      <c r="J78">
        <v>800</v>
      </c>
      <c r="R78">
        <v>34000</v>
      </c>
      <c r="S78">
        <v>1293.93</v>
      </c>
      <c r="T78">
        <v>-2204.14</v>
      </c>
      <c r="U78">
        <v>54228.4</v>
      </c>
      <c r="V78">
        <v>44.8386</v>
      </c>
      <c r="W78">
        <v>0</v>
      </c>
      <c r="X78">
        <v>0</v>
      </c>
      <c r="Y78">
        <v>800</v>
      </c>
      <c r="Z78">
        <v>800</v>
      </c>
      <c r="AA78">
        <v>-5222.84</v>
      </c>
      <c r="AC78">
        <v>34000</v>
      </c>
      <c r="AD78">
        <v>1291.69</v>
      </c>
      <c r="AE78">
        <v>-2201.16</v>
      </c>
      <c r="AF78">
        <v>54313.2</v>
      </c>
      <c r="AG78">
        <v>-267.53199999999998</v>
      </c>
      <c r="AH78">
        <v>0</v>
      </c>
      <c r="AI78">
        <v>0</v>
      </c>
      <c r="AJ78">
        <v>800</v>
      </c>
      <c r="AK78">
        <v>800</v>
      </c>
      <c r="AL78">
        <v>-5517.85</v>
      </c>
      <c r="AN78">
        <v>34000</v>
      </c>
      <c r="AO78">
        <v>1351.66</v>
      </c>
      <c r="AP78">
        <v>-2194.0300000000002</v>
      </c>
      <c r="AQ78">
        <v>53876.6</v>
      </c>
      <c r="AR78">
        <v>-268.39100000000002</v>
      </c>
      <c r="AS78">
        <v>0</v>
      </c>
      <c r="AT78">
        <v>0</v>
      </c>
      <c r="AU78">
        <v>800</v>
      </c>
      <c r="AV78">
        <v>800</v>
      </c>
    </row>
    <row r="79" spans="2:48" x14ac:dyDescent="0.2">
      <c r="B79">
        <v>35000</v>
      </c>
      <c r="C79">
        <v>1175.2</v>
      </c>
      <c r="D79">
        <v>-2261.85</v>
      </c>
      <c r="E79">
        <v>49971.3</v>
      </c>
      <c r="F79">
        <v>-1678.29</v>
      </c>
      <c r="G79">
        <v>0</v>
      </c>
      <c r="H79">
        <v>0</v>
      </c>
      <c r="I79">
        <v>800</v>
      </c>
      <c r="J79">
        <v>800</v>
      </c>
      <c r="R79">
        <v>35000</v>
      </c>
      <c r="S79">
        <v>1285.57</v>
      </c>
      <c r="T79">
        <v>-2203.21</v>
      </c>
      <c r="U79">
        <v>53988</v>
      </c>
      <c r="V79">
        <v>-171.28299999999999</v>
      </c>
      <c r="W79">
        <v>0</v>
      </c>
      <c r="X79">
        <v>0</v>
      </c>
      <c r="Y79">
        <v>800</v>
      </c>
      <c r="Z79">
        <v>800</v>
      </c>
      <c r="AA79">
        <v>-5428.36</v>
      </c>
      <c r="AC79">
        <v>35000</v>
      </c>
      <c r="AD79">
        <v>1304.58</v>
      </c>
      <c r="AE79">
        <v>-2192.75</v>
      </c>
      <c r="AF79">
        <v>54497.9</v>
      </c>
      <c r="AG79">
        <v>-120.667</v>
      </c>
      <c r="AH79">
        <v>0</v>
      </c>
      <c r="AI79">
        <v>0</v>
      </c>
      <c r="AJ79">
        <v>800</v>
      </c>
      <c r="AK79">
        <v>800</v>
      </c>
      <c r="AL79">
        <v>-5405.41</v>
      </c>
      <c r="AN79">
        <v>35000</v>
      </c>
      <c r="AO79">
        <v>1265.05</v>
      </c>
      <c r="AP79">
        <v>-2200.0300000000002</v>
      </c>
      <c r="AQ79">
        <v>53892.6</v>
      </c>
      <c r="AR79">
        <v>118.414</v>
      </c>
      <c r="AS79">
        <v>0</v>
      </c>
      <c r="AT79">
        <v>0</v>
      </c>
      <c r="AU79">
        <v>800</v>
      </c>
      <c r="AV79">
        <v>800</v>
      </c>
    </row>
    <row r="80" spans="2:48" x14ac:dyDescent="0.2">
      <c r="B80">
        <v>36000</v>
      </c>
      <c r="C80">
        <v>1201.53</v>
      </c>
      <c r="D80">
        <v>-2257.65</v>
      </c>
      <c r="E80">
        <v>49672.9</v>
      </c>
      <c r="F80">
        <v>743.34699999999998</v>
      </c>
      <c r="G80">
        <v>0</v>
      </c>
      <c r="H80">
        <v>0</v>
      </c>
      <c r="I80">
        <v>800</v>
      </c>
      <c r="J80">
        <v>800</v>
      </c>
      <c r="R80">
        <v>36000</v>
      </c>
      <c r="S80">
        <v>1297.51</v>
      </c>
      <c r="T80">
        <v>-2203.63</v>
      </c>
      <c r="U80">
        <v>53376.4</v>
      </c>
      <c r="V80">
        <v>29.9635</v>
      </c>
      <c r="W80">
        <v>0</v>
      </c>
      <c r="X80">
        <v>0</v>
      </c>
      <c r="Y80">
        <v>800</v>
      </c>
      <c r="Z80">
        <v>800</v>
      </c>
      <c r="AA80">
        <v>-5337.04</v>
      </c>
      <c r="AC80">
        <v>36000</v>
      </c>
      <c r="AD80">
        <v>1318.05</v>
      </c>
      <c r="AE80">
        <v>-2199.5500000000002</v>
      </c>
      <c r="AF80">
        <v>54566.3</v>
      </c>
      <c r="AG80">
        <v>256.61500000000001</v>
      </c>
      <c r="AH80">
        <v>0</v>
      </c>
      <c r="AI80">
        <v>0</v>
      </c>
      <c r="AJ80">
        <v>800</v>
      </c>
      <c r="AK80">
        <v>800</v>
      </c>
      <c r="AL80">
        <v>-5075.99</v>
      </c>
      <c r="AN80">
        <v>36000</v>
      </c>
      <c r="AO80">
        <v>1294.8699999999999</v>
      </c>
      <c r="AP80">
        <v>-2195.0500000000002</v>
      </c>
      <c r="AQ80">
        <v>53894.5</v>
      </c>
      <c r="AR80">
        <v>327.98099999999999</v>
      </c>
      <c r="AS80">
        <v>0</v>
      </c>
      <c r="AT80">
        <v>0</v>
      </c>
      <c r="AU80">
        <v>800</v>
      </c>
      <c r="AV80">
        <v>800</v>
      </c>
    </row>
    <row r="81" spans="2:48" x14ac:dyDescent="0.2">
      <c r="B81">
        <v>37000</v>
      </c>
      <c r="C81">
        <v>1179.04</v>
      </c>
      <c r="D81">
        <v>-2262.15</v>
      </c>
      <c r="E81">
        <v>49396.800000000003</v>
      </c>
      <c r="F81">
        <v>-161.37</v>
      </c>
      <c r="G81">
        <v>0</v>
      </c>
      <c r="H81">
        <v>0</v>
      </c>
      <c r="I81">
        <v>800</v>
      </c>
      <c r="J81">
        <v>800</v>
      </c>
      <c r="R81">
        <v>37000</v>
      </c>
      <c r="S81">
        <v>1337.94</v>
      </c>
      <c r="T81">
        <v>-2183.14</v>
      </c>
      <c r="U81">
        <v>54433.4</v>
      </c>
      <c r="V81">
        <v>-20.3293</v>
      </c>
      <c r="W81">
        <v>0</v>
      </c>
      <c r="X81">
        <v>0</v>
      </c>
      <c r="Y81">
        <v>800</v>
      </c>
      <c r="Z81">
        <v>800</v>
      </c>
      <c r="AA81">
        <v>-5447.1</v>
      </c>
      <c r="AC81">
        <v>37000</v>
      </c>
      <c r="AD81">
        <v>1304.6300000000001</v>
      </c>
      <c r="AE81">
        <v>-2192.65</v>
      </c>
      <c r="AF81">
        <v>54540.7</v>
      </c>
      <c r="AG81">
        <v>-466.38900000000001</v>
      </c>
      <c r="AH81">
        <v>0</v>
      </c>
      <c r="AI81">
        <v>0</v>
      </c>
      <c r="AJ81">
        <v>800</v>
      </c>
      <c r="AK81">
        <v>800</v>
      </c>
      <c r="AL81">
        <v>-5747.19</v>
      </c>
      <c r="AN81">
        <v>37000</v>
      </c>
      <c r="AO81">
        <v>1298.7</v>
      </c>
      <c r="AP81">
        <v>-2205.41</v>
      </c>
      <c r="AQ81">
        <v>53909.599999999999</v>
      </c>
      <c r="AR81">
        <v>57.023400000000002</v>
      </c>
      <c r="AS81">
        <v>0</v>
      </c>
      <c r="AT81">
        <v>0</v>
      </c>
      <c r="AU81">
        <v>800</v>
      </c>
      <c r="AV81">
        <v>800</v>
      </c>
    </row>
    <row r="82" spans="2:48" x14ac:dyDescent="0.2">
      <c r="B82">
        <v>38000</v>
      </c>
      <c r="C82">
        <v>1167.6199999999999</v>
      </c>
      <c r="D82">
        <v>-2267.29</v>
      </c>
      <c r="E82">
        <v>49252.6</v>
      </c>
      <c r="F82">
        <v>297.08</v>
      </c>
      <c r="G82">
        <v>0</v>
      </c>
      <c r="H82">
        <v>0</v>
      </c>
      <c r="I82">
        <v>800</v>
      </c>
      <c r="J82">
        <v>800</v>
      </c>
      <c r="R82">
        <v>38000</v>
      </c>
      <c r="S82">
        <v>1279.08</v>
      </c>
      <c r="T82">
        <v>-2196.64</v>
      </c>
      <c r="U82">
        <v>54056.1</v>
      </c>
      <c r="V82">
        <v>-95.018500000000003</v>
      </c>
      <c r="W82">
        <v>0</v>
      </c>
      <c r="X82">
        <v>0</v>
      </c>
      <c r="Y82">
        <v>800</v>
      </c>
      <c r="Z82">
        <v>800</v>
      </c>
      <c r="AA82">
        <v>-5319.5</v>
      </c>
      <c r="AC82">
        <v>38000</v>
      </c>
      <c r="AD82">
        <v>1323.84</v>
      </c>
      <c r="AE82">
        <v>-2188.7199999999998</v>
      </c>
      <c r="AF82">
        <v>54431.3</v>
      </c>
      <c r="AG82">
        <v>-83.444100000000006</v>
      </c>
      <c r="AH82">
        <v>0</v>
      </c>
      <c r="AI82">
        <v>0</v>
      </c>
      <c r="AJ82">
        <v>800</v>
      </c>
      <c r="AK82">
        <v>800</v>
      </c>
      <c r="AL82">
        <v>-5452.76</v>
      </c>
      <c r="AN82">
        <v>38000</v>
      </c>
      <c r="AO82">
        <v>1293.54</v>
      </c>
      <c r="AP82">
        <v>-2192.21</v>
      </c>
      <c r="AQ82">
        <v>53955.6</v>
      </c>
      <c r="AR82">
        <v>-31.841999999999999</v>
      </c>
      <c r="AS82">
        <v>0</v>
      </c>
      <c r="AT82">
        <v>0</v>
      </c>
      <c r="AU82">
        <v>800</v>
      </c>
      <c r="AV82">
        <v>800</v>
      </c>
    </row>
    <row r="83" spans="2:48" x14ac:dyDescent="0.2">
      <c r="B83">
        <v>39000</v>
      </c>
      <c r="C83">
        <v>1187.3499999999999</v>
      </c>
      <c r="D83">
        <v>-2264.5</v>
      </c>
      <c r="E83">
        <v>49340.3</v>
      </c>
      <c r="F83">
        <v>-94.790800000000004</v>
      </c>
      <c r="G83">
        <v>0</v>
      </c>
      <c r="H83">
        <v>0</v>
      </c>
      <c r="I83">
        <v>800</v>
      </c>
      <c r="J83">
        <v>800</v>
      </c>
      <c r="R83">
        <v>39000</v>
      </c>
      <c r="S83">
        <v>1323.06</v>
      </c>
      <c r="T83">
        <v>-2191.25</v>
      </c>
      <c r="U83">
        <v>53955</v>
      </c>
      <c r="V83">
        <v>34.181800000000003</v>
      </c>
      <c r="W83">
        <v>0</v>
      </c>
      <c r="X83">
        <v>0</v>
      </c>
      <c r="Y83">
        <v>800</v>
      </c>
      <c r="Z83">
        <v>800</v>
      </c>
      <c r="AA83">
        <v>-5381.14</v>
      </c>
      <c r="AC83">
        <v>39000</v>
      </c>
      <c r="AD83">
        <v>1272.71</v>
      </c>
      <c r="AE83">
        <v>-2200.62</v>
      </c>
      <c r="AF83">
        <v>54244.6</v>
      </c>
      <c r="AG83">
        <v>-246.208</v>
      </c>
      <c r="AH83">
        <v>0</v>
      </c>
      <c r="AI83">
        <v>0</v>
      </c>
      <c r="AJ83">
        <v>800</v>
      </c>
      <c r="AK83">
        <v>800</v>
      </c>
      <c r="AL83">
        <v>-5425.92</v>
      </c>
      <c r="AN83">
        <v>39000</v>
      </c>
      <c r="AO83">
        <v>1313.63</v>
      </c>
      <c r="AP83">
        <v>-2198.9499999999998</v>
      </c>
      <c r="AQ83">
        <v>54007.1</v>
      </c>
      <c r="AR83">
        <v>-196.68899999999999</v>
      </c>
      <c r="AS83">
        <v>0</v>
      </c>
      <c r="AT83">
        <v>0</v>
      </c>
      <c r="AU83">
        <v>800</v>
      </c>
      <c r="AV83">
        <v>800</v>
      </c>
    </row>
    <row r="84" spans="2:48" x14ac:dyDescent="0.2">
      <c r="B84">
        <v>40000</v>
      </c>
      <c r="C84">
        <v>1187.49</v>
      </c>
      <c r="D84">
        <v>-2262.4899999999998</v>
      </c>
      <c r="E84">
        <v>49520.2</v>
      </c>
      <c r="F84">
        <v>826.66300000000001</v>
      </c>
      <c r="G84">
        <v>0</v>
      </c>
      <c r="H84">
        <v>0</v>
      </c>
      <c r="I84">
        <v>800</v>
      </c>
      <c r="J84">
        <v>800</v>
      </c>
      <c r="R84">
        <v>40000</v>
      </c>
      <c r="S84">
        <v>1305.48</v>
      </c>
      <c r="T84">
        <v>-2204.5300000000002</v>
      </c>
      <c r="U84">
        <v>53236.800000000003</v>
      </c>
      <c r="V84">
        <v>-163.80600000000001</v>
      </c>
      <c r="W84">
        <v>0</v>
      </c>
      <c r="X84">
        <v>0</v>
      </c>
      <c r="Y84">
        <v>800</v>
      </c>
      <c r="Z84">
        <v>800</v>
      </c>
      <c r="AA84">
        <v>-5577.95</v>
      </c>
      <c r="AC84">
        <v>40000</v>
      </c>
      <c r="AD84">
        <v>1287.1400000000001</v>
      </c>
      <c r="AE84">
        <v>-2197.9</v>
      </c>
      <c r="AF84">
        <v>54046.2</v>
      </c>
      <c r="AG84">
        <v>-368.80200000000002</v>
      </c>
      <c r="AH84">
        <v>0</v>
      </c>
      <c r="AI84">
        <v>0</v>
      </c>
      <c r="AJ84">
        <v>800</v>
      </c>
      <c r="AK84">
        <v>800</v>
      </c>
      <c r="AL84">
        <v>-5626.46</v>
      </c>
      <c r="AN84">
        <v>40000</v>
      </c>
      <c r="AO84">
        <v>1295.3</v>
      </c>
      <c r="AP84">
        <v>-2194.91</v>
      </c>
      <c r="AQ84">
        <v>54005.1</v>
      </c>
      <c r="AR84">
        <v>-139.00200000000001</v>
      </c>
      <c r="AS84">
        <v>0</v>
      </c>
      <c r="AT84">
        <v>0</v>
      </c>
      <c r="AU84">
        <v>800</v>
      </c>
      <c r="AV84">
        <v>800</v>
      </c>
    </row>
    <row r="85" spans="2:48" x14ac:dyDescent="0.2">
      <c r="B85">
        <v>41000</v>
      </c>
      <c r="C85">
        <v>1236.73</v>
      </c>
      <c r="D85">
        <v>-2248.5300000000002</v>
      </c>
      <c r="E85">
        <v>49671.3</v>
      </c>
      <c r="F85">
        <v>933.928</v>
      </c>
      <c r="G85">
        <v>0</v>
      </c>
      <c r="H85">
        <v>0</v>
      </c>
      <c r="I85">
        <v>800</v>
      </c>
      <c r="J85">
        <v>800</v>
      </c>
      <c r="R85">
        <v>41000</v>
      </c>
      <c r="S85">
        <v>1288.95</v>
      </c>
      <c r="T85">
        <v>-2205.46</v>
      </c>
      <c r="U85">
        <v>53273.7</v>
      </c>
      <c r="V85">
        <v>294.87700000000001</v>
      </c>
      <c r="W85">
        <v>0</v>
      </c>
      <c r="X85">
        <v>0</v>
      </c>
      <c r="Y85">
        <v>800</v>
      </c>
      <c r="Z85">
        <v>800</v>
      </c>
      <c r="AA85">
        <v>-5046.76</v>
      </c>
      <c r="AC85">
        <v>41000</v>
      </c>
      <c r="AD85">
        <v>1288</v>
      </c>
      <c r="AE85">
        <v>-2200.75</v>
      </c>
      <c r="AF85">
        <v>53807.6</v>
      </c>
      <c r="AG85">
        <v>125.125</v>
      </c>
      <c r="AH85">
        <v>0</v>
      </c>
      <c r="AI85">
        <v>0</v>
      </c>
      <c r="AJ85">
        <v>800</v>
      </c>
      <c r="AK85">
        <v>800</v>
      </c>
      <c r="AL85">
        <v>-5159.3599999999997</v>
      </c>
      <c r="AN85">
        <v>41000</v>
      </c>
      <c r="AO85">
        <v>1290.58</v>
      </c>
      <c r="AP85">
        <v>-2196.5100000000002</v>
      </c>
      <c r="AQ85">
        <v>53960.3</v>
      </c>
      <c r="AR85">
        <v>-86.1023</v>
      </c>
      <c r="AS85">
        <v>0</v>
      </c>
      <c r="AT85">
        <v>0</v>
      </c>
      <c r="AU85">
        <v>800</v>
      </c>
      <c r="AV85">
        <v>800</v>
      </c>
    </row>
    <row r="86" spans="2:48" x14ac:dyDescent="0.2">
      <c r="B86">
        <v>42000</v>
      </c>
      <c r="C86">
        <v>1200.8399999999999</v>
      </c>
      <c r="D86">
        <v>-2255.06</v>
      </c>
      <c r="E86">
        <v>49774.1</v>
      </c>
      <c r="F86">
        <v>-504.40699999999998</v>
      </c>
      <c r="G86">
        <v>0</v>
      </c>
      <c r="H86">
        <v>0</v>
      </c>
      <c r="I86">
        <v>800</v>
      </c>
      <c r="J86">
        <v>800</v>
      </c>
      <c r="R86">
        <v>42000</v>
      </c>
      <c r="S86">
        <v>1298.76</v>
      </c>
      <c r="T86">
        <v>-2196.0500000000002</v>
      </c>
      <c r="U86">
        <v>53715.4</v>
      </c>
      <c r="V86">
        <v>69.52</v>
      </c>
      <c r="W86">
        <v>0</v>
      </c>
      <c r="X86">
        <v>0</v>
      </c>
      <c r="Y86">
        <v>800</v>
      </c>
      <c r="Z86">
        <v>800</v>
      </c>
      <c r="AA86">
        <v>-5268.32</v>
      </c>
      <c r="AC86">
        <v>42000</v>
      </c>
      <c r="AD86">
        <v>1296.42</v>
      </c>
      <c r="AE86">
        <v>-2201.39</v>
      </c>
      <c r="AF86">
        <v>53570.7</v>
      </c>
      <c r="AG86">
        <v>244.44499999999999</v>
      </c>
      <c r="AH86">
        <v>0</v>
      </c>
      <c r="AI86">
        <v>0</v>
      </c>
      <c r="AJ86">
        <v>800</v>
      </c>
      <c r="AK86">
        <v>800</v>
      </c>
      <c r="AL86">
        <v>-5098.12</v>
      </c>
      <c r="AN86">
        <v>42000</v>
      </c>
      <c r="AO86">
        <v>1275.01</v>
      </c>
      <c r="AP86">
        <v>-2202.88</v>
      </c>
      <c r="AQ86">
        <v>53850.1</v>
      </c>
      <c r="AR86">
        <v>144.304</v>
      </c>
      <c r="AS86">
        <v>0</v>
      </c>
      <c r="AT86">
        <v>0</v>
      </c>
      <c r="AU86">
        <v>800</v>
      </c>
      <c r="AV86">
        <v>800</v>
      </c>
    </row>
    <row r="87" spans="2:48" x14ac:dyDescent="0.2">
      <c r="B87">
        <v>43000</v>
      </c>
      <c r="C87">
        <v>1232.3399999999999</v>
      </c>
      <c r="D87">
        <v>-2251.34</v>
      </c>
      <c r="E87">
        <v>49730</v>
      </c>
      <c r="F87">
        <v>-77.003799999999998</v>
      </c>
      <c r="G87">
        <v>0</v>
      </c>
      <c r="H87">
        <v>0</v>
      </c>
      <c r="I87">
        <v>800</v>
      </c>
      <c r="J87">
        <v>800</v>
      </c>
      <c r="R87">
        <v>43000</v>
      </c>
      <c r="S87">
        <v>1327.73</v>
      </c>
      <c r="T87">
        <v>-2194.21</v>
      </c>
      <c r="U87">
        <v>54146.8</v>
      </c>
      <c r="V87">
        <v>-11.0688</v>
      </c>
      <c r="W87">
        <v>0</v>
      </c>
      <c r="X87">
        <v>0</v>
      </c>
      <c r="Y87">
        <v>800</v>
      </c>
      <c r="Z87">
        <v>800</v>
      </c>
      <c r="AA87">
        <v>-5424.45</v>
      </c>
      <c r="AC87">
        <v>43000</v>
      </c>
      <c r="AD87">
        <v>1288.54</v>
      </c>
      <c r="AE87">
        <v>-2207.3200000000002</v>
      </c>
      <c r="AF87">
        <v>53384.4</v>
      </c>
      <c r="AG87">
        <v>124.79300000000001</v>
      </c>
      <c r="AH87">
        <v>0</v>
      </c>
      <c r="AI87">
        <v>0</v>
      </c>
      <c r="AJ87">
        <v>800</v>
      </c>
      <c r="AK87">
        <v>800</v>
      </c>
      <c r="AL87">
        <v>-5203.84</v>
      </c>
      <c r="AN87">
        <v>43000</v>
      </c>
      <c r="AO87">
        <v>1297.03</v>
      </c>
      <c r="AP87">
        <v>-2199.41</v>
      </c>
      <c r="AQ87">
        <v>53773.7</v>
      </c>
      <c r="AR87">
        <v>-281.70699999999999</v>
      </c>
      <c r="AS87">
        <v>0</v>
      </c>
      <c r="AT87">
        <v>0</v>
      </c>
      <c r="AU87">
        <v>800</v>
      </c>
      <c r="AV87">
        <v>800</v>
      </c>
    </row>
    <row r="88" spans="2:48" x14ac:dyDescent="0.2">
      <c r="B88">
        <v>44000</v>
      </c>
      <c r="C88">
        <v>1227.3900000000001</v>
      </c>
      <c r="D88">
        <v>-2256.4499999999998</v>
      </c>
      <c r="E88">
        <v>49547</v>
      </c>
      <c r="F88">
        <v>904.82299999999998</v>
      </c>
      <c r="G88">
        <v>0</v>
      </c>
      <c r="H88">
        <v>0</v>
      </c>
      <c r="I88">
        <v>800</v>
      </c>
      <c r="J88">
        <v>800</v>
      </c>
      <c r="R88">
        <v>44000</v>
      </c>
      <c r="S88">
        <v>1337.28</v>
      </c>
      <c r="T88">
        <v>-2195.71</v>
      </c>
      <c r="U88">
        <v>54082.8</v>
      </c>
      <c r="V88">
        <v>-89.925399999999996</v>
      </c>
      <c r="W88">
        <v>0</v>
      </c>
      <c r="X88">
        <v>0</v>
      </c>
      <c r="Y88">
        <v>800</v>
      </c>
      <c r="Z88">
        <v>800</v>
      </c>
      <c r="AA88">
        <v>-5548.62</v>
      </c>
      <c r="AC88">
        <v>44000</v>
      </c>
      <c r="AD88">
        <v>1285.48</v>
      </c>
      <c r="AE88">
        <v>-2203.79</v>
      </c>
      <c r="AF88">
        <v>53261.3</v>
      </c>
      <c r="AG88">
        <v>417.35599999999999</v>
      </c>
      <c r="AH88">
        <v>0</v>
      </c>
      <c r="AI88">
        <v>0</v>
      </c>
      <c r="AJ88">
        <v>800</v>
      </c>
      <c r="AK88">
        <v>800</v>
      </c>
      <c r="AL88">
        <v>-4910.92</v>
      </c>
      <c r="AN88">
        <v>44000</v>
      </c>
      <c r="AO88">
        <v>1230.55</v>
      </c>
      <c r="AP88">
        <v>-2206.4299999999998</v>
      </c>
      <c r="AQ88">
        <v>53730.3</v>
      </c>
      <c r="AR88">
        <v>-1129.3599999999999</v>
      </c>
      <c r="AS88">
        <v>0</v>
      </c>
      <c r="AT88">
        <v>0</v>
      </c>
      <c r="AU88">
        <v>800</v>
      </c>
      <c r="AV88">
        <v>800</v>
      </c>
    </row>
    <row r="89" spans="2:48" x14ac:dyDescent="0.2">
      <c r="B89">
        <v>45000</v>
      </c>
      <c r="C89">
        <v>1227.58</v>
      </c>
      <c r="D89">
        <v>-2255.36</v>
      </c>
      <c r="E89">
        <v>49435.199999999997</v>
      </c>
      <c r="F89">
        <v>284.07299999999998</v>
      </c>
      <c r="G89">
        <v>0</v>
      </c>
      <c r="H89">
        <v>0</v>
      </c>
      <c r="I89">
        <v>800</v>
      </c>
      <c r="J89">
        <v>800</v>
      </c>
      <c r="R89">
        <v>45000</v>
      </c>
      <c r="S89">
        <v>1305.26</v>
      </c>
      <c r="T89">
        <v>-2196.38</v>
      </c>
      <c r="U89">
        <v>54186.9</v>
      </c>
      <c r="V89">
        <v>47.917499999999997</v>
      </c>
      <c r="W89">
        <v>0</v>
      </c>
      <c r="X89">
        <v>0</v>
      </c>
      <c r="Y89">
        <v>800</v>
      </c>
      <c r="Z89">
        <v>800</v>
      </c>
      <c r="AA89">
        <v>-5271.06</v>
      </c>
      <c r="AC89">
        <v>45000</v>
      </c>
      <c r="AD89">
        <v>1277.51</v>
      </c>
      <c r="AE89">
        <v>-2208.6999999999998</v>
      </c>
      <c r="AF89">
        <v>53283.6</v>
      </c>
      <c r="AG89">
        <v>590.50900000000001</v>
      </c>
      <c r="AH89">
        <v>0</v>
      </c>
      <c r="AI89">
        <v>0</v>
      </c>
      <c r="AJ89">
        <v>800</v>
      </c>
      <c r="AK89">
        <v>800</v>
      </c>
      <c r="AL89">
        <v>-4702.5</v>
      </c>
      <c r="AN89">
        <v>45000</v>
      </c>
      <c r="AO89">
        <v>1289.56</v>
      </c>
      <c r="AP89">
        <v>-2196.67</v>
      </c>
      <c r="AQ89">
        <v>53653.9</v>
      </c>
      <c r="AR89">
        <v>-6.2718699999999998</v>
      </c>
      <c r="AS89">
        <v>0</v>
      </c>
      <c r="AT89">
        <v>0</v>
      </c>
      <c r="AU89">
        <v>800</v>
      </c>
      <c r="AV89">
        <v>800</v>
      </c>
    </row>
    <row r="90" spans="2:48" x14ac:dyDescent="0.2">
      <c r="B90">
        <v>46000</v>
      </c>
      <c r="C90">
        <v>1225.32</v>
      </c>
      <c r="D90">
        <v>-2254.1799999999998</v>
      </c>
      <c r="E90">
        <v>49412.4</v>
      </c>
      <c r="F90">
        <v>1497</v>
      </c>
      <c r="G90">
        <v>0</v>
      </c>
      <c r="H90">
        <v>0</v>
      </c>
      <c r="I90">
        <v>800</v>
      </c>
      <c r="J90">
        <v>800</v>
      </c>
      <c r="R90">
        <v>46000</v>
      </c>
      <c r="S90">
        <v>1305.3399999999999</v>
      </c>
      <c r="T90">
        <v>-2201.33</v>
      </c>
      <c r="U90">
        <v>54133.599999999999</v>
      </c>
      <c r="V90">
        <v>-12.152200000000001</v>
      </c>
      <c r="W90">
        <v>0</v>
      </c>
      <c r="X90">
        <v>0</v>
      </c>
      <c r="Y90">
        <v>800</v>
      </c>
      <c r="Z90">
        <v>800</v>
      </c>
      <c r="AA90">
        <v>-5335.61</v>
      </c>
      <c r="AC90">
        <v>46000</v>
      </c>
      <c r="AD90">
        <v>1284.43</v>
      </c>
      <c r="AE90">
        <v>-2201.7600000000002</v>
      </c>
      <c r="AF90">
        <v>53458.9</v>
      </c>
      <c r="AG90">
        <v>-199.75200000000001</v>
      </c>
      <c r="AH90">
        <v>0</v>
      </c>
      <c r="AI90">
        <v>0</v>
      </c>
      <c r="AJ90">
        <v>800</v>
      </c>
      <c r="AK90">
        <v>800</v>
      </c>
      <c r="AL90">
        <v>-5503.98</v>
      </c>
      <c r="AN90">
        <v>46000</v>
      </c>
      <c r="AO90">
        <v>1288.92</v>
      </c>
      <c r="AP90">
        <v>-2206.5300000000002</v>
      </c>
      <c r="AQ90">
        <v>53557.7</v>
      </c>
      <c r="AR90">
        <v>480.096</v>
      </c>
      <c r="AS90">
        <v>0</v>
      </c>
      <c r="AT90">
        <v>0</v>
      </c>
      <c r="AU90">
        <v>800</v>
      </c>
      <c r="AV90">
        <v>800</v>
      </c>
    </row>
    <row r="91" spans="2:48" x14ac:dyDescent="0.2">
      <c r="B91">
        <v>47000</v>
      </c>
      <c r="C91">
        <v>1198.99</v>
      </c>
      <c r="D91">
        <v>-2253.67</v>
      </c>
      <c r="E91">
        <v>49482.400000000001</v>
      </c>
      <c r="F91">
        <v>674.572</v>
      </c>
      <c r="G91">
        <v>0</v>
      </c>
      <c r="H91">
        <v>0</v>
      </c>
      <c r="I91">
        <v>800</v>
      </c>
      <c r="J91">
        <v>800</v>
      </c>
      <c r="R91">
        <v>47000</v>
      </c>
      <c r="S91">
        <v>1316.1</v>
      </c>
      <c r="T91">
        <v>-2199.0300000000002</v>
      </c>
      <c r="U91">
        <v>53600.800000000003</v>
      </c>
      <c r="V91">
        <v>2.1044800000000001</v>
      </c>
      <c r="W91">
        <v>0</v>
      </c>
      <c r="X91">
        <v>0</v>
      </c>
      <c r="Y91">
        <v>800</v>
      </c>
      <c r="Z91">
        <v>800</v>
      </c>
      <c r="AA91">
        <v>-5418.59</v>
      </c>
      <c r="AC91">
        <v>47000</v>
      </c>
      <c r="AD91">
        <v>1305.3499999999999</v>
      </c>
      <c r="AE91">
        <v>-2204.0500000000002</v>
      </c>
      <c r="AF91">
        <v>53695.6</v>
      </c>
      <c r="AG91">
        <v>744.85799999999995</v>
      </c>
      <c r="AH91">
        <v>0</v>
      </c>
      <c r="AI91">
        <v>0</v>
      </c>
      <c r="AJ91">
        <v>800</v>
      </c>
      <c r="AK91">
        <v>800</v>
      </c>
      <c r="AL91">
        <v>-4622.01</v>
      </c>
      <c r="AN91">
        <v>47000</v>
      </c>
      <c r="AO91">
        <v>1312.01</v>
      </c>
      <c r="AP91">
        <v>-2201.2600000000002</v>
      </c>
      <c r="AQ91">
        <v>53499.1</v>
      </c>
      <c r="AR91">
        <v>715.01900000000001</v>
      </c>
      <c r="AS91">
        <v>0</v>
      </c>
      <c r="AT91">
        <v>0</v>
      </c>
      <c r="AU91">
        <v>800</v>
      </c>
      <c r="AV91">
        <v>800</v>
      </c>
    </row>
    <row r="92" spans="2:48" x14ac:dyDescent="0.2">
      <c r="B92">
        <v>48000</v>
      </c>
      <c r="C92">
        <v>1198.6400000000001</v>
      </c>
      <c r="D92">
        <v>-2256.16</v>
      </c>
      <c r="E92">
        <v>49663.9</v>
      </c>
      <c r="F92">
        <v>-409.69400000000002</v>
      </c>
      <c r="G92">
        <v>0</v>
      </c>
      <c r="H92">
        <v>0</v>
      </c>
      <c r="I92">
        <v>800</v>
      </c>
      <c r="J92">
        <v>800</v>
      </c>
      <c r="R92">
        <v>48000</v>
      </c>
      <c r="S92">
        <v>1271.28</v>
      </c>
      <c r="T92">
        <v>-2198.62</v>
      </c>
      <c r="U92">
        <v>53519</v>
      </c>
      <c r="V92">
        <v>45.424100000000003</v>
      </c>
      <c r="W92">
        <v>0</v>
      </c>
      <c r="X92">
        <v>0</v>
      </c>
      <c r="Y92">
        <v>800</v>
      </c>
      <c r="Z92">
        <v>800</v>
      </c>
      <c r="AA92">
        <v>-5200.28</v>
      </c>
      <c r="AC92">
        <v>48000</v>
      </c>
      <c r="AD92">
        <v>1313.61</v>
      </c>
      <c r="AE92">
        <v>-2189.31</v>
      </c>
      <c r="AF92">
        <v>54042.3</v>
      </c>
      <c r="AG92">
        <v>253.80099999999999</v>
      </c>
      <c r="AH92">
        <v>0</v>
      </c>
      <c r="AI92">
        <v>0</v>
      </c>
      <c r="AJ92">
        <v>800</v>
      </c>
      <c r="AK92">
        <v>800</v>
      </c>
      <c r="AL92">
        <v>-5112.3599999999997</v>
      </c>
      <c r="AN92">
        <v>48000</v>
      </c>
      <c r="AO92">
        <v>1326.52</v>
      </c>
      <c r="AP92">
        <v>-2201.13</v>
      </c>
      <c r="AQ92">
        <v>53500.6</v>
      </c>
      <c r="AR92">
        <v>-241.328</v>
      </c>
      <c r="AS92">
        <v>0</v>
      </c>
      <c r="AT92">
        <v>0</v>
      </c>
      <c r="AU92">
        <v>800</v>
      </c>
      <c r="AV92">
        <v>800</v>
      </c>
    </row>
    <row r="93" spans="2:48" x14ac:dyDescent="0.2">
      <c r="B93">
        <v>49000</v>
      </c>
      <c r="C93">
        <v>1226.0899999999999</v>
      </c>
      <c r="D93">
        <v>-2253.86</v>
      </c>
      <c r="E93">
        <v>49768.3</v>
      </c>
      <c r="F93">
        <v>-669.92600000000004</v>
      </c>
      <c r="G93">
        <v>0</v>
      </c>
      <c r="H93">
        <v>0</v>
      </c>
      <c r="I93">
        <v>800</v>
      </c>
      <c r="J93">
        <v>800</v>
      </c>
      <c r="R93">
        <v>49000</v>
      </c>
      <c r="S93">
        <v>1317.52</v>
      </c>
      <c r="T93">
        <v>-2199.33</v>
      </c>
      <c r="U93">
        <v>53880.6</v>
      </c>
      <c r="V93">
        <v>-130.66499999999999</v>
      </c>
      <c r="W93">
        <v>0</v>
      </c>
      <c r="X93">
        <v>0</v>
      </c>
      <c r="Y93">
        <v>800</v>
      </c>
      <c r="Z93">
        <v>800</v>
      </c>
      <c r="AA93">
        <v>-5529.06</v>
      </c>
      <c r="AC93">
        <v>49000</v>
      </c>
      <c r="AD93">
        <v>1341.84</v>
      </c>
      <c r="AE93">
        <v>-2193.4299999999998</v>
      </c>
      <c r="AF93">
        <v>54349.2</v>
      </c>
      <c r="AG93">
        <v>371.65100000000001</v>
      </c>
      <c r="AH93">
        <v>0</v>
      </c>
      <c r="AI93">
        <v>0</v>
      </c>
      <c r="AJ93">
        <v>800</v>
      </c>
      <c r="AK93">
        <v>800</v>
      </c>
      <c r="AL93">
        <v>-5078.8999999999996</v>
      </c>
      <c r="AN93">
        <v>49000</v>
      </c>
      <c r="AO93">
        <v>1315.6</v>
      </c>
      <c r="AP93">
        <v>-2209.54</v>
      </c>
      <c r="AQ93">
        <v>53554</v>
      </c>
      <c r="AR93">
        <v>173.99199999999999</v>
      </c>
      <c r="AS93">
        <v>0</v>
      </c>
      <c r="AT93">
        <v>0</v>
      </c>
      <c r="AU93">
        <v>800</v>
      </c>
      <c r="AV93">
        <v>800</v>
      </c>
    </row>
    <row r="94" spans="2:48" x14ac:dyDescent="0.2">
      <c r="B94">
        <v>50000</v>
      </c>
      <c r="C94">
        <v>1235.7</v>
      </c>
      <c r="D94">
        <v>-2256.16</v>
      </c>
      <c r="E94">
        <v>49771</v>
      </c>
      <c r="F94">
        <v>691.98500000000001</v>
      </c>
      <c r="G94">
        <v>0</v>
      </c>
      <c r="H94">
        <v>0</v>
      </c>
      <c r="I94">
        <v>800</v>
      </c>
      <c r="J94">
        <v>800</v>
      </c>
      <c r="R94">
        <v>50000</v>
      </c>
      <c r="S94">
        <v>1307.98</v>
      </c>
      <c r="T94">
        <v>-2197.29</v>
      </c>
      <c r="U94">
        <v>54316.1</v>
      </c>
      <c r="V94">
        <v>-3.2692700000000001</v>
      </c>
      <c r="W94">
        <v>0</v>
      </c>
      <c r="X94">
        <v>0</v>
      </c>
      <c r="Y94">
        <v>800</v>
      </c>
      <c r="Z94">
        <v>800</v>
      </c>
      <c r="AA94">
        <v>-5319.59</v>
      </c>
      <c r="AC94">
        <v>50000</v>
      </c>
      <c r="AD94">
        <v>1300.3599999999999</v>
      </c>
      <c r="AE94">
        <v>-2189.73</v>
      </c>
      <c r="AF94">
        <v>54591.3</v>
      </c>
      <c r="AG94">
        <v>-653.20600000000002</v>
      </c>
      <c r="AH94">
        <v>0</v>
      </c>
      <c r="AI94">
        <v>0</v>
      </c>
      <c r="AJ94">
        <v>800</v>
      </c>
      <c r="AK94">
        <v>800</v>
      </c>
      <c r="AL94">
        <v>-5911.85</v>
      </c>
      <c r="AN94">
        <v>50000</v>
      </c>
      <c r="AO94">
        <v>1306.29</v>
      </c>
      <c r="AP94">
        <v>-2193.4899999999998</v>
      </c>
      <c r="AQ94">
        <v>53743.199999999997</v>
      </c>
      <c r="AR94">
        <v>90.704599999999999</v>
      </c>
      <c r="AS94">
        <v>0</v>
      </c>
      <c r="AT94">
        <v>0</v>
      </c>
      <c r="AU94">
        <v>800</v>
      </c>
      <c r="AV94">
        <v>800</v>
      </c>
    </row>
    <row r="95" spans="2:48" x14ac:dyDescent="0.2">
      <c r="B95">
        <v>51000</v>
      </c>
      <c r="C95">
        <v>1167.5999999999999</v>
      </c>
      <c r="D95">
        <v>-2260.92</v>
      </c>
      <c r="E95">
        <v>49780.7</v>
      </c>
      <c r="F95">
        <v>-1065.93</v>
      </c>
      <c r="G95">
        <v>0</v>
      </c>
      <c r="H95">
        <v>0</v>
      </c>
      <c r="I95">
        <v>800</v>
      </c>
      <c r="J95">
        <v>800</v>
      </c>
      <c r="R95">
        <v>51000</v>
      </c>
      <c r="S95">
        <v>1283.58</v>
      </c>
      <c r="T95">
        <v>-2205.98</v>
      </c>
      <c r="U95">
        <v>53441.4</v>
      </c>
      <c r="V95">
        <v>-88.256200000000007</v>
      </c>
      <c r="W95">
        <v>0</v>
      </c>
      <c r="X95">
        <v>0</v>
      </c>
      <c r="Y95">
        <v>800</v>
      </c>
      <c r="Z95">
        <v>800</v>
      </c>
      <c r="AA95">
        <v>-5390.73</v>
      </c>
      <c r="AC95">
        <v>51000</v>
      </c>
      <c r="AD95">
        <v>1282.9100000000001</v>
      </c>
      <c r="AE95">
        <v>-2204.69</v>
      </c>
      <c r="AF95">
        <v>54749.599999999999</v>
      </c>
      <c r="AG95">
        <v>-847.48599999999999</v>
      </c>
      <c r="AH95">
        <v>0</v>
      </c>
      <c r="AI95">
        <v>0</v>
      </c>
      <c r="AJ95">
        <v>800</v>
      </c>
      <c r="AK95">
        <v>800</v>
      </c>
      <c r="AL95">
        <v>-6020.55</v>
      </c>
      <c r="AN95">
        <v>51000</v>
      </c>
      <c r="AO95">
        <v>1321.84</v>
      </c>
      <c r="AP95">
        <v>-2197.62</v>
      </c>
      <c r="AQ95">
        <v>53970.2</v>
      </c>
      <c r="AR95">
        <v>304.03199999999998</v>
      </c>
      <c r="AS95">
        <v>0</v>
      </c>
      <c r="AT95">
        <v>0</v>
      </c>
      <c r="AU95">
        <v>800</v>
      </c>
      <c r="AV95">
        <v>800</v>
      </c>
    </row>
    <row r="96" spans="2:48" x14ac:dyDescent="0.2">
      <c r="B96">
        <v>52000</v>
      </c>
      <c r="C96">
        <v>1209.31</v>
      </c>
      <c r="D96">
        <v>-2253.98</v>
      </c>
      <c r="E96">
        <v>49720.800000000003</v>
      </c>
      <c r="F96">
        <v>-226.899</v>
      </c>
      <c r="G96">
        <v>0</v>
      </c>
      <c r="H96">
        <v>0</v>
      </c>
      <c r="I96">
        <v>800</v>
      </c>
      <c r="J96">
        <v>800</v>
      </c>
      <c r="R96">
        <v>52000</v>
      </c>
      <c r="S96">
        <v>1307.6300000000001</v>
      </c>
      <c r="T96">
        <v>-2193.48</v>
      </c>
      <c r="U96">
        <v>54406.2</v>
      </c>
      <c r="V96">
        <v>-48.881399999999999</v>
      </c>
      <c r="W96">
        <v>0</v>
      </c>
      <c r="X96">
        <v>0</v>
      </c>
      <c r="Y96">
        <v>800</v>
      </c>
      <c r="Z96">
        <v>800</v>
      </c>
      <c r="AA96">
        <v>-5354.88</v>
      </c>
      <c r="AC96">
        <v>52000</v>
      </c>
      <c r="AD96">
        <v>1328.62</v>
      </c>
      <c r="AE96">
        <v>-2186.7399999999998</v>
      </c>
      <c r="AF96">
        <v>54717.9</v>
      </c>
      <c r="AG96">
        <v>-36.640999999999998</v>
      </c>
      <c r="AH96">
        <v>0</v>
      </c>
      <c r="AI96">
        <v>0</v>
      </c>
      <c r="AJ96">
        <v>800</v>
      </c>
      <c r="AK96">
        <v>800</v>
      </c>
      <c r="AL96">
        <v>-5397.12</v>
      </c>
      <c r="AN96">
        <v>52000</v>
      </c>
      <c r="AO96">
        <v>1285.67</v>
      </c>
      <c r="AP96">
        <v>-2200.7399999999998</v>
      </c>
      <c r="AQ96">
        <v>54162.400000000001</v>
      </c>
      <c r="AR96">
        <v>-487.17200000000003</v>
      </c>
      <c r="AS96">
        <v>0</v>
      </c>
      <c r="AT96">
        <v>0</v>
      </c>
      <c r="AU96">
        <v>800</v>
      </c>
      <c r="AV96">
        <v>800</v>
      </c>
    </row>
    <row r="97" spans="2:48" x14ac:dyDescent="0.2">
      <c r="B97">
        <v>53000</v>
      </c>
      <c r="C97">
        <v>1201.19</v>
      </c>
      <c r="D97">
        <v>-2261.88</v>
      </c>
      <c r="E97">
        <v>49842.1</v>
      </c>
      <c r="F97">
        <v>-1321.91</v>
      </c>
      <c r="G97">
        <v>0</v>
      </c>
      <c r="H97">
        <v>0</v>
      </c>
      <c r="I97">
        <v>800</v>
      </c>
      <c r="J97">
        <v>800</v>
      </c>
      <c r="R97">
        <v>53000</v>
      </c>
      <c r="S97">
        <v>1321.74</v>
      </c>
      <c r="T97">
        <v>-2194.12</v>
      </c>
      <c r="U97">
        <v>54131.5</v>
      </c>
      <c r="V97">
        <v>150.38300000000001</v>
      </c>
      <c r="W97">
        <v>0</v>
      </c>
      <c r="X97">
        <v>0</v>
      </c>
      <c r="Y97">
        <v>800</v>
      </c>
      <c r="Z97">
        <v>800</v>
      </c>
      <c r="AA97">
        <v>-5241.09</v>
      </c>
      <c r="AC97">
        <v>53000</v>
      </c>
      <c r="AD97">
        <v>1305.01</v>
      </c>
      <c r="AE97">
        <v>-2201.9</v>
      </c>
      <c r="AF97">
        <v>54516.6</v>
      </c>
      <c r="AG97">
        <v>-333.66199999999998</v>
      </c>
      <c r="AH97">
        <v>0</v>
      </c>
      <c r="AI97">
        <v>0</v>
      </c>
      <c r="AJ97">
        <v>800</v>
      </c>
      <c r="AK97">
        <v>800</v>
      </c>
      <c r="AL97">
        <v>-5618.31</v>
      </c>
      <c r="AN97">
        <v>53000</v>
      </c>
      <c r="AO97">
        <v>1306.06</v>
      </c>
      <c r="AP97">
        <v>-2202.2199999999998</v>
      </c>
      <c r="AQ97">
        <v>54297.4</v>
      </c>
      <c r="AR97">
        <v>-499.13299999999998</v>
      </c>
      <c r="AS97">
        <v>0</v>
      </c>
      <c r="AT97">
        <v>0</v>
      </c>
      <c r="AU97">
        <v>800</v>
      </c>
      <c r="AV97">
        <v>800</v>
      </c>
    </row>
    <row r="98" spans="2:48" x14ac:dyDescent="0.2">
      <c r="B98">
        <v>54000</v>
      </c>
      <c r="C98">
        <v>1195.49</v>
      </c>
      <c r="D98">
        <v>-2261.86</v>
      </c>
      <c r="E98">
        <v>49766.1</v>
      </c>
      <c r="F98">
        <v>-248.04300000000001</v>
      </c>
      <c r="G98">
        <v>0</v>
      </c>
      <c r="H98">
        <v>0</v>
      </c>
      <c r="I98">
        <v>800</v>
      </c>
      <c r="J98">
        <v>800</v>
      </c>
      <c r="R98">
        <v>54000</v>
      </c>
      <c r="S98">
        <v>1290.3900000000001</v>
      </c>
      <c r="T98">
        <v>-2196.63</v>
      </c>
      <c r="U98">
        <v>54411.6</v>
      </c>
      <c r="V98">
        <v>123.788</v>
      </c>
      <c r="W98">
        <v>0</v>
      </c>
      <c r="X98">
        <v>0</v>
      </c>
      <c r="Y98">
        <v>800</v>
      </c>
      <c r="Z98">
        <v>800</v>
      </c>
      <c r="AA98">
        <v>-5111.9799999999996</v>
      </c>
      <c r="AC98">
        <v>54000</v>
      </c>
      <c r="AD98">
        <v>1304.0999999999999</v>
      </c>
      <c r="AE98">
        <v>-2191.11</v>
      </c>
      <c r="AF98">
        <v>54211.1</v>
      </c>
      <c r="AG98">
        <v>272.56400000000002</v>
      </c>
      <c r="AH98">
        <v>0</v>
      </c>
      <c r="AI98">
        <v>0</v>
      </c>
      <c r="AJ98">
        <v>800</v>
      </c>
      <c r="AK98">
        <v>800</v>
      </c>
      <c r="AL98">
        <v>-5038.1899999999996</v>
      </c>
      <c r="AN98">
        <v>54000</v>
      </c>
      <c r="AO98">
        <v>1279.07</v>
      </c>
      <c r="AP98">
        <v>-2195.41</v>
      </c>
      <c r="AQ98">
        <v>54474.3</v>
      </c>
      <c r="AR98">
        <v>-126.52800000000001</v>
      </c>
      <c r="AS98">
        <v>0</v>
      </c>
      <c r="AT98">
        <v>0</v>
      </c>
      <c r="AU98">
        <v>800</v>
      </c>
      <c r="AV98">
        <v>800</v>
      </c>
    </row>
    <row r="99" spans="2:48" x14ac:dyDescent="0.2">
      <c r="B99">
        <v>55000</v>
      </c>
      <c r="C99">
        <v>1222.82</v>
      </c>
      <c r="D99">
        <v>-2248.54</v>
      </c>
      <c r="E99">
        <v>49665.1</v>
      </c>
      <c r="F99">
        <v>747.21900000000005</v>
      </c>
      <c r="G99">
        <v>0</v>
      </c>
      <c r="H99">
        <v>0</v>
      </c>
      <c r="I99">
        <v>800</v>
      </c>
      <c r="J99">
        <v>800</v>
      </c>
      <c r="R99">
        <v>55000</v>
      </c>
      <c r="S99">
        <v>1320.99</v>
      </c>
      <c r="T99">
        <v>-2200.98</v>
      </c>
      <c r="U99">
        <v>53870.6</v>
      </c>
      <c r="V99">
        <v>57.761800000000001</v>
      </c>
      <c r="W99">
        <v>0</v>
      </c>
      <c r="X99">
        <v>0</v>
      </c>
      <c r="Y99">
        <v>800</v>
      </c>
      <c r="Z99">
        <v>800</v>
      </c>
      <c r="AA99">
        <v>-5355.77</v>
      </c>
      <c r="AC99">
        <v>55000</v>
      </c>
      <c r="AD99">
        <v>1291.1300000000001</v>
      </c>
      <c r="AE99">
        <v>-2206.44</v>
      </c>
      <c r="AF99">
        <v>53816.2</v>
      </c>
      <c r="AG99">
        <v>138.67400000000001</v>
      </c>
      <c r="AH99">
        <v>0</v>
      </c>
      <c r="AI99">
        <v>0</v>
      </c>
      <c r="AJ99">
        <v>800</v>
      </c>
      <c r="AK99">
        <v>800</v>
      </c>
      <c r="AL99">
        <v>-5157.83</v>
      </c>
      <c r="AN99">
        <v>55000</v>
      </c>
      <c r="AO99">
        <v>1336.44</v>
      </c>
      <c r="AP99">
        <v>-2184.56</v>
      </c>
      <c r="AQ99">
        <v>54641.5</v>
      </c>
      <c r="AR99">
        <v>-747.63499999999999</v>
      </c>
      <c r="AS99">
        <v>0</v>
      </c>
      <c r="AT99">
        <v>0</v>
      </c>
      <c r="AU99">
        <v>800</v>
      </c>
      <c r="AV99">
        <v>800</v>
      </c>
    </row>
    <row r="100" spans="2:48" x14ac:dyDescent="0.2">
      <c r="B100">
        <v>56000</v>
      </c>
      <c r="C100">
        <v>1191.3900000000001</v>
      </c>
      <c r="D100">
        <v>-2255.0700000000002</v>
      </c>
      <c r="E100">
        <v>49473.599999999999</v>
      </c>
      <c r="F100">
        <v>957.43899999999996</v>
      </c>
      <c r="G100">
        <v>0</v>
      </c>
      <c r="H100">
        <v>0</v>
      </c>
      <c r="I100">
        <v>800</v>
      </c>
      <c r="J100">
        <v>800</v>
      </c>
      <c r="R100">
        <v>56000</v>
      </c>
      <c r="S100">
        <v>1286.81</v>
      </c>
      <c r="T100">
        <v>-2199.1</v>
      </c>
      <c r="U100">
        <v>53995.1</v>
      </c>
      <c r="V100">
        <v>-73.137500000000003</v>
      </c>
      <c r="W100">
        <v>0</v>
      </c>
      <c r="X100">
        <v>0</v>
      </c>
      <c r="Y100">
        <v>800</v>
      </c>
      <c r="Z100">
        <v>800</v>
      </c>
      <c r="AA100">
        <v>-5334.44</v>
      </c>
      <c r="AC100">
        <v>56000</v>
      </c>
      <c r="AD100">
        <v>1323.33</v>
      </c>
      <c r="AE100">
        <v>-2196.9499999999998</v>
      </c>
      <c r="AF100">
        <v>53431.9</v>
      </c>
      <c r="AG100">
        <v>996.87400000000002</v>
      </c>
      <c r="AH100">
        <v>0</v>
      </c>
      <c r="AI100">
        <v>0</v>
      </c>
      <c r="AJ100">
        <v>800</v>
      </c>
      <c r="AK100">
        <v>800</v>
      </c>
      <c r="AL100">
        <v>-4470.75</v>
      </c>
      <c r="AN100">
        <v>56000</v>
      </c>
      <c r="AO100">
        <v>1313.65</v>
      </c>
      <c r="AP100">
        <v>-2195.0500000000002</v>
      </c>
      <c r="AQ100">
        <v>54682.6</v>
      </c>
      <c r="AR100">
        <v>-150.68100000000001</v>
      </c>
      <c r="AS100">
        <v>0</v>
      </c>
      <c r="AT100">
        <v>0</v>
      </c>
      <c r="AU100">
        <v>800</v>
      </c>
      <c r="AV100">
        <v>800</v>
      </c>
    </row>
    <row r="101" spans="2:48" x14ac:dyDescent="0.2">
      <c r="B101">
        <v>57000</v>
      </c>
      <c r="C101">
        <v>1175.25</v>
      </c>
      <c r="D101">
        <v>-2257.8000000000002</v>
      </c>
      <c r="E101">
        <v>49310.6</v>
      </c>
      <c r="F101">
        <v>1505.71</v>
      </c>
      <c r="G101">
        <v>0</v>
      </c>
      <c r="H101">
        <v>0</v>
      </c>
      <c r="I101">
        <v>800</v>
      </c>
      <c r="J101">
        <v>800</v>
      </c>
      <c r="R101">
        <v>57000</v>
      </c>
      <c r="S101">
        <v>1317.87</v>
      </c>
      <c r="T101">
        <v>-2190.7199999999998</v>
      </c>
      <c r="U101">
        <v>54443.199999999997</v>
      </c>
      <c r="V101">
        <v>-171.27199999999999</v>
      </c>
      <c r="W101">
        <v>0</v>
      </c>
      <c r="X101">
        <v>0</v>
      </c>
      <c r="Y101">
        <v>800</v>
      </c>
      <c r="Z101">
        <v>800</v>
      </c>
      <c r="AA101">
        <v>-5515.44</v>
      </c>
      <c r="AC101">
        <v>57000</v>
      </c>
      <c r="AD101">
        <v>1262.3499999999999</v>
      </c>
      <c r="AE101">
        <v>-2209.58</v>
      </c>
      <c r="AF101">
        <v>53202.7</v>
      </c>
      <c r="AG101">
        <v>771.15700000000004</v>
      </c>
      <c r="AH101">
        <v>0</v>
      </c>
      <c r="AI101">
        <v>0</v>
      </c>
      <c r="AJ101">
        <v>800</v>
      </c>
      <c r="AK101">
        <v>800</v>
      </c>
      <c r="AL101">
        <v>-4467</v>
      </c>
      <c r="AN101">
        <v>57000</v>
      </c>
      <c r="AO101">
        <v>1258.17</v>
      </c>
      <c r="AP101">
        <v>-2190.58</v>
      </c>
      <c r="AQ101">
        <v>54560.6</v>
      </c>
      <c r="AR101">
        <v>-869.10699999999997</v>
      </c>
      <c r="AS101">
        <v>0</v>
      </c>
      <c r="AT101">
        <v>0</v>
      </c>
      <c r="AU101">
        <v>800</v>
      </c>
      <c r="AV101">
        <v>800</v>
      </c>
    </row>
    <row r="102" spans="2:48" x14ac:dyDescent="0.2">
      <c r="B102">
        <v>58000</v>
      </c>
      <c r="C102">
        <v>1206.07</v>
      </c>
      <c r="D102">
        <v>-2248.5500000000002</v>
      </c>
      <c r="E102">
        <v>49423.9</v>
      </c>
      <c r="F102">
        <v>1359.14</v>
      </c>
      <c r="G102">
        <v>0</v>
      </c>
      <c r="H102">
        <v>0</v>
      </c>
      <c r="I102">
        <v>800</v>
      </c>
      <c r="J102">
        <v>800</v>
      </c>
      <c r="AC102">
        <v>58000</v>
      </c>
      <c r="AD102">
        <v>1301.83</v>
      </c>
      <c r="AE102">
        <v>-2209.4499999999998</v>
      </c>
      <c r="AF102">
        <v>53123.1</v>
      </c>
      <c r="AG102">
        <v>440.97699999999998</v>
      </c>
      <c r="AH102">
        <v>0</v>
      </c>
      <c r="AI102">
        <v>0</v>
      </c>
      <c r="AJ102">
        <v>800</v>
      </c>
      <c r="AK102">
        <v>800</v>
      </c>
      <c r="AL102">
        <v>-4969.1099999999997</v>
      </c>
      <c r="AN102">
        <v>58000</v>
      </c>
      <c r="AO102">
        <v>1288.1199999999999</v>
      </c>
      <c r="AP102">
        <v>-2200.31</v>
      </c>
      <c r="AQ102">
        <v>54213.599999999999</v>
      </c>
      <c r="AR102">
        <v>-149.38999999999999</v>
      </c>
      <c r="AS102">
        <v>0</v>
      </c>
      <c r="AT102">
        <v>0</v>
      </c>
      <c r="AU102">
        <v>800</v>
      </c>
      <c r="AV102">
        <v>800</v>
      </c>
    </row>
    <row r="103" spans="2:48" x14ac:dyDescent="0.2">
      <c r="B103">
        <v>59000</v>
      </c>
      <c r="C103">
        <v>1187.58</v>
      </c>
      <c r="D103">
        <v>-2256.75</v>
      </c>
      <c r="E103">
        <v>49677.3</v>
      </c>
      <c r="F103">
        <v>-231.685</v>
      </c>
      <c r="G103">
        <v>0</v>
      </c>
      <c r="H103">
        <v>0</v>
      </c>
      <c r="I103">
        <v>800</v>
      </c>
      <c r="J103">
        <v>800</v>
      </c>
      <c r="AC103">
        <v>59000</v>
      </c>
      <c r="AD103">
        <v>1287.31</v>
      </c>
      <c r="AE103">
        <v>-2201.48</v>
      </c>
      <c r="AF103">
        <v>53231.199999999997</v>
      </c>
      <c r="AG103">
        <v>382.90199999999999</v>
      </c>
      <c r="AH103">
        <v>0</v>
      </c>
      <c r="AI103">
        <v>0</v>
      </c>
      <c r="AJ103">
        <v>800</v>
      </c>
      <c r="AK103">
        <v>800</v>
      </c>
      <c r="AL103">
        <v>-4955.95</v>
      </c>
      <c r="AN103">
        <v>59000</v>
      </c>
      <c r="AO103">
        <v>1304.3800000000001</v>
      </c>
      <c r="AP103">
        <v>-2202.7399999999998</v>
      </c>
      <c r="AQ103">
        <v>53756</v>
      </c>
      <c r="AR103">
        <v>195.649</v>
      </c>
      <c r="AS103">
        <v>0</v>
      </c>
      <c r="AT103">
        <v>0</v>
      </c>
      <c r="AU103">
        <v>800</v>
      </c>
      <c r="AV103">
        <v>800</v>
      </c>
    </row>
    <row r="104" spans="2:48" x14ac:dyDescent="0.2">
      <c r="B104">
        <v>60000</v>
      </c>
      <c r="C104">
        <v>1199.23</v>
      </c>
      <c r="D104">
        <v>-2253.81</v>
      </c>
      <c r="E104">
        <v>49860.800000000003</v>
      </c>
      <c r="F104">
        <v>1043.21</v>
      </c>
      <c r="G104">
        <v>0</v>
      </c>
      <c r="H104">
        <v>0</v>
      </c>
      <c r="I104">
        <v>800</v>
      </c>
      <c r="J104">
        <v>800</v>
      </c>
      <c r="AC104">
        <v>60000</v>
      </c>
      <c r="AD104">
        <v>1309.8399999999999</v>
      </c>
      <c r="AE104">
        <v>-2198.1799999999998</v>
      </c>
      <c r="AF104">
        <v>53492</v>
      </c>
      <c r="AG104">
        <v>301.97000000000003</v>
      </c>
      <c r="AH104">
        <v>0</v>
      </c>
      <c r="AI104">
        <v>0</v>
      </c>
      <c r="AJ104">
        <v>800</v>
      </c>
      <c r="AK104">
        <v>800</v>
      </c>
      <c r="AL104">
        <v>-5103.84</v>
      </c>
      <c r="AN104">
        <v>60000</v>
      </c>
      <c r="AO104">
        <v>1283.53</v>
      </c>
      <c r="AP104">
        <v>-2203.5700000000002</v>
      </c>
      <c r="AQ104">
        <v>53288.800000000003</v>
      </c>
      <c r="AR104">
        <v>279.529</v>
      </c>
      <c r="AS104">
        <v>0</v>
      </c>
      <c r="AT104">
        <v>0</v>
      </c>
      <c r="AU104">
        <v>800</v>
      </c>
      <c r="AV104">
        <v>800</v>
      </c>
    </row>
    <row r="105" spans="2:48" x14ac:dyDescent="0.2">
      <c r="B105">
        <v>61000</v>
      </c>
      <c r="C105">
        <v>1184.01</v>
      </c>
      <c r="D105">
        <v>-2257.56</v>
      </c>
      <c r="E105">
        <v>49796.6</v>
      </c>
      <c r="F105">
        <v>-737.67100000000005</v>
      </c>
      <c r="G105">
        <v>0</v>
      </c>
      <c r="H105">
        <v>0</v>
      </c>
      <c r="I105">
        <v>800</v>
      </c>
      <c r="J105">
        <v>800</v>
      </c>
      <c r="AC105">
        <v>61000</v>
      </c>
      <c r="AD105">
        <v>1337.64</v>
      </c>
      <c r="AE105">
        <v>-2203.7199999999998</v>
      </c>
      <c r="AF105">
        <v>53751.3</v>
      </c>
      <c r="AG105">
        <v>603.96900000000005</v>
      </c>
      <c r="AH105">
        <v>0</v>
      </c>
      <c r="AI105">
        <v>0</v>
      </c>
      <c r="AJ105">
        <v>800</v>
      </c>
      <c r="AK105">
        <v>800</v>
      </c>
      <c r="AL105">
        <v>-4889.96</v>
      </c>
      <c r="AN105">
        <v>61000</v>
      </c>
      <c r="AO105">
        <v>1326.83</v>
      </c>
      <c r="AP105">
        <v>-2206.0700000000002</v>
      </c>
      <c r="AQ105">
        <v>52872.4</v>
      </c>
      <c r="AR105">
        <v>1347.31</v>
      </c>
      <c r="AS105">
        <v>0</v>
      </c>
      <c r="AT105">
        <v>0</v>
      </c>
      <c r="AU105">
        <v>800</v>
      </c>
      <c r="AV105">
        <v>800</v>
      </c>
    </row>
    <row r="106" spans="2:48" x14ac:dyDescent="0.2">
      <c r="B106">
        <v>62000</v>
      </c>
      <c r="C106">
        <v>1190.77</v>
      </c>
      <c r="D106">
        <v>-2257.4899999999998</v>
      </c>
      <c r="E106">
        <v>49571.8</v>
      </c>
      <c r="F106">
        <v>727.63099999999997</v>
      </c>
      <c r="G106">
        <v>0</v>
      </c>
      <c r="H106">
        <v>0</v>
      </c>
      <c r="I106">
        <v>800</v>
      </c>
      <c r="J106">
        <v>800</v>
      </c>
      <c r="AC106">
        <v>62000</v>
      </c>
      <c r="AD106">
        <v>1249.18</v>
      </c>
      <c r="AE106">
        <v>-2203.0700000000002</v>
      </c>
      <c r="AF106">
        <v>54032</v>
      </c>
      <c r="AG106">
        <v>175.89699999999999</v>
      </c>
      <c r="AH106">
        <v>0</v>
      </c>
      <c r="AI106">
        <v>0</v>
      </c>
      <c r="AJ106">
        <v>800</v>
      </c>
      <c r="AK106">
        <v>800</v>
      </c>
      <c r="AL106">
        <v>-4928.0600000000004</v>
      </c>
      <c r="AN106">
        <v>62000</v>
      </c>
      <c r="AO106">
        <v>1323.36</v>
      </c>
      <c r="AP106">
        <v>-2209.66</v>
      </c>
      <c r="AQ106">
        <v>52622.7</v>
      </c>
      <c r="AR106">
        <v>1729.85</v>
      </c>
      <c r="AS106">
        <v>0</v>
      </c>
      <c r="AT106">
        <v>0</v>
      </c>
      <c r="AU106">
        <v>800</v>
      </c>
      <c r="AV106">
        <v>800</v>
      </c>
    </row>
    <row r="107" spans="2:48" x14ac:dyDescent="0.2">
      <c r="B107">
        <v>63000</v>
      </c>
      <c r="C107">
        <v>1182.46</v>
      </c>
      <c r="D107">
        <v>-2263.9499999999998</v>
      </c>
      <c r="E107">
        <v>49459</v>
      </c>
      <c r="F107">
        <v>969.18499999999995</v>
      </c>
      <c r="G107">
        <v>0</v>
      </c>
      <c r="H107">
        <v>0</v>
      </c>
      <c r="I107">
        <v>800</v>
      </c>
      <c r="J107">
        <v>800</v>
      </c>
      <c r="AC107">
        <v>63000</v>
      </c>
      <c r="AD107">
        <v>1302.6400000000001</v>
      </c>
      <c r="AE107">
        <v>-2191.48</v>
      </c>
      <c r="AF107">
        <v>54307.9</v>
      </c>
      <c r="AG107">
        <v>-212.01900000000001</v>
      </c>
      <c r="AH107">
        <v>0</v>
      </c>
      <c r="AI107">
        <v>0</v>
      </c>
      <c r="AJ107">
        <v>800</v>
      </c>
      <c r="AK107">
        <v>800</v>
      </c>
      <c r="AL107">
        <v>-5507.35</v>
      </c>
      <c r="AN107">
        <v>63000</v>
      </c>
      <c r="AO107">
        <v>1318.85</v>
      </c>
      <c r="AP107">
        <v>-2206.67</v>
      </c>
      <c r="AQ107">
        <v>52656.6</v>
      </c>
      <c r="AR107">
        <v>1605.33</v>
      </c>
      <c r="AS107">
        <v>0</v>
      </c>
      <c r="AT107">
        <v>0</v>
      </c>
      <c r="AU107">
        <v>800</v>
      </c>
      <c r="AV107">
        <v>800</v>
      </c>
    </row>
    <row r="108" spans="2:48" x14ac:dyDescent="0.2">
      <c r="B108">
        <v>64000</v>
      </c>
      <c r="C108">
        <v>1208.33</v>
      </c>
      <c r="D108">
        <v>-2256.04</v>
      </c>
      <c r="E108">
        <v>49619.3</v>
      </c>
      <c r="F108">
        <v>1021.23</v>
      </c>
      <c r="G108">
        <v>0</v>
      </c>
      <c r="H108">
        <v>0</v>
      </c>
      <c r="I108">
        <v>800</v>
      </c>
      <c r="J108">
        <v>800</v>
      </c>
      <c r="AC108">
        <v>64000</v>
      </c>
      <c r="AD108">
        <v>1291.68</v>
      </c>
      <c r="AE108">
        <v>-2188.81</v>
      </c>
      <c r="AF108">
        <v>54484.5</v>
      </c>
      <c r="AG108">
        <v>-282.21600000000001</v>
      </c>
      <c r="AH108">
        <v>0</v>
      </c>
      <c r="AI108">
        <v>0</v>
      </c>
      <c r="AJ108">
        <v>800</v>
      </c>
      <c r="AK108">
        <v>800</v>
      </c>
      <c r="AL108">
        <v>-5516</v>
      </c>
      <c r="AN108">
        <v>64000</v>
      </c>
      <c r="AO108">
        <v>1285.8399999999999</v>
      </c>
      <c r="AP108">
        <v>-2216.56</v>
      </c>
      <c r="AQ108">
        <v>53015.7</v>
      </c>
      <c r="AR108">
        <v>104.23699999999999</v>
      </c>
      <c r="AS108">
        <v>0</v>
      </c>
      <c r="AT108">
        <v>0</v>
      </c>
      <c r="AU108">
        <v>800</v>
      </c>
      <c r="AV108">
        <v>800</v>
      </c>
    </row>
    <row r="109" spans="2:48" x14ac:dyDescent="0.2">
      <c r="B109">
        <v>65000</v>
      </c>
      <c r="C109">
        <v>1217.46</v>
      </c>
      <c r="D109">
        <v>-2252.7399999999998</v>
      </c>
      <c r="E109">
        <v>49790.6</v>
      </c>
      <c r="F109">
        <v>38.609000000000002</v>
      </c>
      <c r="G109">
        <v>0</v>
      </c>
      <c r="H109">
        <v>0</v>
      </c>
      <c r="I109">
        <v>800</v>
      </c>
      <c r="J109">
        <v>800</v>
      </c>
      <c r="AC109">
        <v>65000</v>
      </c>
      <c r="AD109">
        <v>1270.3900000000001</v>
      </c>
      <c r="AE109">
        <v>-2201.83</v>
      </c>
      <c r="AF109">
        <v>54537.4</v>
      </c>
      <c r="AG109">
        <v>-1967.19</v>
      </c>
      <c r="AH109">
        <v>0</v>
      </c>
      <c r="AI109">
        <v>0</v>
      </c>
      <c r="AJ109">
        <v>800</v>
      </c>
      <c r="AK109">
        <v>800</v>
      </c>
      <c r="AL109">
        <v>-7109.7</v>
      </c>
      <c r="AN109">
        <v>65000</v>
      </c>
      <c r="AO109">
        <v>1268.51</v>
      </c>
      <c r="AP109">
        <v>-2198.04</v>
      </c>
      <c r="AQ109">
        <v>53579.5</v>
      </c>
      <c r="AR109">
        <v>393.96499999999997</v>
      </c>
      <c r="AS109">
        <v>0</v>
      </c>
      <c r="AT109">
        <v>0</v>
      </c>
      <c r="AU109">
        <v>800</v>
      </c>
      <c r="AV109">
        <v>800</v>
      </c>
    </row>
    <row r="110" spans="2:48" x14ac:dyDescent="0.2">
      <c r="B110">
        <v>66000</v>
      </c>
      <c r="C110">
        <v>1176.8</v>
      </c>
      <c r="D110">
        <v>-2258.67</v>
      </c>
      <c r="E110">
        <v>49933.2</v>
      </c>
      <c r="F110">
        <v>944.33600000000001</v>
      </c>
      <c r="G110">
        <v>0</v>
      </c>
      <c r="H110">
        <v>0</v>
      </c>
      <c r="I110">
        <v>800</v>
      </c>
      <c r="J110">
        <v>800</v>
      </c>
      <c r="AC110">
        <v>66000</v>
      </c>
      <c r="AD110">
        <v>1325.02</v>
      </c>
      <c r="AE110">
        <v>-2192.2199999999998</v>
      </c>
      <c r="AF110">
        <v>54464.3</v>
      </c>
      <c r="AG110">
        <v>444.661</v>
      </c>
      <c r="AH110">
        <v>0</v>
      </c>
      <c r="AI110">
        <v>0</v>
      </c>
      <c r="AJ110">
        <v>800</v>
      </c>
      <c r="AK110">
        <v>800</v>
      </c>
      <c r="AL110">
        <v>-4926.1899999999996</v>
      </c>
      <c r="AN110">
        <v>66000</v>
      </c>
      <c r="AO110">
        <v>1300.6099999999999</v>
      </c>
      <c r="AP110">
        <v>-2197.6799999999998</v>
      </c>
      <c r="AQ110">
        <v>54199.8</v>
      </c>
      <c r="AR110">
        <v>456.38499999999999</v>
      </c>
      <c r="AS110">
        <v>0</v>
      </c>
      <c r="AT110">
        <v>0</v>
      </c>
      <c r="AU110">
        <v>800</v>
      </c>
      <c r="AV110">
        <v>800</v>
      </c>
    </row>
    <row r="111" spans="2:48" x14ac:dyDescent="0.2">
      <c r="B111">
        <v>67000</v>
      </c>
      <c r="C111">
        <v>1172.74</v>
      </c>
      <c r="D111">
        <v>-2257.42</v>
      </c>
      <c r="E111">
        <v>50065.5</v>
      </c>
      <c r="F111">
        <v>-2300.84</v>
      </c>
      <c r="G111">
        <v>0</v>
      </c>
      <c r="H111">
        <v>0</v>
      </c>
      <c r="I111">
        <v>800</v>
      </c>
      <c r="J111">
        <v>800</v>
      </c>
      <c r="AC111">
        <v>67000</v>
      </c>
      <c r="AD111">
        <v>1309.78</v>
      </c>
      <c r="AE111">
        <v>-2198.86</v>
      </c>
      <c r="AF111">
        <v>54391.199999999997</v>
      </c>
      <c r="AG111">
        <v>268.86799999999999</v>
      </c>
      <c r="AH111">
        <v>0</v>
      </c>
      <c r="AI111">
        <v>0</v>
      </c>
      <c r="AJ111">
        <v>800</v>
      </c>
      <c r="AK111">
        <v>800</v>
      </c>
      <c r="AL111">
        <v>-5047.33</v>
      </c>
      <c r="AN111">
        <v>67000</v>
      </c>
      <c r="AO111">
        <v>1327.62</v>
      </c>
      <c r="AP111">
        <v>-2191</v>
      </c>
      <c r="AQ111">
        <v>54707.9</v>
      </c>
      <c r="AR111">
        <v>-226.15600000000001</v>
      </c>
      <c r="AS111">
        <v>0</v>
      </c>
      <c r="AT111">
        <v>0</v>
      </c>
      <c r="AU111">
        <v>800</v>
      </c>
      <c r="AV111">
        <v>800</v>
      </c>
    </row>
    <row r="112" spans="2:48" x14ac:dyDescent="0.2">
      <c r="B112">
        <v>68000</v>
      </c>
      <c r="C112">
        <v>1214.2</v>
      </c>
      <c r="D112">
        <v>-2255.7600000000002</v>
      </c>
      <c r="E112">
        <v>49902.5</v>
      </c>
      <c r="F112">
        <v>-2674.11</v>
      </c>
      <c r="G112">
        <v>0</v>
      </c>
      <c r="H112">
        <v>0</v>
      </c>
      <c r="I112">
        <v>800</v>
      </c>
      <c r="J112">
        <v>800</v>
      </c>
      <c r="AC112">
        <v>68000</v>
      </c>
      <c r="AD112">
        <v>1292.56</v>
      </c>
      <c r="AE112">
        <v>-2200.39</v>
      </c>
      <c r="AF112">
        <v>54220.2</v>
      </c>
      <c r="AG112">
        <v>-147.63300000000001</v>
      </c>
      <c r="AH112">
        <v>0</v>
      </c>
      <c r="AI112">
        <v>0</v>
      </c>
      <c r="AJ112">
        <v>800</v>
      </c>
      <c r="AK112">
        <v>800</v>
      </c>
      <c r="AL112">
        <v>-5410.51</v>
      </c>
      <c r="AN112">
        <v>68000</v>
      </c>
      <c r="AO112">
        <v>1339.82</v>
      </c>
      <c r="AP112">
        <v>-2186.11</v>
      </c>
      <c r="AQ112">
        <v>55074.5</v>
      </c>
      <c r="AR112">
        <v>-604.86800000000005</v>
      </c>
      <c r="AS112">
        <v>0</v>
      </c>
      <c r="AT112">
        <v>0</v>
      </c>
      <c r="AU112">
        <v>800</v>
      </c>
      <c r="AV112">
        <v>800</v>
      </c>
    </row>
    <row r="113" spans="2:48" x14ac:dyDescent="0.2">
      <c r="B113">
        <v>69000</v>
      </c>
      <c r="C113">
        <v>1192.8599999999999</v>
      </c>
      <c r="D113">
        <v>-2263.4699999999998</v>
      </c>
      <c r="E113">
        <v>49454.400000000001</v>
      </c>
      <c r="F113">
        <v>-610.47400000000005</v>
      </c>
      <c r="G113">
        <v>0</v>
      </c>
      <c r="H113">
        <v>0</v>
      </c>
      <c r="I113">
        <v>800</v>
      </c>
      <c r="J113">
        <v>800</v>
      </c>
      <c r="AC113">
        <v>69000</v>
      </c>
      <c r="AD113">
        <v>1304.9000000000001</v>
      </c>
      <c r="AE113">
        <v>-2196.65</v>
      </c>
      <c r="AF113">
        <v>53990.3</v>
      </c>
      <c r="AG113">
        <v>-492.39600000000002</v>
      </c>
      <c r="AH113">
        <v>0</v>
      </c>
      <c r="AI113">
        <v>0</v>
      </c>
      <c r="AJ113">
        <v>800</v>
      </c>
      <c r="AK113">
        <v>800</v>
      </c>
      <c r="AL113">
        <v>-5828.12</v>
      </c>
      <c r="AN113">
        <v>69000</v>
      </c>
      <c r="AO113">
        <v>1302.08</v>
      </c>
      <c r="AP113">
        <v>-2195.4899999999998</v>
      </c>
      <c r="AQ113">
        <v>55162.3</v>
      </c>
      <c r="AR113">
        <v>-1318.55</v>
      </c>
      <c r="AS113">
        <v>0</v>
      </c>
      <c r="AT113">
        <v>0</v>
      </c>
      <c r="AU113">
        <v>800</v>
      </c>
      <c r="AV113">
        <v>800</v>
      </c>
    </row>
    <row r="114" spans="2:48" x14ac:dyDescent="0.2">
      <c r="B114">
        <v>70000</v>
      </c>
      <c r="C114">
        <v>1235.8499999999999</v>
      </c>
      <c r="D114">
        <v>-2254.52</v>
      </c>
      <c r="E114">
        <v>49246.5</v>
      </c>
      <c r="F114">
        <v>1212.8900000000001</v>
      </c>
      <c r="G114">
        <v>0</v>
      </c>
      <c r="H114">
        <v>0</v>
      </c>
      <c r="I114">
        <v>800</v>
      </c>
      <c r="J114">
        <v>800</v>
      </c>
      <c r="AC114">
        <v>70000</v>
      </c>
      <c r="AD114">
        <v>1272.4100000000001</v>
      </c>
      <c r="AE114">
        <v>-2203.5700000000002</v>
      </c>
      <c r="AF114">
        <v>53698.9</v>
      </c>
      <c r="AG114">
        <v>-234.26</v>
      </c>
      <c r="AH114">
        <v>0</v>
      </c>
      <c r="AI114">
        <v>0</v>
      </c>
      <c r="AJ114">
        <v>800</v>
      </c>
      <c r="AK114">
        <v>800</v>
      </c>
      <c r="AL114">
        <v>-5465.35</v>
      </c>
      <c r="AN114">
        <v>70000</v>
      </c>
      <c r="AO114">
        <v>1242.54</v>
      </c>
      <c r="AP114">
        <v>-2201.91</v>
      </c>
      <c r="AQ114">
        <v>54923.9</v>
      </c>
      <c r="AR114">
        <v>-1498.32</v>
      </c>
      <c r="AS114">
        <v>0</v>
      </c>
      <c r="AT114">
        <v>0</v>
      </c>
      <c r="AU114">
        <v>800</v>
      </c>
      <c r="AV114">
        <v>800</v>
      </c>
    </row>
    <row r="115" spans="2:48" x14ac:dyDescent="0.2">
      <c r="B115">
        <v>71000</v>
      </c>
      <c r="C115">
        <v>1220.5</v>
      </c>
      <c r="D115">
        <v>-2255.16</v>
      </c>
      <c r="E115">
        <v>49295.6</v>
      </c>
      <c r="F115">
        <v>648.88499999999999</v>
      </c>
      <c r="G115">
        <v>0</v>
      </c>
      <c r="H115">
        <v>0</v>
      </c>
      <c r="I115">
        <v>800</v>
      </c>
      <c r="J115">
        <v>800</v>
      </c>
      <c r="AC115">
        <v>71000</v>
      </c>
      <c r="AD115">
        <v>1270.77</v>
      </c>
      <c r="AE115">
        <v>-2208.17</v>
      </c>
      <c r="AF115">
        <v>53481.7</v>
      </c>
      <c r="AG115">
        <v>26.2498</v>
      </c>
      <c r="AH115">
        <v>0</v>
      </c>
      <c r="AI115">
        <v>0</v>
      </c>
      <c r="AJ115">
        <v>800</v>
      </c>
      <c r="AK115">
        <v>800</v>
      </c>
      <c r="AL115">
        <v>-5219.34</v>
      </c>
      <c r="AN115">
        <v>71000</v>
      </c>
      <c r="AO115">
        <v>1287.1099999999999</v>
      </c>
      <c r="AP115">
        <v>-2199.89</v>
      </c>
      <c r="AQ115">
        <v>54421.4</v>
      </c>
      <c r="AR115">
        <v>-609.10299999999995</v>
      </c>
      <c r="AS115">
        <v>0</v>
      </c>
      <c r="AT115">
        <v>0</v>
      </c>
      <c r="AU115">
        <v>800</v>
      </c>
      <c r="AV115">
        <v>800</v>
      </c>
    </row>
    <row r="116" spans="2:48" x14ac:dyDescent="0.2">
      <c r="B116">
        <v>72000</v>
      </c>
      <c r="C116">
        <v>1201.31</v>
      </c>
      <c r="D116">
        <v>-2259.86</v>
      </c>
      <c r="E116">
        <v>49476.1</v>
      </c>
      <c r="F116">
        <v>1230.0999999999999</v>
      </c>
      <c r="G116">
        <v>0</v>
      </c>
      <c r="H116">
        <v>0</v>
      </c>
      <c r="I116">
        <v>800</v>
      </c>
      <c r="J116">
        <v>800</v>
      </c>
      <c r="AC116">
        <v>72000</v>
      </c>
      <c r="AD116">
        <v>1291.49</v>
      </c>
      <c r="AE116">
        <v>-2206.67</v>
      </c>
      <c r="AF116">
        <v>53366.8</v>
      </c>
      <c r="AG116">
        <v>349.94799999999998</v>
      </c>
      <c r="AH116">
        <v>0</v>
      </c>
      <c r="AI116">
        <v>0</v>
      </c>
      <c r="AJ116">
        <v>800</v>
      </c>
      <c r="AK116">
        <v>800</v>
      </c>
      <c r="AL116">
        <v>-4992.62</v>
      </c>
      <c r="AN116">
        <v>72000</v>
      </c>
      <c r="AO116">
        <v>1315.13</v>
      </c>
      <c r="AP116">
        <v>-2201.52</v>
      </c>
      <c r="AQ116">
        <v>53940.2</v>
      </c>
      <c r="AR116">
        <v>649.01099999999997</v>
      </c>
      <c r="AS116">
        <v>0</v>
      </c>
      <c r="AT116">
        <v>0</v>
      </c>
      <c r="AU116">
        <v>800</v>
      </c>
      <c r="AV116">
        <v>800</v>
      </c>
    </row>
    <row r="117" spans="2:48" x14ac:dyDescent="0.2">
      <c r="B117">
        <v>73000</v>
      </c>
      <c r="C117">
        <v>1196.6099999999999</v>
      </c>
      <c r="D117">
        <v>-2258.46</v>
      </c>
      <c r="E117">
        <v>49793.599999999999</v>
      </c>
      <c r="F117">
        <v>-2019.65</v>
      </c>
      <c r="G117">
        <v>0</v>
      </c>
      <c r="H117">
        <v>0</v>
      </c>
      <c r="I117">
        <v>800</v>
      </c>
      <c r="J117">
        <v>800</v>
      </c>
      <c r="AC117">
        <v>73000</v>
      </c>
      <c r="AD117">
        <v>1305.19</v>
      </c>
      <c r="AE117">
        <v>-2203.39</v>
      </c>
      <c r="AF117">
        <v>53417.5</v>
      </c>
      <c r="AG117">
        <v>601.87599999999998</v>
      </c>
      <c r="AH117">
        <v>0</v>
      </c>
      <c r="AI117">
        <v>0</v>
      </c>
      <c r="AJ117">
        <v>800</v>
      </c>
      <c r="AK117">
        <v>800</v>
      </c>
      <c r="AL117">
        <v>-4792.28</v>
      </c>
      <c r="AN117">
        <v>73000</v>
      </c>
      <c r="AO117">
        <v>1314.79</v>
      </c>
      <c r="AP117">
        <v>-2195.36</v>
      </c>
      <c r="AQ117">
        <v>53605.8</v>
      </c>
      <c r="AR117">
        <v>760.10199999999998</v>
      </c>
      <c r="AS117">
        <v>0</v>
      </c>
      <c r="AT117">
        <v>0</v>
      </c>
      <c r="AU117">
        <v>800</v>
      </c>
      <c r="AV117">
        <v>800</v>
      </c>
    </row>
    <row r="118" spans="2:48" x14ac:dyDescent="0.2">
      <c r="B118">
        <v>74000</v>
      </c>
      <c r="C118">
        <v>1237.95</v>
      </c>
      <c r="D118">
        <v>-2255.81</v>
      </c>
      <c r="E118">
        <v>49755</v>
      </c>
      <c r="F118">
        <v>1584.2</v>
      </c>
      <c r="G118">
        <v>0</v>
      </c>
      <c r="H118">
        <v>0</v>
      </c>
      <c r="I118">
        <v>800</v>
      </c>
      <c r="J118">
        <v>800</v>
      </c>
      <c r="AC118">
        <v>74000</v>
      </c>
      <c r="AD118">
        <v>1327.28</v>
      </c>
      <c r="AE118">
        <v>-2201.2600000000002</v>
      </c>
      <c r="AF118">
        <v>53656.5</v>
      </c>
      <c r="AG118">
        <v>159.09299999999999</v>
      </c>
      <c r="AH118">
        <v>0</v>
      </c>
      <c r="AI118">
        <v>0</v>
      </c>
      <c r="AJ118">
        <v>800</v>
      </c>
      <c r="AK118">
        <v>800</v>
      </c>
      <c r="AL118">
        <v>-5301.91</v>
      </c>
      <c r="AN118">
        <v>74000</v>
      </c>
      <c r="AO118">
        <v>1328.85</v>
      </c>
      <c r="AP118">
        <v>-2204.91</v>
      </c>
      <c r="AQ118">
        <v>53476</v>
      </c>
      <c r="AR118">
        <v>-187.19499999999999</v>
      </c>
      <c r="AS118">
        <v>0</v>
      </c>
      <c r="AT118">
        <v>0</v>
      </c>
      <c r="AU118">
        <v>800</v>
      </c>
      <c r="AV118">
        <v>800</v>
      </c>
    </row>
    <row r="119" spans="2:48" x14ac:dyDescent="0.2">
      <c r="B119">
        <v>75000</v>
      </c>
      <c r="C119">
        <v>1213.08</v>
      </c>
      <c r="D119">
        <v>-2256.1999999999998</v>
      </c>
      <c r="E119">
        <v>49660.3</v>
      </c>
      <c r="F119">
        <v>88.188199999999995</v>
      </c>
      <c r="G119">
        <v>0</v>
      </c>
      <c r="H119">
        <v>0</v>
      </c>
      <c r="I119">
        <v>800</v>
      </c>
      <c r="J119">
        <v>800</v>
      </c>
      <c r="AC119">
        <v>75000</v>
      </c>
      <c r="AD119">
        <v>1308.1099999999999</v>
      </c>
      <c r="AE119">
        <v>-2193.04</v>
      </c>
      <c r="AF119">
        <v>54007.6</v>
      </c>
      <c r="AG119">
        <v>-553.649</v>
      </c>
      <c r="AH119">
        <v>0</v>
      </c>
      <c r="AI119">
        <v>0</v>
      </c>
      <c r="AJ119">
        <v>800</v>
      </c>
      <c r="AK119">
        <v>800</v>
      </c>
      <c r="AL119">
        <v>-5900.79</v>
      </c>
      <c r="AN119">
        <v>75000</v>
      </c>
      <c r="AO119">
        <v>1312.3</v>
      </c>
      <c r="AP119">
        <v>-2205.62</v>
      </c>
      <c r="AQ119">
        <v>53440.4</v>
      </c>
      <c r="AR119">
        <v>308.11399999999998</v>
      </c>
      <c r="AS119">
        <v>0</v>
      </c>
      <c r="AT119">
        <v>0</v>
      </c>
      <c r="AU119">
        <v>800</v>
      </c>
      <c r="AV119">
        <v>800</v>
      </c>
    </row>
    <row r="120" spans="2:48" x14ac:dyDescent="0.2">
      <c r="B120">
        <v>76000</v>
      </c>
      <c r="C120">
        <v>1200.6199999999999</v>
      </c>
      <c r="D120">
        <v>-2265.31</v>
      </c>
      <c r="E120">
        <v>49547.3</v>
      </c>
      <c r="F120">
        <v>893.41099999999994</v>
      </c>
      <c r="G120">
        <v>0</v>
      </c>
      <c r="H120">
        <v>0</v>
      </c>
      <c r="I120">
        <v>800</v>
      </c>
      <c r="J120">
        <v>800</v>
      </c>
      <c r="AC120">
        <v>76000</v>
      </c>
      <c r="AD120">
        <v>1318.22</v>
      </c>
      <c r="AE120">
        <v>-2194.5100000000002</v>
      </c>
      <c r="AF120">
        <v>54260.7</v>
      </c>
      <c r="AG120">
        <v>-358.87599999999998</v>
      </c>
      <c r="AH120">
        <v>0</v>
      </c>
      <c r="AI120">
        <v>0</v>
      </c>
      <c r="AJ120">
        <v>800</v>
      </c>
      <c r="AK120">
        <v>800</v>
      </c>
      <c r="AL120">
        <v>-5722.2</v>
      </c>
      <c r="AN120">
        <v>76000</v>
      </c>
      <c r="AO120">
        <v>1328.79</v>
      </c>
      <c r="AP120">
        <v>-2207.5</v>
      </c>
      <c r="AQ120">
        <v>53469.2</v>
      </c>
      <c r="AR120">
        <v>701.43700000000001</v>
      </c>
      <c r="AS120">
        <v>0</v>
      </c>
      <c r="AT120">
        <v>0</v>
      </c>
      <c r="AU120">
        <v>800</v>
      </c>
      <c r="AV120">
        <v>800</v>
      </c>
    </row>
    <row r="121" spans="2:48" x14ac:dyDescent="0.2">
      <c r="B121">
        <v>77000</v>
      </c>
      <c r="C121">
        <v>1201.8399999999999</v>
      </c>
      <c r="D121">
        <v>-2258.44</v>
      </c>
      <c r="E121">
        <v>49530.2</v>
      </c>
      <c r="F121">
        <v>-35.027500000000003</v>
      </c>
      <c r="G121">
        <v>0</v>
      </c>
      <c r="H121">
        <v>0</v>
      </c>
      <c r="I121">
        <v>800</v>
      </c>
      <c r="J121">
        <v>800</v>
      </c>
      <c r="AC121">
        <v>77000</v>
      </c>
      <c r="AD121">
        <v>1300.08</v>
      </c>
      <c r="AE121">
        <v>-2190.5700000000002</v>
      </c>
      <c r="AF121">
        <v>54330.1</v>
      </c>
      <c r="AG121">
        <v>-338.99099999999999</v>
      </c>
      <c r="AH121">
        <v>0</v>
      </c>
      <c r="AI121">
        <v>0</v>
      </c>
      <c r="AJ121">
        <v>800</v>
      </c>
      <c r="AK121">
        <v>800</v>
      </c>
      <c r="AL121">
        <v>-5621.76</v>
      </c>
      <c r="AN121">
        <v>77000</v>
      </c>
      <c r="AO121">
        <v>1298.3499999999999</v>
      </c>
      <c r="AP121">
        <v>-2200.62</v>
      </c>
      <c r="AQ121">
        <v>53542.3</v>
      </c>
      <c r="AR121">
        <v>127.17700000000001</v>
      </c>
      <c r="AS121">
        <v>0</v>
      </c>
      <c r="AT121">
        <v>0</v>
      </c>
      <c r="AU121">
        <v>800</v>
      </c>
      <c r="AV121">
        <v>800</v>
      </c>
    </row>
    <row r="122" spans="2:48" x14ac:dyDescent="0.2">
      <c r="B122">
        <v>78000</v>
      </c>
      <c r="C122">
        <v>1183.56</v>
      </c>
      <c r="D122">
        <v>-2264.7199999999998</v>
      </c>
      <c r="E122">
        <v>49547</v>
      </c>
      <c r="F122">
        <v>-1640.87</v>
      </c>
      <c r="G122">
        <v>0</v>
      </c>
      <c r="H122">
        <v>0</v>
      </c>
      <c r="I122">
        <v>800</v>
      </c>
      <c r="J122">
        <v>800</v>
      </c>
      <c r="AC122">
        <v>78000</v>
      </c>
      <c r="AD122">
        <v>1289.92</v>
      </c>
      <c r="AE122">
        <v>-2199.1</v>
      </c>
      <c r="AF122">
        <v>54351.199999999997</v>
      </c>
      <c r="AG122">
        <v>-552.56100000000004</v>
      </c>
      <c r="AH122">
        <v>0</v>
      </c>
      <c r="AI122">
        <v>0</v>
      </c>
      <c r="AJ122">
        <v>800</v>
      </c>
      <c r="AK122">
        <v>800</v>
      </c>
      <c r="AL122">
        <v>-5792</v>
      </c>
      <c r="AN122">
        <v>78000</v>
      </c>
      <c r="AO122">
        <v>1289.96</v>
      </c>
      <c r="AP122">
        <v>-2189.7199999999998</v>
      </c>
      <c r="AQ122">
        <v>53573.2</v>
      </c>
      <c r="AR122">
        <v>305.75</v>
      </c>
      <c r="AS122">
        <v>0</v>
      </c>
      <c r="AT122">
        <v>0</v>
      </c>
      <c r="AU122">
        <v>800</v>
      </c>
      <c r="AV122">
        <v>800</v>
      </c>
    </row>
    <row r="123" spans="2:48" x14ac:dyDescent="0.2">
      <c r="B123">
        <v>79000</v>
      </c>
      <c r="C123">
        <v>1183.25</v>
      </c>
      <c r="D123">
        <v>-2261.17</v>
      </c>
      <c r="E123">
        <v>49391</v>
      </c>
      <c r="F123">
        <v>-123.54</v>
      </c>
      <c r="G123">
        <v>0</v>
      </c>
      <c r="H123">
        <v>0</v>
      </c>
      <c r="I123">
        <v>800</v>
      </c>
      <c r="J123">
        <v>800</v>
      </c>
      <c r="AC123">
        <v>79000</v>
      </c>
      <c r="AD123">
        <v>1328.4</v>
      </c>
      <c r="AE123">
        <v>-2192.62</v>
      </c>
      <c r="AF123">
        <v>54300.800000000003</v>
      </c>
      <c r="AG123">
        <v>393.61799999999999</v>
      </c>
      <c r="AH123">
        <v>0</v>
      </c>
      <c r="AI123">
        <v>0</v>
      </c>
      <c r="AJ123">
        <v>800</v>
      </c>
      <c r="AK123">
        <v>800</v>
      </c>
      <c r="AL123">
        <v>-5007.13</v>
      </c>
      <c r="AN123">
        <v>79000</v>
      </c>
      <c r="AO123">
        <v>1275.01</v>
      </c>
      <c r="AP123">
        <v>-2203.92</v>
      </c>
      <c r="AQ123">
        <v>53629.2</v>
      </c>
      <c r="AR123">
        <v>90.581800000000001</v>
      </c>
      <c r="AS123">
        <v>0</v>
      </c>
      <c r="AT123">
        <v>0</v>
      </c>
      <c r="AU123">
        <v>800</v>
      </c>
      <c r="AV123">
        <v>800</v>
      </c>
    </row>
    <row r="124" spans="2:48" x14ac:dyDescent="0.2">
      <c r="B124">
        <v>80000</v>
      </c>
      <c r="C124">
        <v>1184.23</v>
      </c>
      <c r="D124">
        <v>-2263.12</v>
      </c>
      <c r="E124">
        <v>49352.800000000003</v>
      </c>
      <c r="F124">
        <v>1341.38</v>
      </c>
      <c r="G124">
        <v>0</v>
      </c>
      <c r="H124">
        <v>0</v>
      </c>
      <c r="I124">
        <v>800</v>
      </c>
      <c r="J124">
        <v>800</v>
      </c>
      <c r="AC124">
        <v>80000</v>
      </c>
      <c r="AD124">
        <v>1306.68</v>
      </c>
      <c r="AE124">
        <v>-2196.13</v>
      </c>
      <c r="AF124">
        <v>54245.5</v>
      </c>
      <c r="AG124">
        <v>-148.00700000000001</v>
      </c>
      <c r="AH124">
        <v>0</v>
      </c>
      <c r="AI124">
        <v>0</v>
      </c>
      <c r="AJ124">
        <v>800</v>
      </c>
      <c r="AK124">
        <v>800</v>
      </c>
      <c r="AL124">
        <v>-5465.87</v>
      </c>
      <c r="AN124">
        <v>80000</v>
      </c>
      <c r="AO124">
        <v>1301.04</v>
      </c>
      <c r="AP124">
        <v>-2201.71</v>
      </c>
      <c r="AQ124">
        <v>53705</v>
      </c>
      <c r="AR124">
        <v>473.447</v>
      </c>
      <c r="AS124">
        <v>0</v>
      </c>
      <c r="AT124">
        <v>0</v>
      </c>
      <c r="AU124">
        <v>800</v>
      </c>
      <c r="AV124">
        <v>800</v>
      </c>
    </row>
    <row r="125" spans="2:48" x14ac:dyDescent="0.2">
      <c r="B125">
        <v>81000</v>
      </c>
      <c r="C125">
        <v>1218.45</v>
      </c>
      <c r="D125">
        <v>-2260.39</v>
      </c>
      <c r="E125">
        <v>49553.9</v>
      </c>
      <c r="F125">
        <v>-451.16399999999999</v>
      </c>
      <c r="G125">
        <v>0</v>
      </c>
      <c r="H125">
        <v>0</v>
      </c>
      <c r="I125">
        <v>800</v>
      </c>
      <c r="J125">
        <v>800</v>
      </c>
      <c r="AC125">
        <v>81000</v>
      </c>
      <c r="AD125">
        <v>1322.14</v>
      </c>
      <c r="AE125">
        <v>-2199.1</v>
      </c>
      <c r="AF125">
        <v>54170.9</v>
      </c>
      <c r="AG125">
        <v>44.823300000000003</v>
      </c>
      <c r="AH125">
        <v>0</v>
      </c>
      <c r="AI125">
        <v>0</v>
      </c>
      <c r="AJ125">
        <v>800</v>
      </c>
      <c r="AK125">
        <v>800</v>
      </c>
      <c r="AL125">
        <v>-5343.38</v>
      </c>
      <c r="AN125">
        <v>81000</v>
      </c>
      <c r="AO125">
        <v>1245.31</v>
      </c>
      <c r="AP125">
        <v>-2207.98</v>
      </c>
      <c r="AQ125">
        <v>53823</v>
      </c>
      <c r="AR125">
        <v>365.59100000000001</v>
      </c>
      <c r="AS125">
        <v>0</v>
      </c>
      <c r="AT125">
        <v>0</v>
      </c>
      <c r="AU125">
        <v>800</v>
      </c>
      <c r="AV125">
        <v>800</v>
      </c>
    </row>
    <row r="126" spans="2:48" x14ac:dyDescent="0.2">
      <c r="B126">
        <v>82000</v>
      </c>
      <c r="C126">
        <v>1185.8900000000001</v>
      </c>
      <c r="D126">
        <v>-2251.38</v>
      </c>
      <c r="E126">
        <v>49812.4</v>
      </c>
      <c r="F126">
        <v>-231.57</v>
      </c>
      <c r="G126">
        <v>0</v>
      </c>
      <c r="H126">
        <v>0</v>
      </c>
      <c r="I126">
        <v>800</v>
      </c>
      <c r="J126">
        <v>800</v>
      </c>
      <c r="AC126">
        <v>82000</v>
      </c>
      <c r="AD126">
        <v>1312.99</v>
      </c>
      <c r="AE126">
        <v>-2198.5100000000002</v>
      </c>
      <c r="AF126">
        <v>54065</v>
      </c>
      <c r="AG126">
        <v>-289.62700000000001</v>
      </c>
      <c r="AH126">
        <v>0</v>
      </c>
      <c r="AI126">
        <v>0</v>
      </c>
      <c r="AJ126">
        <v>800</v>
      </c>
      <c r="AK126">
        <v>800</v>
      </c>
      <c r="AL126">
        <v>-5651.04</v>
      </c>
      <c r="AN126">
        <v>82000</v>
      </c>
      <c r="AO126">
        <v>1312.97</v>
      </c>
      <c r="AP126">
        <v>-2200.14</v>
      </c>
      <c r="AQ126">
        <v>53992.800000000003</v>
      </c>
      <c r="AR126">
        <v>1044.81</v>
      </c>
      <c r="AS126">
        <v>0</v>
      </c>
      <c r="AT126">
        <v>0</v>
      </c>
      <c r="AU126">
        <v>800</v>
      </c>
      <c r="AV126">
        <v>800</v>
      </c>
    </row>
    <row r="127" spans="2:48" x14ac:dyDescent="0.2">
      <c r="B127">
        <v>83000</v>
      </c>
      <c r="C127">
        <v>1191.6099999999999</v>
      </c>
      <c r="D127">
        <v>-2253.81</v>
      </c>
      <c r="E127">
        <v>50025.8</v>
      </c>
      <c r="F127">
        <v>-41.743299999999998</v>
      </c>
      <c r="G127">
        <v>0</v>
      </c>
      <c r="H127">
        <v>0</v>
      </c>
      <c r="I127">
        <v>800</v>
      </c>
      <c r="J127">
        <v>800</v>
      </c>
      <c r="AC127">
        <v>83000</v>
      </c>
      <c r="AD127">
        <v>1265.67</v>
      </c>
      <c r="AE127">
        <v>-2202.75</v>
      </c>
      <c r="AF127">
        <v>53905</v>
      </c>
      <c r="AG127">
        <v>-260.24200000000002</v>
      </c>
      <c r="AH127">
        <v>0</v>
      </c>
      <c r="AI127">
        <v>0</v>
      </c>
      <c r="AJ127">
        <v>800</v>
      </c>
      <c r="AK127">
        <v>800</v>
      </c>
      <c r="AL127">
        <v>-5443.76</v>
      </c>
      <c r="AN127">
        <v>83000</v>
      </c>
      <c r="AO127">
        <v>1343.11</v>
      </c>
      <c r="AP127">
        <v>-2193.91</v>
      </c>
      <c r="AQ127">
        <v>54122.7</v>
      </c>
      <c r="AR127">
        <v>267.34500000000003</v>
      </c>
      <c r="AS127">
        <v>0</v>
      </c>
      <c r="AT127">
        <v>0</v>
      </c>
      <c r="AU127">
        <v>800</v>
      </c>
      <c r="AV127">
        <v>800</v>
      </c>
    </row>
    <row r="128" spans="2:48" x14ac:dyDescent="0.2">
      <c r="B128">
        <v>84000</v>
      </c>
      <c r="C128">
        <v>1197.6199999999999</v>
      </c>
      <c r="D128">
        <v>-2250.06</v>
      </c>
      <c r="E128">
        <v>50082.5</v>
      </c>
      <c r="F128">
        <v>-680.423</v>
      </c>
      <c r="G128">
        <v>0</v>
      </c>
      <c r="H128">
        <v>0</v>
      </c>
      <c r="I128">
        <v>800</v>
      </c>
      <c r="J128">
        <v>800</v>
      </c>
      <c r="AC128">
        <v>84000</v>
      </c>
      <c r="AD128">
        <v>1297.92</v>
      </c>
      <c r="AE128">
        <v>-2202.15</v>
      </c>
      <c r="AF128">
        <v>53695.3</v>
      </c>
      <c r="AG128">
        <v>300.55099999999999</v>
      </c>
      <c r="AH128">
        <v>0</v>
      </c>
      <c r="AI128">
        <v>0</v>
      </c>
      <c r="AJ128">
        <v>800</v>
      </c>
      <c r="AK128">
        <v>800</v>
      </c>
      <c r="AL128">
        <v>-5035.8100000000004</v>
      </c>
      <c r="AN128">
        <v>84000</v>
      </c>
      <c r="AO128">
        <v>1289.08</v>
      </c>
      <c r="AP128">
        <v>-2194.88</v>
      </c>
      <c r="AQ128">
        <v>54263.199999999997</v>
      </c>
      <c r="AR128">
        <v>-564.91200000000003</v>
      </c>
      <c r="AS128">
        <v>0</v>
      </c>
      <c r="AT128">
        <v>0</v>
      </c>
      <c r="AU128">
        <v>800</v>
      </c>
      <c r="AV128">
        <v>800</v>
      </c>
    </row>
    <row r="129" spans="2:48" x14ac:dyDescent="0.2">
      <c r="B129">
        <v>85000</v>
      </c>
      <c r="C129">
        <v>1174.6600000000001</v>
      </c>
      <c r="D129">
        <v>-2260.65</v>
      </c>
      <c r="E129">
        <v>49843.199999999997</v>
      </c>
      <c r="F129">
        <v>-1239.96</v>
      </c>
      <c r="G129">
        <v>0</v>
      </c>
      <c r="H129">
        <v>0</v>
      </c>
      <c r="I129">
        <v>800</v>
      </c>
      <c r="J129">
        <v>800</v>
      </c>
      <c r="AN129">
        <v>85000</v>
      </c>
      <c r="AO129">
        <v>1319.18</v>
      </c>
      <c r="AP129">
        <v>-2200.02</v>
      </c>
      <c r="AQ129">
        <v>54286.6</v>
      </c>
      <c r="AR129">
        <v>-91.707899999999995</v>
      </c>
      <c r="AS129">
        <v>0</v>
      </c>
      <c r="AT129">
        <v>0</v>
      </c>
      <c r="AU129">
        <v>800</v>
      </c>
      <c r="AV129">
        <v>800</v>
      </c>
    </row>
    <row r="130" spans="2:48" x14ac:dyDescent="0.2">
      <c r="B130">
        <v>86000</v>
      </c>
      <c r="C130">
        <v>1163.1199999999999</v>
      </c>
      <c r="D130">
        <v>-2262.2199999999998</v>
      </c>
      <c r="E130">
        <v>49410.2</v>
      </c>
      <c r="F130">
        <v>829.85199999999998</v>
      </c>
      <c r="G130">
        <v>0</v>
      </c>
      <c r="H130">
        <v>0</v>
      </c>
      <c r="I130">
        <v>800</v>
      </c>
      <c r="J130">
        <v>800</v>
      </c>
      <c r="AN130">
        <v>86000</v>
      </c>
      <c r="AO130">
        <v>1324.07</v>
      </c>
      <c r="AP130">
        <v>-2193.5700000000002</v>
      </c>
      <c r="AQ130">
        <v>54159.9</v>
      </c>
      <c r="AR130">
        <v>8.28444</v>
      </c>
      <c r="AS130">
        <v>0</v>
      </c>
      <c r="AT130">
        <v>0</v>
      </c>
      <c r="AU130">
        <v>800</v>
      </c>
      <c r="AV130">
        <v>800</v>
      </c>
    </row>
    <row r="131" spans="2:48" x14ac:dyDescent="0.2">
      <c r="B131">
        <v>87000</v>
      </c>
      <c r="C131">
        <v>1199.05</v>
      </c>
      <c r="D131">
        <v>-2266.7600000000002</v>
      </c>
      <c r="E131">
        <v>49072.5</v>
      </c>
      <c r="F131">
        <v>1502.88</v>
      </c>
      <c r="G131">
        <v>0</v>
      </c>
      <c r="H131">
        <v>0</v>
      </c>
      <c r="I131">
        <v>800</v>
      </c>
      <c r="J131">
        <v>800</v>
      </c>
      <c r="AN131">
        <v>87000</v>
      </c>
      <c r="AO131">
        <v>1274.42</v>
      </c>
      <c r="AP131">
        <v>-2203.1799999999998</v>
      </c>
      <c r="AQ131">
        <v>53916.3</v>
      </c>
      <c r="AR131">
        <v>86.226799999999997</v>
      </c>
      <c r="AS131">
        <v>0</v>
      </c>
      <c r="AT131">
        <v>0</v>
      </c>
      <c r="AU131">
        <v>800</v>
      </c>
      <c r="AV131">
        <v>800</v>
      </c>
    </row>
    <row r="132" spans="2:48" x14ac:dyDescent="0.2">
      <c r="B132">
        <v>88000</v>
      </c>
      <c r="C132">
        <v>1210.3</v>
      </c>
      <c r="D132">
        <v>-2259.94</v>
      </c>
      <c r="E132">
        <v>49090.2</v>
      </c>
      <c r="F132">
        <v>381.82799999999997</v>
      </c>
      <c r="G132">
        <v>0</v>
      </c>
      <c r="H132">
        <v>0</v>
      </c>
      <c r="I132">
        <v>800</v>
      </c>
      <c r="J132">
        <v>800</v>
      </c>
      <c r="AN132">
        <v>88000</v>
      </c>
      <c r="AO132">
        <v>1291</v>
      </c>
      <c r="AP132">
        <v>-2202.83</v>
      </c>
      <c r="AQ132">
        <v>53679.199999999997</v>
      </c>
      <c r="AR132">
        <v>-371.85</v>
      </c>
      <c r="AS132">
        <v>0</v>
      </c>
      <c r="AT132">
        <v>0</v>
      </c>
      <c r="AU132">
        <v>800</v>
      </c>
      <c r="AV132">
        <v>800</v>
      </c>
    </row>
    <row r="133" spans="2:48" x14ac:dyDescent="0.2">
      <c r="B133">
        <v>89000</v>
      </c>
      <c r="C133">
        <v>1245.68</v>
      </c>
      <c r="D133">
        <v>-2260.2199999999998</v>
      </c>
      <c r="E133">
        <v>49321.3</v>
      </c>
      <c r="F133">
        <v>108.075</v>
      </c>
      <c r="G133">
        <v>0</v>
      </c>
      <c r="H133">
        <v>0</v>
      </c>
      <c r="I133">
        <v>800</v>
      </c>
      <c r="J133">
        <v>800</v>
      </c>
      <c r="AN133">
        <v>89000</v>
      </c>
      <c r="AO133">
        <v>1277.2</v>
      </c>
      <c r="AP133">
        <v>-2205.5100000000002</v>
      </c>
      <c r="AQ133">
        <v>53501.2</v>
      </c>
      <c r="AR133">
        <v>-999.45699999999999</v>
      </c>
      <c r="AS133">
        <v>0</v>
      </c>
      <c r="AT133">
        <v>0</v>
      </c>
      <c r="AU133">
        <v>800</v>
      </c>
      <c r="AV133">
        <v>800</v>
      </c>
    </row>
    <row r="134" spans="2:48" x14ac:dyDescent="0.2">
      <c r="B134">
        <v>90000</v>
      </c>
      <c r="C134">
        <v>1219.51</v>
      </c>
      <c r="D134">
        <v>-2256.25</v>
      </c>
      <c r="E134">
        <v>49614</v>
      </c>
      <c r="F134">
        <v>-10.071199999999999</v>
      </c>
      <c r="G134">
        <v>0</v>
      </c>
      <c r="H134">
        <v>0</v>
      </c>
      <c r="I134">
        <v>800</v>
      </c>
      <c r="J134">
        <v>800</v>
      </c>
      <c r="AN134">
        <v>90000</v>
      </c>
      <c r="AO134">
        <v>1270.18</v>
      </c>
      <c r="AP134">
        <v>-2202.9699999999998</v>
      </c>
      <c r="AQ134">
        <v>53357.7</v>
      </c>
      <c r="AR134">
        <v>403.00299999999999</v>
      </c>
      <c r="AS134">
        <v>0</v>
      </c>
      <c r="AT134">
        <v>0</v>
      </c>
      <c r="AU134">
        <v>800</v>
      </c>
      <c r="AV134">
        <v>800</v>
      </c>
    </row>
    <row r="135" spans="2:48" x14ac:dyDescent="0.2">
      <c r="B135">
        <v>91000</v>
      </c>
      <c r="C135">
        <v>1205.5999999999999</v>
      </c>
      <c r="D135">
        <v>-2255.0700000000002</v>
      </c>
      <c r="E135">
        <v>49876.800000000003</v>
      </c>
      <c r="F135">
        <v>-1544.62</v>
      </c>
      <c r="G135">
        <v>0</v>
      </c>
      <c r="H135">
        <v>0</v>
      </c>
      <c r="I135">
        <v>800</v>
      </c>
      <c r="J135">
        <v>800</v>
      </c>
      <c r="AN135">
        <v>91000</v>
      </c>
      <c r="AO135">
        <v>1328.96</v>
      </c>
      <c r="AP135">
        <v>-2205.6799999999998</v>
      </c>
      <c r="AQ135">
        <v>53351.9</v>
      </c>
      <c r="AR135">
        <v>141.578</v>
      </c>
      <c r="AS135">
        <v>0</v>
      </c>
      <c r="AT135">
        <v>0</v>
      </c>
      <c r="AU135">
        <v>800</v>
      </c>
      <c r="AV135">
        <v>800</v>
      </c>
    </row>
    <row r="136" spans="2:48" x14ac:dyDescent="0.2">
      <c r="B136">
        <v>92000</v>
      </c>
      <c r="C136">
        <v>1213.6099999999999</v>
      </c>
      <c r="D136">
        <v>-2255.63</v>
      </c>
      <c r="E136">
        <v>49898.3</v>
      </c>
      <c r="F136">
        <v>755.51099999999997</v>
      </c>
      <c r="G136">
        <v>0</v>
      </c>
      <c r="H136">
        <v>0</v>
      </c>
      <c r="I136">
        <v>800</v>
      </c>
      <c r="J136">
        <v>800</v>
      </c>
      <c r="AN136">
        <v>92000</v>
      </c>
      <c r="AO136">
        <v>1319.75</v>
      </c>
      <c r="AP136">
        <v>-2212.46</v>
      </c>
      <c r="AQ136">
        <v>53483.199999999997</v>
      </c>
      <c r="AR136">
        <v>-178.54599999999999</v>
      </c>
      <c r="AS136">
        <v>0</v>
      </c>
      <c r="AT136">
        <v>0</v>
      </c>
      <c r="AU136">
        <v>800</v>
      </c>
      <c r="AV136">
        <v>800</v>
      </c>
    </row>
    <row r="137" spans="2:48" x14ac:dyDescent="0.2">
      <c r="B137">
        <v>93000</v>
      </c>
      <c r="C137">
        <v>1195.3900000000001</v>
      </c>
      <c r="D137">
        <v>-2252.6999999999998</v>
      </c>
      <c r="E137">
        <v>49737.7</v>
      </c>
      <c r="F137">
        <v>1047.51</v>
      </c>
      <c r="G137">
        <v>0</v>
      </c>
      <c r="H137">
        <v>0</v>
      </c>
      <c r="I137">
        <v>800</v>
      </c>
      <c r="J137">
        <v>800</v>
      </c>
      <c r="AN137">
        <v>93000</v>
      </c>
      <c r="AO137">
        <v>1285.24</v>
      </c>
      <c r="AP137">
        <v>-2200.92</v>
      </c>
      <c r="AQ137">
        <v>53686.7</v>
      </c>
      <c r="AR137">
        <v>567.351</v>
      </c>
      <c r="AS137">
        <v>0</v>
      </c>
      <c r="AT137">
        <v>0</v>
      </c>
      <c r="AU137">
        <v>800</v>
      </c>
      <c r="AV137">
        <v>800</v>
      </c>
    </row>
    <row r="138" spans="2:48" x14ac:dyDescent="0.2">
      <c r="B138">
        <v>94000</v>
      </c>
      <c r="C138">
        <v>1203.29</v>
      </c>
      <c r="D138">
        <v>-2255.86</v>
      </c>
      <c r="E138">
        <v>49638.3</v>
      </c>
      <c r="F138">
        <v>-1976.98</v>
      </c>
      <c r="G138">
        <v>0</v>
      </c>
      <c r="H138">
        <v>0</v>
      </c>
      <c r="I138">
        <v>800</v>
      </c>
      <c r="J138">
        <v>800</v>
      </c>
      <c r="AN138">
        <v>94000</v>
      </c>
      <c r="AO138">
        <v>1311.94</v>
      </c>
      <c r="AP138">
        <v>-2199.16</v>
      </c>
      <c r="AQ138">
        <v>53978.3</v>
      </c>
      <c r="AR138">
        <v>143.62799999999999</v>
      </c>
      <c r="AS138">
        <v>0</v>
      </c>
      <c r="AT138">
        <v>0</v>
      </c>
      <c r="AU138">
        <v>800</v>
      </c>
      <c r="AV138">
        <v>800</v>
      </c>
    </row>
    <row r="139" spans="2:48" x14ac:dyDescent="0.2">
      <c r="B139">
        <v>95000</v>
      </c>
      <c r="C139">
        <v>1219.94</v>
      </c>
      <c r="D139">
        <v>-2251.06</v>
      </c>
      <c r="E139">
        <v>49519.8</v>
      </c>
      <c r="F139">
        <v>52.7485</v>
      </c>
      <c r="G139">
        <v>0</v>
      </c>
      <c r="H139">
        <v>0</v>
      </c>
      <c r="I139">
        <v>800</v>
      </c>
      <c r="J139">
        <v>800</v>
      </c>
      <c r="AN139">
        <v>95000</v>
      </c>
      <c r="AO139">
        <v>1316.23</v>
      </c>
      <c r="AP139">
        <v>-2190.11</v>
      </c>
      <c r="AQ139">
        <v>54303.3</v>
      </c>
      <c r="AR139">
        <v>190.75399999999999</v>
      </c>
      <c r="AS139">
        <v>0</v>
      </c>
      <c r="AT139">
        <v>0</v>
      </c>
      <c r="AU139">
        <v>800</v>
      </c>
      <c r="AV139">
        <v>800</v>
      </c>
    </row>
    <row r="140" spans="2:48" x14ac:dyDescent="0.2">
      <c r="B140">
        <v>96000</v>
      </c>
      <c r="C140">
        <v>1188.43</v>
      </c>
      <c r="D140">
        <v>-2263.5</v>
      </c>
      <c r="E140">
        <v>49440.1</v>
      </c>
      <c r="F140">
        <v>923.69200000000001</v>
      </c>
      <c r="G140">
        <v>0</v>
      </c>
      <c r="H140">
        <v>0</v>
      </c>
      <c r="I140">
        <v>800</v>
      </c>
      <c r="J140">
        <v>800</v>
      </c>
      <c r="AN140">
        <v>96000</v>
      </c>
      <c r="AO140">
        <v>1282.82</v>
      </c>
      <c r="AP140">
        <v>-2191.23</v>
      </c>
      <c r="AQ140">
        <v>54600.4</v>
      </c>
      <c r="AR140">
        <v>169.173</v>
      </c>
      <c r="AS140">
        <v>0</v>
      </c>
      <c r="AT140">
        <v>0</v>
      </c>
      <c r="AU140">
        <v>800</v>
      </c>
      <c r="AV140">
        <v>800</v>
      </c>
    </row>
    <row r="141" spans="2:48" x14ac:dyDescent="0.2">
      <c r="B141">
        <v>97000</v>
      </c>
      <c r="C141">
        <v>1201.69</v>
      </c>
      <c r="D141">
        <v>-2258.7199999999998</v>
      </c>
      <c r="E141">
        <v>49525.599999999999</v>
      </c>
      <c r="F141">
        <v>1483.91</v>
      </c>
      <c r="G141">
        <v>0</v>
      </c>
      <c r="H141">
        <v>0</v>
      </c>
      <c r="I141">
        <v>800</v>
      </c>
      <c r="J141">
        <v>800</v>
      </c>
      <c r="AN141">
        <v>97000</v>
      </c>
      <c r="AO141">
        <v>1280.92</v>
      </c>
      <c r="AP141">
        <v>-2192.56</v>
      </c>
      <c r="AQ141">
        <v>54923.4</v>
      </c>
      <c r="AR141">
        <v>-72.642099999999999</v>
      </c>
      <c r="AS141">
        <v>0</v>
      </c>
      <c r="AT141">
        <v>0</v>
      </c>
      <c r="AU141">
        <v>800</v>
      </c>
      <c r="AV141">
        <v>800</v>
      </c>
    </row>
    <row r="142" spans="2:48" x14ac:dyDescent="0.2">
      <c r="B142">
        <v>98000</v>
      </c>
      <c r="C142">
        <v>1190.1300000000001</v>
      </c>
      <c r="D142">
        <v>-2260.4899999999998</v>
      </c>
      <c r="E142">
        <v>49761.3</v>
      </c>
      <c r="F142">
        <v>649.14700000000005</v>
      </c>
      <c r="G142">
        <v>0</v>
      </c>
      <c r="H142">
        <v>0</v>
      </c>
      <c r="I142">
        <v>800</v>
      </c>
      <c r="J142">
        <v>800</v>
      </c>
      <c r="AN142">
        <v>98000</v>
      </c>
      <c r="AO142">
        <v>1309.57</v>
      </c>
      <c r="AP142">
        <v>-2182.88</v>
      </c>
      <c r="AQ142">
        <v>55103.1</v>
      </c>
      <c r="AR142">
        <v>53.742199999999997</v>
      </c>
      <c r="AS142">
        <v>0</v>
      </c>
      <c r="AT142">
        <v>0</v>
      </c>
      <c r="AU142">
        <v>800</v>
      </c>
      <c r="AV142">
        <v>800</v>
      </c>
    </row>
    <row r="143" spans="2:48" x14ac:dyDescent="0.2">
      <c r="B143">
        <v>99000</v>
      </c>
      <c r="C143">
        <v>1180.28</v>
      </c>
      <c r="D143">
        <v>-2256.67</v>
      </c>
      <c r="E143">
        <v>50052.2</v>
      </c>
      <c r="F143">
        <v>-2895.13</v>
      </c>
      <c r="G143">
        <v>0</v>
      </c>
      <c r="H143">
        <v>0</v>
      </c>
      <c r="I143">
        <v>800</v>
      </c>
      <c r="J143">
        <v>800</v>
      </c>
      <c r="AN143">
        <v>99000</v>
      </c>
      <c r="AO143">
        <v>1273.6099999999999</v>
      </c>
      <c r="AP143">
        <v>-2192.38</v>
      </c>
      <c r="AQ143">
        <v>55058.8</v>
      </c>
      <c r="AR143">
        <v>-1063.83</v>
      </c>
      <c r="AS143">
        <v>0</v>
      </c>
      <c r="AT143">
        <v>0</v>
      </c>
      <c r="AU143">
        <v>800</v>
      </c>
      <c r="AV143">
        <v>800</v>
      </c>
    </row>
    <row r="144" spans="2:48" x14ac:dyDescent="0.2">
      <c r="B144">
        <v>100000</v>
      </c>
      <c r="C144">
        <v>1200.98</v>
      </c>
      <c r="D144">
        <v>-2255.15</v>
      </c>
      <c r="E144">
        <v>50030.400000000001</v>
      </c>
      <c r="F144">
        <v>-1436.8</v>
      </c>
      <c r="G144">
        <v>0</v>
      </c>
      <c r="H144">
        <v>0</v>
      </c>
      <c r="I144">
        <v>800</v>
      </c>
      <c r="J144">
        <v>800</v>
      </c>
      <c r="AN144">
        <v>100000</v>
      </c>
      <c r="AO144">
        <v>1327.31</v>
      </c>
      <c r="AP144">
        <v>-2190.02</v>
      </c>
      <c r="AQ144">
        <v>54808</v>
      </c>
      <c r="AR144">
        <v>-566.10299999999995</v>
      </c>
      <c r="AS144">
        <v>0</v>
      </c>
      <c r="AT144">
        <v>0</v>
      </c>
      <c r="AU144">
        <v>800</v>
      </c>
      <c r="AV144">
        <v>800</v>
      </c>
    </row>
    <row r="145" spans="2:48" x14ac:dyDescent="0.2">
      <c r="B145">
        <v>101000</v>
      </c>
      <c r="C145">
        <v>1172.74</v>
      </c>
      <c r="D145">
        <v>-2258.0500000000002</v>
      </c>
      <c r="E145">
        <v>49776.2</v>
      </c>
      <c r="F145">
        <v>-290.29700000000003</v>
      </c>
      <c r="G145">
        <v>0</v>
      </c>
      <c r="H145">
        <v>0</v>
      </c>
      <c r="I145">
        <v>800</v>
      </c>
      <c r="J145">
        <v>800</v>
      </c>
      <c r="AN145">
        <v>101000</v>
      </c>
      <c r="AO145">
        <v>1310.78</v>
      </c>
      <c r="AP145">
        <v>-2199.98</v>
      </c>
      <c r="AQ145">
        <v>54456.6</v>
      </c>
      <c r="AR145">
        <v>421.60300000000001</v>
      </c>
      <c r="AS145">
        <v>0</v>
      </c>
      <c r="AT145">
        <v>0</v>
      </c>
      <c r="AU145">
        <v>800</v>
      </c>
      <c r="AV145">
        <v>800</v>
      </c>
    </row>
    <row r="146" spans="2:48" x14ac:dyDescent="0.2">
      <c r="B146">
        <v>102000</v>
      </c>
      <c r="C146">
        <v>1178.6600000000001</v>
      </c>
      <c r="D146">
        <v>-2256.7199999999998</v>
      </c>
      <c r="E146">
        <v>49441.3</v>
      </c>
      <c r="F146">
        <v>-404.71800000000002</v>
      </c>
      <c r="G146">
        <v>0</v>
      </c>
      <c r="H146">
        <v>0</v>
      </c>
      <c r="I146">
        <v>800</v>
      </c>
      <c r="J146">
        <v>800</v>
      </c>
      <c r="AN146">
        <v>102000</v>
      </c>
      <c r="AO146">
        <v>1283.79</v>
      </c>
      <c r="AP146">
        <v>-2207.16</v>
      </c>
      <c r="AQ146">
        <v>54086.7</v>
      </c>
      <c r="AR146">
        <v>-221.62100000000001</v>
      </c>
      <c r="AS146">
        <v>0</v>
      </c>
      <c r="AT146">
        <v>0</v>
      </c>
      <c r="AU146">
        <v>800</v>
      </c>
      <c r="AV146">
        <v>800</v>
      </c>
    </row>
    <row r="147" spans="2:48" x14ac:dyDescent="0.2">
      <c r="B147">
        <v>103000</v>
      </c>
      <c r="C147">
        <v>1185.51</v>
      </c>
      <c r="D147">
        <v>-2260.46</v>
      </c>
      <c r="E147">
        <v>49274.7</v>
      </c>
      <c r="F147">
        <v>1543.45</v>
      </c>
      <c r="G147">
        <v>0</v>
      </c>
      <c r="H147">
        <v>0</v>
      </c>
      <c r="I147">
        <v>800</v>
      </c>
      <c r="J147">
        <v>800</v>
      </c>
      <c r="AN147">
        <v>103000</v>
      </c>
      <c r="AO147">
        <v>1304.69</v>
      </c>
      <c r="AP147">
        <v>-2205.9499999999998</v>
      </c>
      <c r="AQ147">
        <v>53716.5</v>
      </c>
      <c r="AR147">
        <v>-189.77699999999999</v>
      </c>
      <c r="AS147">
        <v>0</v>
      </c>
      <c r="AT147">
        <v>0</v>
      </c>
      <c r="AU147">
        <v>800</v>
      </c>
      <c r="AV147">
        <v>800</v>
      </c>
    </row>
    <row r="148" spans="2:48" x14ac:dyDescent="0.2">
      <c r="B148">
        <v>104000</v>
      </c>
      <c r="C148">
        <v>1225.08</v>
      </c>
      <c r="D148">
        <v>-2254.17</v>
      </c>
      <c r="E148">
        <v>49194.400000000001</v>
      </c>
      <c r="F148">
        <v>1472.91</v>
      </c>
      <c r="G148">
        <v>0</v>
      </c>
      <c r="H148">
        <v>0</v>
      </c>
      <c r="I148">
        <v>800</v>
      </c>
      <c r="J148">
        <v>800</v>
      </c>
      <c r="AN148">
        <v>104000</v>
      </c>
      <c r="AO148">
        <v>1267.19</v>
      </c>
      <c r="AP148">
        <v>-2194.5700000000002</v>
      </c>
      <c r="AQ148">
        <v>53409.7</v>
      </c>
      <c r="AR148">
        <v>727.13499999999999</v>
      </c>
      <c r="AS148">
        <v>0</v>
      </c>
      <c r="AT148">
        <v>0</v>
      </c>
      <c r="AU148">
        <v>800</v>
      </c>
      <c r="AV148">
        <v>800</v>
      </c>
    </row>
    <row r="149" spans="2:48" x14ac:dyDescent="0.2">
      <c r="B149">
        <v>105000</v>
      </c>
      <c r="C149">
        <v>1215.31</v>
      </c>
      <c r="D149">
        <v>-2264.1</v>
      </c>
      <c r="E149">
        <v>49314.3</v>
      </c>
      <c r="F149">
        <v>857.41600000000005</v>
      </c>
      <c r="G149">
        <v>0</v>
      </c>
      <c r="H149">
        <v>0</v>
      </c>
      <c r="I149">
        <v>800</v>
      </c>
      <c r="J149">
        <v>800</v>
      </c>
      <c r="AN149">
        <v>105000</v>
      </c>
      <c r="AO149">
        <v>1318.03</v>
      </c>
      <c r="AP149">
        <v>-2199.64</v>
      </c>
      <c r="AQ149">
        <v>53225.3</v>
      </c>
      <c r="AR149">
        <v>775.92100000000005</v>
      </c>
      <c r="AS149">
        <v>0</v>
      </c>
      <c r="AT149">
        <v>0</v>
      </c>
      <c r="AU149">
        <v>800</v>
      </c>
      <c r="AV149">
        <v>800</v>
      </c>
    </row>
    <row r="150" spans="2:48" x14ac:dyDescent="0.2">
      <c r="B150">
        <v>106000</v>
      </c>
      <c r="C150">
        <v>1216.57</v>
      </c>
      <c r="D150">
        <v>-2258.83</v>
      </c>
      <c r="E150">
        <v>49561.1</v>
      </c>
      <c r="F150">
        <v>-800.01</v>
      </c>
      <c r="G150">
        <v>0</v>
      </c>
      <c r="H150">
        <v>0</v>
      </c>
      <c r="I150">
        <v>800</v>
      </c>
      <c r="J150">
        <v>800</v>
      </c>
      <c r="AN150">
        <v>106000</v>
      </c>
      <c r="AO150">
        <v>1289.51</v>
      </c>
      <c r="AP150">
        <v>-2211.2600000000002</v>
      </c>
      <c r="AQ150">
        <v>53137.5</v>
      </c>
      <c r="AR150">
        <v>351.15800000000002</v>
      </c>
      <c r="AS150">
        <v>0</v>
      </c>
      <c r="AT150">
        <v>0</v>
      </c>
      <c r="AU150">
        <v>800</v>
      </c>
      <c r="AV150">
        <v>800</v>
      </c>
    </row>
    <row r="151" spans="2:48" x14ac:dyDescent="0.2">
      <c r="B151">
        <v>107000</v>
      </c>
      <c r="C151">
        <v>1212.76</v>
      </c>
      <c r="D151">
        <v>-2254.37</v>
      </c>
      <c r="E151">
        <v>49691.1</v>
      </c>
      <c r="F151">
        <v>960.69200000000001</v>
      </c>
      <c r="G151">
        <v>0</v>
      </c>
      <c r="H151">
        <v>0</v>
      </c>
      <c r="I151">
        <v>800</v>
      </c>
      <c r="J151">
        <v>800</v>
      </c>
      <c r="AN151">
        <v>107000</v>
      </c>
      <c r="AO151">
        <v>1316.74</v>
      </c>
      <c r="AP151">
        <v>-2202.6799999999998</v>
      </c>
      <c r="AQ151">
        <v>53280.1</v>
      </c>
      <c r="AR151">
        <v>42.834800000000001</v>
      </c>
      <c r="AS151">
        <v>0</v>
      </c>
      <c r="AT151">
        <v>0</v>
      </c>
      <c r="AU151">
        <v>800</v>
      </c>
      <c r="AV151">
        <v>800</v>
      </c>
    </row>
    <row r="152" spans="2:48" x14ac:dyDescent="0.2">
      <c r="B152">
        <v>108000</v>
      </c>
      <c r="C152">
        <v>1209.17</v>
      </c>
      <c r="D152">
        <v>-2254.2800000000002</v>
      </c>
      <c r="E152">
        <v>49646.1</v>
      </c>
      <c r="F152">
        <v>291.32900000000001</v>
      </c>
      <c r="G152">
        <v>0</v>
      </c>
      <c r="H152">
        <v>0</v>
      </c>
      <c r="I152">
        <v>800</v>
      </c>
      <c r="J152">
        <v>800</v>
      </c>
      <c r="AN152">
        <v>108000</v>
      </c>
      <c r="AO152">
        <v>1336.7</v>
      </c>
      <c r="AP152">
        <v>-2205.71</v>
      </c>
      <c r="AQ152">
        <v>53518</v>
      </c>
      <c r="AR152">
        <v>-316.25700000000001</v>
      </c>
      <c r="AS152">
        <v>0</v>
      </c>
      <c r="AT152">
        <v>0</v>
      </c>
      <c r="AU152">
        <v>800</v>
      </c>
      <c r="AV152">
        <v>800</v>
      </c>
    </row>
    <row r="153" spans="2:48" x14ac:dyDescent="0.2">
      <c r="B153">
        <v>109000</v>
      </c>
      <c r="C153">
        <v>1181.8699999999999</v>
      </c>
      <c r="D153">
        <v>-2253.08</v>
      </c>
      <c r="E153">
        <v>49657.1</v>
      </c>
      <c r="F153">
        <v>773.70399999999995</v>
      </c>
      <c r="G153">
        <v>0</v>
      </c>
      <c r="H153">
        <v>0</v>
      </c>
      <c r="I153">
        <v>800</v>
      </c>
      <c r="J153">
        <v>800</v>
      </c>
      <c r="AN153">
        <v>109000</v>
      </c>
      <c r="AO153">
        <v>1345.27</v>
      </c>
      <c r="AP153">
        <v>-2202.0100000000002</v>
      </c>
      <c r="AQ153">
        <v>53833.4</v>
      </c>
      <c r="AR153">
        <v>600.87400000000002</v>
      </c>
      <c r="AS153">
        <v>0</v>
      </c>
      <c r="AT153">
        <v>0</v>
      </c>
      <c r="AU153">
        <v>800</v>
      </c>
      <c r="AV153">
        <v>800</v>
      </c>
    </row>
    <row r="154" spans="2:48" x14ac:dyDescent="0.2">
      <c r="B154">
        <v>110000</v>
      </c>
      <c r="C154">
        <v>1197.0899999999999</v>
      </c>
      <c r="D154">
        <v>-2253.7800000000002</v>
      </c>
      <c r="E154">
        <v>49772.2</v>
      </c>
      <c r="F154">
        <v>1257.56</v>
      </c>
      <c r="G154">
        <v>0</v>
      </c>
      <c r="H154">
        <v>0</v>
      </c>
      <c r="I154">
        <v>800</v>
      </c>
      <c r="J154">
        <v>800</v>
      </c>
      <c r="AN154">
        <v>110000</v>
      </c>
      <c r="AO154">
        <v>1312.35</v>
      </c>
      <c r="AP154">
        <v>-2190.2600000000002</v>
      </c>
      <c r="AQ154">
        <v>54160.7</v>
      </c>
      <c r="AR154">
        <v>707.27099999999996</v>
      </c>
      <c r="AS154">
        <v>0</v>
      </c>
      <c r="AT154">
        <v>0</v>
      </c>
      <c r="AU154">
        <v>800</v>
      </c>
      <c r="AV154">
        <v>800</v>
      </c>
    </row>
    <row r="155" spans="2:48" x14ac:dyDescent="0.2">
      <c r="B155">
        <v>111000</v>
      </c>
      <c r="C155">
        <v>1222.1600000000001</v>
      </c>
      <c r="D155">
        <v>-2253.17</v>
      </c>
      <c r="E155">
        <v>49782.6</v>
      </c>
      <c r="F155">
        <v>553.053</v>
      </c>
      <c r="G155">
        <v>0</v>
      </c>
      <c r="H155">
        <v>0</v>
      </c>
      <c r="I155">
        <v>800</v>
      </c>
      <c r="J155">
        <v>800</v>
      </c>
      <c r="AN155">
        <v>111000</v>
      </c>
      <c r="AO155">
        <v>1287.8599999999999</v>
      </c>
      <c r="AP155">
        <v>-2198.37</v>
      </c>
      <c r="AQ155">
        <v>54428.6</v>
      </c>
      <c r="AR155">
        <v>-678.81200000000001</v>
      </c>
      <c r="AS155">
        <v>0</v>
      </c>
      <c r="AT155">
        <v>0</v>
      </c>
      <c r="AU155">
        <v>800</v>
      </c>
      <c r="AV155">
        <v>800</v>
      </c>
    </row>
    <row r="156" spans="2:48" x14ac:dyDescent="0.2">
      <c r="B156">
        <v>112000</v>
      </c>
      <c r="C156">
        <v>1181.97</v>
      </c>
      <c r="D156">
        <v>-2258.13</v>
      </c>
      <c r="E156">
        <v>49815.9</v>
      </c>
      <c r="F156">
        <v>-50.765599999999999</v>
      </c>
      <c r="G156">
        <v>0</v>
      </c>
      <c r="H156">
        <v>0</v>
      </c>
      <c r="I156">
        <v>800</v>
      </c>
      <c r="J156">
        <v>800</v>
      </c>
      <c r="AN156">
        <v>112000</v>
      </c>
      <c r="AO156">
        <v>1337.27</v>
      </c>
      <c r="AP156">
        <v>-2198.7399999999998</v>
      </c>
      <c r="AQ156">
        <v>54544</v>
      </c>
      <c r="AR156">
        <v>1.17944</v>
      </c>
      <c r="AS156">
        <v>0</v>
      </c>
      <c r="AT156">
        <v>0</v>
      </c>
      <c r="AU156">
        <v>800</v>
      </c>
      <c r="AV156">
        <v>800</v>
      </c>
    </row>
    <row r="157" spans="2:48" x14ac:dyDescent="0.2">
      <c r="B157">
        <v>113000</v>
      </c>
      <c r="C157">
        <v>1209.8699999999999</v>
      </c>
      <c r="D157">
        <v>-2256.16</v>
      </c>
      <c r="E157">
        <v>49847.3</v>
      </c>
      <c r="F157">
        <v>-1219.1300000000001</v>
      </c>
      <c r="G157">
        <v>0</v>
      </c>
      <c r="H157">
        <v>0</v>
      </c>
      <c r="I157">
        <v>800</v>
      </c>
      <c r="J157">
        <v>800</v>
      </c>
      <c r="AN157">
        <v>113000</v>
      </c>
      <c r="AO157">
        <v>1299.3499999999999</v>
      </c>
      <c r="AP157">
        <v>-2194.19</v>
      </c>
      <c r="AQ157">
        <v>54558.400000000001</v>
      </c>
      <c r="AR157">
        <v>-771.97199999999998</v>
      </c>
      <c r="AS157">
        <v>0</v>
      </c>
      <c r="AT157">
        <v>0</v>
      </c>
      <c r="AU157">
        <v>800</v>
      </c>
      <c r="AV157">
        <v>800</v>
      </c>
    </row>
    <row r="158" spans="2:48" x14ac:dyDescent="0.2">
      <c r="B158">
        <v>114000</v>
      </c>
      <c r="C158">
        <v>1188.49</v>
      </c>
      <c r="D158">
        <v>-2260.39</v>
      </c>
      <c r="E158">
        <v>49633.4</v>
      </c>
      <c r="F158">
        <v>-321.50099999999998</v>
      </c>
      <c r="G158">
        <v>0</v>
      </c>
      <c r="H158">
        <v>0</v>
      </c>
      <c r="I158">
        <v>800</v>
      </c>
      <c r="J158">
        <v>800</v>
      </c>
      <c r="AN158">
        <v>114000</v>
      </c>
      <c r="AO158">
        <v>1284.81</v>
      </c>
      <c r="AP158">
        <v>-2200.25</v>
      </c>
      <c r="AQ158">
        <v>54563.9</v>
      </c>
      <c r="AR158">
        <v>-714.94299999999998</v>
      </c>
      <c r="AS158">
        <v>0</v>
      </c>
      <c r="AT158">
        <v>0</v>
      </c>
      <c r="AU158">
        <v>800</v>
      </c>
      <c r="AV158">
        <v>800</v>
      </c>
    </row>
    <row r="159" spans="2:48" x14ac:dyDescent="0.2">
      <c r="B159">
        <v>115000</v>
      </c>
      <c r="C159">
        <v>1199.69</v>
      </c>
      <c r="D159">
        <v>-2260.77</v>
      </c>
      <c r="E159">
        <v>49399.4</v>
      </c>
      <c r="F159">
        <v>1716.99</v>
      </c>
      <c r="G159">
        <v>0</v>
      </c>
      <c r="H159">
        <v>0</v>
      </c>
      <c r="I159">
        <v>800</v>
      </c>
      <c r="J159">
        <v>800</v>
      </c>
      <c r="AN159">
        <v>115000</v>
      </c>
      <c r="AO159">
        <v>1314.56</v>
      </c>
      <c r="AP159">
        <v>-2186.42</v>
      </c>
      <c r="AQ159">
        <v>54530.400000000001</v>
      </c>
      <c r="AR159">
        <v>-715.38400000000001</v>
      </c>
      <c r="AS159">
        <v>0</v>
      </c>
      <c r="AT159">
        <v>0</v>
      </c>
      <c r="AU159">
        <v>800</v>
      </c>
      <c r="AV159">
        <v>800</v>
      </c>
    </row>
    <row r="160" spans="2:48" x14ac:dyDescent="0.2">
      <c r="B160">
        <v>116000</v>
      </c>
      <c r="C160">
        <v>1183.98</v>
      </c>
      <c r="D160">
        <v>-2261.4299999999998</v>
      </c>
      <c r="E160">
        <v>49246.7</v>
      </c>
      <c r="F160">
        <v>214.99299999999999</v>
      </c>
      <c r="G160">
        <v>0</v>
      </c>
      <c r="H160">
        <v>0</v>
      </c>
      <c r="I160">
        <v>800</v>
      </c>
      <c r="J160">
        <v>800</v>
      </c>
      <c r="AN160">
        <v>116000</v>
      </c>
      <c r="AO160">
        <v>1332.58</v>
      </c>
      <c r="AP160">
        <v>-2193.17</v>
      </c>
      <c r="AQ160">
        <v>54404.2</v>
      </c>
      <c r="AR160">
        <v>-1.45591</v>
      </c>
      <c r="AS160">
        <v>0</v>
      </c>
      <c r="AT160">
        <v>0</v>
      </c>
      <c r="AU160">
        <v>800</v>
      </c>
      <c r="AV160">
        <v>800</v>
      </c>
    </row>
    <row r="161" spans="2:48" x14ac:dyDescent="0.2">
      <c r="B161">
        <v>117000</v>
      </c>
      <c r="C161">
        <v>1188.51</v>
      </c>
      <c r="D161">
        <v>-2260.67</v>
      </c>
      <c r="E161">
        <v>49234.400000000001</v>
      </c>
      <c r="F161">
        <v>1763.65</v>
      </c>
      <c r="G161">
        <v>0</v>
      </c>
      <c r="H161">
        <v>0</v>
      </c>
      <c r="I161">
        <v>800</v>
      </c>
      <c r="J161">
        <v>800</v>
      </c>
      <c r="AN161">
        <v>117000</v>
      </c>
      <c r="AO161">
        <v>1312.83</v>
      </c>
      <c r="AP161">
        <v>-2196.5</v>
      </c>
      <c r="AQ161">
        <v>54213.7</v>
      </c>
      <c r="AR161">
        <v>1189.28</v>
      </c>
      <c r="AS161">
        <v>0</v>
      </c>
      <c r="AT161">
        <v>0</v>
      </c>
      <c r="AU161">
        <v>800</v>
      </c>
      <c r="AV161">
        <v>800</v>
      </c>
    </row>
    <row r="162" spans="2:48" x14ac:dyDescent="0.2">
      <c r="B162">
        <v>118000</v>
      </c>
      <c r="C162">
        <v>1180.28</v>
      </c>
      <c r="D162">
        <v>-2260.31</v>
      </c>
      <c r="E162">
        <v>49602.7</v>
      </c>
      <c r="F162">
        <v>-1132.33</v>
      </c>
      <c r="G162">
        <v>0</v>
      </c>
      <c r="H162">
        <v>0</v>
      </c>
      <c r="I162">
        <v>800</v>
      </c>
      <c r="J162">
        <v>800</v>
      </c>
      <c r="AN162">
        <v>118000</v>
      </c>
      <c r="AO162">
        <v>1287.49</v>
      </c>
      <c r="AP162">
        <v>-2202.9899999999998</v>
      </c>
      <c r="AQ162">
        <v>54083.7</v>
      </c>
      <c r="AR162">
        <v>99.810400000000001</v>
      </c>
      <c r="AS162">
        <v>0</v>
      </c>
      <c r="AT162">
        <v>0</v>
      </c>
      <c r="AU162">
        <v>800</v>
      </c>
      <c r="AV162">
        <v>800</v>
      </c>
    </row>
    <row r="163" spans="2:48" x14ac:dyDescent="0.2">
      <c r="B163">
        <v>119000</v>
      </c>
      <c r="C163">
        <v>1181.3599999999999</v>
      </c>
      <c r="D163">
        <v>-2255.2399999999998</v>
      </c>
      <c r="E163">
        <v>49967.1</v>
      </c>
      <c r="F163">
        <v>-2160.6799999999998</v>
      </c>
      <c r="G163">
        <v>0</v>
      </c>
      <c r="H163">
        <v>0</v>
      </c>
      <c r="I163">
        <v>800</v>
      </c>
      <c r="J163">
        <v>800</v>
      </c>
      <c r="AN163">
        <v>119000</v>
      </c>
      <c r="AO163">
        <v>1265.06</v>
      </c>
      <c r="AP163">
        <v>-2202.7199999999998</v>
      </c>
      <c r="AQ163">
        <v>53970.2</v>
      </c>
      <c r="AR163">
        <v>-615.63900000000001</v>
      </c>
      <c r="AS163">
        <v>0</v>
      </c>
      <c r="AT163">
        <v>0</v>
      </c>
      <c r="AU163">
        <v>800</v>
      </c>
      <c r="AV163">
        <v>800</v>
      </c>
    </row>
    <row r="164" spans="2:48" x14ac:dyDescent="0.2">
      <c r="B164">
        <v>120000</v>
      </c>
      <c r="C164">
        <v>1216.81</v>
      </c>
      <c r="D164">
        <v>-2257.04</v>
      </c>
      <c r="E164">
        <v>50090.1</v>
      </c>
      <c r="F164">
        <v>-1200.52</v>
      </c>
      <c r="G164">
        <v>0</v>
      </c>
      <c r="H164">
        <v>0</v>
      </c>
      <c r="I164">
        <v>800</v>
      </c>
      <c r="J164">
        <v>800</v>
      </c>
      <c r="AN164">
        <v>120000</v>
      </c>
      <c r="AO164">
        <v>1296.53</v>
      </c>
      <c r="AP164">
        <v>-2203.59</v>
      </c>
      <c r="AQ164">
        <v>53823.199999999997</v>
      </c>
      <c r="AR164">
        <v>-158.43700000000001</v>
      </c>
      <c r="AS164">
        <v>0</v>
      </c>
      <c r="AT164">
        <v>0</v>
      </c>
      <c r="AU164">
        <v>800</v>
      </c>
      <c r="AV164">
        <v>800</v>
      </c>
    </row>
    <row r="165" spans="2:48" x14ac:dyDescent="0.2">
      <c r="B165">
        <v>121000</v>
      </c>
      <c r="C165">
        <v>1195.02</v>
      </c>
      <c r="D165">
        <v>-2252.62</v>
      </c>
      <c r="E165">
        <v>49858.400000000001</v>
      </c>
      <c r="F165">
        <v>947.73599999999999</v>
      </c>
      <c r="G165">
        <v>0</v>
      </c>
      <c r="H165">
        <v>0</v>
      </c>
      <c r="I165">
        <v>800</v>
      </c>
      <c r="J165">
        <v>800</v>
      </c>
      <c r="AN165">
        <v>121000</v>
      </c>
      <c r="AO165">
        <v>1264.4000000000001</v>
      </c>
      <c r="AP165">
        <v>-2209.5100000000002</v>
      </c>
      <c r="AQ165">
        <v>53744</v>
      </c>
      <c r="AR165">
        <v>-739.77099999999996</v>
      </c>
      <c r="AS165">
        <v>0</v>
      </c>
      <c r="AT165">
        <v>0</v>
      </c>
      <c r="AU165">
        <v>800</v>
      </c>
      <c r="AV165">
        <v>800</v>
      </c>
    </row>
    <row r="166" spans="2:48" x14ac:dyDescent="0.2">
      <c r="B166">
        <v>122000</v>
      </c>
      <c r="C166">
        <v>1212.9100000000001</v>
      </c>
      <c r="D166">
        <v>-2257.21</v>
      </c>
      <c r="E166">
        <v>49588.6</v>
      </c>
      <c r="F166">
        <v>-1153.1300000000001</v>
      </c>
      <c r="G166">
        <v>0</v>
      </c>
      <c r="H166">
        <v>0</v>
      </c>
      <c r="I166">
        <v>800</v>
      </c>
      <c r="J166">
        <v>800</v>
      </c>
      <c r="AN166">
        <v>122000</v>
      </c>
      <c r="AO166">
        <v>1262.75</v>
      </c>
      <c r="AP166">
        <v>-2200.92</v>
      </c>
      <c r="AQ166">
        <v>53680</v>
      </c>
      <c r="AR166">
        <v>-796.12800000000004</v>
      </c>
      <c r="AS166">
        <v>0</v>
      </c>
      <c r="AT166">
        <v>0</v>
      </c>
      <c r="AU166">
        <v>800</v>
      </c>
      <c r="AV166">
        <v>800</v>
      </c>
    </row>
    <row r="167" spans="2:48" x14ac:dyDescent="0.2">
      <c r="B167">
        <v>123000</v>
      </c>
      <c r="C167">
        <v>1208.83</v>
      </c>
      <c r="D167">
        <v>-2263.75</v>
      </c>
      <c r="E167">
        <v>49405.1</v>
      </c>
      <c r="F167">
        <v>-24.946100000000001</v>
      </c>
      <c r="G167">
        <v>0</v>
      </c>
      <c r="H167">
        <v>0</v>
      </c>
      <c r="I167">
        <v>800</v>
      </c>
      <c r="J167">
        <v>800</v>
      </c>
      <c r="AN167">
        <v>123000</v>
      </c>
      <c r="AO167">
        <v>1288.0899999999999</v>
      </c>
      <c r="AP167">
        <v>-2193.25</v>
      </c>
      <c r="AQ167">
        <v>53645.1</v>
      </c>
      <c r="AR167">
        <v>-327.779</v>
      </c>
      <c r="AS167">
        <v>0</v>
      </c>
      <c r="AT167">
        <v>0</v>
      </c>
      <c r="AU167">
        <v>800</v>
      </c>
      <c r="AV167">
        <v>800</v>
      </c>
    </row>
    <row r="168" spans="2:48" x14ac:dyDescent="0.2">
      <c r="B168">
        <v>124000</v>
      </c>
      <c r="C168">
        <v>1167.07</v>
      </c>
      <c r="D168">
        <v>-2261.06</v>
      </c>
      <c r="E168">
        <v>49238</v>
      </c>
      <c r="F168">
        <v>-563.25199999999995</v>
      </c>
      <c r="G168">
        <v>0</v>
      </c>
      <c r="H168">
        <v>0</v>
      </c>
      <c r="I168">
        <v>800</v>
      </c>
      <c r="J168">
        <v>800</v>
      </c>
      <c r="AN168">
        <v>124000</v>
      </c>
      <c r="AO168">
        <v>1278.49</v>
      </c>
      <c r="AP168">
        <v>-2208.91</v>
      </c>
      <c r="AQ168">
        <v>53616.1</v>
      </c>
      <c r="AR168">
        <v>-489.625</v>
      </c>
      <c r="AS168">
        <v>0</v>
      </c>
      <c r="AT168">
        <v>0</v>
      </c>
      <c r="AU168">
        <v>800</v>
      </c>
      <c r="AV168">
        <v>800</v>
      </c>
    </row>
    <row r="169" spans="2:48" x14ac:dyDescent="0.2">
      <c r="B169">
        <v>125000</v>
      </c>
      <c r="C169">
        <v>1201.93</v>
      </c>
      <c r="D169">
        <v>-2261.62</v>
      </c>
      <c r="E169">
        <v>49230.6</v>
      </c>
      <c r="F169">
        <v>-314.66500000000002</v>
      </c>
      <c r="G169">
        <v>0</v>
      </c>
      <c r="H169">
        <v>0</v>
      </c>
      <c r="I169">
        <v>800</v>
      </c>
      <c r="J169">
        <v>800</v>
      </c>
      <c r="AN169">
        <v>125000</v>
      </c>
      <c r="AO169">
        <v>1266.1300000000001</v>
      </c>
      <c r="AP169">
        <v>-2201.96</v>
      </c>
      <c r="AQ169">
        <v>53569.9</v>
      </c>
      <c r="AR169">
        <v>-148.63800000000001</v>
      </c>
      <c r="AS169">
        <v>0</v>
      </c>
      <c r="AT169">
        <v>0</v>
      </c>
      <c r="AU169">
        <v>800</v>
      </c>
      <c r="AV169">
        <v>800</v>
      </c>
    </row>
    <row r="170" spans="2:48" x14ac:dyDescent="0.2">
      <c r="B170">
        <v>126000</v>
      </c>
      <c r="C170">
        <v>1217.07</v>
      </c>
      <c r="D170">
        <v>-2258.98</v>
      </c>
      <c r="E170">
        <v>49387.9</v>
      </c>
      <c r="F170">
        <v>-360.63099999999997</v>
      </c>
      <c r="G170">
        <v>0</v>
      </c>
      <c r="H170">
        <v>0</v>
      </c>
      <c r="I170">
        <v>800</v>
      </c>
      <c r="J170">
        <v>800</v>
      </c>
      <c r="AN170">
        <v>126000</v>
      </c>
      <c r="AO170">
        <v>1340.56</v>
      </c>
      <c r="AP170">
        <v>-2196.06</v>
      </c>
      <c r="AQ170">
        <v>53556.3</v>
      </c>
      <c r="AR170">
        <v>1039.42</v>
      </c>
      <c r="AS170">
        <v>0</v>
      </c>
      <c r="AT170">
        <v>0</v>
      </c>
      <c r="AU170">
        <v>800</v>
      </c>
      <c r="AV170">
        <v>800</v>
      </c>
    </row>
    <row r="171" spans="2:48" x14ac:dyDescent="0.2">
      <c r="B171">
        <v>127000</v>
      </c>
      <c r="C171">
        <v>1223.6199999999999</v>
      </c>
      <c r="D171">
        <v>-2261.69</v>
      </c>
      <c r="E171">
        <v>49636.800000000003</v>
      </c>
      <c r="F171">
        <v>-615.38</v>
      </c>
      <c r="G171">
        <v>0</v>
      </c>
      <c r="H171">
        <v>0</v>
      </c>
      <c r="I171">
        <v>800</v>
      </c>
      <c r="J171">
        <v>800</v>
      </c>
      <c r="AN171">
        <v>127000</v>
      </c>
      <c r="AO171">
        <v>1316.63</v>
      </c>
      <c r="AP171">
        <v>-2209.44</v>
      </c>
      <c r="AQ171">
        <v>53571.1</v>
      </c>
      <c r="AR171">
        <v>625.38900000000001</v>
      </c>
      <c r="AS171">
        <v>0</v>
      </c>
      <c r="AT171">
        <v>0</v>
      </c>
      <c r="AU171">
        <v>800</v>
      </c>
      <c r="AV171">
        <v>800</v>
      </c>
    </row>
    <row r="172" spans="2:48" x14ac:dyDescent="0.2">
      <c r="B172">
        <v>128000</v>
      </c>
      <c r="C172">
        <v>1214.6600000000001</v>
      </c>
      <c r="D172">
        <v>-2253.5</v>
      </c>
      <c r="E172">
        <v>49820.7</v>
      </c>
      <c r="F172">
        <v>902.41600000000005</v>
      </c>
      <c r="G172">
        <v>0</v>
      </c>
      <c r="H172">
        <v>0</v>
      </c>
      <c r="I172">
        <v>800</v>
      </c>
      <c r="J172">
        <v>800</v>
      </c>
      <c r="AN172">
        <v>128000</v>
      </c>
      <c r="AO172">
        <v>1291.58</v>
      </c>
      <c r="AP172">
        <v>-2202.87</v>
      </c>
      <c r="AQ172">
        <v>53641.5</v>
      </c>
      <c r="AR172">
        <v>293.48200000000003</v>
      </c>
      <c r="AS172">
        <v>0</v>
      </c>
      <c r="AT172">
        <v>0</v>
      </c>
      <c r="AU172">
        <v>800</v>
      </c>
      <c r="AV172">
        <v>800</v>
      </c>
    </row>
    <row r="173" spans="2:48" x14ac:dyDescent="0.2">
      <c r="B173">
        <v>129000</v>
      </c>
      <c r="C173">
        <v>1191.9100000000001</v>
      </c>
      <c r="D173">
        <v>-2255.54</v>
      </c>
      <c r="E173">
        <v>50167.8</v>
      </c>
      <c r="F173">
        <v>-2397.71</v>
      </c>
      <c r="G173">
        <v>0</v>
      </c>
      <c r="H173">
        <v>0</v>
      </c>
      <c r="I173">
        <v>800</v>
      </c>
      <c r="J173">
        <v>800</v>
      </c>
      <c r="AN173">
        <v>129000</v>
      </c>
      <c r="AO173">
        <v>1306.3699999999999</v>
      </c>
      <c r="AP173">
        <v>-2200.4699999999998</v>
      </c>
      <c r="AQ173">
        <v>53721.5</v>
      </c>
      <c r="AR173">
        <v>99.013999999999996</v>
      </c>
      <c r="AS173">
        <v>0</v>
      </c>
      <c r="AT173">
        <v>0</v>
      </c>
      <c r="AU173">
        <v>800</v>
      </c>
      <c r="AV173">
        <v>800</v>
      </c>
    </row>
    <row r="174" spans="2:48" x14ac:dyDescent="0.2">
      <c r="B174">
        <v>130000</v>
      </c>
      <c r="C174">
        <v>1217.3900000000001</v>
      </c>
      <c r="D174">
        <v>-2247.0500000000002</v>
      </c>
      <c r="E174">
        <v>50118.9</v>
      </c>
      <c r="F174">
        <v>-1817.56</v>
      </c>
      <c r="G174">
        <v>0</v>
      </c>
      <c r="H174">
        <v>0</v>
      </c>
      <c r="I174">
        <v>800</v>
      </c>
      <c r="J174">
        <v>800</v>
      </c>
      <c r="AN174">
        <v>130000</v>
      </c>
      <c r="AO174">
        <v>1283.3800000000001</v>
      </c>
      <c r="AP174">
        <v>-2198.84</v>
      </c>
      <c r="AQ174">
        <v>53729.9</v>
      </c>
      <c r="AR174">
        <v>36.998699999999999</v>
      </c>
      <c r="AS174">
        <v>0</v>
      </c>
      <c r="AT174">
        <v>0</v>
      </c>
      <c r="AU174">
        <v>800</v>
      </c>
      <c r="AV174">
        <v>800</v>
      </c>
    </row>
    <row r="175" spans="2:48" x14ac:dyDescent="0.2">
      <c r="B175">
        <v>131000</v>
      </c>
      <c r="C175">
        <v>1190.33</v>
      </c>
      <c r="D175">
        <v>-2260.61</v>
      </c>
      <c r="E175">
        <v>49798.7</v>
      </c>
      <c r="F175">
        <v>-1458.9</v>
      </c>
      <c r="G175">
        <v>0</v>
      </c>
      <c r="H175">
        <v>0</v>
      </c>
      <c r="I175">
        <v>800</v>
      </c>
      <c r="J175">
        <v>800</v>
      </c>
      <c r="AN175">
        <v>131000</v>
      </c>
      <c r="AO175">
        <v>1290.69</v>
      </c>
      <c r="AP175">
        <v>-2209.56</v>
      </c>
      <c r="AQ175">
        <v>53704.6</v>
      </c>
      <c r="AR175">
        <v>49.878500000000003</v>
      </c>
      <c r="AS175">
        <v>0</v>
      </c>
      <c r="AT175">
        <v>0</v>
      </c>
      <c r="AU175">
        <v>800</v>
      </c>
      <c r="AV175">
        <v>800</v>
      </c>
    </row>
    <row r="176" spans="2:48" x14ac:dyDescent="0.2">
      <c r="B176">
        <v>132000</v>
      </c>
      <c r="C176">
        <v>1193.01</v>
      </c>
      <c r="D176">
        <v>-2260.9499999999998</v>
      </c>
      <c r="E176">
        <v>49430.9</v>
      </c>
      <c r="F176">
        <v>1943.89</v>
      </c>
      <c r="G176">
        <v>0</v>
      </c>
      <c r="H176">
        <v>0</v>
      </c>
      <c r="I176">
        <v>800</v>
      </c>
      <c r="J176">
        <v>800</v>
      </c>
      <c r="AN176">
        <v>132000</v>
      </c>
      <c r="AO176">
        <v>1269.3399999999999</v>
      </c>
      <c r="AP176">
        <v>-2205.85</v>
      </c>
      <c r="AQ176">
        <v>53750.5</v>
      </c>
      <c r="AR176">
        <v>445.41</v>
      </c>
      <c r="AS176">
        <v>0</v>
      </c>
      <c r="AT176">
        <v>0</v>
      </c>
      <c r="AU176">
        <v>800</v>
      </c>
      <c r="AV176">
        <v>800</v>
      </c>
    </row>
    <row r="177" spans="2:48" x14ac:dyDescent="0.2">
      <c r="B177">
        <v>133000</v>
      </c>
      <c r="C177">
        <v>1186.8399999999999</v>
      </c>
      <c r="D177">
        <v>-2257.7600000000002</v>
      </c>
      <c r="E177">
        <v>49355.199999999997</v>
      </c>
      <c r="F177">
        <v>574.57399999999996</v>
      </c>
      <c r="G177">
        <v>0</v>
      </c>
      <c r="H177">
        <v>0</v>
      </c>
      <c r="I177">
        <v>800</v>
      </c>
      <c r="J177">
        <v>800</v>
      </c>
      <c r="AN177">
        <v>133000</v>
      </c>
      <c r="AO177">
        <v>1305.53</v>
      </c>
      <c r="AP177">
        <v>-2199.31</v>
      </c>
      <c r="AQ177">
        <v>53853.599999999999</v>
      </c>
      <c r="AR177">
        <v>-50.097900000000003</v>
      </c>
      <c r="AS177">
        <v>0</v>
      </c>
      <c r="AT177">
        <v>0</v>
      </c>
      <c r="AU177">
        <v>800</v>
      </c>
      <c r="AV177">
        <v>800</v>
      </c>
    </row>
    <row r="178" spans="2:48" x14ac:dyDescent="0.2">
      <c r="B178">
        <v>134000</v>
      </c>
      <c r="C178">
        <v>1193.6199999999999</v>
      </c>
      <c r="D178">
        <v>-2263.3000000000002</v>
      </c>
      <c r="E178">
        <v>49362.5</v>
      </c>
      <c r="F178">
        <v>564.01</v>
      </c>
      <c r="G178">
        <v>0</v>
      </c>
      <c r="H178">
        <v>0</v>
      </c>
      <c r="I178">
        <v>800</v>
      </c>
      <c r="J178">
        <v>800</v>
      </c>
      <c r="AN178">
        <v>134000</v>
      </c>
      <c r="AO178">
        <v>1286.76</v>
      </c>
      <c r="AP178">
        <v>-2196.9</v>
      </c>
      <c r="AQ178">
        <v>53955.199999999997</v>
      </c>
      <c r="AR178">
        <v>-549.46199999999999</v>
      </c>
      <c r="AS178">
        <v>0</v>
      </c>
      <c r="AT178">
        <v>0</v>
      </c>
      <c r="AU178">
        <v>800</v>
      </c>
      <c r="AV178">
        <v>800</v>
      </c>
    </row>
    <row r="179" spans="2:48" x14ac:dyDescent="0.2">
      <c r="B179">
        <v>135000</v>
      </c>
      <c r="C179">
        <v>1188.0999999999999</v>
      </c>
      <c r="D179">
        <v>-2252.59</v>
      </c>
      <c r="E179">
        <v>49446.2</v>
      </c>
      <c r="F179">
        <v>-6.6722299999999999</v>
      </c>
      <c r="G179">
        <v>0</v>
      </c>
      <c r="H179">
        <v>0</v>
      </c>
      <c r="I179">
        <v>800</v>
      </c>
      <c r="J179">
        <v>800</v>
      </c>
      <c r="AN179">
        <v>135000</v>
      </c>
      <c r="AO179">
        <v>1324.23</v>
      </c>
      <c r="AP179">
        <v>-2190.42</v>
      </c>
      <c r="AQ179">
        <v>54016.7</v>
      </c>
      <c r="AR179">
        <v>611.54999999999995</v>
      </c>
      <c r="AS179">
        <v>0</v>
      </c>
      <c r="AT179">
        <v>0</v>
      </c>
      <c r="AU179">
        <v>800</v>
      </c>
      <c r="AV179">
        <v>800</v>
      </c>
    </row>
    <row r="180" spans="2:48" x14ac:dyDescent="0.2">
      <c r="B180">
        <v>136000</v>
      </c>
      <c r="C180">
        <v>1200.19</v>
      </c>
      <c r="D180">
        <v>-2255.5300000000002</v>
      </c>
      <c r="E180">
        <v>49682.3</v>
      </c>
      <c r="F180">
        <v>584.34699999999998</v>
      </c>
      <c r="G180">
        <v>0</v>
      </c>
      <c r="H180">
        <v>0</v>
      </c>
      <c r="I180">
        <v>800</v>
      </c>
      <c r="J180">
        <v>800</v>
      </c>
      <c r="AN180">
        <v>136000</v>
      </c>
      <c r="AO180">
        <v>1326.43</v>
      </c>
      <c r="AP180">
        <v>-2200.16</v>
      </c>
      <c r="AQ180">
        <v>54100.1</v>
      </c>
      <c r="AR180">
        <v>-300.30599999999998</v>
      </c>
      <c r="AS180">
        <v>0</v>
      </c>
      <c r="AT180">
        <v>0</v>
      </c>
      <c r="AU180">
        <v>800</v>
      </c>
      <c r="AV180">
        <v>800</v>
      </c>
    </row>
    <row r="181" spans="2:48" x14ac:dyDescent="0.2">
      <c r="B181">
        <v>137000</v>
      </c>
      <c r="C181">
        <v>1180.49</v>
      </c>
      <c r="D181">
        <v>-2259.42</v>
      </c>
      <c r="E181">
        <v>49854.400000000001</v>
      </c>
      <c r="F181">
        <v>-1294.75</v>
      </c>
      <c r="G181">
        <v>0</v>
      </c>
      <c r="H181">
        <v>0</v>
      </c>
      <c r="I181">
        <v>800</v>
      </c>
      <c r="J181">
        <v>800</v>
      </c>
      <c r="AN181">
        <v>137000</v>
      </c>
      <c r="AO181">
        <v>1304.0899999999999</v>
      </c>
      <c r="AP181">
        <v>-2194.92</v>
      </c>
      <c r="AQ181">
        <v>54162</v>
      </c>
      <c r="AR181">
        <v>-83.189499999999995</v>
      </c>
      <c r="AS181">
        <v>0</v>
      </c>
      <c r="AT181">
        <v>0</v>
      </c>
      <c r="AU181">
        <v>800</v>
      </c>
      <c r="AV181">
        <v>800</v>
      </c>
    </row>
    <row r="182" spans="2:48" x14ac:dyDescent="0.2">
      <c r="B182">
        <v>138000</v>
      </c>
      <c r="C182">
        <v>1198.92</v>
      </c>
      <c r="D182">
        <v>-2250.8000000000002</v>
      </c>
      <c r="E182">
        <v>49676.6</v>
      </c>
      <c r="F182">
        <v>1360.57</v>
      </c>
      <c r="G182">
        <v>0</v>
      </c>
      <c r="H182">
        <v>0</v>
      </c>
      <c r="I182">
        <v>800</v>
      </c>
      <c r="J182">
        <v>800</v>
      </c>
      <c r="AN182">
        <v>138000</v>
      </c>
      <c r="AO182">
        <v>1301.3</v>
      </c>
      <c r="AP182">
        <v>-2195.29</v>
      </c>
      <c r="AQ182">
        <v>54126.3</v>
      </c>
      <c r="AR182">
        <v>-546.19000000000005</v>
      </c>
      <c r="AS182">
        <v>0</v>
      </c>
      <c r="AT182">
        <v>0</v>
      </c>
      <c r="AU182">
        <v>800</v>
      </c>
      <c r="AV182">
        <v>800</v>
      </c>
    </row>
    <row r="183" spans="2:48" x14ac:dyDescent="0.2">
      <c r="B183">
        <v>139000</v>
      </c>
      <c r="C183">
        <v>1178.8499999999999</v>
      </c>
      <c r="D183">
        <v>-2265.9899999999998</v>
      </c>
      <c r="E183">
        <v>49483.7</v>
      </c>
      <c r="F183">
        <v>-714.41200000000003</v>
      </c>
      <c r="G183">
        <v>0</v>
      </c>
      <c r="H183">
        <v>0</v>
      </c>
      <c r="I183">
        <v>800</v>
      </c>
      <c r="J183">
        <v>800</v>
      </c>
      <c r="AN183">
        <v>139000</v>
      </c>
      <c r="AO183">
        <v>1272.51</v>
      </c>
      <c r="AP183">
        <v>-2200.62</v>
      </c>
      <c r="AQ183">
        <v>54085.4</v>
      </c>
      <c r="AR183">
        <v>665.23800000000006</v>
      </c>
      <c r="AS183">
        <v>0</v>
      </c>
      <c r="AT183">
        <v>0</v>
      </c>
      <c r="AU183">
        <v>800</v>
      </c>
      <c r="AV183">
        <v>800</v>
      </c>
    </row>
    <row r="184" spans="2:48" x14ac:dyDescent="0.2">
      <c r="B184">
        <v>140000</v>
      </c>
      <c r="C184">
        <v>1197.45</v>
      </c>
      <c r="D184">
        <v>-2256.71</v>
      </c>
      <c r="E184">
        <v>49346.3</v>
      </c>
      <c r="F184">
        <v>735.87599999999998</v>
      </c>
      <c r="G184">
        <v>0</v>
      </c>
      <c r="H184">
        <v>0</v>
      </c>
      <c r="I184">
        <v>800</v>
      </c>
      <c r="J184">
        <v>800</v>
      </c>
      <c r="AN184">
        <v>140000</v>
      </c>
      <c r="AO184">
        <v>1285.44</v>
      </c>
      <c r="AP184">
        <v>-2192.81</v>
      </c>
      <c r="AQ184">
        <v>54000.800000000003</v>
      </c>
      <c r="AR184">
        <v>-59.411900000000003</v>
      </c>
      <c r="AS184">
        <v>0</v>
      </c>
      <c r="AT184">
        <v>0</v>
      </c>
      <c r="AU184">
        <v>800</v>
      </c>
      <c r="AV184">
        <v>800</v>
      </c>
    </row>
    <row r="185" spans="2:48" x14ac:dyDescent="0.2">
      <c r="B185">
        <v>141000</v>
      </c>
      <c r="C185">
        <v>1225.1199999999999</v>
      </c>
      <c r="D185">
        <v>-2249.4699999999998</v>
      </c>
      <c r="E185">
        <v>49322.6</v>
      </c>
      <c r="F185">
        <v>51.638199999999998</v>
      </c>
      <c r="G185">
        <v>0</v>
      </c>
      <c r="H185">
        <v>0</v>
      </c>
      <c r="I185">
        <v>800</v>
      </c>
      <c r="J185">
        <v>800</v>
      </c>
      <c r="AN185">
        <v>141000</v>
      </c>
      <c r="AO185">
        <v>1275.77</v>
      </c>
      <c r="AP185">
        <v>-2194.4499999999998</v>
      </c>
      <c r="AQ185">
        <v>53863.4</v>
      </c>
      <c r="AR185">
        <v>567.37900000000002</v>
      </c>
      <c r="AS185">
        <v>0</v>
      </c>
      <c r="AT185">
        <v>0</v>
      </c>
      <c r="AU185">
        <v>800</v>
      </c>
      <c r="AV185">
        <v>800</v>
      </c>
    </row>
    <row r="186" spans="2:48" x14ac:dyDescent="0.2">
      <c r="B186">
        <v>142000</v>
      </c>
      <c r="C186">
        <v>1226.45</v>
      </c>
      <c r="D186">
        <v>-2261.59</v>
      </c>
      <c r="E186">
        <v>49421</v>
      </c>
      <c r="F186">
        <v>615.98400000000004</v>
      </c>
      <c r="G186">
        <v>0</v>
      </c>
      <c r="H186">
        <v>0</v>
      </c>
      <c r="I186">
        <v>800</v>
      </c>
      <c r="J186">
        <v>800</v>
      </c>
      <c r="AN186">
        <v>142000</v>
      </c>
      <c r="AO186">
        <v>1314.02</v>
      </c>
      <c r="AP186">
        <v>-2203.4499999999998</v>
      </c>
      <c r="AQ186">
        <v>53804.6</v>
      </c>
      <c r="AR186">
        <v>-282.74299999999999</v>
      </c>
      <c r="AS186">
        <v>0</v>
      </c>
      <c r="AT186">
        <v>0</v>
      </c>
      <c r="AU186">
        <v>800</v>
      </c>
      <c r="AV186">
        <v>800</v>
      </c>
    </row>
    <row r="187" spans="2:48" x14ac:dyDescent="0.2">
      <c r="B187">
        <v>143000</v>
      </c>
      <c r="C187">
        <v>1208.6099999999999</v>
      </c>
      <c r="D187">
        <v>-2261.5100000000002</v>
      </c>
      <c r="E187">
        <v>49675.3</v>
      </c>
      <c r="F187">
        <v>848.97699999999998</v>
      </c>
      <c r="G187">
        <v>0</v>
      </c>
      <c r="H187">
        <v>0</v>
      </c>
      <c r="I187">
        <v>800</v>
      </c>
      <c r="J187">
        <v>800</v>
      </c>
      <c r="AN187">
        <v>143000</v>
      </c>
      <c r="AO187">
        <v>1297.9000000000001</v>
      </c>
      <c r="AP187">
        <v>-2204.4499999999998</v>
      </c>
      <c r="AQ187">
        <v>53798.9</v>
      </c>
      <c r="AR187">
        <v>-419.81099999999998</v>
      </c>
      <c r="AS187">
        <v>0</v>
      </c>
      <c r="AT187">
        <v>0</v>
      </c>
      <c r="AU187">
        <v>800</v>
      </c>
      <c r="AV187">
        <v>800</v>
      </c>
    </row>
    <row r="188" spans="2:48" x14ac:dyDescent="0.2">
      <c r="B188">
        <v>144000</v>
      </c>
      <c r="C188">
        <v>1201.56</v>
      </c>
      <c r="D188">
        <v>-2251.84</v>
      </c>
      <c r="E188">
        <v>49970.400000000001</v>
      </c>
      <c r="F188">
        <v>486.99599999999998</v>
      </c>
      <c r="G188">
        <v>0</v>
      </c>
      <c r="H188">
        <v>0</v>
      </c>
      <c r="I188">
        <v>800</v>
      </c>
      <c r="J188">
        <v>800</v>
      </c>
      <c r="AN188">
        <v>144000</v>
      </c>
      <c r="AO188">
        <v>1318.2</v>
      </c>
      <c r="AP188">
        <v>-2190.81</v>
      </c>
      <c r="AQ188">
        <v>53857.7</v>
      </c>
      <c r="AR188">
        <v>466.92500000000001</v>
      </c>
      <c r="AS188">
        <v>0</v>
      </c>
      <c r="AT188">
        <v>0</v>
      </c>
      <c r="AU188">
        <v>800</v>
      </c>
      <c r="AV188">
        <v>800</v>
      </c>
    </row>
    <row r="189" spans="2:48" x14ac:dyDescent="0.2">
      <c r="B189">
        <v>145000</v>
      </c>
      <c r="C189">
        <v>1197.46</v>
      </c>
      <c r="D189">
        <v>-2259.14</v>
      </c>
      <c r="E189">
        <v>50145.7</v>
      </c>
      <c r="F189">
        <v>-2068.25</v>
      </c>
      <c r="G189">
        <v>0</v>
      </c>
      <c r="H189">
        <v>0</v>
      </c>
      <c r="I189">
        <v>800</v>
      </c>
      <c r="J189">
        <v>800</v>
      </c>
      <c r="AN189">
        <v>145000</v>
      </c>
      <c r="AO189">
        <v>1282.95</v>
      </c>
      <c r="AP189">
        <v>-2196.9899999999998</v>
      </c>
      <c r="AQ189">
        <v>54003.3</v>
      </c>
      <c r="AR189">
        <v>-382.44299999999998</v>
      </c>
      <c r="AS189">
        <v>0</v>
      </c>
      <c r="AT189">
        <v>0</v>
      </c>
      <c r="AU189">
        <v>800</v>
      </c>
      <c r="AV189">
        <v>800</v>
      </c>
    </row>
    <row r="190" spans="2:48" x14ac:dyDescent="0.2">
      <c r="B190">
        <v>146000</v>
      </c>
      <c r="C190">
        <v>1198.94</v>
      </c>
      <c r="D190">
        <v>-2260.35</v>
      </c>
      <c r="E190">
        <v>50015.5</v>
      </c>
      <c r="F190">
        <v>-2338.7600000000002</v>
      </c>
      <c r="G190">
        <v>0</v>
      </c>
      <c r="H190">
        <v>0</v>
      </c>
      <c r="I190">
        <v>800</v>
      </c>
      <c r="J190">
        <v>800</v>
      </c>
      <c r="AN190">
        <v>146000</v>
      </c>
      <c r="AO190">
        <v>1311.1</v>
      </c>
      <c r="AP190">
        <v>-2190.2800000000002</v>
      </c>
      <c r="AQ190">
        <v>54149.3</v>
      </c>
      <c r="AR190">
        <v>43.3446</v>
      </c>
      <c r="AS190">
        <v>0</v>
      </c>
      <c r="AT190">
        <v>0</v>
      </c>
      <c r="AU190">
        <v>800</v>
      </c>
      <c r="AV190">
        <v>800</v>
      </c>
    </row>
    <row r="191" spans="2:48" x14ac:dyDescent="0.2">
      <c r="B191">
        <v>147000</v>
      </c>
      <c r="C191">
        <v>1202.8499999999999</v>
      </c>
      <c r="D191">
        <v>-2255.87</v>
      </c>
      <c r="E191">
        <v>49682.5</v>
      </c>
      <c r="F191">
        <v>-1490.19</v>
      </c>
      <c r="G191">
        <v>0</v>
      </c>
      <c r="H191">
        <v>0</v>
      </c>
      <c r="I191">
        <v>800</v>
      </c>
      <c r="J191">
        <v>800</v>
      </c>
      <c r="AN191">
        <v>147000</v>
      </c>
      <c r="AO191">
        <v>1286.81</v>
      </c>
      <c r="AP191">
        <v>-2199.96</v>
      </c>
      <c r="AQ191">
        <v>54212.6</v>
      </c>
      <c r="AR191">
        <v>226.81200000000001</v>
      </c>
      <c r="AS191">
        <v>0</v>
      </c>
      <c r="AT191">
        <v>0</v>
      </c>
      <c r="AU191">
        <v>800</v>
      </c>
      <c r="AV191">
        <v>800</v>
      </c>
    </row>
    <row r="192" spans="2:48" x14ac:dyDescent="0.2">
      <c r="B192">
        <v>148000</v>
      </c>
      <c r="C192">
        <v>1215.6099999999999</v>
      </c>
      <c r="D192">
        <v>-2256.91</v>
      </c>
      <c r="E192">
        <v>49336.5</v>
      </c>
      <c r="F192">
        <v>245.934</v>
      </c>
      <c r="G192">
        <v>0</v>
      </c>
      <c r="H192">
        <v>0</v>
      </c>
      <c r="I192">
        <v>800</v>
      </c>
      <c r="J192">
        <v>800</v>
      </c>
      <c r="AN192">
        <v>148000</v>
      </c>
      <c r="AO192">
        <v>1281.49</v>
      </c>
      <c r="AP192">
        <v>-2199.31</v>
      </c>
      <c r="AQ192">
        <v>54177.3</v>
      </c>
      <c r="AR192">
        <v>-1017.29</v>
      </c>
      <c r="AS192">
        <v>0</v>
      </c>
      <c r="AT192">
        <v>0</v>
      </c>
      <c r="AU192">
        <v>800</v>
      </c>
      <c r="AV192">
        <v>800</v>
      </c>
    </row>
    <row r="193" spans="2:48" x14ac:dyDescent="0.2">
      <c r="B193">
        <v>149000</v>
      </c>
      <c r="C193">
        <v>1199.8800000000001</v>
      </c>
      <c r="D193">
        <v>-2257.71</v>
      </c>
      <c r="E193">
        <v>49239.6</v>
      </c>
      <c r="F193">
        <v>-252.244</v>
      </c>
      <c r="G193">
        <v>0</v>
      </c>
      <c r="H193">
        <v>0</v>
      </c>
      <c r="I193">
        <v>800</v>
      </c>
      <c r="J193">
        <v>800</v>
      </c>
      <c r="AN193">
        <v>149000</v>
      </c>
      <c r="AO193">
        <v>1306.42</v>
      </c>
      <c r="AP193">
        <v>-2196.84</v>
      </c>
      <c r="AQ193">
        <v>54072.6</v>
      </c>
      <c r="AR193">
        <v>-708.71600000000001</v>
      </c>
      <c r="AS193">
        <v>0</v>
      </c>
      <c r="AT193">
        <v>0</v>
      </c>
      <c r="AU193">
        <v>800</v>
      </c>
      <c r="AV193">
        <v>800</v>
      </c>
    </row>
    <row r="194" spans="2:48" x14ac:dyDescent="0.2">
      <c r="B194">
        <v>150000</v>
      </c>
      <c r="C194">
        <v>1209.8399999999999</v>
      </c>
      <c r="D194">
        <v>-2259.85</v>
      </c>
      <c r="E194">
        <v>49448.800000000003</v>
      </c>
      <c r="F194">
        <v>1268.5899999999999</v>
      </c>
      <c r="G194">
        <v>0</v>
      </c>
      <c r="H194">
        <v>0</v>
      </c>
      <c r="I194">
        <v>800</v>
      </c>
      <c r="J194">
        <v>800</v>
      </c>
      <c r="AN194">
        <v>150000</v>
      </c>
      <c r="AO194">
        <v>1310.33</v>
      </c>
      <c r="AP194">
        <v>-2191.87</v>
      </c>
      <c r="AQ194">
        <v>53962.3</v>
      </c>
      <c r="AR194">
        <v>350.37400000000002</v>
      </c>
      <c r="AS194">
        <v>0</v>
      </c>
      <c r="AT194">
        <v>0</v>
      </c>
      <c r="AU194">
        <v>800</v>
      </c>
      <c r="AV194">
        <v>800</v>
      </c>
    </row>
    <row r="195" spans="2:48" x14ac:dyDescent="0.2">
      <c r="B195">
        <v>151000</v>
      </c>
      <c r="C195">
        <v>1219.04</v>
      </c>
      <c r="D195">
        <v>-2253.75</v>
      </c>
      <c r="E195">
        <v>49759.8</v>
      </c>
      <c r="F195">
        <v>870.83399999999995</v>
      </c>
      <c r="G195">
        <v>0</v>
      </c>
      <c r="H195">
        <v>0</v>
      </c>
      <c r="I195">
        <v>800</v>
      </c>
      <c r="J195">
        <v>800</v>
      </c>
      <c r="AN195">
        <v>151000</v>
      </c>
      <c r="AO195">
        <v>1316.03</v>
      </c>
      <c r="AP195">
        <v>-2193.2399999999998</v>
      </c>
      <c r="AQ195">
        <v>53819.199999999997</v>
      </c>
      <c r="AR195">
        <v>432.53</v>
      </c>
      <c r="AS195">
        <v>0</v>
      </c>
      <c r="AT195">
        <v>0</v>
      </c>
      <c r="AU195">
        <v>800</v>
      </c>
      <c r="AV195">
        <v>800</v>
      </c>
    </row>
    <row r="196" spans="2:48" x14ac:dyDescent="0.2">
      <c r="B196">
        <v>152000</v>
      </c>
      <c r="C196">
        <v>1190.68</v>
      </c>
      <c r="D196">
        <v>-2259.1799999999998</v>
      </c>
      <c r="E196">
        <v>50075.6</v>
      </c>
      <c r="F196">
        <v>-1120.1500000000001</v>
      </c>
      <c r="G196">
        <v>0</v>
      </c>
      <c r="H196">
        <v>0</v>
      </c>
      <c r="I196">
        <v>800</v>
      </c>
      <c r="J196">
        <v>800</v>
      </c>
      <c r="AN196">
        <v>152000</v>
      </c>
      <c r="AO196">
        <v>1312.26</v>
      </c>
      <c r="AP196">
        <v>-2198.8200000000002</v>
      </c>
      <c r="AQ196">
        <v>53701.1</v>
      </c>
      <c r="AR196">
        <v>-331.91199999999998</v>
      </c>
      <c r="AS196">
        <v>0</v>
      </c>
      <c r="AT196">
        <v>0</v>
      </c>
      <c r="AU196">
        <v>800</v>
      </c>
      <c r="AV196">
        <v>800</v>
      </c>
    </row>
    <row r="197" spans="2:48" x14ac:dyDescent="0.2">
      <c r="B197">
        <v>153000</v>
      </c>
      <c r="C197">
        <v>1243.19</v>
      </c>
      <c r="D197">
        <v>-2248.31</v>
      </c>
      <c r="E197">
        <v>50157.2</v>
      </c>
      <c r="F197">
        <v>-831.48400000000004</v>
      </c>
      <c r="G197">
        <v>0</v>
      </c>
      <c r="H197">
        <v>0</v>
      </c>
      <c r="I197">
        <v>800</v>
      </c>
      <c r="J197">
        <v>800</v>
      </c>
      <c r="AN197">
        <v>153000</v>
      </c>
      <c r="AO197">
        <v>1298.6199999999999</v>
      </c>
      <c r="AP197">
        <v>-2207.98</v>
      </c>
      <c r="AQ197">
        <v>53565.1</v>
      </c>
      <c r="AR197">
        <v>-98.680899999999994</v>
      </c>
      <c r="AS197">
        <v>0</v>
      </c>
      <c r="AT197">
        <v>0</v>
      </c>
      <c r="AU197">
        <v>800</v>
      </c>
      <c r="AV197">
        <v>800</v>
      </c>
    </row>
    <row r="198" spans="2:48" x14ac:dyDescent="0.2">
      <c r="B198">
        <v>154000</v>
      </c>
      <c r="C198">
        <v>1197.53</v>
      </c>
      <c r="D198">
        <v>-2247.0500000000002</v>
      </c>
      <c r="E198">
        <v>49884.800000000003</v>
      </c>
      <c r="F198">
        <v>-1750.97</v>
      </c>
      <c r="G198">
        <v>0</v>
      </c>
      <c r="H198">
        <v>0</v>
      </c>
      <c r="I198">
        <v>800</v>
      </c>
      <c r="J198">
        <v>800</v>
      </c>
      <c r="AN198">
        <v>154000</v>
      </c>
      <c r="AO198">
        <v>1288.5</v>
      </c>
      <c r="AP198">
        <v>-2207.62</v>
      </c>
      <c r="AQ198">
        <v>53513.3</v>
      </c>
      <c r="AR198">
        <v>447.84100000000001</v>
      </c>
      <c r="AS198">
        <v>0</v>
      </c>
      <c r="AT198">
        <v>0</v>
      </c>
      <c r="AU198">
        <v>800</v>
      </c>
      <c r="AV198">
        <v>800</v>
      </c>
    </row>
    <row r="199" spans="2:48" x14ac:dyDescent="0.2">
      <c r="B199">
        <v>155000</v>
      </c>
      <c r="C199">
        <v>1200.3599999999999</v>
      </c>
      <c r="D199">
        <v>-2260</v>
      </c>
      <c r="E199">
        <v>49559.6</v>
      </c>
      <c r="F199">
        <v>-123.142</v>
      </c>
      <c r="G199">
        <v>0</v>
      </c>
      <c r="H199">
        <v>0</v>
      </c>
      <c r="I199">
        <v>800</v>
      </c>
      <c r="J199">
        <v>800</v>
      </c>
      <c r="AN199">
        <v>155000</v>
      </c>
      <c r="AO199">
        <v>1309.98</v>
      </c>
      <c r="AP199">
        <v>-2204.37</v>
      </c>
      <c r="AQ199">
        <v>53590.6</v>
      </c>
      <c r="AR199">
        <v>143.82599999999999</v>
      </c>
      <c r="AS199">
        <v>0</v>
      </c>
      <c r="AT199">
        <v>0</v>
      </c>
      <c r="AU199">
        <v>800</v>
      </c>
      <c r="AV199">
        <v>800</v>
      </c>
    </row>
    <row r="200" spans="2:48" x14ac:dyDescent="0.2">
      <c r="B200">
        <v>156000</v>
      </c>
      <c r="C200">
        <v>1186.06</v>
      </c>
      <c r="D200">
        <v>-2261.83</v>
      </c>
      <c r="E200">
        <v>49342.9</v>
      </c>
      <c r="F200">
        <v>907.89300000000003</v>
      </c>
      <c r="G200">
        <v>0</v>
      </c>
      <c r="H200">
        <v>0</v>
      </c>
      <c r="I200">
        <v>800</v>
      </c>
      <c r="J200">
        <v>800</v>
      </c>
      <c r="AN200">
        <v>156000</v>
      </c>
      <c r="AO200">
        <v>1281.6500000000001</v>
      </c>
      <c r="AP200">
        <v>-2202.6999999999998</v>
      </c>
      <c r="AQ200">
        <v>53647.7</v>
      </c>
      <c r="AR200">
        <v>368.80399999999997</v>
      </c>
      <c r="AS200">
        <v>0</v>
      </c>
      <c r="AT200">
        <v>0</v>
      </c>
      <c r="AU200">
        <v>800</v>
      </c>
      <c r="AV200">
        <v>800</v>
      </c>
    </row>
    <row r="201" spans="2:48" x14ac:dyDescent="0.2">
      <c r="B201">
        <v>157000</v>
      </c>
      <c r="C201">
        <v>1191.28</v>
      </c>
      <c r="D201">
        <v>-2259.41</v>
      </c>
      <c r="E201">
        <v>49259.9</v>
      </c>
      <c r="F201">
        <v>1737.7</v>
      </c>
      <c r="G201">
        <v>0</v>
      </c>
      <c r="H201">
        <v>0</v>
      </c>
      <c r="I201">
        <v>800</v>
      </c>
      <c r="J201">
        <v>800</v>
      </c>
      <c r="AN201">
        <v>157000</v>
      </c>
      <c r="AO201">
        <v>1296.8699999999999</v>
      </c>
      <c r="AP201">
        <v>-2209.3200000000002</v>
      </c>
      <c r="AQ201">
        <v>53698.6</v>
      </c>
      <c r="AR201">
        <v>-563.99900000000002</v>
      </c>
      <c r="AS201">
        <v>0</v>
      </c>
      <c r="AT201">
        <v>0</v>
      </c>
      <c r="AU201">
        <v>800</v>
      </c>
      <c r="AV201">
        <v>800</v>
      </c>
    </row>
    <row r="202" spans="2:48" x14ac:dyDescent="0.2">
      <c r="B202">
        <v>158000</v>
      </c>
      <c r="C202">
        <v>1248.81</v>
      </c>
      <c r="D202">
        <v>-2254.8200000000002</v>
      </c>
      <c r="E202">
        <v>49358.5</v>
      </c>
      <c r="F202">
        <v>355.09500000000003</v>
      </c>
      <c r="G202">
        <v>0</v>
      </c>
      <c r="H202">
        <v>0</v>
      </c>
      <c r="I202">
        <v>800</v>
      </c>
      <c r="J202">
        <v>800</v>
      </c>
      <c r="AN202">
        <v>158000</v>
      </c>
      <c r="AO202">
        <v>1283.0899999999999</v>
      </c>
      <c r="AP202">
        <v>-2208.5100000000002</v>
      </c>
      <c r="AQ202">
        <v>53721.9</v>
      </c>
      <c r="AR202">
        <v>419.49400000000003</v>
      </c>
      <c r="AS202">
        <v>0</v>
      </c>
      <c r="AT202">
        <v>0</v>
      </c>
      <c r="AU202">
        <v>800</v>
      </c>
      <c r="AV202">
        <v>800</v>
      </c>
    </row>
    <row r="203" spans="2:48" x14ac:dyDescent="0.2">
      <c r="B203">
        <v>159000</v>
      </c>
      <c r="C203">
        <v>1173.5899999999999</v>
      </c>
      <c r="D203">
        <v>-2263.9699999999998</v>
      </c>
      <c r="E203">
        <v>49432.9</v>
      </c>
      <c r="F203">
        <v>-728.75199999999995</v>
      </c>
      <c r="G203">
        <v>0</v>
      </c>
      <c r="H203">
        <v>0</v>
      </c>
      <c r="I203">
        <v>800</v>
      </c>
      <c r="J203">
        <v>800</v>
      </c>
      <c r="AN203">
        <v>159000</v>
      </c>
      <c r="AO203">
        <v>1298.1199999999999</v>
      </c>
      <c r="AP203">
        <v>-2203.73</v>
      </c>
      <c r="AQ203">
        <v>53701.3</v>
      </c>
      <c r="AR203">
        <v>-251.983</v>
      </c>
      <c r="AS203">
        <v>0</v>
      </c>
      <c r="AT203">
        <v>0</v>
      </c>
      <c r="AU203">
        <v>800</v>
      </c>
      <c r="AV203">
        <v>800</v>
      </c>
    </row>
    <row r="204" spans="2:48" x14ac:dyDescent="0.2">
      <c r="B204">
        <v>160000</v>
      </c>
      <c r="C204">
        <v>1217.28</v>
      </c>
      <c r="D204">
        <v>-2260.84</v>
      </c>
      <c r="E204">
        <v>49575.3</v>
      </c>
      <c r="F204">
        <v>-535.86300000000006</v>
      </c>
      <c r="G204">
        <v>0</v>
      </c>
      <c r="H204">
        <v>0</v>
      </c>
      <c r="I204">
        <v>800</v>
      </c>
      <c r="J204">
        <v>800</v>
      </c>
      <c r="AN204">
        <v>160000</v>
      </c>
      <c r="AO204">
        <v>1294.43</v>
      </c>
      <c r="AP204">
        <v>-2202.0700000000002</v>
      </c>
      <c r="AQ204">
        <v>53657.5</v>
      </c>
      <c r="AR204">
        <v>430.54700000000003</v>
      </c>
      <c r="AS204">
        <v>0</v>
      </c>
      <c r="AT204">
        <v>0</v>
      </c>
      <c r="AU204">
        <v>800</v>
      </c>
      <c r="AV204">
        <v>800</v>
      </c>
    </row>
    <row r="205" spans="2:48" x14ac:dyDescent="0.2">
      <c r="B205">
        <v>161000</v>
      </c>
      <c r="C205">
        <v>1221.1500000000001</v>
      </c>
      <c r="D205">
        <v>-2254.91</v>
      </c>
      <c r="E205">
        <v>49740</v>
      </c>
      <c r="F205">
        <v>-1859.87</v>
      </c>
      <c r="G205">
        <v>0</v>
      </c>
      <c r="H205">
        <v>0</v>
      </c>
      <c r="I205">
        <v>800</v>
      </c>
      <c r="J205">
        <v>800</v>
      </c>
      <c r="AN205">
        <v>161000</v>
      </c>
      <c r="AO205">
        <v>1325.19</v>
      </c>
      <c r="AP205">
        <v>-2198.36</v>
      </c>
      <c r="AQ205">
        <v>53697.9</v>
      </c>
      <c r="AR205">
        <v>-31.136299999999999</v>
      </c>
      <c r="AS205">
        <v>0</v>
      </c>
      <c r="AT205">
        <v>0</v>
      </c>
      <c r="AU205">
        <v>800</v>
      </c>
      <c r="AV205">
        <v>800</v>
      </c>
    </row>
    <row r="206" spans="2:48" x14ac:dyDescent="0.2">
      <c r="B206">
        <v>162000</v>
      </c>
      <c r="C206">
        <v>1239.83</v>
      </c>
      <c r="D206">
        <v>-2253.65</v>
      </c>
      <c r="E206">
        <v>49680.7</v>
      </c>
      <c r="F206">
        <v>1704.95</v>
      </c>
      <c r="G206">
        <v>0</v>
      </c>
      <c r="H206">
        <v>0</v>
      </c>
      <c r="I206">
        <v>800</v>
      </c>
      <c r="J206">
        <v>800</v>
      </c>
      <c r="AN206">
        <v>162000</v>
      </c>
      <c r="AO206">
        <v>1326.74</v>
      </c>
      <c r="AP206">
        <v>-2199.69</v>
      </c>
      <c r="AQ206">
        <v>53796.3</v>
      </c>
      <c r="AR206">
        <v>363.66300000000001</v>
      </c>
      <c r="AS206">
        <v>0</v>
      </c>
      <c r="AT206">
        <v>0</v>
      </c>
      <c r="AU206">
        <v>800</v>
      </c>
      <c r="AV206">
        <v>800</v>
      </c>
    </row>
    <row r="207" spans="2:48" x14ac:dyDescent="0.2">
      <c r="B207">
        <v>163000</v>
      </c>
      <c r="C207">
        <v>1196.1500000000001</v>
      </c>
      <c r="D207">
        <v>-2260.58</v>
      </c>
      <c r="E207">
        <v>49591.4</v>
      </c>
      <c r="F207">
        <v>-110.98399999999999</v>
      </c>
      <c r="G207">
        <v>0</v>
      </c>
      <c r="H207">
        <v>0</v>
      </c>
      <c r="I207">
        <v>800</v>
      </c>
      <c r="J207">
        <v>800</v>
      </c>
      <c r="AN207">
        <v>163000</v>
      </c>
      <c r="AO207">
        <v>1328.47</v>
      </c>
      <c r="AP207">
        <v>-2192.91</v>
      </c>
      <c r="AQ207">
        <v>53907.3</v>
      </c>
      <c r="AR207">
        <v>657.08799999999997</v>
      </c>
      <c r="AS207">
        <v>0</v>
      </c>
      <c r="AT207">
        <v>0</v>
      </c>
      <c r="AU207">
        <v>800</v>
      </c>
      <c r="AV207">
        <v>800</v>
      </c>
    </row>
    <row r="208" spans="2:48" x14ac:dyDescent="0.2">
      <c r="B208">
        <v>164000</v>
      </c>
      <c r="C208">
        <v>1207.01</v>
      </c>
      <c r="D208">
        <v>-2250.87</v>
      </c>
      <c r="E208">
        <v>49521.3</v>
      </c>
      <c r="F208">
        <v>1703.59</v>
      </c>
      <c r="G208">
        <v>0</v>
      </c>
      <c r="H208">
        <v>0</v>
      </c>
      <c r="I208">
        <v>800</v>
      </c>
      <c r="J208">
        <v>800</v>
      </c>
      <c r="AN208">
        <v>164000</v>
      </c>
      <c r="AO208">
        <v>1305.9100000000001</v>
      </c>
      <c r="AP208">
        <v>-2191.6999999999998</v>
      </c>
      <c r="AQ208">
        <v>54022.400000000001</v>
      </c>
      <c r="AR208">
        <v>-373.94799999999998</v>
      </c>
      <c r="AS208">
        <v>0</v>
      </c>
      <c r="AT208">
        <v>0</v>
      </c>
      <c r="AU208">
        <v>800</v>
      </c>
      <c r="AV208">
        <v>800</v>
      </c>
    </row>
    <row r="209" spans="2:48" x14ac:dyDescent="0.2">
      <c r="B209">
        <v>165000</v>
      </c>
      <c r="C209">
        <v>1206</v>
      </c>
      <c r="D209">
        <v>-2251.84</v>
      </c>
      <c r="E209">
        <v>49858.5</v>
      </c>
      <c r="F209">
        <v>406.06</v>
      </c>
      <c r="G209">
        <v>0</v>
      </c>
      <c r="H209">
        <v>0</v>
      </c>
      <c r="I209">
        <v>800</v>
      </c>
      <c r="J209">
        <v>800</v>
      </c>
      <c r="AN209">
        <v>165000</v>
      </c>
      <c r="AO209">
        <v>1295.55</v>
      </c>
      <c r="AP209">
        <v>-2199.8000000000002</v>
      </c>
      <c r="AQ209">
        <v>54167.3</v>
      </c>
      <c r="AR209">
        <v>346.78300000000002</v>
      </c>
      <c r="AS209">
        <v>0</v>
      </c>
      <c r="AT209">
        <v>0</v>
      </c>
      <c r="AU209">
        <v>800</v>
      </c>
      <c r="AV209">
        <v>800</v>
      </c>
    </row>
    <row r="210" spans="2:48" x14ac:dyDescent="0.2">
      <c r="B210">
        <v>166000</v>
      </c>
      <c r="C210">
        <v>1191.52</v>
      </c>
      <c r="D210">
        <v>-2244.7199999999998</v>
      </c>
      <c r="E210">
        <v>50165.4</v>
      </c>
      <c r="F210">
        <v>-1686.45</v>
      </c>
      <c r="G210">
        <v>0</v>
      </c>
      <c r="H210">
        <v>0</v>
      </c>
      <c r="I210">
        <v>800</v>
      </c>
      <c r="J210">
        <v>800</v>
      </c>
      <c r="AN210">
        <v>166000</v>
      </c>
      <c r="AO210">
        <v>1340</v>
      </c>
      <c r="AP210">
        <v>-2194.39</v>
      </c>
      <c r="AQ210">
        <v>54311.199999999997</v>
      </c>
      <c r="AR210">
        <v>-153.16900000000001</v>
      </c>
      <c r="AS210">
        <v>0</v>
      </c>
      <c r="AT210">
        <v>0</v>
      </c>
      <c r="AU210">
        <v>800</v>
      </c>
      <c r="AV210">
        <v>800</v>
      </c>
    </row>
    <row r="211" spans="2:48" x14ac:dyDescent="0.2">
      <c r="B211">
        <v>167000</v>
      </c>
      <c r="C211">
        <v>1210.1400000000001</v>
      </c>
      <c r="D211">
        <v>-2249.9</v>
      </c>
      <c r="E211">
        <v>50110.400000000001</v>
      </c>
      <c r="F211">
        <v>509.17700000000002</v>
      </c>
      <c r="G211">
        <v>0</v>
      </c>
      <c r="H211">
        <v>0</v>
      </c>
      <c r="I211">
        <v>800</v>
      </c>
      <c r="J211">
        <v>800</v>
      </c>
      <c r="AN211">
        <v>167000</v>
      </c>
      <c r="AO211">
        <v>1297.8599999999999</v>
      </c>
      <c r="AP211">
        <v>-2187.6799999999998</v>
      </c>
      <c r="AQ211">
        <v>54370</v>
      </c>
      <c r="AR211">
        <v>-473.98899999999998</v>
      </c>
      <c r="AS211">
        <v>0</v>
      </c>
      <c r="AT211">
        <v>0</v>
      </c>
      <c r="AU211">
        <v>800</v>
      </c>
      <c r="AV211">
        <v>800</v>
      </c>
    </row>
    <row r="212" spans="2:48" x14ac:dyDescent="0.2">
      <c r="B212">
        <v>168000</v>
      </c>
      <c r="C212">
        <v>1212.67</v>
      </c>
      <c r="D212">
        <v>-2244.7199999999998</v>
      </c>
      <c r="E212">
        <v>49882.1</v>
      </c>
      <c r="F212">
        <v>-81.966999999999999</v>
      </c>
      <c r="G212">
        <v>0</v>
      </c>
      <c r="H212">
        <v>0</v>
      </c>
      <c r="I212">
        <v>800</v>
      </c>
      <c r="J212">
        <v>800</v>
      </c>
      <c r="AN212">
        <v>168000</v>
      </c>
      <c r="AO212">
        <v>1306.27</v>
      </c>
      <c r="AP212">
        <v>-2200.41</v>
      </c>
      <c r="AQ212">
        <v>54300.7</v>
      </c>
      <c r="AR212">
        <v>156.44800000000001</v>
      </c>
      <c r="AS212">
        <v>0</v>
      </c>
      <c r="AT212">
        <v>0</v>
      </c>
      <c r="AU212">
        <v>800</v>
      </c>
      <c r="AV212">
        <v>800</v>
      </c>
    </row>
    <row r="213" spans="2:48" x14ac:dyDescent="0.2">
      <c r="B213">
        <v>169000</v>
      </c>
      <c r="C213">
        <v>1175.3599999999999</v>
      </c>
      <c r="D213">
        <v>-2257.36</v>
      </c>
      <c r="E213">
        <v>49592.2</v>
      </c>
      <c r="F213">
        <v>70.388000000000005</v>
      </c>
      <c r="G213">
        <v>0</v>
      </c>
      <c r="H213">
        <v>0</v>
      </c>
      <c r="I213">
        <v>800</v>
      </c>
      <c r="J213">
        <v>800</v>
      </c>
      <c r="AN213">
        <v>169000</v>
      </c>
      <c r="AO213">
        <v>1292.78</v>
      </c>
      <c r="AP213">
        <v>-2200.3000000000002</v>
      </c>
      <c r="AQ213">
        <v>54134.7</v>
      </c>
      <c r="AR213">
        <v>-626.33699999999999</v>
      </c>
      <c r="AS213">
        <v>0</v>
      </c>
      <c r="AT213">
        <v>0</v>
      </c>
      <c r="AU213">
        <v>800</v>
      </c>
      <c r="AV213">
        <v>800</v>
      </c>
    </row>
    <row r="214" spans="2:48" x14ac:dyDescent="0.2">
      <c r="B214">
        <v>170000</v>
      </c>
      <c r="C214">
        <v>1168.47</v>
      </c>
      <c r="D214">
        <v>-2266.9499999999998</v>
      </c>
      <c r="E214">
        <v>49381.4</v>
      </c>
      <c r="F214">
        <v>1987.17</v>
      </c>
      <c r="G214">
        <v>0</v>
      </c>
      <c r="H214">
        <v>0</v>
      </c>
      <c r="I214">
        <v>800</v>
      </c>
      <c r="J214">
        <v>800</v>
      </c>
      <c r="AN214">
        <v>170000</v>
      </c>
      <c r="AO214">
        <v>1293.48</v>
      </c>
      <c r="AP214">
        <v>-2196.09</v>
      </c>
      <c r="AQ214">
        <v>53882.9</v>
      </c>
      <c r="AR214">
        <v>97.929000000000002</v>
      </c>
      <c r="AS214">
        <v>0</v>
      </c>
      <c r="AT214">
        <v>0</v>
      </c>
      <c r="AU214">
        <v>800</v>
      </c>
      <c r="AV214">
        <v>800</v>
      </c>
    </row>
    <row r="215" spans="2:48" x14ac:dyDescent="0.2">
      <c r="B215">
        <v>171000</v>
      </c>
      <c r="C215">
        <v>1198.0999999999999</v>
      </c>
      <c r="D215">
        <v>-2256.33</v>
      </c>
      <c r="E215">
        <v>49396.4</v>
      </c>
      <c r="F215">
        <v>2522.46</v>
      </c>
      <c r="G215">
        <v>0</v>
      </c>
      <c r="H215">
        <v>0</v>
      </c>
      <c r="I215">
        <v>800</v>
      </c>
      <c r="J215">
        <v>800</v>
      </c>
      <c r="AN215">
        <v>171000</v>
      </c>
      <c r="AO215">
        <v>1291.81</v>
      </c>
      <c r="AP215">
        <v>-2210.9</v>
      </c>
      <c r="AQ215">
        <v>53625.9</v>
      </c>
      <c r="AR215">
        <v>-22.994</v>
      </c>
      <c r="AS215">
        <v>0</v>
      </c>
      <c r="AT215">
        <v>0</v>
      </c>
      <c r="AU215">
        <v>800</v>
      </c>
      <c r="AV215">
        <v>800</v>
      </c>
    </row>
    <row r="216" spans="2:48" x14ac:dyDescent="0.2">
      <c r="B216">
        <v>172000</v>
      </c>
      <c r="C216">
        <v>1213.1400000000001</v>
      </c>
      <c r="D216">
        <v>-2255.5100000000002</v>
      </c>
      <c r="E216">
        <v>49571.1</v>
      </c>
      <c r="F216">
        <v>1123.55</v>
      </c>
      <c r="G216">
        <v>0</v>
      </c>
      <c r="H216">
        <v>0</v>
      </c>
      <c r="I216">
        <v>800</v>
      </c>
      <c r="J216">
        <v>800</v>
      </c>
      <c r="AN216">
        <v>172000</v>
      </c>
      <c r="AO216">
        <v>1318.56</v>
      </c>
      <c r="AP216">
        <v>-2202.59</v>
      </c>
      <c r="AQ216">
        <v>53481.4</v>
      </c>
      <c r="AR216">
        <v>343.16699999999997</v>
      </c>
      <c r="AS216">
        <v>0</v>
      </c>
      <c r="AT216">
        <v>0</v>
      </c>
      <c r="AU216">
        <v>800</v>
      </c>
      <c r="AV216">
        <v>800</v>
      </c>
    </row>
    <row r="217" spans="2:48" x14ac:dyDescent="0.2">
      <c r="B217">
        <v>173000</v>
      </c>
      <c r="C217">
        <v>1212.57</v>
      </c>
      <c r="D217">
        <v>-2254.2800000000002</v>
      </c>
      <c r="E217">
        <v>49778.8</v>
      </c>
      <c r="F217">
        <v>675.096</v>
      </c>
      <c r="G217">
        <v>0</v>
      </c>
      <c r="H217">
        <v>0</v>
      </c>
      <c r="I217">
        <v>800</v>
      </c>
      <c r="J217">
        <v>800</v>
      </c>
      <c r="AN217">
        <v>173000</v>
      </c>
      <c r="AO217">
        <v>1290.71</v>
      </c>
      <c r="AP217">
        <v>-2205.65</v>
      </c>
      <c r="AQ217">
        <v>53470.2</v>
      </c>
      <c r="AR217">
        <v>-286.90199999999999</v>
      </c>
      <c r="AS217">
        <v>0</v>
      </c>
      <c r="AT217">
        <v>0</v>
      </c>
      <c r="AU217">
        <v>800</v>
      </c>
      <c r="AV217">
        <v>800</v>
      </c>
    </row>
    <row r="218" spans="2:48" x14ac:dyDescent="0.2">
      <c r="B218">
        <v>174000</v>
      </c>
      <c r="C218">
        <v>1217.3599999999999</v>
      </c>
      <c r="D218">
        <v>-2249.9</v>
      </c>
      <c r="E218">
        <v>49861</v>
      </c>
      <c r="F218">
        <v>654.80100000000004</v>
      </c>
      <c r="G218">
        <v>0</v>
      </c>
      <c r="H218">
        <v>0</v>
      </c>
      <c r="I218">
        <v>800</v>
      </c>
      <c r="J218">
        <v>800</v>
      </c>
      <c r="AN218">
        <v>174000</v>
      </c>
      <c r="AO218">
        <v>1341.14</v>
      </c>
      <c r="AP218">
        <v>-2200.7399999999998</v>
      </c>
      <c r="AQ218">
        <v>53579</v>
      </c>
      <c r="AR218">
        <v>91.933000000000007</v>
      </c>
      <c r="AS218">
        <v>0</v>
      </c>
      <c r="AT218">
        <v>0</v>
      </c>
      <c r="AU218">
        <v>800</v>
      </c>
      <c r="AV218">
        <v>800</v>
      </c>
    </row>
    <row r="219" spans="2:48" x14ac:dyDescent="0.2">
      <c r="B219">
        <v>175000</v>
      </c>
      <c r="C219">
        <v>1212.8499999999999</v>
      </c>
      <c r="D219">
        <v>-2252.63</v>
      </c>
      <c r="E219">
        <v>49716.2</v>
      </c>
      <c r="F219">
        <v>-146.232</v>
      </c>
      <c r="G219">
        <v>0</v>
      </c>
      <c r="H219">
        <v>0</v>
      </c>
      <c r="I219">
        <v>800</v>
      </c>
      <c r="J219">
        <v>800</v>
      </c>
      <c r="AN219">
        <v>175000</v>
      </c>
      <c r="AO219">
        <v>1322.52</v>
      </c>
      <c r="AP219">
        <v>-2198</v>
      </c>
      <c r="AQ219">
        <v>53815.6</v>
      </c>
      <c r="AR219">
        <v>178.548</v>
      </c>
      <c r="AS219">
        <v>0</v>
      </c>
      <c r="AT219">
        <v>0</v>
      </c>
      <c r="AU219">
        <v>800</v>
      </c>
      <c r="AV219">
        <v>800</v>
      </c>
    </row>
    <row r="220" spans="2:48" x14ac:dyDescent="0.2">
      <c r="B220">
        <v>176000</v>
      </c>
      <c r="C220">
        <v>1221.1199999999999</v>
      </c>
      <c r="D220">
        <v>-2265.2399999999998</v>
      </c>
      <c r="E220">
        <v>49453.9</v>
      </c>
      <c r="F220">
        <v>-1032.67</v>
      </c>
      <c r="G220">
        <v>0</v>
      </c>
      <c r="H220">
        <v>0</v>
      </c>
      <c r="I220">
        <v>800</v>
      </c>
      <c r="J220">
        <v>800</v>
      </c>
      <c r="AN220">
        <v>176000</v>
      </c>
      <c r="AO220">
        <v>1307.04</v>
      </c>
      <c r="AP220">
        <v>-2199.21</v>
      </c>
      <c r="AQ220">
        <v>54138.8</v>
      </c>
      <c r="AR220">
        <v>-396.50099999999998</v>
      </c>
      <c r="AS220">
        <v>0</v>
      </c>
      <c r="AT220">
        <v>0</v>
      </c>
      <c r="AU220">
        <v>800</v>
      </c>
      <c r="AV220">
        <v>800</v>
      </c>
    </row>
    <row r="221" spans="2:48" x14ac:dyDescent="0.2">
      <c r="B221">
        <v>177000</v>
      </c>
      <c r="C221">
        <v>1225.5999999999999</v>
      </c>
      <c r="D221">
        <v>-2262.23</v>
      </c>
      <c r="E221">
        <v>49183.5</v>
      </c>
      <c r="F221">
        <v>1567.26</v>
      </c>
      <c r="G221">
        <v>0</v>
      </c>
      <c r="H221">
        <v>0</v>
      </c>
      <c r="I221">
        <v>800</v>
      </c>
      <c r="J221">
        <v>800</v>
      </c>
      <c r="AN221">
        <v>177000</v>
      </c>
      <c r="AO221">
        <v>1260.75</v>
      </c>
      <c r="AP221">
        <v>-2193.4499999999998</v>
      </c>
      <c r="AQ221">
        <v>54377.8</v>
      </c>
      <c r="AR221">
        <v>286.70400000000001</v>
      </c>
      <c r="AS221">
        <v>0</v>
      </c>
      <c r="AT221">
        <v>0</v>
      </c>
      <c r="AU221">
        <v>800</v>
      </c>
      <c r="AV221">
        <v>800</v>
      </c>
    </row>
    <row r="222" spans="2:48" x14ac:dyDescent="0.2">
      <c r="B222">
        <v>178000</v>
      </c>
      <c r="C222">
        <v>1213.32</v>
      </c>
      <c r="D222">
        <v>-2259.5500000000002</v>
      </c>
      <c r="E222">
        <v>49274.5</v>
      </c>
      <c r="F222">
        <v>923.44899999999996</v>
      </c>
      <c r="G222">
        <v>0</v>
      </c>
      <c r="H222">
        <v>0</v>
      </c>
      <c r="I222">
        <v>800</v>
      </c>
      <c r="J222">
        <v>800</v>
      </c>
      <c r="AN222">
        <v>178000</v>
      </c>
      <c r="AO222">
        <v>1312.52</v>
      </c>
      <c r="AP222">
        <v>-2191.39</v>
      </c>
      <c r="AQ222">
        <v>54521.2</v>
      </c>
      <c r="AR222">
        <v>-394.27</v>
      </c>
      <c r="AS222">
        <v>0</v>
      </c>
      <c r="AT222">
        <v>0</v>
      </c>
      <c r="AU222">
        <v>800</v>
      </c>
      <c r="AV222">
        <v>800</v>
      </c>
    </row>
    <row r="223" spans="2:48" x14ac:dyDescent="0.2">
      <c r="B223">
        <v>179000</v>
      </c>
      <c r="C223">
        <v>1214.29</v>
      </c>
      <c r="D223">
        <v>-2257.87</v>
      </c>
      <c r="E223">
        <v>49592.7</v>
      </c>
      <c r="F223">
        <v>725.70600000000002</v>
      </c>
      <c r="G223">
        <v>0</v>
      </c>
      <c r="H223">
        <v>0</v>
      </c>
      <c r="I223">
        <v>800</v>
      </c>
      <c r="J223">
        <v>800</v>
      </c>
      <c r="AN223">
        <v>179000</v>
      </c>
      <c r="AO223">
        <v>1300.3499999999999</v>
      </c>
      <c r="AP223">
        <v>-2194.2199999999998</v>
      </c>
      <c r="AQ223">
        <v>54509.1</v>
      </c>
      <c r="AR223">
        <v>-953.66</v>
      </c>
      <c r="AS223">
        <v>0</v>
      </c>
      <c r="AT223">
        <v>0</v>
      </c>
      <c r="AU223">
        <v>800</v>
      </c>
      <c r="AV223">
        <v>800</v>
      </c>
    </row>
    <row r="224" spans="2:48" x14ac:dyDescent="0.2">
      <c r="B224">
        <v>180000</v>
      </c>
      <c r="C224">
        <v>1183.73</v>
      </c>
      <c r="D224">
        <v>-2255.86</v>
      </c>
      <c r="E224">
        <v>49897.599999999999</v>
      </c>
      <c r="F224">
        <v>-1584.47</v>
      </c>
      <c r="G224">
        <v>0</v>
      </c>
      <c r="H224">
        <v>0</v>
      </c>
      <c r="I224">
        <v>800</v>
      </c>
      <c r="J224">
        <v>800</v>
      </c>
      <c r="AN224">
        <v>180000</v>
      </c>
      <c r="AO224">
        <v>1296.0899999999999</v>
      </c>
      <c r="AP224">
        <v>-2195.5300000000002</v>
      </c>
      <c r="AQ224">
        <v>54344</v>
      </c>
      <c r="AR224">
        <v>-1211.21</v>
      </c>
      <c r="AS224">
        <v>0</v>
      </c>
      <c r="AT224">
        <v>0</v>
      </c>
      <c r="AU224">
        <v>800</v>
      </c>
      <c r="AV224">
        <v>800</v>
      </c>
    </row>
    <row r="225" spans="2:48" x14ac:dyDescent="0.2">
      <c r="B225">
        <v>181000</v>
      </c>
      <c r="C225">
        <v>1214.27</v>
      </c>
      <c r="D225">
        <v>-2251.4299999999998</v>
      </c>
      <c r="E225">
        <v>50078</v>
      </c>
      <c r="F225">
        <v>2598.3000000000002</v>
      </c>
      <c r="G225">
        <v>0</v>
      </c>
      <c r="H225">
        <v>0</v>
      </c>
      <c r="I225">
        <v>800</v>
      </c>
      <c r="J225">
        <v>800</v>
      </c>
      <c r="AN225">
        <v>181000</v>
      </c>
      <c r="AO225">
        <v>1294.1300000000001</v>
      </c>
      <c r="AP225">
        <v>-2193.7199999999998</v>
      </c>
      <c r="AQ225">
        <v>54071.8</v>
      </c>
      <c r="AR225">
        <v>113.57899999999999</v>
      </c>
      <c r="AS225">
        <v>0</v>
      </c>
      <c r="AT225">
        <v>0</v>
      </c>
      <c r="AU225">
        <v>800</v>
      </c>
      <c r="AV225">
        <v>800</v>
      </c>
    </row>
    <row r="226" spans="2:48" x14ac:dyDescent="0.2">
      <c r="B226">
        <v>182000</v>
      </c>
      <c r="C226">
        <v>1194.1300000000001</v>
      </c>
      <c r="D226">
        <v>-2256.0300000000002</v>
      </c>
      <c r="E226">
        <v>50165.599999999999</v>
      </c>
      <c r="F226">
        <v>281.41699999999997</v>
      </c>
      <c r="G226">
        <v>0</v>
      </c>
      <c r="H226">
        <v>0</v>
      </c>
      <c r="I226">
        <v>800</v>
      </c>
      <c r="J226">
        <v>800</v>
      </c>
      <c r="AN226">
        <v>182000</v>
      </c>
      <c r="AO226">
        <v>1261.19</v>
      </c>
      <c r="AP226">
        <v>-2212.25</v>
      </c>
      <c r="AQ226">
        <v>53749.599999999999</v>
      </c>
      <c r="AR226">
        <v>-173.607</v>
      </c>
      <c r="AS226">
        <v>0</v>
      </c>
      <c r="AT226">
        <v>0</v>
      </c>
      <c r="AU226">
        <v>800</v>
      </c>
      <c r="AV226">
        <v>800</v>
      </c>
    </row>
    <row r="227" spans="2:48" x14ac:dyDescent="0.2">
      <c r="B227">
        <v>183000</v>
      </c>
      <c r="C227">
        <v>1169.3800000000001</v>
      </c>
      <c r="D227">
        <v>-2262.9699999999998</v>
      </c>
      <c r="E227">
        <v>49973.8</v>
      </c>
      <c r="F227">
        <v>-890.95799999999997</v>
      </c>
      <c r="G227">
        <v>0</v>
      </c>
      <c r="H227">
        <v>0</v>
      </c>
      <c r="I227">
        <v>800</v>
      </c>
      <c r="J227">
        <v>800</v>
      </c>
      <c r="AN227">
        <v>183000</v>
      </c>
      <c r="AO227">
        <v>1304.8900000000001</v>
      </c>
      <c r="AP227">
        <v>-2203.44</v>
      </c>
      <c r="AQ227">
        <v>53450.2</v>
      </c>
      <c r="AR227">
        <v>-25.0807</v>
      </c>
      <c r="AS227">
        <v>0</v>
      </c>
      <c r="AT227">
        <v>0</v>
      </c>
      <c r="AU227">
        <v>800</v>
      </c>
      <c r="AV227">
        <v>800</v>
      </c>
    </row>
    <row r="228" spans="2:48" x14ac:dyDescent="0.2">
      <c r="B228">
        <v>184000</v>
      </c>
      <c r="C228">
        <v>1202.3800000000001</v>
      </c>
      <c r="D228">
        <v>-2251.29</v>
      </c>
      <c r="E228">
        <v>49601.8</v>
      </c>
      <c r="F228">
        <v>406.41899999999998</v>
      </c>
      <c r="G228">
        <v>0</v>
      </c>
      <c r="H228">
        <v>0</v>
      </c>
      <c r="I228">
        <v>800</v>
      </c>
      <c r="J228">
        <v>800</v>
      </c>
      <c r="AN228">
        <v>184000</v>
      </c>
      <c r="AO228">
        <v>1272.3599999999999</v>
      </c>
      <c r="AP228">
        <v>-2212.34</v>
      </c>
      <c r="AQ228">
        <v>53246.9</v>
      </c>
      <c r="AR228">
        <v>386.51</v>
      </c>
      <c r="AS228">
        <v>0</v>
      </c>
      <c r="AT228">
        <v>0</v>
      </c>
      <c r="AU228">
        <v>800</v>
      </c>
      <c r="AV228">
        <v>800</v>
      </c>
    </row>
    <row r="229" spans="2:48" x14ac:dyDescent="0.2">
      <c r="B229">
        <v>185000</v>
      </c>
      <c r="C229">
        <v>1165.23</v>
      </c>
      <c r="D229">
        <v>-2262.9299999999998</v>
      </c>
      <c r="E229">
        <v>49303.199999999997</v>
      </c>
      <c r="F229">
        <v>-435.173</v>
      </c>
      <c r="G229">
        <v>0</v>
      </c>
      <c r="H229">
        <v>0</v>
      </c>
      <c r="I229">
        <v>800</v>
      </c>
      <c r="J229">
        <v>800</v>
      </c>
      <c r="AN229">
        <v>185000</v>
      </c>
      <c r="AO229">
        <v>1310.74</v>
      </c>
      <c r="AP229">
        <v>-2204.08</v>
      </c>
      <c r="AQ229">
        <v>53193.8</v>
      </c>
      <c r="AR229">
        <v>120.30800000000001</v>
      </c>
      <c r="AS229">
        <v>0</v>
      </c>
      <c r="AT229">
        <v>0</v>
      </c>
      <c r="AU229">
        <v>800</v>
      </c>
      <c r="AV229">
        <v>800</v>
      </c>
    </row>
    <row r="230" spans="2:48" x14ac:dyDescent="0.2">
      <c r="B230">
        <v>186000</v>
      </c>
      <c r="C230">
        <v>1204.8699999999999</v>
      </c>
      <c r="D230">
        <v>-2256.84</v>
      </c>
      <c r="E230">
        <v>49204.9</v>
      </c>
      <c r="F230">
        <v>822.15099999999995</v>
      </c>
      <c r="G230">
        <v>0</v>
      </c>
      <c r="H230">
        <v>0</v>
      </c>
      <c r="I230">
        <v>800</v>
      </c>
      <c r="J230">
        <v>800</v>
      </c>
      <c r="AN230">
        <v>186000</v>
      </c>
      <c r="AO230">
        <v>1273.04</v>
      </c>
      <c r="AP230">
        <v>-2203.81</v>
      </c>
      <c r="AQ230">
        <v>53318.2</v>
      </c>
      <c r="AR230">
        <v>-937.05600000000004</v>
      </c>
      <c r="AS230">
        <v>0</v>
      </c>
      <c r="AT230">
        <v>0</v>
      </c>
      <c r="AU230">
        <v>800</v>
      </c>
      <c r="AV230">
        <v>800</v>
      </c>
    </row>
    <row r="231" spans="2:48" x14ac:dyDescent="0.2">
      <c r="B231">
        <v>187000</v>
      </c>
      <c r="C231">
        <v>1185.6500000000001</v>
      </c>
      <c r="D231">
        <v>-2266.2199999999998</v>
      </c>
      <c r="E231">
        <v>49231</v>
      </c>
      <c r="F231">
        <v>475.33800000000002</v>
      </c>
      <c r="G231">
        <v>0</v>
      </c>
      <c r="H231">
        <v>0</v>
      </c>
      <c r="I231">
        <v>800</v>
      </c>
      <c r="J231">
        <v>800</v>
      </c>
      <c r="AN231">
        <v>187000</v>
      </c>
      <c r="AO231">
        <v>1309.3699999999999</v>
      </c>
      <c r="AP231">
        <v>-2203.75</v>
      </c>
      <c r="AQ231">
        <v>53489.8</v>
      </c>
      <c r="AR231">
        <v>1612.37</v>
      </c>
      <c r="AS231">
        <v>0</v>
      </c>
      <c r="AT231">
        <v>0</v>
      </c>
      <c r="AU231">
        <v>800</v>
      </c>
      <c r="AV231">
        <v>800</v>
      </c>
    </row>
    <row r="232" spans="2:48" x14ac:dyDescent="0.2">
      <c r="B232">
        <v>188000</v>
      </c>
      <c r="C232">
        <v>1221.53</v>
      </c>
      <c r="D232">
        <v>-2249.9699999999998</v>
      </c>
      <c r="E232">
        <v>49266.8</v>
      </c>
      <c r="F232">
        <v>1886.97</v>
      </c>
      <c r="G232">
        <v>0</v>
      </c>
      <c r="H232">
        <v>0</v>
      </c>
      <c r="I232">
        <v>800</v>
      </c>
      <c r="J232">
        <v>800</v>
      </c>
      <c r="AN232">
        <v>188000</v>
      </c>
      <c r="AO232">
        <v>1365.82</v>
      </c>
      <c r="AP232">
        <v>-2201.81</v>
      </c>
      <c r="AQ232">
        <v>53776.2</v>
      </c>
      <c r="AR232">
        <v>311.49200000000002</v>
      </c>
      <c r="AS232">
        <v>0</v>
      </c>
      <c r="AT232">
        <v>0</v>
      </c>
      <c r="AU232">
        <v>800</v>
      </c>
      <c r="AV232">
        <v>800</v>
      </c>
    </row>
    <row r="233" spans="2:48" x14ac:dyDescent="0.2">
      <c r="B233">
        <v>189000</v>
      </c>
      <c r="C233">
        <v>1194.48</v>
      </c>
      <c r="D233">
        <v>-2256.9499999999998</v>
      </c>
      <c r="E233">
        <v>49501.9</v>
      </c>
      <c r="F233">
        <v>470.13799999999998</v>
      </c>
      <c r="G233">
        <v>0</v>
      </c>
      <c r="H233">
        <v>0</v>
      </c>
      <c r="I233">
        <v>800</v>
      </c>
      <c r="J233">
        <v>800</v>
      </c>
      <c r="AN233">
        <v>189000</v>
      </c>
      <c r="AO233">
        <v>1334.46</v>
      </c>
      <c r="AP233">
        <v>-2202</v>
      </c>
      <c r="AQ233">
        <v>54101.2</v>
      </c>
      <c r="AR233">
        <v>268.08199999999999</v>
      </c>
      <c r="AS233">
        <v>0</v>
      </c>
      <c r="AT233">
        <v>0</v>
      </c>
      <c r="AU233">
        <v>800</v>
      </c>
      <c r="AV233">
        <v>800</v>
      </c>
    </row>
    <row r="234" spans="2:48" x14ac:dyDescent="0.2">
      <c r="B234">
        <v>190000</v>
      </c>
      <c r="C234">
        <v>1175.47</v>
      </c>
      <c r="D234">
        <v>-2258.58</v>
      </c>
      <c r="E234">
        <v>49597.599999999999</v>
      </c>
      <c r="F234">
        <v>-1137.4000000000001</v>
      </c>
      <c r="G234">
        <v>0</v>
      </c>
      <c r="H234">
        <v>0</v>
      </c>
      <c r="I234">
        <v>800</v>
      </c>
      <c r="J234">
        <v>800</v>
      </c>
      <c r="AN234">
        <v>190000</v>
      </c>
      <c r="AO234">
        <v>1302.56</v>
      </c>
      <c r="AP234">
        <v>-2191.52</v>
      </c>
      <c r="AQ234">
        <v>54453.4</v>
      </c>
      <c r="AR234">
        <v>171.041</v>
      </c>
      <c r="AS234">
        <v>0</v>
      </c>
      <c r="AT234">
        <v>0</v>
      </c>
      <c r="AU234">
        <v>800</v>
      </c>
      <c r="AV234">
        <v>800</v>
      </c>
    </row>
    <row r="235" spans="2:48" x14ac:dyDescent="0.2">
      <c r="B235">
        <v>191000</v>
      </c>
      <c r="C235">
        <v>1217.24</v>
      </c>
      <c r="D235">
        <v>-2251.84</v>
      </c>
      <c r="E235">
        <v>49546.400000000001</v>
      </c>
      <c r="F235">
        <v>534.97</v>
      </c>
      <c r="G235">
        <v>0</v>
      </c>
      <c r="H235">
        <v>0</v>
      </c>
      <c r="I235">
        <v>800</v>
      </c>
      <c r="J235">
        <v>800</v>
      </c>
      <c r="AN235">
        <v>191000</v>
      </c>
      <c r="AO235">
        <v>1306.97</v>
      </c>
      <c r="AP235">
        <v>-2184.12</v>
      </c>
      <c r="AQ235">
        <v>54741.2</v>
      </c>
      <c r="AR235">
        <v>-859.59199999999998</v>
      </c>
      <c r="AS235">
        <v>0</v>
      </c>
      <c r="AT235">
        <v>0</v>
      </c>
      <c r="AU235">
        <v>800</v>
      </c>
      <c r="AV235">
        <v>800</v>
      </c>
    </row>
    <row r="236" spans="2:48" x14ac:dyDescent="0.2">
      <c r="B236">
        <v>192000</v>
      </c>
      <c r="C236">
        <v>1195.73</v>
      </c>
      <c r="D236">
        <v>-2254.65</v>
      </c>
      <c r="E236">
        <v>49456.6</v>
      </c>
      <c r="F236">
        <v>552.62400000000002</v>
      </c>
      <c r="G236">
        <v>0</v>
      </c>
      <c r="H236">
        <v>0</v>
      </c>
      <c r="I236">
        <v>800</v>
      </c>
      <c r="J236">
        <v>800</v>
      </c>
      <c r="AN236">
        <v>192000</v>
      </c>
      <c r="AO236">
        <v>1309.1500000000001</v>
      </c>
      <c r="AP236">
        <v>-2193.88</v>
      </c>
      <c r="AQ236">
        <v>54845.4</v>
      </c>
      <c r="AR236">
        <v>-897.58</v>
      </c>
      <c r="AS236">
        <v>0</v>
      </c>
      <c r="AT236">
        <v>0</v>
      </c>
      <c r="AU236">
        <v>800</v>
      </c>
      <c r="AV236">
        <v>800</v>
      </c>
    </row>
    <row r="237" spans="2:48" x14ac:dyDescent="0.2">
      <c r="B237">
        <v>193000</v>
      </c>
      <c r="C237">
        <v>1217.8499999999999</v>
      </c>
      <c r="D237">
        <v>-2258.0700000000002</v>
      </c>
      <c r="E237">
        <v>49511.1</v>
      </c>
      <c r="F237">
        <v>-1300.8</v>
      </c>
      <c r="G237">
        <v>0</v>
      </c>
      <c r="H237">
        <v>0</v>
      </c>
      <c r="I237">
        <v>800</v>
      </c>
      <c r="J237">
        <v>800</v>
      </c>
      <c r="AN237">
        <v>193000</v>
      </c>
      <c r="AO237">
        <v>1287.1500000000001</v>
      </c>
      <c r="AP237">
        <v>-2188.08</v>
      </c>
      <c r="AQ237">
        <v>54744.3</v>
      </c>
      <c r="AR237">
        <v>-693.822</v>
      </c>
      <c r="AS237">
        <v>0</v>
      </c>
      <c r="AT237">
        <v>0</v>
      </c>
      <c r="AU237">
        <v>800</v>
      </c>
      <c r="AV237">
        <v>800</v>
      </c>
    </row>
    <row r="238" spans="2:48" x14ac:dyDescent="0.2">
      <c r="B238">
        <v>194000</v>
      </c>
      <c r="C238">
        <v>1162.1099999999999</v>
      </c>
      <c r="D238">
        <v>-2259.88</v>
      </c>
      <c r="E238">
        <v>49619</v>
      </c>
      <c r="F238">
        <v>-889.423</v>
      </c>
      <c r="G238">
        <v>0</v>
      </c>
      <c r="H238">
        <v>0</v>
      </c>
      <c r="I238">
        <v>800</v>
      </c>
      <c r="J238">
        <v>800</v>
      </c>
      <c r="AN238">
        <v>194000</v>
      </c>
      <c r="AO238">
        <v>1313.56</v>
      </c>
      <c r="AP238">
        <v>-2189.71</v>
      </c>
      <c r="AQ238">
        <v>54448.1</v>
      </c>
      <c r="AR238">
        <v>564.58900000000006</v>
      </c>
      <c r="AS238">
        <v>0</v>
      </c>
      <c r="AT238">
        <v>0</v>
      </c>
      <c r="AU238">
        <v>800</v>
      </c>
      <c r="AV238">
        <v>800</v>
      </c>
    </row>
    <row r="239" spans="2:48" x14ac:dyDescent="0.2">
      <c r="B239">
        <v>195000</v>
      </c>
      <c r="C239">
        <v>1195.51</v>
      </c>
      <c r="D239">
        <v>-2258.5</v>
      </c>
      <c r="E239">
        <v>49666.2</v>
      </c>
      <c r="F239">
        <v>-1205.94</v>
      </c>
      <c r="G239">
        <v>0</v>
      </c>
      <c r="H239">
        <v>0</v>
      </c>
      <c r="I239">
        <v>800</v>
      </c>
      <c r="J239">
        <v>800</v>
      </c>
      <c r="AN239">
        <v>195000</v>
      </c>
      <c r="AO239">
        <v>1273.8399999999999</v>
      </c>
      <c r="AP239">
        <v>-2207.4</v>
      </c>
      <c r="AQ239">
        <v>54073.9</v>
      </c>
      <c r="AR239">
        <v>-543.44799999999998</v>
      </c>
      <c r="AS239">
        <v>0</v>
      </c>
      <c r="AT239">
        <v>0</v>
      </c>
      <c r="AU239">
        <v>800</v>
      </c>
      <c r="AV239">
        <v>800</v>
      </c>
    </row>
    <row r="240" spans="2:48" x14ac:dyDescent="0.2">
      <c r="B240">
        <v>196000</v>
      </c>
      <c r="C240">
        <v>1183.76</v>
      </c>
      <c r="D240">
        <v>-2255.48</v>
      </c>
      <c r="E240">
        <v>49512.2</v>
      </c>
      <c r="F240">
        <v>199.13300000000001</v>
      </c>
      <c r="G240">
        <v>0</v>
      </c>
      <c r="H240">
        <v>0</v>
      </c>
      <c r="I240">
        <v>800</v>
      </c>
      <c r="J240">
        <v>800</v>
      </c>
      <c r="AN240">
        <v>196000</v>
      </c>
      <c r="AO240">
        <v>1306.58</v>
      </c>
      <c r="AP240">
        <v>-2200.9899999999998</v>
      </c>
      <c r="AQ240">
        <v>53589.3</v>
      </c>
      <c r="AR240">
        <v>683.27099999999996</v>
      </c>
      <c r="AS240">
        <v>0</v>
      </c>
      <c r="AT240">
        <v>0</v>
      </c>
      <c r="AU240">
        <v>800</v>
      </c>
      <c r="AV240">
        <v>800</v>
      </c>
    </row>
    <row r="241" spans="2:48" x14ac:dyDescent="0.2">
      <c r="B241">
        <v>197000</v>
      </c>
      <c r="C241">
        <v>1217.29</v>
      </c>
      <c r="D241">
        <v>-2255.75</v>
      </c>
      <c r="E241">
        <v>49240.2</v>
      </c>
      <c r="F241">
        <v>341.053</v>
      </c>
      <c r="G241">
        <v>0</v>
      </c>
      <c r="H241">
        <v>0</v>
      </c>
      <c r="I241">
        <v>800</v>
      </c>
      <c r="J241">
        <v>800</v>
      </c>
      <c r="AN241">
        <v>197000</v>
      </c>
      <c r="AO241">
        <v>1292.8800000000001</v>
      </c>
      <c r="AP241">
        <v>-2208.71</v>
      </c>
      <c r="AQ241">
        <v>53167.9</v>
      </c>
      <c r="AR241">
        <v>384.71499999999997</v>
      </c>
      <c r="AS241">
        <v>0</v>
      </c>
      <c r="AT241">
        <v>0</v>
      </c>
      <c r="AU241">
        <v>800</v>
      </c>
      <c r="AV241">
        <v>800</v>
      </c>
    </row>
    <row r="242" spans="2:48" x14ac:dyDescent="0.2">
      <c r="B242">
        <v>198000</v>
      </c>
      <c r="C242">
        <v>1179.5</v>
      </c>
      <c r="D242">
        <v>-2266.34</v>
      </c>
      <c r="E242">
        <v>49061.8</v>
      </c>
      <c r="F242">
        <v>1465.68</v>
      </c>
      <c r="G242">
        <v>0</v>
      </c>
      <c r="H242">
        <v>0</v>
      </c>
      <c r="I242">
        <v>800</v>
      </c>
      <c r="J242">
        <v>800</v>
      </c>
      <c r="AN242">
        <v>198000</v>
      </c>
      <c r="AO242">
        <v>1324.03</v>
      </c>
      <c r="AP242">
        <v>-2202.52</v>
      </c>
      <c r="AQ242">
        <v>52875.199999999997</v>
      </c>
      <c r="AR242">
        <v>1703.59</v>
      </c>
      <c r="AS242">
        <v>0</v>
      </c>
      <c r="AT242">
        <v>0</v>
      </c>
      <c r="AU242">
        <v>800</v>
      </c>
      <c r="AV242">
        <v>800</v>
      </c>
    </row>
    <row r="243" spans="2:48" x14ac:dyDescent="0.2">
      <c r="B243">
        <v>199000</v>
      </c>
      <c r="C243">
        <v>1225.75</v>
      </c>
      <c r="D243">
        <v>-2260.7399999999998</v>
      </c>
      <c r="E243">
        <v>49199.3</v>
      </c>
      <c r="F243">
        <v>786.60699999999997</v>
      </c>
      <c r="G243">
        <v>0</v>
      </c>
      <c r="H243">
        <v>0</v>
      </c>
      <c r="I243">
        <v>800</v>
      </c>
      <c r="J243">
        <v>800</v>
      </c>
      <c r="AN243">
        <v>199000</v>
      </c>
      <c r="AO243">
        <v>1314.53</v>
      </c>
      <c r="AP243">
        <v>-2203.66</v>
      </c>
      <c r="AQ243">
        <v>52895.9</v>
      </c>
      <c r="AR243">
        <v>1084.0899999999999</v>
      </c>
      <c r="AS243">
        <v>0</v>
      </c>
      <c r="AT243">
        <v>0</v>
      </c>
      <c r="AU243">
        <v>800</v>
      </c>
      <c r="AV243">
        <v>800</v>
      </c>
    </row>
    <row r="244" spans="2:48" x14ac:dyDescent="0.2">
      <c r="B244">
        <v>200000</v>
      </c>
      <c r="C244">
        <v>1189.18</v>
      </c>
      <c r="D244">
        <v>-2253.38</v>
      </c>
      <c r="E244">
        <v>49484.800000000003</v>
      </c>
      <c r="F244">
        <v>1621.77</v>
      </c>
      <c r="G244">
        <v>0</v>
      </c>
      <c r="H244">
        <v>0</v>
      </c>
      <c r="I244">
        <v>800</v>
      </c>
      <c r="J244">
        <v>800</v>
      </c>
      <c r="AN244">
        <v>200000</v>
      </c>
      <c r="AO244">
        <v>1291.73</v>
      </c>
      <c r="AP244">
        <v>-2202.91</v>
      </c>
      <c r="AQ244">
        <v>53159.7</v>
      </c>
      <c r="AR244">
        <v>705.94100000000003</v>
      </c>
      <c r="AS244">
        <v>0</v>
      </c>
      <c r="AT244">
        <v>0</v>
      </c>
      <c r="AU244">
        <v>800</v>
      </c>
      <c r="AV244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workbookViewId="0">
      <selection activeCell="G35" sqref="G35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"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workbookViewId="0">
      <selection activeCell="O8" sqref="O8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61FDE-C26A-EB4F-B876-2008A5E9A6EA}">
  <dimension ref="B2:X186"/>
  <sheetViews>
    <sheetView workbookViewId="0">
      <selection activeCell="K2" sqref="K2:O3"/>
    </sheetView>
  </sheetViews>
  <sheetFormatPr baseColWidth="10" defaultRowHeight="16" x14ac:dyDescent="0.2"/>
  <sheetData>
    <row r="2" spans="2:24" x14ac:dyDescent="0.2">
      <c r="K2" t="s">
        <v>14</v>
      </c>
      <c r="L2">
        <v>6.94</v>
      </c>
      <c r="M2">
        <v>39.097999999999999</v>
      </c>
      <c r="N2">
        <v>22.99</v>
      </c>
      <c r="O2">
        <v>35.450000000000003</v>
      </c>
    </row>
    <row r="3" spans="2:24" x14ac:dyDescent="0.2">
      <c r="L3" t="s">
        <v>10</v>
      </c>
      <c r="M3" t="s">
        <v>11</v>
      </c>
      <c r="N3" t="s">
        <v>12</v>
      </c>
      <c r="O3" t="s">
        <v>13</v>
      </c>
    </row>
    <row r="6" spans="2:24" x14ac:dyDescent="0.2">
      <c r="B6" t="s">
        <v>93</v>
      </c>
      <c r="C6" t="s">
        <v>94</v>
      </c>
      <c r="D6" t="s">
        <v>95</v>
      </c>
      <c r="E6" t="s">
        <v>96</v>
      </c>
      <c r="F6" t="s">
        <v>97</v>
      </c>
      <c r="G6" t="s">
        <v>98</v>
      </c>
      <c r="H6" t="s">
        <v>2</v>
      </c>
      <c r="I6" t="s">
        <v>3</v>
      </c>
      <c r="J6" t="s">
        <v>4</v>
      </c>
      <c r="K6" t="s">
        <v>5</v>
      </c>
      <c r="L6" t="s">
        <v>99</v>
      </c>
      <c r="M6" t="s">
        <v>100</v>
      </c>
      <c r="N6" t="s">
        <v>101</v>
      </c>
      <c r="O6" t="s">
        <v>102</v>
      </c>
      <c r="P6" t="s">
        <v>14</v>
      </c>
      <c r="Q6" t="s">
        <v>16</v>
      </c>
      <c r="R6" t="s">
        <v>103</v>
      </c>
      <c r="S6" t="s">
        <v>22</v>
      </c>
      <c r="V6" t="s">
        <v>126</v>
      </c>
    </row>
    <row r="7" spans="2:24" x14ac:dyDescent="0.2">
      <c r="B7">
        <v>0</v>
      </c>
      <c r="C7">
        <v>1200</v>
      </c>
      <c r="D7">
        <v>0</v>
      </c>
      <c r="E7">
        <v>0</v>
      </c>
      <c r="F7">
        <v>1</v>
      </c>
      <c r="G7">
        <v>200000</v>
      </c>
      <c r="H7">
        <v>1199.58</v>
      </c>
      <c r="I7">
        <v>-2257.5100000000002</v>
      </c>
      <c r="J7">
        <v>49653.5</v>
      </c>
      <c r="K7">
        <v>-2.25122</v>
      </c>
      <c r="L7">
        <v>0</v>
      </c>
      <c r="M7">
        <v>0</v>
      </c>
      <c r="N7">
        <v>800</v>
      </c>
      <c r="O7">
        <v>800</v>
      </c>
      <c r="P7">
        <f>L7*$L$2+M7*$M$2+N7*$N$2+O7*$O$2</f>
        <v>46752</v>
      </c>
      <c r="Q7">
        <f>P7*1.66E-24/(J7*1E-24)</f>
        <v>1.5629979759734964</v>
      </c>
      <c r="R7">
        <f>I7+(1.5)*C7*(0.000086173)*SUM(L7:O7)</f>
        <v>-2009.3317600000003</v>
      </c>
      <c r="S7" cm="1">
        <f t="array" ref="S7:T7">LINEST(R7:R10,C7:C10)</f>
        <v>0.49543519999999974</v>
      </c>
      <c r="T7">
        <v>-2603.4819999999995</v>
      </c>
      <c r="V7" t="s">
        <v>127</v>
      </c>
      <c r="W7" t="s">
        <v>128</v>
      </c>
      <c r="X7" s="3">
        <v>1.752128E-2</v>
      </c>
    </row>
    <row r="8" spans="2:24" x14ac:dyDescent="0.2">
      <c r="B8">
        <v>0</v>
      </c>
      <c r="C8">
        <v>1300</v>
      </c>
      <c r="D8">
        <v>0</v>
      </c>
      <c r="E8">
        <v>0</v>
      </c>
      <c r="F8">
        <v>1</v>
      </c>
      <c r="G8">
        <v>200000</v>
      </c>
      <c r="H8">
        <v>1300.5</v>
      </c>
      <c r="I8">
        <v>-2228.2399999999998</v>
      </c>
      <c r="J8">
        <v>50669.7</v>
      </c>
      <c r="K8">
        <v>4.7859699999999998</v>
      </c>
      <c r="L8">
        <v>0</v>
      </c>
      <c r="M8">
        <v>0</v>
      </c>
      <c r="N8">
        <v>800</v>
      </c>
      <c r="O8">
        <v>800</v>
      </c>
      <c r="P8">
        <f t="shared" ref="P8:P71" si="0">L8*$L$2+M8*$M$2+N8*$N$2+O8*$O$2</f>
        <v>46752</v>
      </c>
      <c r="Q8">
        <f t="shared" ref="Q8:Q71" si="1">P8*1.66E-24/(J8*1E-24)</f>
        <v>1.5316514603402034</v>
      </c>
      <c r="R8">
        <f t="shared" ref="R8:R71" si="2">I8+(1.5)*C8*(0.000086173)*SUM(L8:O8)</f>
        <v>-1959.3802399999997</v>
      </c>
      <c r="S8">
        <f>S7/SUM(L7:N7)*(1.602E-19)*(6.022E+23)</f>
        <v>59.744803257359976</v>
      </c>
      <c r="V8" t="s">
        <v>129</v>
      </c>
      <c r="W8" t="s">
        <v>128</v>
      </c>
      <c r="X8" s="3">
        <v>-5.1225730000000002E-6</v>
      </c>
    </row>
    <row r="9" spans="2:24" x14ac:dyDescent="0.2">
      <c r="B9">
        <v>0</v>
      </c>
      <c r="C9">
        <v>1400</v>
      </c>
      <c r="D9">
        <v>0</v>
      </c>
      <c r="E9">
        <v>0</v>
      </c>
      <c r="F9">
        <v>1</v>
      </c>
      <c r="G9">
        <v>200000</v>
      </c>
      <c r="H9">
        <v>1400.68</v>
      </c>
      <c r="I9">
        <v>-2198.37</v>
      </c>
      <c r="J9">
        <v>51755.199999999997</v>
      </c>
      <c r="K9">
        <v>1.0724499999999999</v>
      </c>
      <c r="L9">
        <v>0</v>
      </c>
      <c r="M9">
        <v>0</v>
      </c>
      <c r="N9">
        <v>800</v>
      </c>
      <c r="O9">
        <v>800</v>
      </c>
      <c r="P9">
        <f t="shared" si="0"/>
        <v>46752</v>
      </c>
      <c r="Q9">
        <f t="shared" si="1"/>
        <v>1.4995270040498347</v>
      </c>
      <c r="R9">
        <f t="shared" si="2"/>
        <v>-1908.82872</v>
      </c>
      <c r="V9" t="s">
        <v>130</v>
      </c>
      <c r="W9" t="s">
        <v>128</v>
      </c>
      <c r="X9" s="3">
        <v>-6.2999620000000006E-2</v>
      </c>
    </row>
    <row r="10" spans="2:24" x14ac:dyDescent="0.2">
      <c r="B10">
        <v>0</v>
      </c>
      <c r="C10">
        <v>1500</v>
      </c>
      <c r="D10">
        <v>0</v>
      </c>
      <c r="E10">
        <v>0</v>
      </c>
      <c r="F10">
        <v>1</v>
      </c>
      <c r="G10">
        <v>200000</v>
      </c>
      <c r="H10">
        <v>1501.12</v>
      </c>
      <c r="I10">
        <v>-2171.2600000000002</v>
      </c>
      <c r="J10">
        <v>52730.400000000001</v>
      </c>
      <c r="K10">
        <v>-10.0548</v>
      </c>
      <c r="L10">
        <v>0</v>
      </c>
      <c r="M10">
        <v>0</v>
      </c>
      <c r="N10">
        <v>800</v>
      </c>
      <c r="O10">
        <v>800</v>
      </c>
      <c r="P10">
        <f t="shared" si="0"/>
        <v>46752</v>
      </c>
      <c r="Q10">
        <f t="shared" si="1"/>
        <v>1.4717946383869647</v>
      </c>
      <c r="R10">
        <f t="shared" si="2"/>
        <v>-1861.0372000000002</v>
      </c>
      <c r="V10" t="s">
        <v>131</v>
      </c>
      <c r="W10" t="s">
        <v>128</v>
      </c>
      <c r="X10" s="3">
        <v>3.849273E-5</v>
      </c>
    </row>
    <row r="11" spans="2:24" x14ac:dyDescent="0.2">
      <c r="B11">
        <v>1</v>
      </c>
      <c r="C11">
        <v>1200</v>
      </c>
      <c r="D11">
        <v>0</v>
      </c>
      <c r="E11">
        <v>0.125</v>
      </c>
      <c r="F11">
        <v>0.875</v>
      </c>
      <c r="G11">
        <v>200000</v>
      </c>
      <c r="H11">
        <v>1200.6300000000001</v>
      </c>
      <c r="I11">
        <v>-2276.67</v>
      </c>
      <c r="J11">
        <v>51583.199999999997</v>
      </c>
      <c r="K11">
        <v>-1.7722899999999999</v>
      </c>
      <c r="L11">
        <v>0</v>
      </c>
      <c r="M11">
        <v>100</v>
      </c>
      <c r="N11">
        <v>700</v>
      </c>
      <c r="O11">
        <v>800</v>
      </c>
      <c r="P11">
        <f t="shared" si="0"/>
        <v>48362.8</v>
      </c>
      <c r="Q11">
        <f t="shared" si="1"/>
        <v>1.5563642426216291</v>
      </c>
      <c r="R11">
        <f t="shared" si="2"/>
        <v>-2028.4917600000001</v>
      </c>
      <c r="S11" cm="1">
        <f t="array" ref="S11:T11">LINEST(R11:R14,C11:C14)</f>
        <v>0.5001052000000008</v>
      </c>
      <c r="T11">
        <v>-2627.9390000000012</v>
      </c>
      <c r="V11" t="s">
        <v>132</v>
      </c>
      <c r="W11" t="s">
        <v>128</v>
      </c>
      <c r="X11" s="3">
        <v>5.0994789999999998E-2</v>
      </c>
    </row>
    <row r="12" spans="2:24" x14ac:dyDescent="0.2">
      <c r="B12">
        <v>1</v>
      </c>
      <c r="C12">
        <v>1300</v>
      </c>
      <c r="D12">
        <v>0</v>
      </c>
      <c r="E12">
        <v>0.125</v>
      </c>
      <c r="F12">
        <v>0.875</v>
      </c>
      <c r="G12">
        <v>200000</v>
      </c>
      <c r="H12">
        <v>1299.26</v>
      </c>
      <c r="I12">
        <v>-2246.02</v>
      </c>
      <c r="J12">
        <v>52718.2</v>
      </c>
      <c r="K12">
        <v>6.4400199999999996</v>
      </c>
      <c r="L12">
        <v>0</v>
      </c>
      <c r="M12">
        <v>100</v>
      </c>
      <c r="N12">
        <v>700</v>
      </c>
      <c r="O12">
        <v>800</v>
      </c>
      <c r="P12">
        <f t="shared" si="0"/>
        <v>48362.8</v>
      </c>
      <c r="Q12">
        <f t="shared" si="1"/>
        <v>1.5228563949451996</v>
      </c>
      <c r="R12">
        <f t="shared" si="2"/>
        <v>-1977.1602399999999</v>
      </c>
      <c r="S12">
        <f>S11/SUM(L11:N11)*(1.602E-19)*(6.022E+23)</f>
        <v>60.307961125860103</v>
      </c>
      <c r="V12" t="s">
        <v>133</v>
      </c>
      <c r="W12" t="s">
        <v>128</v>
      </c>
      <c r="X12" s="3">
        <v>-1.161701E-5</v>
      </c>
    </row>
    <row r="13" spans="2:24" x14ac:dyDescent="0.2">
      <c r="B13">
        <v>1</v>
      </c>
      <c r="C13">
        <v>1400</v>
      </c>
      <c r="D13">
        <v>0</v>
      </c>
      <c r="E13">
        <v>0.125</v>
      </c>
      <c r="F13">
        <v>0.875</v>
      </c>
      <c r="G13">
        <v>200000</v>
      </c>
      <c r="H13">
        <v>1399.89</v>
      </c>
      <c r="I13">
        <v>-2216.58</v>
      </c>
      <c r="J13">
        <v>53849.8</v>
      </c>
      <c r="K13">
        <v>5.5969899999999999</v>
      </c>
      <c r="L13">
        <v>0</v>
      </c>
      <c r="M13">
        <v>100</v>
      </c>
      <c r="N13">
        <v>700</v>
      </c>
      <c r="O13">
        <v>800</v>
      </c>
      <c r="P13">
        <f t="shared" si="0"/>
        <v>48362.8</v>
      </c>
      <c r="Q13">
        <f t="shared" si="1"/>
        <v>1.4908550820987267</v>
      </c>
      <c r="R13">
        <f t="shared" si="2"/>
        <v>-1927.03872</v>
      </c>
      <c r="V13" t="s">
        <v>134</v>
      </c>
      <c r="W13" t="s">
        <v>128</v>
      </c>
      <c r="X13" s="3">
        <v>-2.9057630000000001E-2</v>
      </c>
    </row>
    <row r="14" spans="2:24" x14ac:dyDescent="0.2">
      <c r="B14">
        <v>1</v>
      </c>
      <c r="C14">
        <v>1500</v>
      </c>
      <c r="D14">
        <v>0</v>
      </c>
      <c r="E14">
        <v>0.125</v>
      </c>
      <c r="F14">
        <v>0.875</v>
      </c>
      <c r="G14">
        <v>200000</v>
      </c>
      <c r="H14">
        <v>1500.49</v>
      </c>
      <c r="I14">
        <v>-2188.7199999999998</v>
      </c>
      <c r="J14">
        <v>54868.9</v>
      </c>
      <c r="K14">
        <v>4.6945199999999998</v>
      </c>
      <c r="L14">
        <v>0</v>
      </c>
      <c r="M14">
        <v>100</v>
      </c>
      <c r="N14">
        <v>700</v>
      </c>
      <c r="O14">
        <v>800</v>
      </c>
      <c r="P14">
        <f t="shared" si="0"/>
        <v>48362.8</v>
      </c>
      <c r="Q14">
        <f t="shared" si="1"/>
        <v>1.4631648894000067</v>
      </c>
      <c r="R14">
        <f t="shared" si="2"/>
        <v>-1878.4971999999998</v>
      </c>
      <c r="V14" t="s">
        <v>135</v>
      </c>
      <c r="W14" t="s">
        <v>128</v>
      </c>
      <c r="X14" s="3">
        <v>1.4196360000000001E-5</v>
      </c>
    </row>
    <row r="15" spans="2:24" x14ac:dyDescent="0.2">
      <c r="B15">
        <v>2</v>
      </c>
      <c r="C15">
        <v>1200</v>
      </c>
      <c r="D15">
        <v>0</v>
      </c>
      <c r="E15">
        <v>0.25</v>
      </c>
      <c r="F15">
        <v>0.75</v>
      </c>
      <c r="G15">
        <v>200000</v>
      </c>
      <c r="H15">
        <v>1199.4100000000001</v>
      </c>
      <c r="I15">
        <v>-2295.31</v>
      </c>
      <c r="J15">
        <v>53507.1</v>
      </c>
      <c r="K15">
        <v>-0.39876699999999998</v>
      </c>
      <c r="L15">
        <v>0</v>
      </c>
      <c r="M15">
        <v>200</v>
      </c>
      <c r="N15">
        <v>600</v>
      </c>
      <c r="O15">
        <v>800</v>
      </c>
      <c r="P15">
        <f t="shared" si="0"/>
        <v>49973.600000000006</v>
      </c>
      <c r="Q15">
        <f t="shared" si="1"/>
        <v>1.5503769780085264</v>
      </c>
      <c r="R15">
        <f t="shared" si="2"/>
        <v>-2047.13176</v>
      </c>
      <c r="S15" cm="1">
        <f t="array" ref="S15:T15">LINEST(R15:R18,C15:C18)</f>
        <v>0.50726519999999986</v>
      </c>
      <c r="T15">
        <v>-2655.47</v>
      </c>
      <c r="V15" t="s">
        <v>136</v>
      </c>
      <c r="W15" t="s">
        <v>128</v>
      </c>
      <c r="X15" s="3">
        <v>3.3383580000000003E-2</v>
      </c>
    </row>
    <row r="16" spans="2:24" x14ac:dyDescent="0.2">
      <c r="B16">
        <v>2</v>
      </c>
      <c r="C16">
        <v>1300</v>
      </c>
      <c r="D16">
        <v>0</v>
      </c>
      <c r="E16">
        <v>0.25</v>
      </c>
      <c r="F16">
        <v>0.75</v>
      </c>
      <c r="G16">
        <v>200000</v>
      </c>
      <c r="H16">
        <v>1299.02</v>
      </c>
      <c r="I16">
        <v>-2264.52</v>
      </c>
      <c r="J16">
        <v>54685.5</v>
      </c>
      <c r="K16">
        <v>-2.3405499999999999</v>
      </c>
      <c r="L16">
        <v>0</v>
      </c>
      <c r="M16">
        <v>200</v>
      </c>
      <c r="N16">
        <v>600</v>
      </c>
      <c r="O16">
        <v>800</v>
      </c>
      <c r="P16">
        <f t="shared" si="0"/>
        <v>49973.600000000006</v>
      </c>
      <c r="Q16">
        <f t="shared" si="1"/>
        <v>1.5169684102732901</v>
      </c>
      <c r="R16">
        <f t="shared" si="2"/>
        <v>-1995.6602399999999</v>
      </c>
      <c r="S16">
        <f t="shared" ref="S16" si="3">S15/SUM(L15:N15)*(1.602E-19)*(6.022E+23)</f>
        <v>61.171389463859981</v>
      </c>
      <c r="V16" t="s">
        <v>137</v>
      </c>
      <c r="W16" t="s">
        <v>128</v>
      </c>
      <c r="X16" s="3">
        <v>-2.3864699999999999E-5</v>
      </c>
    </row>
    <row r="17" spans="2:24" x14ac:dyDescent="0.2">
      <c r="B17">
        <v>2</v>
      </c>
      <c r="C17">
        <v>1400</v>
      </c>
      <c r="D17">
        <v>0</v>
      </c>
      <c r="E17">
        <v>0.25</v>
      </c>
      <c r="F17">
        <v>0.75</v>
      </c>
      <c r="G17">
        <v>200000</v>
      </c>
      <c r="H17">
        <v>1400.11</v>
      </c>
      <c r="I17">
        <v>-2234.4299999999998</v>
      </c>
      <c r="J17">
        <v>55908.2</v>
      </c>
      <c r="K17">
        <v>-2.87744</v>
      </c>
      <c r="L17">
        <v>0</v>
      </c>
      <c r="M17">
        <v>200</v>
      </c>
      <c r="N17">
        <v>600</v>
      </c>
      <c r="O17">
        <v>800</v>
      </c>
      <c r="P17">
        <f t="shared" si="0"/>
        <v>49973.600000000006</v>
      </c>
      <c r="Q17">
        <f t="shared" si="1"/>
        <v>1.4837926458015107</v>
      </c>
      <c r="R17">
        <f t="shared" si="2"/>
        <v>-1944.8887199999999</v>
      </c>
      <c r="V17" t="s">
        <v>138</v>
      </c>
      <c r="W17" t="s">
        <v>128</v>
      </c>
      <c r="X17" s="3">
        <v>-1.40441E-2</v>
      </c>
    </row>
    <row r="18" spans="2:24" x14ac:dyDescent="0.2">
      <c r="B18">
        <v>2</v>
      </c>
      <c r="C18">
        <v>1500</v>
      </c>
      <c r="D18">
        <v>0</v>
      </c>
      <c r="E18">
        <v>0.25</v>
      </c>
      <c r="F18">
        <v>0.75</v>
      </c>
      <c r="G18">
        <v>200000</v>
      </c>
      <c r="H18">
        <v>1500.28</v>
      </c>
      <c r="I18">
        <v>-2205.19</v>
      </c>
      <c r="J18">
        <v>57112.2</v>
      </c>
      <c r="K18">
        <v>0.46422999999999998</v>
      </c>
      <c r="L18">
        <v>0</v>
      </c>
      <c r="M18">
        <v>200</v>
      </c>
      <c r="N18">
        <v>600</v>
      </c>
      <c r="O18">
        <v>800</v>
      </c>
      <c r="P18">
        <f t="shared" si="0"/>
        <v>49973.600000000006</v>
      </c>
      <c r="Q18">
        <f t="shared" si="1"/>
        <v>1.4525123528773189</v>
      </c>
      <c r="R18">
        <f t="shared" si="2"/>
        <v>-1894.9672</v>
      </c>
      <c r="V18" t="s">
        <v>139</v>
      </c>
      <c r="W18" t="s">
        <v>128</v>
      </c>
      <c r="X18" s="3">
        <v>2.2075789999999999E-5</v>
      </c>
    </row>
    <row r="19" spans="2:24" x14ac:dyDescent="0.2">
      <c r="B19">
        <v>3</v>
      </c>
      <c r="C19">
        <v>1200</v>
      </c>
      <c r="D19">
        <v>0</v>
      </c>
      <c r="E19">
        <v>0.375</v>
      </c>
      <c r="F19">
        <v>0.625</v>
      </c>
      <c r="G19">
        <v>200000</v>
      </c>
      <c r="H19">
        <v>1199.19</v>
      </c>
      <c r="I19">
        <v>-2313.0300000000002</v>
      </c>
      <c r="J19">
        <v>55436.5</v>
      </c>
      <c r="K19">
        <v>3.6109399999999998</v>
      </c>
      <c r="L19">
        <v>0</v>
      </c>
      <c r="M19">
        <v>300</v>
      </c>
      <c r="N19">
        <v>500</v>
      </c>
      <c r="O19">
        <v>800</v>
      </c>
      <c r="P19">
        <f t="shared" si="0"/>
        <v>51584.400000000009</v>
      </c>
      <c r="Q19">
        <f t="shared" si="1"/>
        <v>1.5446520613675112</v>
      </c>
      <c r="R19">
        <f t="shared" si="2"/>
        <v>-2064.85176</v>
      </c>
      <c r="S19" cm="1">
        <f t="array" ref="S19:T19">LINEST(R19:R22,C19:C22)</f>
        <v>0.51657520000000012</v>
      </c>
      <c r="T19">
        <v>-2684.2960000000003</v>
      </c>
      <c r="X19" s="3"/>
    </row>
    <row r="20" spans="2:24" x14ac:dyDescent="0.2">
      <c r="B20">
        <v>3</v>
      </c>
      <c r="C20">
        <v>1300</v>
      </c>
      <c r="D20">
        <v>0</v>
      </c>
      <c r="E20">
        <v>0.375</v>
      </c>
      <c r="F20">
        <v>0.625</v>
      </c>
      <c r="G20">
        <v>200000</v>
      </c>
      <c r="H20">
        <v>1299.76</v>
      </c>
      <c r="I20">
        <v>-2281.08</v>
      </c>
      <c r="J20">
        <v>56733.1</v>
      </c>
      <c r="K20">
        <v>6.3037299999999998</v>
      </c>
      <c r="L20">
        <v>0</v>
      </c>
      <c r="M20">
        <v>300</v>
      </c>
      <c r="N20">
        <v>500</v>
      </c>
      <c r="O20">
        <v>800</v>
      </c>
      <c r="P20">
        <f t="shared" si="0"/>
        <v>51584.400000000009</v>
      </c>
      <c r="Q20">
        <f t="shared" si="1"/>
        <v>1.5093499914511992</v>
      </c>
      <c r="R20">
        <f t="shared" si="2"/>
        <v>-2012.2202399999999</v>
      </c>
      <c r="S20">
        <f t="shared" ref="S20" si="4">S19/SUM(L19:N19)*(1.602E-19)*(6.022E+23)</f>
        <v>62.294087484360013</v>
      </c>
      <c r="X20" s="3"/>
    </row>
    <row r="21" spans="2:24" x14ac:dyDescent="0.2">
      <c r="B21">
        <v>3</v>
      </c>
      <c r="C21">
        <v>1400</v>
      </c>
      <c r="D21">
        <v>0</v>
      </c>
      <c r="E21">
        <v>0.375</v>
      </c>
      <c r="F21">
        <v>0.625</v>
      </c>
      <c r="G21">
        <v>200000</v>
      </c>
      <c r="H21">
        <v>1400.84</v>
      </c>
      <c r="I21">
        <v>-2250.35</v>
      </c>
      <c r="J21">
        <v>58004</v>
      </c>
      <c r="K21">
        <v>4.2283200000000001</v>
      </c>
      <c r="L21">
        <v>0</v>
      </c>
      <c r="M21">
        <v>300</v>
      </c>
      <c r="N21">
        <v>500</v>
      </c>
      <c r="O21">
        <v>800</v>
      </c>
      <c r="P21">
        <f t="shared" si="0"/>
        <v>51584.400000000009</v>
      </c>
      <c r="Q21">
        <f t="shared" si="1"/>
        <v>1.476279291083374</v>
      </c>
      <c r="R21">
        <f t="shared" si="2"/>
        <v>-1960.80872</v>
      </c>
      <c r="X21" s="3"/>
    </row>
    <row r="22" spans="2:24" x14ac:dyDescent="0.2">
      <c r="B22">
        <v>3</v>
      </c>
      <c r="C22">
        <v>1500</v>
      </c>
      <c r="D22">
        <v>0</v>
      </c>
      <c r="E22">
        <v>0.375</v>
      </c>
      <c r="F22">
        <v>0.625</v>
      </c>
      <c r="G22">
        <v>200000</v>
      </c>
      <c r="H22">
        <v>1500.62</v>
      </c>
      <c r="I22">
        <v>-2220.02</v>
      </c>
      <c r="J22">
        <v>59293.4</v>
      </c>
      <c r="K22">
        <v>-0.57348200000000005</v>
      </c>
      <c r="L22">
        <v>0</v>
      </c>
      <c r="M22">
        <v>300</v>
      </c>
      <c r="N22">
        <v>500</v>
      </c>
      <c r="O22">
        <v>800</v>
      </c>
      <c r="P22">
        <f t="shared" si="0"/>
        <v>51584.400000000009</v>
      </c>
      <c r="Q22">
        <f t="shared" si="1"/>
        <v>1.4441759791140334</v>
      </c>
      <c r="R22">
        <f t="shared" si="2"/>
        <v>-1909.7972</v>
      </c>
      <c r="X22" s="3"/>
    </row>
    <row r="23" spans="2:24" x14ac:dyDescent="0.2">
      <c r="B23">
        <v>4</v>
      </c>
      <c r="C23">
        <v>1200</v>
      </c>
      <c r="D23">
        <v>0</v>
      </c>
      <c r="E23">
        <v>0.5</v>
      </c>
      <c r="F23">
        <v>0.5</v>
      </c>
      <c r="G23">
        <v>200000</v>
      </c>
      <c r="H23">
        <v>1200.6400000000001</v>
      </c>
      <c r="I23">
        <v>-2329.6799999999998</v>
      </c>
      <c r="J23">
        <v>57418.6</v>
      </c>
      <c r="K23">
        <v>8.0074000000000005</v>
      </c>
      <c r="L23">
        <v>0</v>
      </c>
      <c r="M23">
        <v>400</v>
      </c>
      <c r="N23">
        <v>400</v>
      </c>
      <c r="O23">
        <v>800</v>
      </c>
      <c r="P23">
        <f t="shared" si="0"/>
        <v>53195.199999999997</v>
      </c>
      <c r="Q23">
        <f t="shared" si="1"/>
        <v>1.5378994263183012</v>
      </c>
      <c r="R23">
        <f t="shared" si="2"/>
        <v>-2081.5017599999996</v>
      </c>
      <c r="S23" cm="1">
        <f t="array" ref="S23:T23">LINEST(R23:R26,C23:C26)</f>
        <v>0.5193251999999986</v>
      </c>
      <c r="T23">
        <v>-2704.1059999999979</v>
      </c>
      <c r="X23" s="3"/>
    </row>
    <row r="24" spans="2:24" x14ac:dyDescent="0.2">
      <c r="B24">
        <v>4</v>
      </c>
      <c r="C24">
        <v>1300</v>
      </c>
      <c r="D24">
        <v>0</v>
      </c>
      <c r="E24">
        <v>0.5</v>
      </c>
      <c r="F24">
        <v>0.5</v>
      </c>
      <c r="G24">
        <v>200000</v>
      </c>
      <c r="H24">
        <v>1299.76</v>
      </c>
      <c r="I24">
        <v>-2297.5</v>
      </c>
      <c r="J24">
        <v>58768.6</v>
      </c>
      <c r="K24">
        <v>5.1993299999999998</v>
      </c>
      <c r="L24">
        <v>0</v>
      </c>
      <c r="M24">
        <v>400</v>
      </c>
      <c r="N24">
        <v>400</v>
      </c>
      <c r="O24">
        <v>800</v>
      </c>
      <c r="P24">
        <f t="shared" si="0"/>
        <v>53195.199999999997</v>
      </c>
      <c r="Q24">
        <f t="shared" si="1"/>
        <v>1.5025716454024771</v>
      </c>
      <c r="R24">
        <f t="shared" si="2"/>
        <v>-2028.6402399999999</v>
      </c>
      <c r="S24">
        <f t="shared" ref="S24" si="5">S23/SUM(L23:N23)*(1.602E-19)*(6.022E+23)</f>
        <v>62.625711496859829</v>
      </c>
      <c r="X24" s="3"/>
    </row>
    <row r="25" spans="2:24" x14ac:dyDescent="0.2">
      <c r="B25">
        <v>4</v>
      </c>
      <c r="C25">
        <v>1400</v>
      </c>
      <c r="D25">
        <v>0</v>
      </c>
      <c r="E25">
        <v>0.5</v>
      </c>
      <c r="F25">
        <v>0.5</v>
      </c>
      <c r="G25">
        <v>200000</v>
      </c>
      <c r="H25">
        <v>1400.63</v>
      </c>
      <c r="I25">
        <v>-2265.52</v>
      </c>
      <c r="J25">
        <v>60168.5</v>
      </c>
      <c r="K25">
        <v>-1.5214799999999999</v>
      </c>
      <c r="L25">
        <v>0</v>
      </c>
      <c r="M25">
        <v>400</v>
      </c>
      <c r="N25">
        <v>400</v>
      </c>
      <c r="O25">
        <v>800</v>
      </c>
      <c r="P25">
        <f t="shared" si="0"/>
        <v>53195.199999999997</v>
      </c>
      <c r="Q25">
        <f t="shared" si="1"/>
        <v>1.4676123220622086</v>
      </c>
      <c r="R25">
        <f t="shared" si="2"/>
        <v>-1975.9787200000001</v>
      </c>
    </row>
    <row r="26" spans="2:24" x14ac:dyDescent="0.2">
      <c r="B26">
        <v>4</v>
      </c>
      <c r="C26">
        <v>1500</v>
      </c>
      <c r="D26">
        <v>0</v>
      </c>
      <c r="E26">
        <v>0.5</v>
      </c>
      <c r="F26">
        <v>0.5</v>
      </c>
      <c r="G26">
        <v>200000</v>
      </c>
      <c r="H26">
        <v>1498.82</v>
      </c>
      <c r="I26">
        <v>-2236.17</v>
      </c>
      <c r="J26">
        <v>61526.8</v>
      </c>
      <c r="K26">
        <v>-0.23738699999999999</v>
      </c>
      <c r="L26">
        <v>0</v>
      </c>
      <c r="M26">
        <v>400</v>
      </c>
      <c r="N26">
        <v>400</v>
      </c>
      <c r="O26">
        <v>800</v>
      </c>
      <c r="P26">
        <f t="shared" si="0"/>
        <v>53195.199999999997</v>
      </c>
      <c r="Q26">
        <f t="shared" si="1"/>
        <v>1.4352124927673795</v>
      </c>
      <c r="R26">
        <f t="shared" si="2"/>
        <v>-1925.9472000000001</v>
      </c>
    </row>
    <row r="27" spans="2:24" x14ac:dyDescent="0.2">
      <c r="B27">
        <v>5</v>
      </c>
      <c r="C27">
        <v>1200</v>
      </c>
      <c r="D27">
        <v>0</v>
      </c>
      <c r="E27">
        <v>0.625</v>
      </c>
      <c r="F27">
        <v>0.375</v>
      </c>
      <c r="G27">
        <v>200000</v>
      </c>
      <c r="H27">
        <v>1200.78</v>
      </c>
      <c r="I27">
        <v>-2345.02</v>
      </c>
      <c r="J27">
        <v>59389.5</v>
      </c>
      <c r="K27">
        <v>8.4254200000000001E-2</v>
      </c>
      <c r="L27">
        <v>0</v>
      </c>
      <c r="M27">
        <v>500</v>
      </c>
      <c r="N27">
        <v>300</v>
      </c>
      <c r="O27">
        <v>800</v>
      </c>
      <c r="P27">
        <f t="shared" si="0"/>
        <v>54806</v>
      </c>
      <c r="Q27">
        <f t="shared" si="1"/>
        <v>1.5318862761936034</v>
      </c>
      <c r="R27">
        <f t="shared" si="2"/>
        <v>-2096.8417599999998</v>
      </c>
      <c r="S27" cm="1">
        <f t="array" ref="S27:T27">LINEST(R27:R30,C27:C30)</f>
        <v>0.51788519999999949</v>
      </c>
      <c r="T27">
        <v>-2717.8369999999995</v>
      </c>
    </row>
    <row r="28" spans="2:24" x14ac:dyDescent="0.2">
      <c r="B28">
        <v>5</v>
      </c>
      <c r="C28">
        <v>1300</v>
      </c>
      <c r="D28">
        <v>0</v>
      </c>
      <c r="E28">
        <v>0.625</v>
      </c>
      <c r="F28">
        <v>0.375</v>
      </c>
      <c r="G28">
        <v>200000</v>
      </c>
      <c r="H28">
        <v>1300.29</v>
      </c>
      <c r="I28">
        <v>-2312.5500000000002</v>
      </c>
      <c r="J28">
        <v>60802.1</v>
      </c>
      <c r="K28">
        <v>-1.883</v>
      </c>
      <c r="L28">
        <v>0</v>
      </c>
      <c r="M28">
        <v>500</v>
      </c>
      <c r="N28">
        <v>300</v>
      </c>
      <c r="O28">
        <v>800</v>
      </c>
      <c r="P28">
        <f t="shared" si="0"/>
        <v>54806</v>
      </c>
      <c r="Q28">
        <f t="shared" si="1"/>
        <v>1.4962963450275568</v>
      </c>
      <c r="R28">
        <f t="shared" si="2"/>
        <v>-2043.6902400000001</v>
      </c>
      <c r="S28">
        <f t="shared" ref="S28" si="6">S27/SUM(L27:N27)*(1.602E-19)*(6.022E+23)</f>
        <v>62.452061104859943</v>
      </c>
    </row>
    <row r="29" spans="2:24" x14ac:dyDescent="0.2">
      <c r="B29">
        <v>5</v>
      </c>
      <c r="C29">
        <v>1400</v>
      </c>
      <c r="D29">
        <v>0</v>
      </c>
      <c r="E29">
        <v>0.625</v>
      </c>
      <c r="F29">
        <v>0.375</v>
      </c>
      <c r="G29">
        <v>200000</v>
      </c>
      <c r="H29">
        <v>1398.86</v>
      </c>
      <c r="I29">
        <v>-2282.73</v>
      </c>
      <c r="J29">
        <v>62134.2</v>
      </c>
      <c r="K29">
        <v>3.1945800000000002</v>
      </c>
      <c r="L29">
        <v>0</v>
      </c>
      <c r="M29">
        <v>500</v>
      </c>
      <c r="N29">
        <v>300</v>
      </c>
      <c r="O29">
        <v>800</v>
      </c>
      <c r="P29">
        <f t="shared" si="0"/>
        <v>54806</v>
      </c>
      <c r="Q29">
        <f t="shared" si="1"/>
        <v>1.4642171300185731</v>
      </c>
      <c r="R29">
        <f t="shared" si="2"/>
        <v>-1993.1887200000001</v>
      </c>
    </row>
    <row r="30" spans="2:24" x14ac:dyDescent="0.2">
      <c r="B30">
        <v>5</v>
      </c>
      <c r="C30">
        <v>1500</v>
      </c>
      <c r="D30">
        <v>0</v>
      </c>
      <c r="E30">
        <v>0.625</v>
      </c>
      <c r="F30">
        <v>0.375</v>
      </c>
      <c r="G30">
        <v>200000</v>
      </c>
      <c r="H30">
        <v>1499.43</v>
      </c>
      <c r="I30">
        <v>-2251.27</v>
      </c>
      <c r="J30">
        <v>63627.9</v>
      </c>
      <c r="K30">
        <v>4.3592399999999998</v>
      </c>
      <c r="L30">
        <v>0</v>
      </c>
      <c r="M30">
        <v>500</v>
      </c>
      <c r="N30">
        <v>300</v>
      </c>
      <c r="O30">
        <v>800</v>
      </c>
      <c r="P30">
        <f t="shared" si="0"/>
        <v>54806</v>
      </c>
      <c r="Q30">
        <f t="shared" si="1"/>
        <v>1.4298438263717648</v>
      </c>
      <c r="R30">
        <f t="shared" si="2"/>
        <v>-1941.0472</v>
      </c>
    </row>
    <row r="31" spans="2:24" x14ac:dyDescent="0.2">
      <c r="B31">
        <v>6</v>
      </c>
      <c r="C31">
        <v>1200</v>
      </c>
      <c r="D31">
        <v>0</v>
      </c>
      <c r="E31">
        <v>0.75</v>
      </c>
      <c r="F31">
        <v>0.25</v>
      </c>
      <c r="G31">
        <v>200000</v>
      </c>
      <c r="H31">
        <v>1200.02</v>
      </c>
      <c r="I31">
        <v>-2360.2399999999998</v>
      </c>
      <c r="J31">
        <v>61367</v>
      </c>
      <c r="K31">
        <v>-1.8318099999999999</v>
      </c>
      <c r="L31">
        <v>0</v>
      </c>
      <c r="M31">
        <v>600</v>
      </c>
      <c r="N31">
        <v>200</v>
      </c>
      <c r="O31">
        <v>800</v>
      </c>
      <c r="P31">
        <f t="shared" si="0"/>
        <v>56416.800000000003</v>
      </c>
      <c r="Q31">
        <f t="shared" si="1"/>
        <v>1.5260952629263287</v>
      </c>
      <c r="R31">
        <f t="shared" si="2"/>
        <v>-2112.0617599999996</v>
      </c>
      <c r="S31" cm="1">
        <f t="array" ref="S31:T31">LINEST(R31:R34,C31:C34)</f>
        <v>0.52488519999999839</v>
      </c>
      <c r="T31">
        <v>-2742.036999999998</v>
      </c>
    </row>
    <row r="32" spans="2:24" x14ac:dyDescent="0.2">
      <c r="B32">
        <v>6</v>
      </c>
      <c r="C32">
        <v>1300</v>
      </c>
      <c r="D32">
        <v>0</v>
      </c>
      <c r="E32">
        <v>0.75</v>
      </c>
      <c r="F32">
        <v>0.25</v>
      </c>
      <c r="G32">
        <v>200000</v>
      </c>
      <c r="H32">
        <v>1299.6199999999999</v>
      </c>
      <c r="I32">
        <v>-2328.9699999999998</v>
      </c>
      <c r="J32">
        <v>62792.6</v>
      </c>
      <c r="K32">
        <v>0.320386</v>
      </c>
      <c r="L32">
        <v>0</v>
      </c>
      <c r="M32">
        <v>600</v>
      </c>
      <c r="N32">
        <v>200</v>
      </c>
      <c r="O32">
        <v>800</v>
      </c>
      <c r="P32">
        <f t="shared" si="0"/>
        <v>56416.800000000003</v>
      </c>
      <c r="Q32">
        <f t="shared" si="1"/>
        <v>1.4914478457652656</v>
      </c>
      <c r="R32">
        <f t="shared" si="2"/>
        <v>-2060.11024</v>
      </c>
      <c r="S32">
        <f t="shared" ref="S32" si="7">S31/SUM(L31:N31)*(1.602E-19)*(6.022E+23)</f>
        <v>63.296194954859807</v>
      </c>
    </row>
    <row r="33" spans="2:20" x14ac:dyDescent="0.2">
      <c r="B33">
        <v>6</v>
      </c>
      <c r="C33">
        <v>1400</v>
      </c>
      <c r="D33">
        <v>0</v>
      </c>
      <c r="E33">
        <v>0.75</v>
      </c>
      <c r="F33">
        <v>0.25</v>
      </c>
      <c r="G33">
        <v>200000</v>
      </c>
      <c r="H33">
        <v>1400.34</v>
      </c>
      <c r="I33">
        <v>-2296.23</v>
      </c>
      <c r="J33">
        <v>64288.7</v>
      </c>
      <c r="K33">
        <v>5.1227900000000002</v>
      </c>
      <c r="L33">
        <v>0</v>
      </c>
      <c r="M33">
        <v>600</v>
      </c>
      <c r="N33">
        <v>200</v>
      </c>
      <c r="O33">
        <v>800</v>
      </c>
      <c r="P33">
        <f t="shared" si="0"/>
        <v>56416.800000000003</v>
      </c>
      <c r="Q33">
        <f t="shared" si="1"/>
        <v>1.4567394892103902</v>
      </c>
      <c r="R33">
        <f t="shared" si="2"/>
        <v>-2006.6887200000001</v>
      </c>
    </row>
    <row r="34" spans="2:20" x14ac:dyDescent="0.2">
      <c r="B34">
        <v>6</v>
      </c>
      <c r="C34">
        <v>1500</v>
      </c>
      <c r="D34">
        <v>0</v>
      </c>
      <c r="E34">
        <v>0.75</v>
      </c>
      <c r="F34">
        <v>0.25</v>
      </c>
      <c r="G34">
        <v>200000</v>
      </c>
      <c r="H34">
        <v>1499.63</v>
      </c>
      <c r="I34">
        <v>-2265.13</v>
      </c>
      <c r="J34">
        <v>65854.399999999994</v>
      </c>
      <c r="K34">
        <v>-1.4888999999999999</v>
      </c>
      <c r="L34">
        <v>0</v>
      </c>
      <c r="M34">
        <v>600</v>
      </c>
      <c r="N34">
        <v>200</v>
      </c>
      <c r="O34">
        <v>800</v>
      </c>
      <c r="P34">
        <f t="shared" si="0"/>
        <v>56416.800000000003</v>
      </c>
      <c r="Q34">
        <f t="shared" si="1"/>
        <v>1.4221052503705147</v>
      </c>
      <c r="R34">
        <f t="shared" si="2"/>
        <v>-1954.9072000000001</v>
      </c>
    </row>
    <row r="35" spans="2:20" x14ac:dyDescent="0.2">
      <c r="B35">
        <v>7</v>
      </c>
      <c r="C35">
        <v>1200</v>
      </c>
      <c r="D35">
        <v>0</v>
      </c>
      <c r="E35">
        <v>0.875</v>
      </c>
      <c r="F35">
        <v>0.125</v>
      </c>
      <c r="G35">
        <v>200000</v>
      </c>
      <c r="H35">
        <v>1201.32</v>
      </c>
      <c r="I35">
        <v>-2372.9899999999998</v>
      </c>
      <c r="J35">
        <v>63501.5</v>
      </c>
      <c r="K35">
        <v>-0.46369100000000002</v>
      </c>
      <c r="L35">
        <v>0</v>
      </c>
      <c r="M35">
        <v>700</v>
      </c>
      <c r="N35">
        <v>100</v>
      </c>
      <c r="O35">
        <v>800</v>
      </c>
      <c r="P35">
        <f t="shared" si="0"/>
        <v>58027.600000000006</v>
      </c>
      <c r="Q35">
        <f t="shared" si="1"/>
        <v>1.5169061518231859</v>
      </c>
      <c r="R35">
        <f t="shared" si="2"/>
        <v>-2124.8117599999996</v>
      </c>
      <c r="S35" cm="1">
        <f t="array" ref="S35:T35">LINEST(R35:R38,C35:C38)</f>
        <v>0.52266519999999894</v>
      </c>
      <c r="T35">
        <v>-2751.8649999999984</v>
      </c>
    </row>
    <row r="36" spans="2:20" x14ac:dyDescent="0.2">
      <c r="B36">
        <v>7</v>
      </c>
      <c r="C36">
        <v>1300</v>
      </c>
      <c r="D36">
        <v>0</v>
      </c>
      <c r="E36">
        <v>0.875</v>
      </c>
      <c r="F36">
        <v>0.125</v>
      </c>
      <c r="G36">
        <v>200000</v>
      </c>
      <c r="H36">
        <v>1299.94</v>
      </c>
      <c r="I36">
        <v>-2341.09</v>
      </c>
      <c r="J36">
        <v>64973</v>
      </c>
      <c r="K36">
        <v>4.7237600000000004</v>
      </c>
      <c r="L36">
        <v>0</v>
      </c>
      <c r="M36">
        <v>700</v>
      </c>
      <c r="N36">
        <v>100</v>
      </c>
      <c r="O36">
        <v>800</v>
      </c>
      <c r="P36">
        <f t="shared" si="0"/>
        <v>58027.600000000006</v>
      </c>
      <c r="Q36">
        <f t="shared" si="1"/>
        <v>1.4825514598371636</v>
      </c>
      <c r="R36">
        <f t="shared" si="2"/>
        <v>-2072.2302400000003</v>
      </c>
      <c r="S36">
        <f t="shared" ref="S36" si="8">S35/SUM(L35:N35)*(1.602E-19)*(6.022E+23)</f>
        <v>63.028483933859874</v>
      </c>
    </row>
    <row r="37" spans="2:20" x14ac:dyDescent="0.2">
      <c r="B37">
        <v>7</v>
      </c>
      <c r="C37">
        <v>1400</v>
      </c>
      <c r="D37">
        <v>0</v>
      </c>
      <c r="E37">
        <v>0.875</v>
      </c>
      <c r="F37">
        <v>0.125</v>
      </c>
      <c r="G37">
        <v>200000</v>
      </c>
      <c r="H37">
        <v>1398.67</v>
      </c>
      <c r="I37">
        <v>-2309.58</v>
      </c>
      <c r="J37">
        <v>66487.199999999997</v>
      </c>
      <c r="K37">
        <v>1.27244</v>
      </c>
      <c r="L37">
        <v>0</v>
      </c>
      <c r="M37">
        <v>700</v>
      </c>
      <c r="N37">
        <v>100</v>
      </c>
      <c r="O37">
        <v>800</v>
      </c>
      <c r="P37">
        <f t="shared" si="0"/>
        <v>58027.600000000006</v>
      </c>
      <c r="Q37">
        <f t="shared" si="1"/>
        <v>1.4487873756151564</v>
      </c>
      <c r="R37">
        <f t="shared" si="2"/>
        <v>-2020.03872</v>
      </c>
    </row>
    <row r="38" spans="2:20" x14ac:dyDescent="0.2">
      <c r="B38">
        <v>7</v>
      </c>
      <c r="C38">
        <v>1500</v>
      </c>
      <c r="D38">
        <v>0</v>
      </c>
      <c r="E38">
        <v>0.875</v>
      </c>
      <c r="F38">
        <v>0.125</v>
      </c>
      <c r="G38">
        <v>200000</v>
      </c>
      <c r="H38">
        <v>1498.76</v>
      </c>
      <c r="I38">
        <v>-2278.21</v>
      </c>
      <c r="J38">
        <v>68137</v>
      </c>
      <c r="K38">
        <v>4.0494000000000003</v>
      </c>
      <c r="L38">
        <v>0</v>
      </c>
      <c r="M38">
        <v>700</v>
      </c>
      <c r="N38">
        <v>100</v>
      </c>
      <c r="O38">
        <v>800</v>
      </c>
      <c r="P38">
        <f t="shared" si="0"/>
        <v>58027.600000000006</v>
      </c>
      <c r="Q38">
        <f t="shared" si="1"/>
        <v>1.4137079120008225</v>
      </c>
      <c r="R38">
        <f t="shared" si="2"/>
        <v>-1967.9872</v>
      </c>
    </row>
    <row r="39" spans="2:20" x14ac:dyDescent="0.2">
      <c r="B39">
        <v>8</v>
      </c>
      <c r="C39">
        <v>1200</v>
      </c>
      <c r="D39">
        <v>0</v>
      </c>
      <c r="E39">
        <v>1</v>
      </c>
      <c r="F39">
        <v>0</v>
      </c>
      <c r="G39">
        <v>200000</v>
      </c>
      <c r="H39">
        <v>1199.76</v>
      </c>
      <c r="I39">
        <v>-2386.39</v>
      </c>
      <c r="J39">
        <v>65548.7</v>
      </c>
      <c r="K39">
        <v>6.1942700000000004</v>
      </c>
      <c r="L39">
        <v>0</v>
      </c>
      <c r="M39">
        <v>800</v>
      </c>
      <c r="N39">
        <v>0</v>
      </c>
      <c r="O39">
        <v>800</v>
      </c>
      <c r="P39">
        <f t="shared" si="0"/>
        <v>59638.400000000001</v>
      </c>
      <c r="Q39">
        <f t="shared" si="1"/>
        <v>1.5103235304437772</v>
      </c>
      <c r="R39">
        <f t="shared" si="2"/>
        <v>-2138.2117599999997</v>
      </c>
      <c r="S39" cm="1">
        <f t="array" ref="S39:T39">LINEST(R39:R42,C39:C42)</f>
        <v>0.52907519999999875</v>
      </c>
      <c r="T39">
        <v>-2772.3509999999983</v>
      </c>
    </row>
    <row r="40" spans="2:20" x14ac:dyDescent="0.2">
      <c r="B40">
        <v>8</v>
      </c>
      <c r="C40">
        <v>1300</v>
      </c>
      <c r="D40">
        <v>0</v>
      </c>
      <c r="E40">
        <v>1</v>
      </c>
      <c r="F40">
        <v>0</v>
      </c>
      <c r="G40">
        <v>200000</v>
      </c>
      <c r="H40">
        <v>1299.76</v>
      </c>
      <c r="I40">
        <v>-2352.37</v>
      </c>
      <c r="J40">
        <v>67215.199999999997</v>
      </c>
      <c r="K40">
        <v>0.172267</v>
      </c>
      <c r="L40">
        <v>0</v>
      </c>
      <c r="M40">
        <v>800</v>
      </c>
      <c r="N40">
        <v>0</v>
      </c>
      <c r="O40">
        <v>800</v>
      </c>
      <c r="P40">
        <f t="shared" si="0"/>
        <v>59638.400000000001</v>
      </c>
      <c r="Q40">
        <f t="shared" si="1"/>
        <v>1.4728773253668814</v>
      </c>
      <c r="R40">
        <f t="shared" si="2"/>
        <v>-2083.5102400000001</v>
      </c>
      <c r="S40">
        <f t="shared" ref="S40" si="9">S39/SUM(L39:N39)*(1.602E-19)*(6.022E+23)</f>
        <v>63.801469359359857</v>
      </c>
    </row>
    <row r="41" spans="2:20" x14ac:dyDescent="0.2">
      <c r="B41">
        <v>8</v>
      </c>
      <c r="C41">
        <v>1400</v>
      </c>
      <c r="D41">
        <v>0</v>
      </c>
      <c r="E41">
        <v>1</v>
      </c>
      <c r="F41">
        <v>0</v>
      </c>
      <c r="G41">
        <v>200000</v>
      </c>
      <c r="H41">
        <v>1400.06</v>
      </c>
      <c r="I41">
        <v>-2321.02</v>
      </c>
      <c r="J41">
        <v>68803.899999999994</v>
      </c>
      <c r="K41">
        <v>-0.624085</v>
      </c>
      <c r="L41">
        <v>0</v>
      </c>
      <c r="M41">
        <v>800</v>
      </c>
      <c r="N41">
        <v>0</v>
      </c>
      <c r="O41">
        <v>800</v>
      </c>
      <c r="P41">
        <f t="shared" si="0"/>
        <v>59638.400000000001</v>
      </c>
      <c r="Q41">
        <f t="shared" si="1"/>
        <v>1.4388682036919422</v>
      </c>
      <c r="R41">
        <f t="shared" si="2"/>
        <v>-2031.4787200000001</v>
      </c>
    </row>
    <row r="42" spans="2:20" x14ac:dyDescent="0.2">
      <c r="B42">
        <v>8</v>
      </c>
      <c r="C42">
        <v>1500</v>
      </c>
      <c r="D42">
        <v>0</v>
      </c>
      <c r="E42">
        <v>1</v>
      </c>
      <c r="F42">
        <v>0</v>
      </c>
      <c r="G42">
        <v>200000</v>
      </c>
      <c r="H42">
        <v>1499.67</v>
      </c>
      <c r="I42">
        <v>-2289.42</v>
      </c>
      <c r="J42">
        <v>70516.3</v>
      </c>
      <c r="K42">
        <v>6.6060600000000003</v>
      </c>
      <c r="L42">
        <v>0</v>
      </c>
      <c r="M42">
        <v>800</v>
      </c>
      <c r="N42">
        <v>0</v>
      </c>
      <c r="O42">
        <v>800</v>
      </c>
      <c r="P42">
        <f t="shared" si="0"/>
        <v>59638.400000000001</v>
      </c>
      <c r="Q42">
        <f t="shared" si="1"/>
        <v>1.4039270920340405</v>
      </c>
      <c r="R42">
        <f t="shared" si="2"/>
        <v>-1979.1972000000001</v>
      </c>
    </row>
    <row r="43" spans="2:20" x14ac:dyDescent="0.2">
      <c r="B43">
        <v>9</v>
      </c>
      <c r="C43">
        <v>1200</v>
      </c>
      <c r="D43">
        <v>0.125</v>
      </c>
      <c r="E43">
        <v>0</v>
      </c>
      <c r="F43">
        <v>0.875</v>
      </c>
      <c r="G43">
        <v>200000</v>
      </c>
      <c r="H43">
        <v>1199.5</v>
      </c>
      <c r="I43">
        <v>-2499.27</v>
      </c>
      <c r="J43">
        <v>48138.3</v>
      </c>
      <c r="K43">
        <v>5.2847200000000001</v>
      </c>
      <c r="L43">
        <v>100</v>
      </c>
      <c r="M43">
        <v>0</v>
      </c>
      <c r="N43">
        <v>700</v>
      </c>
      <c r="O43">
        <v>800</v>
      </c>
      <c r="P43">
        <f t="shared" si="0"/>
        <v>45147</v>
      </c>
      <c r="Q43">
        <f t="shared" si="1"/>
        <v>1.5568480814652783</v>
      </c>
      <c r="R43">
        <f t="shared" si="2"/>
        <v>-2251.0917599999998</v>
      </c>
      <c r="S43" cm="1">
        <f t="array" ref="S43:T43">LINEST(R43:R46,C43:C46)</f>
        <v>0.4964951999999993</v>
      </c>
      <c r="T43">
        <v>-2846.6129999999989</v>
      </c>
    </row>
    <row r="44" spans="2:20" x14ac:dyDescent="0.2">
      <c r="B44">
        <v>9</v>
      </c>
      <c r="C44">
        <v>1300</v>
      </c>
      <c r="D44">
        <v>0.125</v>
      </c>
      <c r="E44">
        <v>0</v>
      </c>
      <c r="F44">
        <v>0.875</v>
      </c>
      <c r="G44">
        <v>200000</v>
      </c>
      <c r="H44">
        <v>1299.9100000000001</v>
      </c>
      <c r="I44">
        <v>-2469.89</v>
      </c>
      <c r="J44">
        <v>49087.6</v>
      </c>
      <c r="K44">
        <v>1.46635</v>
      </c>
      <c r="L44">
        <v>100</v>
      </c>
      <c r="M44">
        <v>0</v>
      </c>
      <c r="N44">
        <v>700</v>
      </c>
      <c r="O44">
        <v>800</v>
      </c>
      <c r="P44">
        <f t="shared" si="0"/>
        <v>45147</v>
      </c>
      <c r="Q44">
        <f t="shared" si="1"/>
        <v>1.5267403580537653</v>
      </c>
      <c r="R44">
        <f t="shared" si="2"/>
        <v>-2201.03024</v>
      </c>
      <c r="S44">
        <f t="shared" ref="S44" si="10">S43/SUM(L43:N43)*(1.602E-19)*(6.022E+23)</f>
        <v>59.87262924035992</v>
      </c>
    </row>
    <row r="45" spans="2:20" x14ac:dyDescent="0.2">
      <c r="B45">
        <v>9</v>
      </c>
      <c r="C45">
        <v>1400</v>
      </c>
      <c r="D45">
        <v>0.125</v>
      </c>
      <c r="E45">
        <v>0</v>
      </c>
      <c r="F45">
        <v>0.875</v>
      </c>
      <c r="G45">
        <v>200000</v>
      </c>
      <c r="H45">
        <v>1399.63</v>
      </c>
      <c r="I45">
        <v>-2440.52</v>
      </c>
      <c r="J45">
        <v>50121</v>
      </c>
      <c r="K45">
        <v>1.3331999999999999</v>
      </c>
      <c r="L45">
        <v>100</v>
      </c>
      <c r="M45">
        <v>0</v>
      </c>
      <c r="N45">
        <v>700</v>
      </c>
      <c r="O45">
        <v>800</v>
      </c>
      <c r="P45">
        <f t="shared" si="0"/>
        <v>45147</v>
      </c>
      <c r="Q45">
        <f t="shared" si="1"/>
        <v>1.4952618662835939</v>
      </c>
      <c r="R45">
        <f t="shared" si="2"/>
        <v>-2150.9787200000001</v>
      </c>
    </row>
    <row r="46" spans="2:20" x14ac:dyDescent="0.2">
      <c r="B46">
        <v>9</v>
      </c>
      <c r="C46">
        <v>1500</v>
      </c>
      <c r="D46">
        <v>0.125</v>
      </c>
      <c r="E46">
        <v>0</v>
      </c>
      <c r="F46">
        <v>0.875</v>
      </c>
      <c r="G46">
        <v>200000</v>
      </c>
      <c r="H46">
        <v>1500.22</v>
      </c>
      <c r="I46">
        <v>-2412.5</v>
      </c>
      <c r="J46">
        <v>51125.599999999999</v>
      </c>
      <c r="K46">
        <v>4.43302</v>
      </c>
      <c r="L46">
        <v>100</v>
      </c>
      <c r="M46">
        <v>0</v>
      </c>
      <c r="N46">
        <v>700</v>
      </c>
      <c r="O46">
        <v>800</v>
      </c>
      <c r="P46">
        <f t="shared" si="0"/>
        <v>45147</v>
      </c>
      <c r="Q46">
        <f t="shared" si="1"/>
        <v>1.4658804982239819</v>
      </c>
      <c r="R46">
        <f t="shared" si="2"/>
        <v>-2102.2772</v>
      </c>
    </row>
    <row r="47" spans="2:20" x14ac:dyDescent="0.2">
      <c r="B47">
        <v>10</v>
      </c>
      <c r="C47">
        <v>1200</v>
      </c>
      <c r="D47">
        <v>0.125</v>
      </c>
      <c r="E47">
        <v>0.125</v>
      </c>
      <c r="F47">
        <v>0.75</v>
      </c>
      <c r="G47">
        <v>200000</v>
      </c>
      <c r="H47">
        <v>1199.3599999999999</v>
      </c>
      <c r="I47">
        <v>-2518.2199999999998</v>
      </c>
      <c r="J47">
        <v>50158.2</v>
      </c>
      <c r="K47">
        <v>7.7649999999999997</v>
      </c>
      <c r="L47">
        <v>100</v>
      </c>
      <c r="M47">
        <v>100</v>
      </c>
      <c r="N47">
        <v>600</v>
      </c>
      <c r="O47">
        <v>800</v>
      </c>
      <c r="P47">
        <f t="shared" si="0"/>
        <v>46757.8</v>
      </c>
      <c r="Q47">
        <f t="shared" si="1"/>
        <v>1.5474627877395921</v>
      </c>
      <c r="R47">
        <f t="shared" si="2"/>
        <v>-2270.0417599999996</v>
      </c>
      <c r="S47" cm="1">
        <f t="array" ref="S47:T47">LINEST(R47:R50,C47:C50)</f>
        <v>0.50061519999999826</v>
      </c>
      <c r="T47">
        <v>-2870.5899999999974</v>
      </c>
    </row>
    <row r="48" spans="2:20" x14ac:dyDescent="0.2">
      <c r="B48">
        <v>10</v>
      </c>
      <c r="C48">
        <v>1300</v>
      </c>
      <c r="D48">
        <v>0.125</v>
      </c>
      <c r="E48">
        <v>0.125</v>
      </c>
      <c r="F48">
        <v>0.75</v>
      </c>
      <c r="G48">
        <v>200000</v>
      </c>
      <c r="H48">
        <v>1300.04</v>
      </c>
      <c r="I48">
        <v>-2488.6999999999998</v>
      </c>
      <c r="J48">
        <v>51153.7</v>
      </c>
      <c r="K48">
        <v>4.4178899999999999</v>
      </c>
      <c r="L48">
        <v>100</v>
      </c>
      <c r="M48">
        <v>100</v>
      </c>
      <c r="N48">
        <v>600</v>
      </c>
      <c r="O48">
        <v>800</v>
      </c>
      <c r="P48">
        <f t="shared" si="0"/>
        <v>46757.8</v>
      </c>
      <c r="Q48">
        <f t="shared" si="1"/>
        <v>1.5173476796399872</v>
      </c>
      <c r="R48">
        <f t="shared" si="2"/>
        <v>-2219.84024</v>
      </c>
      <c r="S48">
        <f t="shared" ref="S48" si="11">S47/SUM(L47:N47)*(1.602E-19)*(6.022E+23)</f>
        <v>60.369462306359793</v>
      </c>
    </row>
    <row r="49" spans="2:20" x14ac:dyDescent="0.2">
      <c r="B49">
        <v>10</v>
      </c>
      <c r="C49">
        <v>1400</v>
      </c>
      <c r="D49">
        <v>0.125</v>
      </c>
      <c r="E49">
        <v>0.125</v>
      </c>
      <c r="F49">
        <v>0.75</v>
      </c>
      <c r="G49">
        <v>200000</v>
      </c>
      <c r="H49">
        <v>1400.39</v>
      </c>
      <c r="I49">
        <v>-2458.6</v>
      </c>
      <c r="J49">
        <v>52269.7</v>
      </c>
      <c r="K49">
        <v>3.17869</v>
      </c>
      <c r="L49">
        <v>100</v>
      </c>
      <c r="M49">
        <v>100</v>
      </c>
      <c r="N49">
        <v>600</v>
      </c>
      <c r="O49">
        <v>800</v>
      </c>
      <c r="P49">
        <f t="shared" si="0"/>
        <v>46757.8</v>
      </c>
      <c r="Q49">
        <f t="shared" si="1"/>
        <v>1.4849510902109637</v>
      </c>
      <c r="R49">
        <f t="shared" si="2"/>
        <v>-2169.05872</v>
      </c>
    </row>
    <row r="50" spans="2:20" x14ac:dyDescent="0.2">
      <c r="B50">
        <v>10</v>
      </c>
      <c r="C50">
        <v>1500</v>
      </c>
      <c r="D50">
        <v>0.125</v>
      </c>
      <c r="E50">
        <v>0.125</v>
      </c>
      <c r="F50">
        <v>0.75</v>
      </c>
      <c r="G50">
        <v>200000</v>
      </c>
      <c r="H50">
        <v>1499.54</v>
      </c>
      <c r="I50">
        <v>-2430.3200000000002</v>
      </c>
      <c r="J50">
        <v>53328.6</v>
      </c>
      <c r="K50">
        <v>8.9391599999999993</v>
      </c>
      <c r="L50">
        <v>100</v>
      </c>
      <c r="M50">
        <v>100</v>
      </c>
      <c r="N50">
        <v>600</v>
      </c>
      <c r="O50">
        <v>800</v>
      </c>
      <c r="P50">
        <f t="shared" si="0"/>
        <v>46757.8</v>
      </c>
      <c r="Q50">
        <f t="shared" si="1"/>
        <v>1.4554656975806606</v>
      </c>
      <c r="R50">
        <f t="shared" si="2"/>
        <v>-2120.0972000000002</v>
      </c>
    </row>
    <row r="51" spans="2:20" x14ac:dyDescent="0.2">
      <c r="B51">
        <v>11</v>
      </c>
      <c r="C51">
        <v>1200</v>
      </c>
      <c r="D51">
        <v>0.125</v>
      </c>
      <c r="E51">
        <v>0.25</v>
      </c>
      <c r="F51">
        <v>0.625</v>
      </c>
      <c r="G51">
        <v>200000</v>
      </c>
      <c r="H51">
        <v>1199.08</v>
      </c>
      <c r="I51">
        <v>-2537.6799999999998</v>
      </c>
      <c r="J51">
        <v>52077.2</v>
      </c>
      <c r="K51">
        <v>1.419</v>
      </c>
      <c r="L51">
        <v>100</v>
      </c>
      <c r="M51">
        <v>200</v>
      </c>
      <c r="N51">
        <v>500</v>
      </c>
      <c r="O51">
        <v>800</v>
      </c>
      <c r="P51">
        <f t="shared" si="0"/>
        <v>48368.600000000006</v>
      </c>
      <c r="Q51">
        <f t="shared" si="1"/>
        <v>1.5417855798698861</v>
      </c>
      <c r="R51">
        <f t="shared" si="2"/>
        <v>-2289.5017599999996</v>
      </c>
      <c r="S51" cm="1">
        <f t="array" ref="S51:T51">LINEST(R51:R54,C51:C54)</f>
        <v>0.50502519999999873</v>
      </c>
      <c r="T51">
        <v>-2895.4809999999984</v>
      </c>
    </row>
    <row r="52" spans="2:20" x14ac:dyDescent="0.2">
      <c r="B52">
        <v>11</v>
      </c>
      <c r="C52">
        <v>1300</v>
      </c>
      <c r="D52">
        <v>0.125</v>
      </c>
      <c r="E52">
        <v>0.25</v>
      </c>
      <c r="F52">
        <v>0.625</v>
      </c>
      <c r="G52">
        <v>200000</v>
      </c>
      <c r="H52">
        <v>1300.5</v>
      </c>
      <c r="I52">
        <v>-2507.92</v>
      </c>
      <c r="J52">
        <v>53139.8</v>
      </c>
      <c r="K52">
        <v>-7.5138499999999997E-2</v>
      </c>
      <c r="L52">
        <v>100</v>
      </c>
      <c r="M52">
        <v>200</v>
      </c>
      <c r="N52">
        <v>500</v>
      </c>
      <c r="O52">
        <v>800</v>
      </c>
      <c r="P52">
        <f t="shared" si="0"/>
        <v>48368.600000000006</v>
      </c>
      <c r="Q52">
        <f t="shared" si="1"/>
        <v>1.5109555549700981</v>
      </c>
      <c r="R52">
        <f t="shared" si="2"/>
        <v>-2239.0602400000002</v>
      </c>
      <c r="S52">
        <f t="shared" ref="S52" si="12">S51/SUM(L51:N51)*(1.602E-19)*(6.022E+23)</f>
        <v>60.901266631859855</v>
      </c>
    </row>
    <row r="53" spans="2:20" x14ac:dyDescent="0.2">
      <c r="B53">
        <v>11</v>
      </c>
      <c r="C53">
        <v>1400</v>
      </c>
      <c r="D53">
        <v>0.125</v>
      </c>
      <c r="E53">
        <v>0.25</v>
      </c>
      <c r="F53">
        <v>0.625</v>
      </c>
      <c r="G53">
        <v>200000</v>
      </c>
      <c r="H53">
        <v>1397.77</v>
      </c>
      <c r="I53">
        <v>-2477.61</v>
      </c>
      <c r="J53">
        <v>54334.1</v>
      </c>
      <c r="K53">
        <v>10.1241</v>
      </c>
      <c r="L53">
        <v>100</v>
      </c>
      <c r="M53">
        <v>200</v>
      </c>
      <c r="N53">
        <v>500</v>
      </c>
      <c r="O53">
        <v>800</v>
      </c>
      <c r="P53">
        <f t="shared" si="0"/>
        <v>48368.600000000006</v>
      </c>
      <c r="Q53">
        <f t="shared" si="1"/>
        <v>1.4777437373583078</v>
      </c>
      <c r="R53">
        <f t="shared" si="2"/>
        <v>-2188.0687200000002</v>
      </c>
    </row>
    <row r="54" spans="2:20" x14ac:dyDescent="0.2">
      <c r="B54">
        <v>11</v>
      </c>
      <c r="C54">
        <v>1500</v>
      </c>
      <c r="D54">
        <v>0.125</v>
      </c>
      <c r="E54">
        <v>0.25</v>
      </c>
      <c r="F54">
        <v>0.625</v>
      </c>
      <c r="G54">
        <v>200000</v>
      </c>
      <c r="H54">
        <v>1498.26</v>
      </c>
      <c r="I54">
        <v>-2448.38</v>
      </c>
      <c r="J54">
        <v>55471.4</v>
      </c>
      <c r="K54">
        <v>8.7573100000000004</v>
      </c>
      <c r="L54">
        <v>100</v>
      </c>
      <c r="M54">
        <v>200</v>
      </c>
      <c r="N54">
        <v>500</v>
      </c>
      <c r="O54">
        <v>800</v>
      </c>
      <c r="P54">
        <f t="shared" si="0"/>
        <v>48368.600000000006</v>
      </c>
      <c r="Q54">
        <f t="shared" si="1"/>
        <v>1.4474463597457432</v>
      </c>
      <c r="R54">
        <f t="shared" si="2"/>
        <v>-2138.1572000000001</v>
      </c>
    </row>
    <row r="55" spans="2:20" x14ac:dyDescent="0.2">
      <c r="B55">
        <v>12</v>
      </c>
      <c r="C55">
        <v>1200</v>
      </c>
      <c r="D55">
        <v>0.125</v>
      </c>
      <c r="E55">
        <v>0.375</v>
      </c>
      <c r="F55">
        <v>0.5</v>
      </c>
      <c r="G55">
        <v>200000</v>
      </c>
      <c r="H55">
        <v>1199.5</v>
      </c>
      <c r="I55">
        <v>-2556.48</v>
      </c>
      <c r="J55">
        <v>53999</v>
      </c>
      <c r="K55">
        <v>10.980600000000001</v>
      </c>
      <c r="L55">
        <v>100</v>
      </c>
      <c r="M55">
        <v>300</v>
      </c>
      <c r="N55">
        <v>400</v>
      </c>
      <c r="O55">
        <v>800</v>
      </c>
      <c r="P55">
        <f t="shared" si="0"/>
        <v>49979.400000000009</v>
      </c>
      <c r="Q55">
        <f t="shared" si="1"/>
        <v>1.5364322302264861</v>
      </c>
      <c r="R55">
        <f t="shared" si="2"/>
        <v>-2308.3017599999998</v>
      </c>
      <c r="S55" cm="1">
        <f t="array" ref="S55:T55">LINEST(R55:R58,C55:C58)</f>
        <v>0.50988519999999971</v>
      </c>
      <c r="T55">
        <v>-2919.3919999999998</v>
      </c>
    </row>
    <row r="56" spans="2:20" x14ac:dyDescent="0.2">
      <c r="B56">
        <v>12</v>
      </c>
      <c r="C56">
        <v>1300</v>
      </c>
      <c r="D56">
        <v>0.125</v>
      </c>
      <c r="E56">
        <v>0.375</v>
      </c>
      <c r="F56">
        <v>0.5</v>
      </c>
      <c r="G56">
        <v>200000</v>
      </c>
      <c r="H56">
        <v>1299.56</v>
      </c>
      <c r="I56">
        <v>-2524.5100000000002</v>
      </c>
      <c r="J56">
        <v>55269.7</v>
      </c>
      <c r="K56">
        <v>2.5304799999999998</v>
      </c>
      <c r="L56">
        <v>100</v>
      </c>
      <c r="M56">
        <v>300</v>
      </c>
      <c r="N56">
        <v>400</v>
      </c>
      <c r="O56">
        <v>800</v>
      </c>
      <c r="P56">
        <f t="shared" si="0"/>
        <v>49979.400000000009</v>
      </c>
      <c r="Q56">
        <f t="shared" si="1"/>
        <v>1.5011082745156936</v>
      </c>
      <c r="R56">
        <f t="shared" si="2"/>
        <v>-2255.6502400000004</v>
      </c>
      <c r="S56">
        <f t="shared" ref="S56" si="13">S55/SUM(L55:N55)*(1.602E-19)*(6.022E+23)</f>
        <v>61.48733670485997</v>
      </c>
    </row>
    <row r="57" spans="2:20" x14ac:dyDescent="0.2">
      <c r="B57">
        <v>12</v>
      </c>
      <c r="C57">
        <v>1400</v>
      </c>
      <c r="D57">
        <v>0.125</v>
      </c>
      <c r="E57">
        <v>0.375</v>
      </c>
      <c r="F57">
        <v>0.5</v>
      </c>
      <c r="G57">
        <v>200000</v>
      </c>
      <c r="H57">
        <v>1399.8</v>
      </c>
      <c r="I57">
        <v>-2494.56</v>
      </c>
      <c r="J57">
        <v>56456.1</v>
      </c>
      <c r="K57">
        <v>1.8299300000000001</v>
      </c>
      <c r="L57">
        <v>100</v>
      </c>
      <c r="M57">
        <v>300</v>
      </c>
      <c r="N57">
        <v>400</v>
      </c>
      <c r="O57">
        <v>800</v>
      </c>
      <c r="P57">
        <f t="shared" si="0"/>
        <v>49979.400000000009</v>
      </c>
      <c r="Q57">
        <f t="shared" si="1"/>
        <v>1.4695631472949782</v>
      </c>
      <c r="R57">
        <f t="shared" si="2"/>
        <v>-2205.01872</v>
      </c>
    </row>
    <row r="58" spans="2:20" x14ac:dyDescent="0.2">
      <c r="B58">
        <v>12</v>
      </c>
      <c r="C58">
        <v>1500</v>
      </c>
      <c r="D58">
        <v>0.125</v>
      </c>
      <c r="E58">
        <v>0.375</v>
      </c>
      <c r="F58">
        <v>0.5</v>
      </c>
      <c r="G58">
        <v>200000</v>
      </c>
      <c r="H58">
        <v>1499.88</v>
      </c>
      <c r="I58">
        <v>-2465.44</v>
      </c>
      <c r="J58">
        <v>57673.2</v>
      </c>
      <c r="K58">
        <v>3.4692400000000001</v>
      </c>
      <c r="L58">
        <v>100</v>
      </c>
      <c r="M58">
        <v>300</v>
      </c>
      <c r="N58">
        <v>400</v>
      </c>
      <c r="O58">
        <v>800</v>
      </c>
      <c r="P58">
        <f t="shared" si="0"/>
        <v>49979.400000000009</v>
      </c>
      <c r="Q58">
        <f t="shared" si="1"/>
        <v>1.4385503838871436</v>
      </c>
      <c r="R58">
        <f t="shared" si="2"/>
        <v>-2155.2172</v>
      </c>
    </row>
    <row r="59" spans="2:20" x14ac:dyDescent="0.2">
      <c r="B59">
        <v>13</v>
      </c>
      <c r="C59">
        <v>1200</v>
      </c>
      <c r="D59">
        <v>0.125</v>
      </c>
      <c r="E59">
        <v>0.5</v>
      </c>
      <c r="F59">
        <v>0.375</v>
      </c>
      <c r="G59">
        <v>200000</v>
      </c>
      <c r="H59">
        <v>1200.1099999999999</v>
      </c>
      <c r="I59">
        <v>-2573.75</v>
      </c>
      <c r="J59">
        <v>56002.1</v>
      </c>
      <c r="K59">
        <v>-0.64876199999999995</v>
      </c>
      <c r="L59">
        <v>100</v>
      </c>
      <c r="M59">
        <v>400</v>
      </c>
      <c r="N59">
        <v>300</v>
      </c>
      <c r="O59">
        <v>800</v>
      </c>
      <c r="P59">
        <f t="shared" si="0"/>
        <v>51590.2</v>
      </c>
      <c r="Q59">
        <f t="shared" si="1"/>
        <v>1.5292235826870779</v>
      </c>
      <c r="R59">
        <f t="shared" si="2"/>
        <v>-2325.5717599999998</v>
      </c>
      <c r="S59" cm="1">
        <f t="array" ref="S59:T59">LINEST(R59:R62,C59:C62)</f>
        <v>0.51630519999999946</v>
      </c>
      <c r="T59">
        <v>-2944.7639999999992</v>
      </c>
    </row>
    <row r="60" spans="2:20" x14ac:dyDescent="0.2">
      <c r="B60">
        <v>13</v>
      </c>
      <c r="C60">
        <v>1300</v>
      </c>
      <c r="D60">
        <v>0.125</v>
      </c>
      <c r="E60">
        <v>0.5</v>
      </c>
      <c r="F60">
        <v>0.375</v>
      </c>
      <c r="G60">
        <v>200000</v>
      </c>
      <c r="H60">
        <v>1300.4100000000001</v>
      </c>
      <c r="I60">
        <v>-2542.3000000000002</v>
      </c>
      <c r="J60">
        <v>57245.599999999999</v>
      </c>
      <c r="K60">
        <v>5.0399200000000004</v>
      </c>
      <c r="L60">
        <v>100</v>
      </c>
      <c r="M60">
        <v>400</v>
      </c>
      <c r="N60">
        <v>300</v>
      </c>
      <c r="O60">
        <v>800</v>
      </c>
      <c r="P60">
        <f t="shared" si="0"/>
        <v>51590.2</v>
      </c>
      <c r="Q60">
        <f t="shared" si="1"/>
        <v>1.4960054921251591</v>
      </c>
      <c r="R60">
        <f t="shared" si="2"/>
        <v>-2273.4402400000004</v>
      </c>
      <c r="S60">
        <f t="shared" ref="S60" si="14">S59/SUM(L59:N59)*(1.602E-19)*(6.022E+23)</f>
        <v>62.261528035859932</v>
      </c>
    </row>
    <row r="61" spans="2:20" x14ac:dyDescent="0.2">
      <c r="B61">
        <v>13</v>
      </c>
      <c r="C61">
        <v>1400</v>
      </c>
      <c r="D61">
        <v>0.125</v>
      </c>
      <c r="E61">
        <v>0.5</v>
      </c>
      <c r="F61">
        <v>0.375</v>
      </c>
      <c r="G61">
        <v>200000</v>
      </c>
      <c r="H61">
        <v>1401.22</v>
      </c>
      <c r="I61">
        <v>-2510.61</v>
      </c>
      <c r="J61">
        <v>58594.5</v>
      </c>
      <c r="K61">
        <v>4.3860000000000001</v>
      </c>
      <c r="L61">
        <v>100</v>
      </c>
      <c r="M61">
        <v>400</v>
      </c>
      <c r="N61">
        <v>300</v>
      </c>
      <c r="O61">
        <v>800</v>
      </c>
      <c r="P61">
        <f t="shared" si="0"/>
        <v>51590.2</v>
      </c>
      <c r="Q61">
        <f t="shared" si="1"/>
        <v>1.4615660514212085</v>
      </c>
      <c r="R61">
        <f t="shared" si="2"/>
        <v>-2221.0687200000002</v>
      </c>
    </row>
    <row r="62" spans="2:20" x14ac:dyDescent="0.2">
      <c r="B62">
        <v>13</v>
      </c>
      <c r="C62">
        <v>1500</v>
      </c>
      <c r="D62">
        <v>0.125</v>
      </c>
      <c r="E62">
        <v>0.5</v>
      </c>
      <c r="F62">
        <v>0.375</v>
      </c>
      <c r="G62">
        <v>200000</v>
      </c>
      <c r="H62">
        <v>1500.21</v>
      </c>
      <c r="I62">
        <v>-2481.15</v>
      </c>
      <c r="J62">
        <v>59813.599999999999</v>
      </c>
      <c r="K62">
        <v>9.9617000000000004</v>
      </c>
      <c r="L62">
        <v>100</v>
      </c>
      <c r="M62">
        <v>400</v>
      </c>
      <c r="N62">
        <v>300</v>
      </c>
      <c r="O62">
        <v>800</v>
      </c>
      <c r="P62">
        <f t="shared" si="0"/>
        <v>51590.2</v>
      </c>
      <c r="Q62">
        <f t="shared" si="1"/>
        <v>1.4317769202990624</v>
      </c>
      <c r="R62">
        <f t="shared" si="2"/>
        <v>-2170.9272000000001</v>
      </c>
    </row>
    <row r="63" spans="2:20" x14ac:dyDescent="0.2">
      <c r="B63">
        <v>14</v>
      </c>
      <c r="C63">
        <v>1200</v>
      </c>
      <c r="D63">
        <v>0.125</v>
      </c>
      <c r="E63">
        <v>0.625</v>
      </c>
      <c r="F63">
        <v>0.25</v>
      </c>
      <c r="G63">
        <v>200000</v>
      </c>
      <c r="H63">
        <v>1200.5</v>
      </c>
      <c r="I63">
        <v>-2589.9</v>
      </c>
      <c r="J63">
        <v>58059.3</v>
      </c>
      <c r="K63">
        <v>1.6631499999999999</v>
      </c>
      <c r="L63">
        <v>100</v>
      </c>
      <c r="M63">
        <v>500</v>
      </c>
      <c r="N63">
        <v>200</v>
      </c>
      <c r="O63">
        <v>800</v>
      </c>
      <c r="P63">
        <f t="shared" si="0"/>
        <v>53201</v>
      </c>
      <c r="Q63">
        <f t="shared" si="1"/>
        <v>1.5210941227331367</v>
      </c>
      <c r="R63">
        <f t="shared" si="2"/>
        <v>-2341.7217599999999</v>
      </c>
      <c r="S63" cm="1">
        <f t="array" ref="S63:T63">LINEST(R63:R66,C63:C66)</f>
        <v>0.52048519999999998</v>
      </c>
      <c r="T63">
        <v>-2966.3670000000002</v>
      </c>
    </row>
    <row r="64" spans="2:20" x14ac:dyDescent="0.2">
      <c r="B64">
        <v>14</v>
      </c>
      <c r="C64">
        <v>1300</v>
      </c>
      <c r="D64">
        <v>0.125</v>
      </c>
      <c r="E64">
        <v>0.625</v>
      </c>
      <c r="F64">
        <v>0.25</v>
      </c>
      <c r="G64">
        <v>200000</v>
      </c>
      <c r="H64">
        <v>1301.18</v>
      </c>
      <c r="I64">
        <v>-2558.5</v>
      </c>
      <c r="J64">
        <v>59306.5</v>
      </c>
      <c r="K64">
        <v>5.52494</v>
      </c>
      <c r="L64">
        <v>100</v>
      </c>
      <c r="M64">
        <v>500</v>
      </c>
      <c r="N64">
        <v>200</v>
      </c>
      <c r="O64">
        <v>800</v>
      </c>
      <c r="P64">
        <f t="shared" si="0"/>
        <v>53201</v>
      </c>
      <c r="Q64">
        <f t="shared" si="1"/>
        <v>1.4891059158776863</v>
      </c>
      <c r="R64">
        <f t="shared" si="2"/>
        <v>-2289.6402400000002</v>
      </c>
      <c r="S64">
        <f t="shared" ref="S64" si="15">S63/SUM(L63:N63)*(1.602E-19)*(6.022E+23)</f>
        <v>62.765596534859995</v>
      </c>
    </row>
    <row r="65" spans="2:20" x14ac:dyDescent="0.2">
      <c r="B65">
        <v>14</v>
      </c>
      <c r="C65">
        <v>1400</v>
      </c>
      <c r="D65">
        <v>0.125</v>
      </c>
      <c r="E65">
        <v>0.625</v>
      </c>
      <c r="F65">
        <v>0.25</v>
      </c>
      <c r="G65">
        <v>200000</v>
      </c>
      <c r="H65">
        <v>1399.91</v>
      </c>
      <c r="I65">
        <v>-2527.61</v>
      </c>
      <c r="J65">
        <v>60613.7</v>
      </c>
      <c r="K65">
        <v>1.5610999999999999</v>
      </c>
      <c r="L65">
        <v>100</v>
      </c>
      <c r="M65">
        <v>500</v>
      </c>
      <c r="N65">
        <v>200</v>
      </c>
      <c r="O65">
        <v>800</v>
      </c>
      <c r="P65">
        <f t="shared" si="0"/>
        <v>53201</v>
      </c>
      <c r="Q65">
        <f t="shared" si="1"/>
        <v>1.4569917361916533</v>
      </c>
      <c r="R65">
        <f t="shared" si="2"/>
        <v>-2238.0687200000002</v>
      </c>
    </row>
    <row r="66" spans="2:20" x14ac:dyDescent="0.2">
      <c r="B66">
        <v>14</v>
      </c>
      <c r="C66">
        <v>1500</v>
      </c>
      <c r="D66">
        <v>0.125</v>
      </c>
      <c r="E66">
        <v>0.625</v>
      </c>
      <c r="F66">
        <v>0.25</v>
      </c>
      <c r="G66">
        <v>200000</v>
      </c>
      <c r="H66">
        <v>1500.98</v>
      </c>
      <c r="I66">
        <v>-2495.64</v>
      </c>
      <c r="J66">
        <v>62100.3</v>
      </c>
      <c r="K66">
        <v>-0.39938000000000001</v>
      </c>
      <c r="L66">
        <v>100</v>
      </c>
      <c r="M66">
        <v>500</v>
      </c>
      <c r="N66">
        <v>200</v>
      </c>
      <c r="O66">
        <v>800</v>
      </c>
      <c r="P66">
        <f t="shared" si="0"/>
        <v>53201</v>
      </c>
      <c r="Q66">
        <f t="shared" si="1"/>
        <v>1.4221132587121157</v>
      </c>
      <c r="R66">
        <f t="shared" si="2"/>
        <v>-2185.4171999999999</v>
      </c>
    </row>
    <row r="67" spans="2:20" x14ac:dyDescent="0.2">
      <c r="B67">
        <v>15</v>
      </c>
      <c r="C67">
        <v>1200</v>
      </c>
      <c r="D67">
        <v>0.125</v>
      </c>
      <c r="E67">
        <v>0.75</v>
      </c>
      <c r="F67">
        <v>0.125</v>
      </c>
      <c r="G67">
        <v>200000</v>
      </c>
      <c r="H67">
        <v>1200.97</v>
      </c>
      <c r="I67">
        <v>-2605.94</v>
      </c>
      <c r="J67">
        <v>60049.7</v>
      </c>
      <c r="K67">
        <v>2.89384</v>
      </c>
      <c r="L67">
        <v>100</v>
      </c>
      <c r="M67">
        <v>600</v>
      </c>
      <c r="N67">
        <v>100</v>
      </c>
      <c r="O67">
        <v>800</v>
      </c>
      <c r="P67">
        <f t="shared" si="0"/>
        <v>54811.8</v>
      </c>
      <c r="Q67">
        <f t="shared" si="1"/>
        <v>1.5152047054356645</v>
      </c>
      <c r="R67">
        <f t="shared" si="2"/>
        <v>-2357.7617599999999</v>
      </c>
      <c r="S67" cm="1">
        <f t="array" ref="S67:T67">LINEST(R67:R70,C67:C70)</f>
        <v>0.52728520000000068</v>
      </c>
      <c r="T67">
        <v>-2990.3520000000012</v>
      </c>
    </row>
    <row r="68" spans="2:20" x14ac:dyDescent="0.2">
      <c r="B68">
        <v>15</v>
      </c>
      <c r="C68">
        <v>1300</v>
      </c>
      <c r="D68">
        <v>0.125</v>
      </c>
      <c r="E68">
        <v>0.75</v>
      </c>
      <c r="F68">
        <v>0.125</v>
      </c>
      <c r="G68">
        <v>200000</v>
      </c>
      <c r="H68">
        <v>1299.06</v>
      </c>
      <c r="I68">
        <v>-2573.7800000000002</v>
      </c>
      <c r="J68">
        <v>61392.9</v>
      </c>
      <c r="K68">
        <v>4.4331500000000004</v>
      </c>
      <c r="L68">
        <v>100</v>
      </c>
      <c r="M68">
        <v>600</v>
      </c>
      <c r="N68">
        <v>100</v>
      </c>
      <c r="O68">
        <v>800</v>
      </c>
      <c r="P68">
        <f t="shared" si="0"/>
        <v>54811.8</v>
      </c>
      <c r="Q68">
        <f t="shared" si="1"/>
        <v>1.4820539182869683</v>
      </c>
      <c r="R68">
        <f t="shared" si="2"/>
        <v>-2304.9202400000004</v>
      </c>
      <c r="S68">
        <f t="shared" ref="S68" si="16">S67/SUM(L67:N67)*(1.602E-19)*(6.022E+23)</f>
        <v>63.585612274860082</v>
      </c>
    </row>
    <row r="69" spans="2:20" x14ac:dyDescent="0.2">
      <c r="B69">
        <v>15</v>
      </c>
      <c r="C69">
        <v>1400</v>
      </c>
      <c r="D69">
        <v>0.125</v>
      </c>
      <c r="E69">
        <v>0.75</v>
      </c>
      <c r="F69">
        <v>0.125</v>
      </c>
      <c r="G69">
        <v>200000</v>
      </c>
      <c r="H69">
        <v>1400.68</v>
      </c>
      <c r="I69">
        <v>-2541.16</v>
      </c>
      <c r="J69">
        <v>62881.9</v>
      </c>
      <c r="K69">
        <v>3.7706400000000002</v>
      </c>
      <c r="L69">
        <v>100</v>
      </c>
      <c r="M69">
        <v>600</v>
      </c>
      <c r="N69">
        <v>100</v>
      </c>
      <c r="O69">
        <v>800</v>
      </c>
      <c r="P69">
        <f t="shared" si="0"/>
        <v>54811.8</v>
      </c>
      <c r="Q69">
        <f t="shared" si="1"/>
        <v>1.4469599042013681</v>
      </c>
      <c r="R69">
        <f t="shared" si="2"/>
        <v>-2251.6187199999999</v>
      </c>
    </row>
    <row r="70" spans="2:20" x14ac:dyDescent="0.2">
      <c r="B70">
        <v>15</v>
      </c>
      <c r="C70">
        <v>1500</v>
      </c>
      <c r="D70">
        <v>0.125</v>
      </c>
      <c r="E70">
        <v>0.75</v>
      </c>
      <c r="F70">
        <v>0.125</v>
      </c>
      <c r="G70">
        <v>200000</v>
      </c>
      <c r="H70">
        <v>1499.29</v>
      </c>
      <c r="I70">
        <v>-2509.9899999999998</v>
      </c>
      <c r="J70">
        <v>64431.199999999997</v>
      </c>
      <c r="K70">
        <v>3.0286599999999999</v>
      </c>
      <c r="L70">
        <v>100</v>
      </c>
      <c r="M70">
        <v>600</v>
      </c>
      <c r="N70">
        <v>100</v>
      </c>
      <c r="O70">
        <v>800</v>
      </c>
      <c r="P70">
        <f t="shared" si="0"/>
        <v>54811.8</v>
      </c>
      <c r="Q70">
        <f t="shared" si="1"/>
        <v>1.4121665900992071</v>
      </c>
      <c r="R70">
        <f t="shared" si="2"/>
        <v>-2199.7671999999998</v>
      </c>
    </row>
    <row r="71" spans="2:20" x14ac:dyDescent="0.2">
      <c r="B71">
        <v>16</v>
      </c>
      <c r="C71">
        <v>1200</v>
      </c>
      <c r="D71">
        <v>0.125</v>
      </c>
      <c r="E71">
        <v>0.875</v>
      </c>
      <c r="F71">
        <v>0</v>
      </c>
      <c r="G71">
        <v>200000</v>
      </c>
      <c r="H71">
        <v>1199.02</v>
      </c>
      <c r="I71">
        <v>-2620.2800000000002</v>
      </c>
      <c r="J71">
        <v>62172.6</v>
      </c>
      <c r="K71">
        <v>8.2492400000000004</v>
      </c>
      <c r="L71">
        <v>100</v>
      </c>
      <c r="M71">
        <v>700</v>
      </c>
      <c r="N71">
        <v>0</v>
      </c>
      <c r="O71">
        <v>800</v>
      </c>
      <c r="P71">
        <f t="shared" si="0"/>
        <v>56422.600000000006</v>
      </c>
      <c r="Q71">
        <f t="shared" si="1"/>
        <v>1.5064757787192433</v>
      </c>
      <c r="R71">
        <f t="shared" si="2"/>
        <v>-2372.10176</v>
      </c>
      <c r="S71" cm="1">
        <f t="array" ref="S71:T71">LINEST(R71:R74,C71:C74)</f>
        <v>0.5319851999999996</v>
      </c>
      <c r="T71">
        <v>-3010.3669999999997</v>
      </c>
    </row>
    <row r="72" spans="2:20" x14ac:dyDescent="0.2">
      <c r="B72">
        <v>16</v>
      </c>
      <c r="C72">
        <v>1300</v>
      </c>
      <c r="D72">
        <v>0.125</v>
      </c>
      <c r="E72">
        <v>0.875</v>
      </c>
      <c r="F72">
        <v>0</v>
      </c>
      <c r="G72">
        <v>200000</v>
      </c>
      <c r="H72">
        <v>1300.4000000000001</v>
      </c>
      <c r="I72">
        <v>-2587.9899999999998</v>
      </c>
      <c r="J72">
        <v>63471.4</v>
      </c>
      <c r="K72">
        <v>6.3192399999999997</v>
      </c>
      <c r="L72">
        <v>100</v>
      </c>
      <c r="M72">
        <v>700</v>
      </c>
      <c r="N72">
        <v>0</v>
      </c>
      <c r="O72">
        <v>800</v>
      </c>
      <c r="P72">
        <f t="shared" ref="P72:P135" si="17">L72*$L$2+M72*$M$2+N72*$N$2+O72*$O$2</f>
        <v>56422.600000000006</v>
      </c>
      <c r="Q72">
        <f t="shared" ref="Q72:Q135" si="18">P72*1.66E-24/(J72*1E-24)</f>
        <v>1.4756491270083851</v>
      </c>
      <c r="R72">
        <f t="shared" ref="R72:R135" si="19">I72+(1.5)*C72*(0.000086173)*SUM(L72:O72)</f>
        <v>-2319.13024</v>
      </c>
      <c r="S72">
        <f t="shared" ref="S72" si="20">S71/SUM(L71:N71)*(1.602E-19)*(6.022E+23)</f>
        <v>64.152387859859971</v>
      </c>
    </row>
    <row r="73" spans="2:20" x14ac:dyDescent="0.2">
      <c r="B73">
        <v>16</v>
      </c>
      <c r="C73">
        <v>1400</v>
      </c>
      <c r="D73">
        <v>0.125</v>
      </c>
      <c r="E73">
        <v>0.875</v>
      </c>
      <c r="F73">
        <v>0</v>
      </c>
      <c r="G73">
        <v>200000</v>
      </c>
      <c r="H73">
        <v>1402.19</v>
      </c>
      <c r="I73">
        <v>-2554.09</v>
      </c>
      <c r="J73">
        <v>65097.2</v>
      </c>
      <c r="K73">
        <v>0.67069800000000002</v>
      </c>
      <c r="L73">
        <v>100</v>
      </c>
      <c r="M73">
        <v>700</v>
      </c>
      <c r="N73">
        <v>0</v>
      </c>
      <c r="O73">
        <v>800</v>
      </c>
      <c r="P73">
        <f t="shared" si="17"/>
        <v>56422.600000000006</v>
      </c>
      <c r="Q73">
        <f t="shared" si="18"/>
        <v>1.4387948483191295</v>
      </c>
      <c r="R73">
        <f t="shared" si="19"/>
        <v>-2264.5487200000002</v>
      </c>
    </row>
    <row r="74" spans="2:20" x14ac:dyDescent="0.2">
      <c r="B74">
        <v>16</v>
      </c>
      <c r="C74">
        <v>1500</v>
      </c>
      <c r="D74">
        <v>0.125</v>
      </c>
      <c r="E74">
        <v>0.875</v>
      </c>
      <c r="F74">
        <v>0</v>
      </c>
      <c r="G74">
        <v>200000</v>
      </c>
      <c r="H74">
        <v>1500.44</v>
      </c>
      <c r="I74">
        <v>-2523.19</v>
      </c>
      <c r="J74">
        <v>66738.3</v>
      </c>
      <c r="K74">
        <v>-1.4410400000000001</v>
      </c>
      <c r="L74">
        <v>100</v>
      </c>
      <c r="M74">
        <v>700</v>
      </c>
      <c r="N74">
        <v>0</v>
      </c>
      <c r="O74">
        <v>800</v>
      </c>
      <c r="P74">
        <f t="shared" si="17"/>
        <v>56422.600000000006</v>
      </c>
      <c r="Q74">
        <f t="shared" si="18"/>
        <v>1.4034147708287448</v>
      </c>
      <c r="R74">
        <f t="shared" si="19"/>
        <v>-2212.9672</v>
      </c>
    </row>
    <row r="75" spans="2:20" x14ac:dyDescent="0.2">
      <c r="B75">
        <v>17</v>
      </c>
      <c r="C75">
        <v>1200</v>
      </c>
      <c r="D75">
        <v>0.25</v>
      </c>
      <c r="E75">
        <v>0</v>
      </c>
      <c r="F75">
        <v>0.75</v>
      </c>
      <c r="G75">
        <v>200000</v>
      </c>
      <c r="H75">
        <v>1200.3399999999999</v>
      </c>
      <c r="I75">
        <v>-2739.96</v>
      </c>
      <c r="J75">
        <v>46642.5</v>
      </c>
      <c r="K75">
        <v>3.4375499999999999</v>
      </c>
      <c r="L75">
        <v>200</v>
      </c>
      <c r="M75">
        <v>0</v>
      </c>
      <c r="N75">
        <v>600</v>
      </c>
      <c r="O75">
        <v>800</v>
      </c>
      <c r="P75">
        <f t="shared" si="17"/>
        <v>43542</v>
      </c>
      <c r="Q75">
        <f t="shared" si="18"/>
        <v>1.5496536420646407</v>
      </c>
      <c r="R75">
        <f t="shared" si="19"/>
        <v>-2491.7817599999998</v>
      </c>
      <c r="S75" cm="1">
        <f t="array" ref="S75:T75">LINEST(R75:R78,C75:C78)</f>
        <v>0.49496519999999916</v>
      </c>
      <c r="T75">
        <v>-3085.2199999999993</v>
      </c>
    </row>
    <row r="76" spans="2:20" x14ac:dyDescent="0.2">
      <c r="B76">
        <v>17</v>
      </c>
      <c r="C76">
        <v>1300</v>
      </c>
      <c r="D76">
        <v>0.25</v>
      </c>
      <c r="E76">
        <v>0</v>
      </c>
      <c r="F76">
        <v>0.75</v>
      </c>
      <c r="G76">
        <v>200000</v>
      </c>
      <c r="H76">
        <v>1299.32</v>
      </c>
      <c r="I76">
        <v>-2709.99</v>
      </c>
      <c r="J76">
        <v>47604.800000000003</v>
      </c>
      <c r="K76">
        <v>4.6129499999999997</v>
      </c>
      <c r="L76">
        <v>200</v>
      </c>
      <c r="M76">
        <v>0</v>
      </c>
      <c r="N76">
        <v>600</v>
      </c>
      <c r="O76">
        <v>800</v>
      </c>
      <c r="P76">
        <f t="shared" si="17"/>
        <v>43542</v>
      </c>
      <c r="Q76">
        <f t="shared" si="18"/>
        <v>1.5183284038584344</v>
      </c>
      <c r="R76">
        <f t="shared" si="19"/>
        <v>-2441.13024</v>
      </c>
      <c r="S76">
        <f t="shared" ref="S76" si="21">S75/SUM(L75:N75)*(1.602E-19)*(6.022E+23)</f>
        <v>59.688125698859906</v>
      </c>
    </row>
    <row r="77" spans="2:20" x14ac:dyDescent="0.2">
      <c r="B77">
        <v>17</v>
      </c>
      <c r="C77">
        <v>1400</v>
      </c>
      <c r="D77">
        <v>0.25</v>
      </c>
      <c r="E77">
        <v>0</v>
      </c>
      <c r="F77">
        <v>0.75</v>
      </c>
      <c r="G77">
        <v>200000</v>
      </c>
      <c r="H77">
        <v>1400.02</v>
      </c>
      <c r="I77">
        <v>-2681.52</v>
      </c>
      <c r="J77">
        <v>48556.7</v>
      </c>
      <c r="K77">
        <v>5.3518699999999999</v>
      </c>
      <c r="L77">
        <v>200</v>
      </c>
      <c r="M77">
        <v>0</v>
      </c>
      <c r="N77">
        <v>600</v>
      </c>
      <c r="O77">
        <v>800</v>
      </c>
      <c r="P77">
        <f t="shared" si="17"/>
        <v>43542</v>
      </c>
      <c r="Q77">
        <f t="shared" si="18"/>
        <v>1.4885632672731055</v>
      </c>
      <c r="R77">
        <f t="shared" si="19"/>
        <v>-2391.9787200000001</v>
      </c>
    </row>
    <row r="78" spans="2:20" x14ac:dyDescent="0.2">
      <c r="B78">
        <v>17</v>
      </c>
      <c r="C78">
        <v>1500</v>
      </c>
      <c r="D78">
        <v>0.25</v>
      </c>
      <c r="E78">
        <v>0</v>
      </c>
      <c r="F78">
        <v>0.75</v>
      </c>
      <c r="G78">
        <v>200000</v>
      </c>
      <c r="H78">
        <v>1499.63</v>
      </c>
      <c r="I78">
        <v>-2653.4</v>
      </c>
      <c r="J78">
        <v>49550.6</v>
      </c>
      <c r="K78">
        <v>-1.60134</v>
      </c>
      <c r="L78">
        <v>200</v>
      </c>
      <c r="M78">
        <v>0</v>
      </c>
      <c r="N78">
        <v>600</v>
      </c>
      <c r="O78">
        <v>800</v>
      </c>
      <c r="P78">
        <f t="shared" si="17"/>
        <v>43542</v>
      </c>
      <c r="Q78">
        <f t="shared" si="18"/>
        <v>1.4587052427215816</v>
      </c>
      <c r="R78">
        <f t="shared" si="19"/>
        <v>-2343.1772000000001</v>
      </c>
    </row>
    <row r="79" spans="2:20" x14ac:dyDescent="0.2">
      <c r="B79">
        <v>18</v>
      </c>
      <c r="C79">
        <v>1200</v>
      </c>
      <c r="D79">
        <v>0.25</v>
      </c>
      <c r="E79">
        <v>0.125</v>
      </c>
      <c r="F79">
        <v>0.625</v>
      </c>
      <c r="G79">
        <v>200000</v>
      </c>
      <c r="H79">
        <v>1199.7</v>
      </c>
      <c r="I79">
        <v>-2759.52</v>
      </c>
      <c r="J79">
        <v>48666.6</v>
      </c>
      <c r="K79">
        <v>4.34396</v>
      </c>
      <c r="L79">
        <v>200</v>
      </c>
      <c r="M79">
        <v>100</v>
      </c>
      <c r="N79">
        <v>500</v>
      </c>
      <c r="O79">
        <v>800</v>
      </c>
      <c r="P79">
        <f t="shared" si="17"/>
        <v>45152.800000000003</v>
      </c>
      <c r="Q79">
        <f t="shared" si="18"/>
        <v>1.5401455618432358</v>
      </c>
      <c r="R79">
        <f t="shared" si="19"/>
        <v>-2511.3417599999998</v>
      </c>
      <c r="S79" cm="1">
        <f t="array" ref="S79:T79">LINEST(R79:R82,C79:C82)</f>
        <v>0.49927519999999997</v>
      </c>
      <c r="T79">
        <v>-3110.1710000000003</v>
      </c>
    </row>
    <row r="80" spans="2:20" x14ac:dyDescent="0.2">
      <c r="B80">
        <v>18</v>
      </c>
      <c r="C80">
        <v>1300</v>
      </c>
      <c r="D80">
        <v>0.25</v>
      </c>
      <c r="E80">
        <v>0.125</v>
      </c>
      <c r="F80">
        <v>0.625</v>
      </c>
      <c r="G80">
        <v>200000</v>
      </c>
      <c r="H80">
        <v>1299.9000000000001</v>
      </c>
      <c r="I80">
        <v>-2729.34</v>
      </c>
      <c r="J80">
        <v>49722.1</v>
      </c>
      <c r="K80">
        <v>1.3166199999999999</v>
      </c>
      <c r="L80">
        <v>200</v>
      </c>
      <c r="M80">
        <v>100</v>
      </c>
      <c r="N80">
        <v>500</v>
      </c>
      <c r="O80">
        <v>800</v>
      </c>
      <c r="P80">
        <f t="shared" si="17"/>
        <v>45152.800000000003</v>
      </c>
      <c r="Q80">
        <f t="shared" si="18"/>
        <v>1.5074513747408098</v>
      </c>
      <c r="R80">
        <f t="shared" si="19"/>
        <v>-2460.4802400000003</v>
      </c>
      <c r="S80">
        <f t="shared" ref="S80" si="22">S79/SUM(L79:N79)*(1.602E-19)*(6.022E+23)</f>
        <v>60.207870969360002</v>
      </c>
    </row>
    <row r="81" spans="2:20" x14ac:dyDescent="0.2">
      <c r="B81">
        <v>18</v>
      </c>
      <c r="C81">
        <v>1400</v>
      </c>
      <c r="D81">
        <v>0.25</v>
      </c>
      <c r="E81">
        <v>0.125</v>
      </c>
      <c r="F81">
        <v>0.625</v>
      </c>
      <c r="G81">
        <v>200000</v>
      </c>
      <c r="H81">
        <v>1398.9</v>
      </c>
      <c r="I81">
        <v>-2701.09</v>
      </c>
      <c r="J81">
        <v>50658.2</v>
      </c>
      <c r="K81">
        <v>2.0522100000000001</v>
      </c>
      <c r="L81">
        <v>200</v>
      </c>
      <c r="M81">
        <v>100</v>
      </c>
      <c r="N81">
        <v>500</v>
      </c>
      <c r="O81">
        <v>800</v>
      </c>
      <c r="P81">
        <f t="shared" si="17"/>
        <v>45152.800000000003</v>
      </c>
      <c r="Q81">
        <f t="shared" si="18"/>
        <v>1.4795955639955627</v>
      </c>
      <c r="R81">
        <f t="shared" si="19"/>
        <v>-2411.5487200000002</v>
      </c>
    </row>
    <row r="82" spans="2:20" x14ac:dyDescent="0.2">
      <c r="B82">
        <v>18</v>
      </c>
      <c r="C82">
        <v>1500</v>
      </c>
      <c r="D82">
        <v>0.25</v>
      </c>
      <c r="E82">
        <v>0.125</v>
      </c>
      <c r="F82">
        <v>0.625</v>
      </c>
      <c r="G82">
        <v>200000</v>
      </c>
      <c r="H82">
        <v>1501.38</v>
      </c>
      <c r="I82">
        <v>-2671.45</v>
      </c>
      <c r="J82">
        <v>51762.5</v>
      </c>
      <c r="K82">
        <v>2.8965999999999998</v>
      </c>
      <c r="L82">
        <v>200</v>
      </c>
      <c r="M82">
        <v>100</v>
      </c>
      <c r="N82">
        <v>500</v>
      </c>
      <c r="O82">
        <v>800</v>
      </c>
      <c r="P82">
        <f t="shared" si="17"/>
        <v>45152.800000000003</v>
      </c>
      <c r="Q82">
        <f t="shared" si="18"/>
        <v>1.4480299058198505</v>
      </c>
      <c r="R82">
        <f t="shared" si="19"/>
        <v>-2361.2271999999998</v>
      </c>
    </row>
    <row r="83" spans="2:20" x14ac:dyDescent="0.2">
      <c r="B83">
        <v>19</v>
      </c>
      <c r="C83">
        <v>1200</v>
      </c>
      <c r="D83">
        <v>0.25</v>
      </c>
      <c r="E83">
        <v>0.25</v>
      </c>
      <c r="F83">
        <v>0.5</v>
      </c>
      <c r="G83">
        <v>200000</v>
      </c>
      <c r="H83">
        <v>1200.18</v>
      </c>
      <c r="I83">
        <v>-2779.3</v>
      </c>
      <c r="J83">
        <v>50672.800000000003</v>
      </c>
      <c r="K83">
        <v>1.8753200000000001</v>
      </c>
      <c r="L83">
        <v>200</v>
      </c>
      <c r="M83">
        <v>200</v>
      </c>
      <c r="N83">
        <v>400</v>
      </c>
      <c r="O83">
        <v>800</v>
      </c>
      <c r="P83">
        <f t="shared" si="17"/>
        <v>46763.600000000006</v>
      </c>
      <c r="Q83">
        <f t="shared" si="18"/>
        <v>1.5319377654283959</v>
      </c>
      <c r="R83">
        <f t="shared" si="19"/>
        <v>-2531.12176</v>
      </c>
      <c r="S83" cm="1">
        <f t="array" ref="S83:T83">LINEST(R83:R86,C83:C86)</f>
        <v>0.50389519999999954</v>
      </c>
      <c r="T83">
        <v>-3135.4579999999992</v>
      </c>
    </row>
    <row r="84" spans="2:20" x14ac:dyDescent="0.2">
      <c r="B84">
        <v>19</v>
      </c>
      <c r="C84">
        <v>1300</v>
      </c>
      <c r="D84">
        <v>0.25</v>
      </c>
      <c r="E84">
        <v>0.25</v>
      </c>
      <c r="F84">
        <v>0.5</v>
      </c>
      <c r="G84">
        <v>200000</v>
      </c>
      <c r="H84">
        <v>1299.8</v>
      </c>
      <c r="I84">
        <v>-2749.04</v>
      </c>
      <c r="J84">
        <v>51723.5</v>
      </c>
      <c r="K84">
        <v>7.54983</v>
      </c>
      <c r="L84">
        <v>200</v>
      </c>
      <c r="M84">
        <v>200</v>
      </c>
      <c r="N84">
        <v>400</v>
      </c>
      <c r="O84">
        <v>800</v>
      </c>
      <c r="P84">
        <f t="shared" si="17"/>
        <v>46763.600000000006</v>
      </c>
      <c r="Q84">
        <f t="shared" si="18"/>
        <v>1.500818312759191</v>
      </c>
      <c r="R84">
        <f t="shared" si="19"/>
        <v>-2480.1802400000001</v>
      </c>
      <c r="S84">
        <f t="shared" ref="S84" si="23">S83/SUM(L83:N83)*(1.602E-19)*(6.022E+23)</f>
        <v>60.764999310359954</v>
      </c>
    </row>
    <row r="85" spans="2:20" x14ac:dyDescent="0.2">
      <c r="B85">
        <v>19</v>
      </c>
      <c r="C85">
        <v>1400</v>
      </c>
      <c r="D85">
        <v>0.25</v>
      </c>
      <c r="E85">
        <v>0.25</v>
      </c>
      <c r="F85">
        <v>0.5</v>
      </c>
      <c r="G85">
        <v>200000</v>
      </c>
      <c r="H85">
        <v>1399.68</v>
      </c>
      <c r="I85">
        <v>-2718.96</v>
      </c>
      <c r="J85">
        <v>52872</v>
      </c>
      <c r="K85">
        <v>2.8770899999999999</v>
      </c>
      <c r="L85">
        <v>200</v>
      </c>
      <c r="M85">
        <v>200</v>
      </c>
      <c r="N85">
        <v>400</v>
      </c>
      <c r="O85">
        <v>800</v>
      </c>
      <c r="P85">
        <f t="shared" si="17"/>
        <v>46763.600000000006</v>
      </c>
      <c r="Q85">
        <f t="shared" si="18"/>
        <v>1.4682171281585721</v>
      </c>
      <c r="R85">
        <f t="shared" si="19"/>
        <v>-2429.4187200000001</v>
      </c>
    </row>
    <row r="86" spans="2:20" x14ac:dyDescent="0.2">
      <c r="B86">
        <v>19</v>
      </c>
      <c r="C86">
        <v>1500</v>
      </c>
      <c r="D86">
        <v>0.25</v>
      </c>
      <c r="E86">
        <v>0.25</v>
      </c>
      <c r="F86">
        <v>0.5</v>
      </c>
      <c r="G86">
        <v>200000</v>
      </c>
      <c r="H86">
        <v>1499.94</v>
      </c>
      <c r="I86">
        <v>-2690.3</v>
      </c>
      <c r="J86">
        <v>53892.5</v>
      </c>
      <c r="K86">
        <v>6.2018199999999997</v>
      </c>
      <c r="L86">
        <v>200</v>
      </c>
      <c r="M86">
        <v>200</v>
      </c>
      <c r="N86">
        <v>400</v>
      </c>
      <c r="O86">
        <v>800</v>
      </c>
      <c r="P86">
        <f t="shared" si="17"/>
        <v>46763.600000000006</v>
      </c>
      <c r="Q86">
        <f t="shared" si="18"/>
        <v>1.4404151969197942</v>
      </c>
      <c r="R86">
        <f t="shared" si="19"/>
        <v>-2380.0772000000002</v>
      </c>
    </row>
    <row r="87" spans="2:20" x14ac:dyDescent="0.2">
      <c r="B87">
        <v>20</v>
      </c>
      <c r="C87">
        <v>1200</v>
      </c>
      <c r="D87">
        <v>0.25</v>
      </c>
      <c r="E87">
        <v>0.375</v>
      </c>
      <c r="F87">
        <v>0.375</v>
      </c>
      <c r="G87">
        <v>200000</v>
      </c>
      <c r="H87">
        <v>1199.97</v>
      </c>
      <c r="I87">
        <v>-2798.77</v>
      </c>
      <c r="J87">
        <v>52615.4</v>
      </c>
      <c r="K87">
        <v>0.735182</v>
      </c>
      <c r="L87">
        <v>200</v>
      </c>
      <c r="M87">
        <v>300</v>
      </c>
      <c r="N87">
        <v>300</v>
      </c>
      <c r="O87">
        <v>800</v>
      </c>
      <c r="P87">
        <f t="shared" si="17"/>
        <v>48374.400000000001</v>
      </c>
      <c r="Q87">
        <f t="shared" si="18"/>
        <v>1.5261977291819508</v>
      </c>
      <c r="R87">
        <f t="shared" si="19"/>
        <v>-2550.5917599999998</v>
      </c>
      <c r="S87" cm="1">
        <f t="array" ref="S87:T87">LINEST(R87:R90,C87:C90)</f>
        <v>0.5089451999999991</v>
      </c>
      <c r="T87">
        <v>-3160.7179999999989</v>
      </c>
    </row>
    <row r="88" spans="2:20" x14ac:dyDescent="0.2">
      <c r="B88">
        <v>20</v>
      </c>
      <c r="C88">
        <v>1300</v>
      </c>
      <c r="D88">
        <v>0.25</v>
      </c>
      <c r="E88">
        <v>0.375</v>
      </c>
      <c r="F88">
        <v>0.375</v>
      </c>
      <c r="G88">
        <v>200000</v>
      </c>
      <c r="H88">
        <v>1300.02</v>
      </c>
      <c r="I88">
        <v>-2767.26</v>
      </c>
      <c r="J88">
        <v>53845.5</v>
      </c>
      <c r="K88">
        <v>2.4680200000000001</v>
      </c>
      <c r="L88">
        <v>200</v>
      </c>
      <c r="M88">
        <v>300</v>
      </c>
      <c r="N88">
        <v>300</v>
      </c>
      <c r="O88">
        <v>800</v>
      </c>
      <c r="P88">
        <f t="shared" si="17"/>
        <v>48374.400000000001</v>
      </c>
      <c r="Q88">
        <f t="shared" si="18"/>
        <v>1.4913317547427365</v>
      </c>
      <c r="R88">
        <f t="shared" si="19"/>
        <v>-2498.4002400000004</v>
      </c>
      <c r="S88">
        <f t="shared" ref="S88" si="24">S87/SUM(L87:N87)*(1.602E-19)*(6.022E+23)</f>
        <v>61.373981587859888</v>
      </c>
    </row>
    <row r="89" spans="2:20" x14ac:dyDescent="0.2">
      <c r="B89">
        <v>20</v>
      </c>
      <c r="C89">
        <v>1400</v>
      </c>
      <c r="D89">
        <v>0.25</v>
      </c>
      <c r="E89">
        <v>0.375</v>
      </c>
      <c r="F89">
        <v>0.375</v>
      </c>
      <c r="G89">
        <v>200000</v>
      </c>
      <c r="H89">
        <v>1400.06</v>
      </c>
      <c r="I89">
        <v>-2737.29</v>
      </c>
      <c r="J89">
        <v>54952.5</v>
      </c>
      <c r="K89">
        <v>2.3270499999999998</v>
      </c>
      <c r="L89">
        <v>200</v>
      </c>
      <c r="M89">
        <v>300</v>
      </c>
      <c r="N89">
        <v>300</v>
      </c>
      <c r="O89">
        <v>800</v>
      </c>
      <c r="P89">
        <f t="shared" si="17"/>
        <v>48374.400000000001</v>
      </c>
      <c r="Q89">
        <f t="shared" si="18"/>
        <v>1.461289368090624</v>
      </c>
      <c r="R89">
        <f t="shared" si="19"/>
        <v>-2447.74872</v>
      </c>
    </row>
    <row r="90" spans="2:20" x14ac:dyDescent="0.2">
      <c r="B90">
        <v>20</v>
      </c>
      <c r="C90">
        <v>1500</v>
      </c>
      <c r="D90">
        <v>0.25</v>
      </c>
      <c r="E90">
        <v>0.375</v>
      </c>
      <c r="F90">
        <v>0.375</v>
      </c>
      <c r="G90">
        <v>200000</v>
      </c>
      <c r="H90">
        <v>1499.18</v>
      </c>
      <c r="I90">
        <v>-2708.05</v>
      </c>
      <c r="J90">
        <v>56097.2</v>
      </c>
      <c r="K90">
        <v>1.8748499999999999</v>
      </c>
      <c r="L90">
        <v>200</v>
      </c>
      <c r="M90">
        <v>300</v>
      </c>
      <c r="N90">
        <v>300</v>
      </c>
      <c r="O90">
        <v>800</v>
      </c>
      <c r="P90">
        <f t="shared" si="17"/>
        <v>48374.400000000001</v>
      </c>
      <c r="Q90">
        <f t="shared" si="18"/>
        <v>1.4314708042469146</v>
      </c>
      <c r="R90">
        <f t="shared" si="19"/>
        <v>-2397.8272000000002</v>
      </c>
    </row>
    <row r="91" spans="2:20" x14ac:dyDescent="0.2">
      <c r="B91">
        <v>21</v>
      </c>
      <c r="C91">
        <v>1200</v>
      </c>
      <c r="D91">
        <v>0.25</v>
      </c>
      <c r="E91">
        <v>0.5</v>
      </c>
      <c r="F91">
        <v>0.25</v>
      </c>
      <c r="G91">
        <v>200000</v>
      </c>
      <c r="H91">
        <v>1200.07</v>
      </c>
      <c r="I91">
        <v>-2816.8</v>
      </c>
      <c r="J91">
        <v>54636.7</v>
      </c>
      <c r="K91">
        <v>3.9510800000000001</v>
      </c>
      <c r="L91">
        <v>200</v>
      </c>
      <c r="M91">
        <v>400</v>
      </c>
      <c r="N91">
        <v>200</v>
      </c>
      <c r="O91">
        <v>800</v>
      </c>
      <c r="P91">
        <f t="shared" si="17"/>
        <v>49985.2</v>
      </c>
      <c r="Q91">
        <f t="shared" si="18"/>
        <v>1.518675761896308</v>
      </c>
      <c r="R91">
        <f t="shared" si="19"/>
        <v>-2568.62176</v>
      </c>
      <c r="S91" cm="1">
        <f t="array" ref="S91:T91">LINEST(R91:R94,C91:C94)</f>
        <v>0.51959519999999981</v>
      </c>
      <c r="T91">
        <v>-3191.973</v>
      </c>
    </row>
    <row r="92" spans="2:20" x14ac:dyDescent="0.2">
      <c r="B92">
        <v>21</v>
      </c>
      <c r="C92">
        <v>1300</v>
      </c>
      <c r="D92">
        <v>0.25</v>
      </c>
      <c r="E92">
        <v>0.5</v>
      </c>
      <c r="F92">
        <v>0.25</v>
      </c>
      <c r="G92">
        <v>200000</v>
      </c>
      <c r="H92">
        <v>1299.81</v>
      </c>
      <c r="I92">
        <v>-2785.34</v>
      </c>
      <c r="J92">
        <v>55856.3</v>
      </c>
      <c r="K92">
        <v>3.41201</v>
      </c>
      <c r="L92">
        <v>200</v>
      </c>
      <c r="M92">
        <v>400</v>
      </c>
      <c r="N92">
        <v>200</v>
      </c>
      <c r="O92">
        <v>800</v>
      </c>
      <c r="P92">
        <f t="shared" si="17"/>
        <v>49985.2</v>
      </c>
      <c r="Q92">
        <f t="shared" si="18"/>
        <v>1.4855160832350156</v>
      </c>
      <c r="R92">
        <f t="shared" si="19"/>
        <v>-2516.4802400000003</v>
      </c>
      <c r="S92">
        <f t="shared" ref="S92" si="25">S91/SUM(L91:N91)*(1.602E-19)*(6.022E+23)</f>
        <v>62.658270945359988</v>
      </c>
    </row>
    <row r="93" spans="2:20" x14ac:dyDescent="0.2">
      <c r="B93">
        <v>21</v>
      </c>
      <c r="C93">
        <v>1400</v>
      </c>
      <c r="D93">
        <v>0.25</v>
      </c>
      <c r="E93">
        <v>0.5</v>
      </c>
      <c r="F93">
        <v>0.25</v>
      </c>
      <c r="G93">
        <v>200000</v>
      </c>
      <c r="H93">
        <v>1401.17</v>
      </c>
      <c r="I93">
        <v>-2753.63</v>
      </c>
      <c r="J93">
        <v>57176.800000000003</v>
      </c>
      <c r="K93">
        <v>-5.7374000000000001</v>
      </c>
      <c r="L93">
        <v>200</v>
      </c>
      <c r="M93">
        <v>400</v>
      </c>
      <c r="N93">
        <v>200</v>
      </c>
      <c r="O93">
        <v>800</v>
      </c>
      <c r="P93">
        <f t="shared" si="17"/>
        <v>49985.2</v>
      </c>
      <c r="Q93">
        <f t="shared" si="18"/>
        <v>1.4512080424228009</v>
      </c>
      <c r="R93">
        <f t="shared" si="19"/>
        <v>-2464.0887200000002</v>
      </c>
    </row>
    <row r="94" spans="2:20" x14ac:dyDescent="0.2">
      <c r="B94">
        <v>21</v>
      </c>
      <c r="C94">
        <v>1500</v>
      </c>
      <c r="D94">
        <v>0.25</v>
      </c>
      <c r="E94">
        <v>0.5</v>
      </c>
      <c r="F94">
        <v>0.25</v>
      </c>
      <c r="G94">
        <v>200000</v>
      </c>
      <c r="H94">
        <v>1501.04</v>
      </c>
      <c r="I94">
        <v>-2723.11</v>
      </c>
      <c r="J94">
        <v>58390.3</v>
      </c>
      <c r="K94">
        <v>1.4320999999999999</v>
      </c>
      <c r="L94">
        <v>200</v>
      </c>
      <c r="M94">
        <v>400</v>
      </c>
      <c r="N94">
        <v>200</v>
      </c>
      <c r="O94">
        <v>800</v>
      </c>
      <c r="P94">
        <f t="shared" si="17"/>
        <v>49985.2</v>
      </c>
      <c r="Q94">
        <f t="shared" si="18"/>
        <v>1.4210482220505802</v>
      </c>
      <c r="R94">
        <f t="shared" si="19"/>
        <v>-2412.8872000000001</v>
      </c>
    </row>
    <row r="95" spans="2:20" x14ac:dyDescent="0.2">
      <c r="B95">
        <v>22</v>
      </c>
      <c r="C95">
        <v>1200</v>
      </c>
      <c r="D95">
        <v>0.25</v>
      </c>
      <c r="E95">
        <v>0.625</v>
      </c>
      <c r="F95">
        <v>0.125</v>
      </c>
      <c r="G95">
        <v>200000</v>
      </c>
      <c r="H95">
        <v>1200.25</v>
      </c>
      <c r="I95">
        <v>-2833.96</v>
      </c>
      <c r="J95">
        <v>56663.6</v>
      </c>
      <c r="K95">
        <v>5.5541099999999997</v>
      </c>
      <c r="L95">
        <v>200</v>
      </c>
      <c r="M95">
        <v>500</v>
      </c>
      <c r="N95">
        <v>100</v>
      </c>
      <c r="O95">
        <v>800</v>
      </c>
      <c r="P95">
        <f t="shared" si="17"/>
        <v>51596</v>
      </c>
      <c r="Q95">
        <f t="shared" si="18"/>
        <v>1.5115410951651505</v>
      </c>
      <c r="R95">
        <f t="shared" si="19"/>
        <v>-2585.7817599999998</v>
      </c>
      <c r="S95" cm="1">
        <f t="array" ref="S95:T95">LINEST(R95:R98,C95:C98)</f>
        <v>0.52280520000000019</v>
      </c>
      <c r="T95">
        <v>-3213.1290000000004</v>
      </c>
    </row>
    <row r="96" spans="2:20" x14ac:dyDescent="0.2">
      <c r="B96">
        <v>22</v>
      </c>
      <c r="C96">
        <v>1300</v>
      </c>
      <c r="D96">
        <v>0.25</v>
      </c>
      <c r="E96">
        <v>0.625</v>
      </c>
      <c r="F96">
        <v>0.125</v>
      </c>
      <c r="G96">
        <v>200000</v>
      </c>
      <c r="H96">
        <v>1300.23</v>
      </c>
      <c r="I96">
        <v>-2802.59</v>
      </c>
      <c r="J96">
        <v>57891.9</v>
      </c>
      <c r="K96">
        <v>7.9107000000000003</v>
      </c>
      <c r="L96">
        <v>200</v>
      </c>
      <c r="M96">
        <v>500</v>
      </c>
      <c r="N96">
        <v>100</v>
      </c>
      <c r="O96">
        <v>800</v>
      </c>
      <c r="P96">
        <f t="shared" si="17"/>
        <v>51596</v>
      </c>
      <c r="Q96">
        <f t="shared" si="18"/>
        <v>1.4794705304196272</v>
      </c>
      <c r="R96">
        <f t="shared" si="19"/>
        <v>-2533.7302400000003</v>
      </c>
      <c r="S96">
        <f t="shared" ref="S96" si="26">S95/SUM(L95:N95)*(1.602E-19)*(6.022E+23)</f>
        <v>63.045366610860029</v>
      </c>
    </row>
    <row r="97" spans="2:20" x14ac:dyDescent="0.2">
      <c r="B97">
        <v>22</v>
      </c>
      <c r="C97">
        <v>1400</v>
      </c>
      <c r="D97">
        <v>0.25</v>
      </c>
      <c r="E97">
        <v>0.625</v>
      </c>
      <c r="F97">
        <v>0.125</v>
      </c>
      <c r="G97">
        <v>200000</v>
      </c>
      <c r="H97">
        <v>1400.21</v>
      </c>
      <c r="I97">
        <v>-2770.19</v>
      </c>
      <c r="J97">
        <v>59247.7</v>
      </c>
      <c r="K97">
        <v>-6.04779</v>
      </c>
      <c r="L97">
        <v>200</v>
      </c>
      <c r="M97">
        <v>500</v>
      </c>
      <c r="N97">
        <v>100</v>
      </c>
      <c r="O97">
        <v>800</v>
      </c>
      <c r="P97">
        <f t="shared" si="17"/>
        <v>51596</v>
      </c>
      <c r="Q97">
        <f t="shared" si="18"/>
        <v>1.4456149352633101</v>
      </c>
      <c r="R97">
        <f t="shared" si="19"/>
        <v>-2480.6487200000001</v>
      </c>
    </row>
    <row r="98" spans="2:20" x14ac:dyDescent="0.2">
      <c r="B98">
        <v>22</v>
      </c>
      <c r="C98">
        <v>1500</v>
      </c>
      <c r="D98">
        <v>0.25</v>
      </c>
      <c r="E98">
        <v>0.625</v>
      </c>
      <c r="F98">
        <v>0.125</v>
      </c>
      <c r="G98">
        <v>200000</v>
      </c>
      <c r="H98">
        <v>1500.47</v>
      </c>
      <c r="I98">
        <v>-2739.43</v>
      </c>
      <c r="J98">
        <v>60641.599999999999</v>
      </c>
      <c r="K98">
        <v>1.4457100000000001</v>
      </c>
      <c r="L98">
        <v>200</v>
      </c>
      <c r="M98">
        <v>500</v>
      </c>
      <c r="N98">
        <v>100</v>
      </c>
      <c r="O98">
        <v>800</v>
      </c>
      <c r="P98">
        <f t="shared" si="17"/>
        <v>51596</v>
      </c>
      <c r="Q98">
        <f t="shared" si="18"/>
        <v>1.4123862167225143</v>
      </c>
      <c r="R98">
        <f t="shared" si="19"/>
        <v>-2429.2071999999998</v>
      </c>
    </row>
    <row r="99" spans="2:20" x14ac:dyDescent="0.2">
      <c r="B99">
        <v>23</v>
      </c>
      <c r="C99">
        <v>1200</v>
      </c>
      <c r="D99">
        <v>0.25</v>
      </c>
      <c r="E99">
        <v>0.75</v>
      </c>
      <c r="F99">
        <v>0</v>
      </c>
      <c r="G99">
        <v>200000</v>
      </c>
      <c r="H99">
        <v>1200.8599999999999</v>
      </c>
      <c r="I99">
        <v>-2850.35</v>
      </c>
      <c r="J99">
        <v>58676.4</v>
      </c>
      <c r="K99">
        <v>1.0863499999999999</v>
      </c>
      <c r="L99">
        <v>200</v>
      </c>
      <c r="M99">
        <v>600</v>
      </c>
      <c r="N99">
        <v>0</v>
      </c>
      <c r="O99">
        <v>800</v>
      </c>
      <c r="P99">
        <f t="shared" si="17"/>
        <v>53206.8</v>
      </c>
      <c r="Q99">
        <f t="shared" si="18"/>
        <v>1.5052608544491484</v>
      </c>
      <c r="R99">
        <f t="shared" si="19"/>
        <v>-2602.1717599999997</v>
      </c>
      <c r="S99" cm="1">
        <f t="array" ref="S99:T99">LINEST(R99:R102,C99:C102)</f>
        <v>0.52500519999999873</v>
      </c>
      <c r="T99">
        <v>-3231.6139999999982</v>
      </c>
    </row>
    <row r="100" spans="2:20" x14ac:dyDescent="0.2">
      <c r="B100">
        <v>23</v>
      </c>
      <c r="C100">
        <v>1300</v>
      </c>
      <c r="D100">
        <v>0.25</v>
      </c>
      <c r="E100">
        <v>0.75</v>
      </c>
      <c r="F100">
        <v>0</v>
      </c>
      <c r="G100">
        <v>200000</v>
      </c>
      <c r="H100">
        <v>1300.32</v>
      </c>
      <c r="I100">
        <v>-2817.1</v>
      </c>
      <c r="J100">
        <v>60097.9</v>
      </c>
      <c r="K100">
        <v>4.1768300000000001E-2</v>
      </c>
      <c r="L100">
        <v>200</v>
      </c>
      <c r="M100">
        <v>600</v>
      </c>
      <c r="N100">
        <v>0</v>
      </c>
      <c r="O100">
        <v>800</v>
      </c>
      <c r="P100">
        <f t="shared" si="17"/>
        <v>53206.8</v>
      </c>
      <c r="Q100">
        <f t="shared" si="18"/>
        <v>1.4696568099717298</v>
      </c>
      <c r="R100">
        <f t="shared" si="19"/>
        <v>-2548.2402400000001</v>
      </c>
      <c r="S100">
        <f t="shared" ref="S100" si="27">S99/SUM(L99:N99)*(1.602E-19)*(6.022E+23)</f>
        <v>63.310665820859853</v>
      </c>
    </row>
    <row r="101" spans="2:20" x14ac:dyDescent="0.2">
      <c r="B101">
        <v>23</v>
      </c>
      <c r="C101">
        <v>1400</v>
      </c>
      <c r="D101">
        <v>0.25</v>
      </c>
      <c r="E101">
        <v>0.75</v>
      </c>
      <c r="F101">
        <v>0</v>
      </c>
      <c r="G101">
        <v>200000</v>
      </c>
      <c r="H101">
        <v>1400.15</v>
      </c>
      <c r="I101">
        <v>-2786.19</v>
      </c>
      <c r="J101">
        <v>61402</v>
      </c>
      <c r="K101">
        <v>4.0302100000000003</v>
      </c>
      <c r="L101">
        <v>200</v>
      </c>
      <c r="M101">
        <v>600</v>
      </c>
      <c r="N101">
        <v>0</v>
      </c>
      <c r="O101">
        <v>800</v>
      </c>
      <c r="P101">
        <f t="shared" si="17"/>
        <v>53206.8</v>
      </c>
      <c r="Q101">
        <f t="shared" si="18"/>
        <v>1.4384431777466535</v>
      </c>
      <c r="R101">
        <f t="shared" si="19"/>
        <v>-2496.6487200000001</v>
      </c>
    </row>
    <row r="102" spans="2:20" x14ac:dyDescent="0.2">
      <c r="B102">
        <v>23</v>
      </c>
      <c r="C102">
        <v>1500</v>
      </c>
      <c r="D102">
        <v>0.25</v>
      </c>
      <c r="E102">
        <v>0.75</v>
      </c>
      <c r="F102">
        <v>0</v>
      </c>
      <c r="G102">
        <v>200000</v>
      </c>
      <c r="H102">
        <v>1499.39</v>
      </c>
      <c r="I102">
        <v>-2754.59</v>
      </c>
      <c r="J102">
        <v>62907.7</v>
      </c>
      <c r="K102">
        <v>2.1642800000000002</v>
      </c>
      <c r="L102">
        <v>200</v>
      </c>
      <c r="M102">
        <v>600</v>
      </c>
      <c r="N102">
        <v>0</v>
      </c>
      <c r="O102">
        <v>800</v>
      </c>
      <c r="P102">
        <f t="shared" si="17"/>
        <v>53206.8</v>
      </c>
      <c r="Q102">
        <f t="shared" si="18"/>
        <v>1.404013944238941</v>
      </c>
      <c r="R102">
        <f t="shared" si="19"/>
        <v>-2444.3672000000001</v>
      </c>
    </row>
    <row r="103" spans="2:20" x14ac:dyDescent="0.2">
      <c r="B103">
        <v>24</v>
      </c>
      <c r="C103">
        <v>1200</v>
      </c>
      <c r="D103">
        <v>0.375</v>
      </c>
      <c r="E103">
        <v>0</v>
      </c>
      <c r="F103">
        <v>0.625</v>
      </c>
      <c r="G103">
        <v>200000</v>
      </c>
      <c r="H103">
        <v>1200.0999999999999</v>
      </c>
      <c r="I103">
        <v>-2978</v>
      </c>
      <c r="J103">
        <v>45259.4</v>
      </c>
      <c r="K103">
        <v>1.1147899999999999</v>
      </c>
      <c r="L103">
        <v>300</v>
      </c>
      <c r="M103">
        <v>0</v>
      </c>
      <c r="N103">
        <v>500</v>
      </c>
      <c r="O103">
        <v>800</v>
      </c>
      <c r="P103">
        <f t="shared" si="17"/>
        <v>41937</v>
      </c>
      <c r="Q103">
        <f t="shared" si="18"/>
        <v>1.5381427946459743</v>
      </c>
      <c r="R103">
        <f t="shared" si="19"/>
        <v>-2729.8217599999998</v>
      </c>
      <c r="S103" cm="1">
        <f t="array" ref="S103:T103">LINEST(R103:R106,C103:C106)</f>
        <v>0.48904519999999868</v>
      </c>
      <c r="T103">
        <v>-3316.4229999999984</v>
      </c>
    </row>
    <row r="104" spans="2:20" x14ac:dyDescent="0.2">
      <c r="B104">
        <v>24</v>
      </c>
      <c r="C104">
        <v>1300</v>
      </c>
      <c r="D104">
        <v>0.375</v>
      </c>
      <c r="E104">
        <v>0</v>
      </c>
      <c r="F104">
        <v>0.625</v>
      </c>
      <c r="G104">
        <v>200000</v>
      </c>
      <c r="H104">
        <v>1299.75</v>
      </c>
      <c r="I104">
        <v>-2949.24</v>
      </c>
      <c r="J104">
        <v>46156.2</v>
      </c>
      <c r="K104">
        <v>-4.6194800000000003</v>
      </c>
      <c r="L104">
        <v>300</v>
      </c>
      <c r="M104">
        <v>0</v>
      </c>
      <c r="N104">
        <v>500</v>
      </c>
      <c r="O104">
        <v>800</v>
      </c>
      <c r="P104">
        <f t="shared" si="17"/>
        <v>41937</v>
      </c>
      <c r="Q104">
        <f t="shared" si="18"/>
        <v>1.5082571788838772</v>
      </c>
      <c r="R104">
        <f t="shared" si="19"/>
        <v>-2680.38024</v>
      </c>
      <c r="S104">
        <f t="shared" ref="S104" si="28">S103/SUM(L103:N103)*(1.602E-19)*(6.022E+23)</f>
        <v>58.974229642859846</v>
      </c>
    </row>
    <row r="105" spans="2:20" x14ac:dyDescent="0.2">
      <c r="B105">
        <v>24</v>
      </c>
      <c r="C105">
        <v>1400</v>
      </c>
      <c r="D105">
        <v>0.375</v>
      </c>
      <c r="E105">
        <v>0</v>
      </c>
      <c r="F105">
        <v>0.625</v>
      </c>
      <c r="G105">
        <v>200000</v>
      </c>
      <c r="H105">
        <v>1400.22</v>
      </c>
      <c r="I105">
        <v>-2921.11</v>
      </c>
      <c r="J105">
        <v>47022.6</v>
      </c>
      <c r="K105">
        <v>4.0540000000000003</v>
      </c>
      <c r="L105">
        <v>300</v>
      </c>
      <c r="M105">
        <v>0</v>
      </c>
      <c r="N105">
        <v>500</v>
      </c>
      <c r="O105">
        <v>800</v>
      </c>
      <c r="P105">
        <f t="shared" si="17"/>
        <v>41937</v>
      </c>
      <c r="Q105">
        <f t="shared" si="18"/>
        <v>1.4804672646769854</v>
      </c>
      <c r="R105">
        <f t="shared" si="19"/>
        <v>-2631.5687200000002</v>
      </c>
    </row>
    <row r="106" spans="2:20" x14ac:dyDescent="0.2">
      <c r="B106">
        <v>24</v>
      </c>
      <c r="C106">
        <v>1500</v>
      </c>
      <c r="D106">
        <v>0.375</v>
      </c>
      <c r="E106">
        <v>0</v>
      </c>
      <c r="F106">
        <v>0.625</v>
      </c>
      <c r="G106">
        <v>200000</v>
      </c>
      <c r="H106">
        <v>1500.75</v>
      </c>
      <c r="I106">
        <v>-2893.3</v>
      </c>
      <c r="J106">
        <v>47984.6</v>
      </c>
      <c r="K106">
        <v>6.7767999999999997</v>
      </c>
      <c r="L106">
        <v>300</v>
      </c>
      <c r="M106">
        <v>0</v>
      </c>
      <c r="N106">
        <v>500</v>
      </c>
      <c r="O106">
        <v>800</v>
      </c>
      <c r="P106">
        <f t="shared" si="17"/>
        <v>41937</v>
      </c>
      <c r="Q106">
        <f t="shared" si="18"/>
        <v>1.4507867107363615</v>
      </c>
      <c r="R106">
        <f t="shared" si="19"/>
        <v>-2583.0772000000002</v>
      </c>
    </row>
    <row r="107" spans="2:20" x14ac:dyDescent="0.2">
      <c r="B107">
        <v>25</v>
      </c>
      <c r="C107">
        <v>1200</v>
      </c>
      <c r="D107">
        <v>0.375</v>
      </c>
      <c r="E107">
        <v>0.125</v>
      </c>
      <c r="F107">
        <v>0.5</v>
      </c>
      <c r="G107">
        <v>200000</v>
      </c>
      <c r="H107">
        <v>1200.5999999999999</v>
      </c>
      <c r="I107">
        <v>-2999.58</v>
      </c>
      <c r="J107">
        <v>47233.9</v>
      </c>
      <c r="K107">
        <v>2.9675400000000001</v>
      </c>
      <c r="L107">
        <v>300</v>
      </c>
      <c r="M107">
        <v>100</v>
      </c>
      <c r="N107">
        <v>400</v>
      </c>
      <c r="O107">
        <v>800</v>
      </c>
      <c r="P107">
        <f t="shared" si="17"/>
        <v>43547.8</v>
      </c>
      <c r="Q107">
        <f t="shared" si="18"/>
        <v>1.5304547793004601</v>
      </c>
      <c r="R107">
        <f t="shared" si="19"/>
        <v>-2751.4017599999997</v>
      </c>
      <c r="S107" cm="1">
        <f t="array" ref="S107:T107">LINEST(R107:R110,C107:C110)</f>
        <v>0.49946519999999961</v>
      </c>
      <c r="T107">
        <v>-3350.7349999999997</v>
      </c>
    </row>
    <row r="108" spans="2:20" x14ac:dyDescent="0.2">
      <c r="B108">
        <v>25</v>
      </c>
      <c r="C108">
        <v>1300</v>
      </c>
      <c r="D108">
        <v>0.375</v>
      </c>
      <c r="E108">
        <v>0.125</v>
      </c>
      <c r="F108">
        <v>0.5</v>
      </c>
      <c r="G108">
        <v>200000</v>
      </c>
      <c r="H108">
        <v>1299.58</v>
      </c>
      <c r="I108">
        <v>-2970.35</v>
      </c>
      <c r="J108">
        <v>48197.5</v>
      </c>
      <c r="K108">
        <v>-1.28359</v>
      </c>
      <c r="L108">
        <v>300</v>
      </c>
      <c r="M108">
        <v>100</v>
      </c>
      <c r="N108">
        <v>400</v>
      </c>
      <c r="O108">
        <v>800</v>
      </c>
      <c r="P108">
        <f t="shared" si="17"/>
        <v>43547.8</v>
      </c>
      <c r="Q108">
        <f t="shared" si="18"/>
        <v>1.4998567975517403</v>
      </c>
      <c r="R108">
        <f t="shared" si="19"/>
        <v>-2701.4902400000001</v>
      </c>
      <c r="S108">
        <f t="shared" ref="S108" si="29">S107/SUM(L107:N107)*(1.602E-19)*(6.022E+23)</f>
        <v>60.230783173859955</v>
      </c>
    </row>
    <row r="109" spans="2:20" x14ac:dyDescent="0.2">
      <c r="B109">
        <v>25</v>
      </c>
      <c r="C109">
        <v>1400</v>
      </c>
      <c r="D109">
        <v>0.375</v>
      </c>
      <c r="E109">
        <v>0.125</v>
      </c>
      <c r="F109">
        <v>0.5</v>
      </c>
      <c r="G109">
        <v>200000</v>
      </c>
      <c r="H109">
        <v>1399.31</v>
      </c>
      <c r="I109">
        <v>-2940.83</v>
      </c>
      <c r="J109">
        <v>49194.6</v>
      </c>
      <c r="K109">
        <v>2.2112500000000002</v>
      </c>
      <c r="L109">
        <v>300</v>
      </c>
      <c r="M109">
        <v>100</v>
      </c>
      <c r="N109">
        <v>400</v>
      </c>
      <c r="O109">
        <v>800</v>
      </c>
      <c r="P109">
        <f t="shared" si="17"/>
        <v>43547.8</v>
      </c>
      <c r="Q109">
        <f t="shared" si="18"/>
        <v>1.4694569729197922</v>
      </c>
      <c r="R109">
        <f t="shared" si="19"/>
        <v>-2651.28872</v>
      </c>
    </row>
    <row r="110" spans="2:20" x14ac:dyDescent="0.2">
      <c r="B110">
        <v>25</v>
      </c>
      <c r="C110">
        <v>1500</v>
      </c>
      <c r="D110">
        <v>0.375</v>
      </c>
      <c r="E110">
        <v>0.125</v>
      </c>
      <c r="F110">
        <v>0.5</v>
      </c>
      <c r="G110">
        <v>200000</v>
      </c>
      <c r="H110">
        <v>1499.59</v>
      </c>
      <c r="I110">
        <v>-2911.87</v>
      </c>
      <c r="J110">
        <v>50210.9</v>
      </c>
      <c r="K110">
        <v>4.3113999999999999</v>
      </c>
      <c r="L110">
        <v>300</v>
      </c>
      <c r="M110">
        <v>100</v>
      </c>
      <c r="N110">
        <v>400</v>
      </c>
      <c r="O110">
        <v>800</v>
      </c>
      <c r="P110">
        <f t="shared" si="17"/>
        <v>43547.8</v>
      </c>
      <c r="Q110">
        <f t="shared" si="18"/>
        <v>1.4397142453132687</v>
      </c>
      <c r="R110">
        <f t="shared" si="19"/>
        <v>-2601.6471999999999</v>
      </c>
    </row>
    <row r="111" spans="2:20" x14ac:dyDescent="0.2">
      <c r="B111">
        <v>26</v>
      </c>
      <c r="C111">
        <v>1200</v>
      </c>
      <c r="D111">
        <v>0.375</v>
      </c>
      <c r="E111">
        <v>0.25</v>
      </c>
      <c r="F111">
        <v>0.375</v>
      </c>
      <c r="G111">
        <v>200000</v>
      </c>
      <c r="H111">
        <v>1199.92</v>
      </c>
      <c r="I111">
        <v>-3020.31</v>
      </c>
      <c r="J111">
        <v>49329.5</v>
      </c>
      <c r="K111">
        <v>3.8173400000000002</v>
      </c>
      <c r="L111">
        <v>300</v>
      </c>
      <c r="M111">
        <v>200</v>
      </c>
      <c r="N111">
        <v>300</v>
      </c>
      <c r="O111">
        <v>800</v>
      </c>
      <c r="P111">
        <f t="shared" si="17"/>
        <v>45158.600000000006</v>
      </c>
      <c r="Q111">
        <f t="shared" si="18"/>
        <v>1.5196439453065615</v>
      </c>
      <c r="R111">
        <f t="shared" si="19"/>
        <v>-2772.1317599999998</v>
      </c>
      <c r="S111" cm="1">
        <f t="array" ref="S111:T111">LINEST(R111:R114,C111:C114)</f>
        <v>0.50577519999999909</v>
      </c>
      <c r="T111">
        <v>-3378.9659999999985</v>
      </c>
    </row>
    <row r="112" spans="2:20" x14ac:dyDescent="0.2">
      <c r="B112">
        <v>26</v>
      </c>
      <c r="C112">
        <v>1300</v>
      </c>
      <c r="D112">
        <v>0.375</v>
      </c>
      <c r="E112">
        <v>0.25</v>
      </c>
      <c r="F112">
        <v>0.375</v>
      </c>
      <c r="G112">
        <v>200000</v>
      </c>
      <c r="H112">
        <v>1299.08</v>
      </c>
      <c r="I112">
        <v>-2990.23</v>
      </c>
      <c r="J112">
        <v>50265.8</v>
      </c>
      <c r="K112">
        <v>3.0463800000000001</v>
      </c>
      <c r="L112">
        <v>300</v>
      </c>
      <c r="M112">
        <v>200</v>
      </c>
      <c r="N112">
        <v>300</v>
      </c>
      <c r="O112">
        <v>800</v>
      </c>
      <c r="P112">
        <f t="shared" si="17"/>
        <v>45158.600000000006</v>
      </c>
      <c r="Q112">
        <f t="shared" si="18"/>
        <v>1.4913375694806412</v>
      </c>
      <c r="R112">
        <f t="shared" si="19"/>
        <v>-2721.3702400000002</v>
      </c>
      <c r="S112">
        <f t="shared" ref="S112" si="30">S111/SUM(L111:N111)*(1.602E-19)*(6.022E+23)</f>
        <v>60.991709544359892</v>
      </c>
    </row>
    <row r="113" spans="2:20" x14ac:dyDescent="0.2">
      <c r="B113">
        <v>26</v>
      </c>
      <c r="C113">
        <v>1400</v>
      </c>
      <c r="D113">
        <v>0.375</v>
      </c>
      <c r="E113">
        <v>0.25</v>
      </c>
      <c r="F113">
        <v>0.375</v>
      </c>
      <c r="G113">
        <v>200000</v>
      </c>
      <c r="H113">
        <v>1401.06</v>
      </c>
      <c r="I113">
        <v>-2960.31</v>
      </c>
      <c r="J113">
        <v>51308.5</v>
      </c>
      <c r="K113">
        <v>10.9857</v>
      </c>
      <c r="L113">
        <v>300</v>
      </c>
      <c r="M113">
        <v>200</v>
      </c>
      <c r="N113">
        <v>300</v>
      </c>
      <c r="O113">
        <v>800</v>
      </c>
      <c r="P113">
        <f t="shared" si="17"/>
        <v>45158.600000000006</v>
      </c>
      <c r="Q113">
        <f t="shared" si="18"/>
        <v>1.4610303555941027</v>
      </c>
      <c r="R113">
        <f t="shared" si="19"/>
        <v>-2670.76872</v>
      </c>
    </row>
    <row r="114" spans="2:20" x14ac:dyDescent="0.2">
      <c r="B114">
        <v>26</v>
      </c>
      <c r="C114">
        <v>1500</v>
      </c>
      <c r="D114">
        <v>0.375</v>
      </c>
      <c r="E114">
        <v>0.25</v>
      </c>
      <c r="F114">
        <v>0.375</v>
      </c>
      <c r="G114">
        <v>200000</v>
      </c>
      <c r="H114">
        <v>1500.76</v>
      </c>
      <c r="I114">
        <v>-2930.63</v>
      </c>
      <c r="J114">
        <v>52435.6</v>
      </c>
      <c r="K114">
        <v>4.9371299999999998</v>
      </c>
      <c r="L114">
        <v>300</v>
      </c>
      <c r="M114">
        <v>200</v>
      </c>
      <c r="N114">
        <v>300</v>
      </c>
      <c r="O114">
        <v>800</v>
      </c>
      <c r="P114">
        <f t="shared" si="17"/>
        <v>45158.600000000006</v>
      </c>
      <c r="Q114">
        <f t="shared" si="18"/>
        <v>1.4296255978762524</v>
      </c>
      <c r="R114">
        <f t="shared" si="19"/>
        <v>-2620.4072000000001</v>
      </c>
    </row>
    <row r="115" spans="2:20" x14ac:dyDescent="0.2">
      <c r="B115">
        <v>27</v>
      </c>
      <c r="C115">
        <v>1200</v>
      </c>
      <c r="D115">
        <v>0.375</v>
      </c>
      <c r="E115">
        <v>0.375</v>
      </c>
      <c r="F115">
        <v>0.25</v>
      </c>
      <c r="G115">
        <v>200000</v>
      </c>
      <c r="H115">
        <v>1199.0999999999999</v>
      </c>
      <c r="I115">
        <v>-3041.14</v>
      </c>
      <c r="J115">
        <v>51215.1</v>
      </c>
      <c r="K115">
        <v>1.88449</v>
      </c>
      <c r="L115">
        <v>300</v>
      </c>
      <c r="M115">
        <v>300</v>
      </c>
      <c r="N115">
        <v>200</v>
      </c>
      <c r="O115">
        <v>800</v>
      </c>
      <c r="P115">
        <f t="shared" si="17"/>
        <v>46769.400000000009</v>
      </c>
      <c r="Q115">
        <f t="shared" si="18"/>
        <v>1.5159045672077185</v>
      </c>
      <c r="R115">
        <f t="shared" si="19"/>
        <v>-2792.9617599999997</v>
      </c>
      <c r="S115" cm="1">
        <f t="array" ref="S115:T115">LINEST(R115:R118,C115:C118)</f>
        <v>0.51089519999999911</v>
      </c>
      <c r="T115">
        <v>-3405.1729999999989</v>
      </c>
    </row>
    <row r="116" spans="2:20" x14ac:dyDescent="0.2">
      <c r="B116">
        <v>27</v>
      </c>
      <c r="C116">
        <v>1300</v>
      </c>
      <c r="D116">
        <v>0.375</v>
      </c>
      <c r="E116">
        <v>0.375</v>
      </c>
      <c r="F116">
        <v>0.25</v>
      </c>
      <c r="G116">
        <v>200000</v>
      </c>
      <c r="H116">
        <v>1300.8599999999999</v>
      </c>
      <c r="I116">
        <v>-3008.8</v>
      </c>
      <c r="J116">
        <v>52384</v>
      </c>
      <c r="K116">
        <v>-2.8020900000000002</v>
      </c>
      <c r="L116">
        <v>300</v>
      </c>
      <c r="M116">
        <v>300</v>
      </c>
      <c r="N116">
        <v>200</v>
      </c>
      <c r="O116">
        <v>800</v>
      </c>
      <c r="P116">
        <f t="shared" si="17"/>
        <v>46769.400000000009</v>
      </c>
      <c r="Q116">
        <f t="shared" si="18"/>
        <v>1.4820785736102631</v>
      </c>
      <c r="R116">
        <f t="shared" si="19"/>
        <v>-2739.9402400000004</v>
      </c>
      <c r="S116">
        <f t="shared" ref="S116" si="31">S115/SUM(L115:N115)*(1.602E-19)*(6.022E+23)</f>
        <v>61.609133160359896</v>
      </c>
    </row>
    <row r="117" spans="2:20" x14ac:dyDescent="0.2">
      <c r="B117">
        <v>27</v>
      </c>
      <c r="C117">
        <v>1400</v>
      </c>
      <c r="D117">
        <v>0.375</v>
      </c>
      <c r="E117">
        <v>0.375</v>
      </c>
      <c r="F117">
        <v>0.25</v>
      </c>
      <c r="G117">
        <v>200000</v>
      </c>
      <c r="H117">
        <v>1399.26</v>
      </c>
      <c r="I117">
        <v>-2979.01</v>
      </c>
      <c r="J117">
        <v>53477.5</v>
      </c>
      <c r="K117">
        <v>0.30075600000000002</v>
      </c>
      <c r="L117">
        <v>300</v>
      </c>
      <c r="M117">
        <v>300</v>
      </c>
      <c r="N117">
        <v>200</v>
      </c>
      <c r="O117">
        <v>800</v>
      </c>
      <c r="P117">
        <f t="shared" si="17"/>
        <v>46769.400000000009</v>
      </c>
      <c r="Q117">
        <f t="shared" si="18"/>
        <v>1.4517732504324252</v>
      </c>
      <c r="R117">
        <f t="shared" si="19"/>
        <v>-2689.4687200000003</v>
      </c>
    </row>
    <row r="118" spans="2:20" x14ac:dyDescent="0.2">
      <c r="B118">
        <v>27</v>
      </c>
      <c r="C118">
        <v>1500</v>
      </c>
      <c r="D118">
        <v>0.375</v>
      </c>
      <c r="E118">
        <v>0.375</v>
      </c>
      <c r="F118">
        <v>0.25</v>
      </c>
      <c r="G118">
        <v>200000</v>
      </c>
      <c r="H118">
        <v>1499.7</v>
      </c>
      <c r="I118">
        <v>-2949.71</v>
      </c>
      <c r="J118">
        <v>54524.800000000003</v>
      </c>
      <c r="K118">
        <v>2.0714600000000001</v>
      </c>
      <c r="L118">
        <v>300</v>
      </c>
      <c r="M118">
        <v>300</v>
      </c>
      <c r="N118">
        <v>200</v>
      </c>
      <c r="O118">
        <v>800</v>
      </c>
      <c r="P118">
        <f t="shared" si="17"/>
        <v>46769.400000000009</v>
      </c>
      <c r="Q118">
        <f t="shared" si="18"/>
        <v>1.4238879188919542</v>
      </c>
      <c r="R118">
        <f t="shared" si="19"/>
        <v>-2639.4872</v>
      </c>
    </row>
    <row r="119" spans="2:20" x14ac:dyDescent="0.2">
      <c r="B119">
        <v>28</v>
      </c>
      <c r="C119">
        <v>1200</v>
      </c>
      <c r="D119">
        <v>0.375</v>
      </c>
      <c r="E119">
        <v>0.5</v>
      </c>
      <c r="F119">
        <v>0.125</v>
      </c>
      <c r="G119">
        <v>200000</v>
      </c>
      <c r="H119">
        <v>1201.3399999999999</v>
      </c>
      <c r="I119">
        <v>-3058.66</v>
      </c>
      <c r="J119">
        <v>53307.1</v>
      </c>
      <c r="K119">
        <v>1.8457399999999999</v>
      </c>
      <c r="L119">
        <v>300</v>
      </c>
      <c r="M119">
        <v>400</v>
      </c>
      <c r="N119">
        <v>100</v>
      </c>
      <c r="O119">
        <v>800</v>
      </c>
      <c r="P119">
        <f t="shared" si="17"/>
        <v>48380.2</v>
      </c>
      <c r="Q119">
        <f t="shared" si="18"/>
        <v>1.5065747714657149</v>
      </c>
      <c r="R119">
        <f t="shared" si="19"/>
        <v>-2810.4817599999997</v>
      </c>
      <c r="S119" cm="1">
        <f t="array" ref="S119:T119">LINEST(R119:R122,C119:C122)</f>
        <v>0.51363519999999918</v>
      </c>
      <c r="T119">
        <v>-3426.7019999999989</v>
      </c>
    </row>
    <row r="120" spans="2:20" x14ac:dyDescent="0.2">
      <c r="B120">
        <v>28</v>
      </c>
      <c r="C120">
        <v>1300</v>
      </c>
      <c r="D120">
        <v>0.375</v>
      </c>
      <c r="E120">
        <v>0.5</v>
      </c>
      <c r="F120">
        <v>0.125</v>
      </c>
      <c r="G120">
        <v>200000</v>
      </c>
      <c r="H120">
        <v>1300.06</v>
      </c>
      <c r="I120">
        <v>-3027.47</v>
      </c>
      <c r="J120">
        <v>54477.4</v>
      </c>
      <c r="K120">
        <v>-0.40273999999999999</v>
      </c>
      <c r="L120">
        <v>300</v>
      </c>
      <c r="M120">
        <v>400</v>
      </c>
      <c r="N120">
        <v>100</v>
      </c>
      <c r="O120">
        <v>800</v>
      </c>
      <c r="P120">
        <f t="shared" si="17"/>
        <v>48380.2</v>
      </c>
      <c r="Q120">
        <f t="shared" si="18"/>
        <v>1.4742100761049537</v>
      </c>
      <c r="R120">
        <f t="shared" si="19"/>
        <v>-2758.61024</v>
      </c>
      <c r="S120">
        <f t="shared" ref="S120" si="32">S119/SUM(L119:N119)*(1.602E-19)*(6.022E+23)</f>
        <v>61.939551267359903</v>
      </c>
    </row>
    <row r="121" spans="2:20" x14ac:dyDescent="0.2">
      <c r="B121">
        <v>28</v>
      </c>
      <c r="C121">
        <v>1400</v>
      </c>
      <c r="D121">
        <v>0.375</v>
      </c>
      <c r="E121">
        <v>0.5</v>
      </c>
      <c r="F121">
        <v>0.125</v>
      </c>
      <c r="G121">
        <v>200000</v>
      </c>
      <c r="H121">
        <v>1399.77</v>
      </c>
      <c r="I121">
        <v>-2997.46</v>
      </c>
      <c r="J121">
        <v>55581.4</v>
      </c>
      <c r="K121">
        <v>0.61683200000000005</v>
      </c>
      <c r="L121">
        <v>300</v>
      </c>
      <c r="M121">
        <v>400</v>
      </c>
      <c r="N121">
        <v>100</v>
      </c>
      <c r="O121">
        <v>800</v>
      </c>
      <c r="P121">
        <f t="shared" si="17"/>
        <v>48380.2</v>
      </c>
      <c r="Q121">
        <f t="shared" si="18"/>
        <v>1.4449281954034985</v>
      </c>
      <c r="R121">
        <f t="shared" si="19"/>
        <v>-2707.9187200000001</v>
      </c>
    </row>
    <row r="122" spans="2:20" x14ac:dyDescent="0.2">
      <c r="B122">
        <v>28</v>
      </c>
      <c r="C122">
        <v>1500</v>
      </c>
      <c r="D122">
        <v>0.375</v>
      </c>
      <c r="E122">
        <v>0.5</v>
      </c>
      <c r="F122">
        <v>0.125</v>
      </c>
      <c r="G122">
        <v>200000</v>
      </c>
      <c r="H122">
        <v>1500.3</v>
      </c>
      <c r="I122">
        <v>-2966.39</v>
      </c>
      <c r="J122">
        <v>56856</v>
      </c>
      <c r="K122">
        <v>-0.13316500000000001</v>
      </c>
      <c r="L122">
        <v>300</v>
      </c>
      <c r="M122">
        <v>400</v>
      </c>
      <c r="N122">
        <v>100</v>
      </c>
      <c r="O122">
        <v>800</v>
      </c>
      <c r="P122">
        <f t="shared" si="17"/>
        <v>48380.2</v>
      </c>
      <c r="Q122">
        <f t="shared" si="18"/>
        <v>1.4125357394118476</v>
      </c>
      <c r="R122">
        <f t="shared" si="19"/>
        <v>-2656.1671999999999</v>
      </c>
    </row>
    <row r="123" spans="2:20" x14ac:dyDescent="0.2">
      <c r="B123">
        <v>29</v>
      </c>
      <c r="C123">
        <v>1200</v>
      </c>
      <c r="D123">
        <v>0.375</v>
      </c>
      <c r="E123">
        <v>0.625</v>
      </c>
      <c r="F123">
        <v>0</v>
      </c>
      <c r="G123">
        <v>200000</v>
      </c>
      <c r="H123">
        <v>1197.96</v>
      </c>
      <c r="I123">
        <v>-3077.36</v>
      </c>
      <c r="J123">
        <v>55327.6</v>
      </c>
      <c r="K123">
        <v>8.8508499999999994</v>
      </c>
      <c r="L123">
        <v>300</v>
      </c>
      <c r="M123">
        <v>500</v>
      </c>
      <c r="N123">
        <v>0</v>
      </c>
      <c r="O123">
        <v>800</v>
      </c>
      <c r="P123">
        <f t="shared" si="17"/>
        <v>49991</v>
      </c>
      <c r="Q123">
        <f t="shared" si="18"/>
        <v>1.499885409813547</v>
      </c>
      <c r="R123">
        <f t="shared" si="19"/>
        <v>-2829.1817599999999</v>
      </c>
      <c r="S123" cm="1">
        <f t="array" ref="S123:T123">LINEST(R123:R126,C123:C126)</f>
        <v>0.52312520000000029</v>
      </c>
      <c r="T123">
        <v>-3456.4010000000003</v>
      </c>
    </row>
    <row r="124" spans="2:20" x14ac:dyDescent="0.2">
      <c r="B124">
        <v>29</v>
      </c>
      <c r="C124">
        <v>1300</v>
      </c>
      <c r="D124">
        <v>0.375</v>
      </c>
      <c r="E124">
        <v>0.625</v>
      </c>
      <c r="F124">
        <v>0</v>
      </c>
      <c r="G124">
        <v>200000</v>
      </c>
      <c r="H124">
        <v>1300.55</v>
      </c>
      <c r="I124">
        <v>-3044.9</v>
      </c>
      <c r="J124">
        <v>56574.6</v>
      </c>
      <c r="K124">
        <v>1.8827700000000001</v>
      </c>
      <c r="L124">
        <v>300</v>
      </c>
      <c r="M124">
        <v>500</v>
      </c>
      <c r="N124">
        <v>0</v>
      </c>
      <c r="O124">
        <v>800</v>
      </c>
      <c r="P124">
        <f t="shared" si="17"/>
        <v>49991</v>
      </c>
      <c r="Q124">
        <f t="shared" si="18"/>
        <v>1.4668253951419896</v>
      </c>
      <c r="R124">
        <f t="shared" si="19"/>
        <v>-2776.0402400000003</v>
      </c>
      <c r="S124">
        <f t="shared" ref="S124" si="33">S123/SUM(L123:N123)*(1.602E-19)*(6.022E+23)</f>
        <v>63.083955586860036</v>
      </c>
    </row>
    <row r="125" spans="2:20" x14ac:dyDescent="0.2">
      <c r="B125">
        <v>29</v>
      </c>
      <c r="C125">
        <v>1400</v>
      </c>
      <c r="D125">
        <v>0.375</v>
      </c>
      <c r="E125">
        <v>0.625</v>
      </c>
      <c r="F125">
        <v>0</v>
      </c>
      <c r="G125">
        <v>200000</v>
      </c>
      <c r="H125">
        <v>1400.16</v>
      </c>
      <c r="I125">
        <v>-3012.57</v>
      </c>
      <c r="J125">
        <v>57898.7</v>
      </c>
      <c r="K125">
        <v>1.3590899999999999</v>
      </c>
      <c r="L125">
        <v>300</v>
      </c>
      <c r="M125">
        <v>500</v>
      </c>
      <c r="N125">
        <v>0</v>
      </c>
      <c r="O125">
        <v>800</v>
      </c>
      <c r="P125">
        <f t="shared" si="17"/>
        <v>49991</v>
      </c>
      <c r="Q125">
        <f t="shared" si="18"/>
        <v>1.4332801945466827</v>
      </c>
      <c r="R125">
        <f t="shared" si="19"/>
        <v>-2723.0287200000002</v>
      </c>
    </row>
    <row r="126" spans="2:20" x14ac:dyDescent="0.2">
      <c r="B126">
        <v>29</v>
      </c>
      <c r="C126">
        <v>1500</v>
      </c>
      <c r="D126">
        <v>0.375</v>
      </c>
      <c r="E126">
        <v>0.625</v>
      </c>
      <c r="F126">
        <v>0</v>
      </c>
      <c r="G126">
        <v>200000</v>
      </c>
      <c r="H126">
        <v>1501.05</v>
      </c>
      <c r="I126">
        <v>-2982.7</v>
      </c>
      <c r="J126">
        <v>59116.4</v>
      </c>
      <c r="K126">
        <v>6.5982000000000003</v>
      </c>
      <c r="L126">
        <v>300</v>
      </c>
      <c r="M126">
        <v>500</v>
      </c>
      <c r="N126">
        <v>0</v>
      </c>
      <c r="O126">
        <v>800</v>
      </c>
      <c r="P126">
        <f t="shared" si="17"/>
        <v>49991</v>
      </c>
      <c r="Q126">
        <f t="shared" si="18"/>
        <v>1.4037569946749127</v>
      </c>
      <c r="R126">
        <f t="shared" si="19"/>
        <v>-2672.4771999999998</v>
      </c>
    </row>
    <row r="127" spans="2:20" x14ac:dyDescent="0.2">
      <c r="B127">
        <v>30</v>
      </c>
      <c r="C127">
        <v>1200</v>
      </c>
      <c r="D127">
        <v>0.5</v>
      </c>
      <c r="E127">
        <v>0</v>
      </c>
      <c r="F127">
        <v>0.5</v>
      </c>
      <c r="G127">
        <v>200000</v>
      </c>
      <c r="H127">
        <v>1200.8699999999999</v>
      </c>
      <c r="I127">
        <v>-3215.72</v>
      </c>
      <c r="J127">
        <v>43842</v>
      </c>
      <c r="K127">
        <v>4.6253000000000002</v>
      </c>
      <c r="L127">
        <v>400</v>
      </c>
      <c r="M127">
        <v>0</v>
      </c>
      <c r="N127">
        <v>400</v>
      </c>
      <c r="O127">
        <v>800</v>
      </c>
      <c r="P127">
        <f t="shared" si="17"/>
        <v>40332</v>
      </c>
      <c r="Q127">
        <f t="shared" si="18"/>
        <v>1.5271000410565214</v>
      </c>
      <c r="R127">
        <f t="shared" si="19"/>
        <v>-2967.5417599999996</v>
      </c>
      <c r="S127" cm="1">
        <f t="array" ref="S127:T127">LINEST(R127:R130,C127:C130)</f>
        <v>0.48877519999999874</v>
      </c>
      <c r="T127">
        <v>-3554.0209999999979</v>
      </c>
    </row>
    <row r="128" spans="2:20" x14ac:dyDescent="0.2">
      <c r="B128">
        <v>30</v>
      </c>
      <c r="C128">
        <v>1300</v>
      </c>
      <c r="D128">
        <v>0.5</v>
      </c>
      <c r="E128">
        <v>0</v>
      </c>
      <c r="F128">
        <v>0.5</v>
      </c>
      <c r="G128">
        <v>200000</v>
      </c>
      <c r="H128">
        <v>1298.97</v>
      </c>
      <c r="I128">
        <v>-3187.73</v>
      </c>
      <c r="J128">
        <v>44715.199999999997</v>
      </c>
      <c r="K128">
        <v>5.4279000000000002</v>
      </c>
      <c r="L128">
        <v>400</v>
      </c>
      <c r="M128">
        <v>0</v>
      </c>
      <c r="N128">
        <v>400</v>
      </c>
      <c r="O128">
        <v>800</v>
      </c>
      <c r="P128">
        <f t="shared" si="17"/>
        <v>40332</v>
      </c>
      <c r="Q128">
        <f t="shared" si="18"/>
        <v>1.4972787776863352</v>
      </c>
      <c r="R128">
        <f t="shared" si="19"/>
        <v>-2918.8702400000002</v>
      </c>
      <c r="S128">
        <f t="shared" ref="S128" si="34">S127/SUM(L127:N127)*(1.602E-19)*(6.022E+23)</f>
        <v>58.941670194359844</v>
      </c>
    </row>
    <row r="129" spans="2:20" x14ac:dyDescent="0.2">
      <c r="B129">
        <v>30</v>
      </c>
      <c r="C129">
        <v>1400</v>
      </c>
      <c r="D129">
        <v>0.5</v>
      </c>
      <c r="E129">
        <v>0</v>
      </c>
      <c r="F129">
        <v>0.5</v>
      </c>
      <c r="G129">
        <v>200000</v>
      </c>
      <c r="H129">
        <v>1400.92</v>
      </c>
      <c r="I129">
        <v>-3158.61</v>
      </c>
      <c r="J129">
        <v>45616.7</v>
      </c>
      <c r="K129">
        <v>7.88849</v>
      </c>
      <c r="L129">
        <v>400</v>
      </c>
      <c r="M129">
        <v>0</v>
      </c>
      <c r="N129">
        <v>400</v>
      </c>
      <c r="O129">
        <v>800</v>
      </c>
      <c r="P129">
        <f t="shared" si="17"/>
        <v>40332</v>
      </c>
      <c r="Q129">
        <f t="shared" si="18"/>
        <v>1.4676888069500866</v>
      </c>
      <c r="R129">
        <f t="shared" si="19"/>
        <v>-2869.0687200000002</v>
      </c>
    </row>
    <row r="130" spans="2:20" x14ac:dyDescent="0.2">
      <c r="B130">
        <v>30</v>
      </c>
      <c r="C130">
        <v>1500</v>
      </c>
      <c r="D130">
        <v>0.5</v>
      </c>
      <c r="E130">
        <v>0</v>
      </c>
      <c r="F130">
        <v>0.5</v>
      </c>
      <c r="G130">
        <v>200000</v>
      </c>
      <c r="H130">
        <v>1499.22</v>
      </c>
      <c r="I130">
        <v>-3131.44</v>
      </c>
      <c r="J130">
        <v>46429.9</v>
      </c>
      <c r="K130">
        <v>1.75939</v>
      </c>
      <c r="L130">
        <v>400</v>
      </c>
      <c r="M130">
        <v>0</v>
      </c>
      <c r="N130">
        <v>400</v>
      </c>
      <c r="O130">
        <v>800</v>
      </c>
      <c r="P130">
        <f t="shared" si="17"/>
        <v>40332</v>
      </c>
      <c r="Q130">
        <f t="shared" si="18"/>
        <v>1.4419828601827704</v>
      </c>
      <c r="R130">
        <f t="shared" si="19"/>
        <v>-2821.2172</v>
      </c>
    </row>
    <row r="131" spans="2:20" x14ac:dyDescent="0.2">
      <c r="B131">
        <v>31</v>
      </c>
      <c r="C131">
        <v>1200</v>
      </c>
      <c r="D131">
        <v>0.5</v>
      </c>
      <c r="E131">
        <v>0.125</v>
      </c>
      <c r="F131">
        <v>0.375</v>
      </c>
      <c r="G131">
        <v>200000</v>
      </c>
      <c r="H131">
        <v>1199.8</v>
      </c>
      <c r="I131">
        <v>-3238.68</v>
      </c>
      <c r="J131">
        <v>45848.6</v>
      </c>
      <c r="K131">
        <v>6.0433000000000003</v>
      </c>
      <c r="L131">
        <v>400</v>
      </c>
      <c r="M131">
        <v>100</v>
      </c>
      <c r="N131">
        <v>300</v>
      </c>
      <c r="O131">
        <v>800</v>
      </c>
      <c r="P131">
        <f t="shared" si="17"/>
        <v>41942.800000000003</v>
      </c>
      <c r="Q131">
        <f t="shared" si="18"/>
        <v>1.5185861291293521</v>
      </c>
      <c r="R131">
        <f t="shared" si="19"/>
        <v>-2990.5017599999996</v>
      </c>
      <c r="S131" cm="1">
        <f t="array" ref="S131:T131">LINEST(R131:R134,C131:C134)</f>
        <v>0.5002351999999991</v>
      </c>
      <c r="T131">
        <v>-3590.5069999999987</v>
      </c>
    </row>
    <row r="132" spans="2:20" x14ac:dyDescent="0.2">
      <c r="B132">
        <v>31</v>
      </c>
      <c r="C132">
        <v>1300</v>
      </c>
      <c r="D132">
        <v>0.5</v>
      </c>
      <c r="E132">
        <v>0.125</v>
      </c>
      <c r="F132">
        <v>0.375</v>
      </c>
      <c r="G132">
        <v>200000</v>
      </c>
      <c r="H132">
        <v>1300.3800000000001</v>
      </c>
      <c r="I132">
        <v>-3208.5</v>
      </c>
      <c r="J132">
        <v>46780.2</v>
      </c>
      <c r="K132">
        <v>6.2694099999999997</v>
      </c>
      <c r="L132">
        <v>400</v>
      </c>
      <c r="M132">
        <v>100</v>
      </c>
      <c r="N132">
        <v>300</v>
      </c>
      <c r="O132">
        <v>800</v>
      </c>
      <c r="P132">
        <f t="shared" si="17"/>
        <v>41942.800000000003</v>
      </c>
      <c r="Q132">
        <f t="shared" si="18"/>
        <v>1.4883443850175933</v>
      </c>
      <c r="R132">
        <f t="shared" si="19"/>
        <v>-2939.6402400000002</v>
      </c>
      <c r="S132">
        <f t="shared" ref="S132" si="35">S131/SUM(L131:N131)*(1.602E-19)*(6.022E+23)</f>
        <v>60.323637897359895</v>
      </c>
    </row>
    <row r="133" spans="2:20" x14ac:dyDescent="0.2">
      <c r="B133">
        <v>31</v>
      </c>
      <c r="C133">
        <v>1400</v>
      </c>
      <c r="D133">
        <v>0.5</v>
      </c>
      <c r="E133">
        <v>0.125</v>
      </c>
      <c r="F133">
        <v>0.375</v>
      </c>
      <c r="G133">
        <v>200000</v>
      </c>
      <c r="H133">
        <v>1399.88</v>
      </c>
      <c r="I133">
        <v>-3180.01</v>
      </c>
      <c r="J133">
        <v>47711.5</v>
      </c>
      <c r="K133">
        <v>4.3596500000000002</v>
      </c>
      <c r="L133">
        <v>400</v>
      </c>
      <c r="M133">
        <v>100</v>
      </c>
      <c r="N133">
        <v>300</v>
      </c>
      <c r="O133">
        <v>800</v>
      </c>
      <c r="P133">
        <f t="shared" si="17"/>
        <v>41942.800000000003</v>
      </c>
      <c r="Q133">
        <f t="shared" si="18"/>
        <v>1.4592927910461841</v>
      </c>
      <c r="R133">
        <f t="shared" si="19"/>
        <v>-2890.4687200000003</v>
      </c>
    </row>
    <row r="134" spans="2:20" x14ac:dyDescent="0.2">
      <c r="B134">
        <v>31</v>
      </c>
      <c r="C134">
        <v>1500</v>
      </c>
      <c r="D134">
        <v>0.5</v>
      </c>
      <c r="E134">
        <v>0.125</v>
      </c>
      <c r="F134">
        <v>0.375</v>
      </c>
      <c r="G134">
        <v>200000</v>
      </c>
      <c r="H134">
        <v>1500.85</v>
      </c>
      <c r="I134">
        <v>-3150.37</v>
      </c>
      <c r="J134">
        <v>48715.199999999997</v>
      </c>
      <c r="K134">
        <v>-5.9638499999999999</v>
      </c>
      <c r="L134">
        <v>400</v>
      </c>
      <c r="M134">
        <v>100</v>
      </c>
      <c r="N134">
        <v>300</v>
      </c>
      <c r="O134">
        <v>800</v>
      </c>
      <c r="P134">
        <f t="shared" si="17"/>
        <v>41942.800000000003</v>
      </c>
      <c r="Q134">
        <f t="shared" si="18"/>
        <v>1.4292263605609752</v>
      </c>
      <c r="R134">
        <f t="shared" si="19"/>
        <v>-2840.1471999999999</v>
      </c>
    </row>
    <row r="135" spans="2:20" x14ac:dyDescent="0.2">
      <c r="B135">
        <v>32</v>
      </c>
      <c r="C135">
        <v>1200</v>
      </c>
      <c r="D135">
        <v>0.5</v>
      </c>
      <c r="E135">
        <v>0.25</v>
      </c>
      <c r="F135">
        <v>0.25</v>
      </c>
      <c r="G135">
        <v>200000</v>
      </c>
      <c r="H135">
        <v>1200.77</v>
      </c>
      <c r="I135">
        <v>-3259.53</v>
      </c>
      <c r="J135">
        <v>47929.3</v>
      </c>
      <c r="K135">
        <v>5.3653300000000002</v>
      </c>
      <c r="L135">
        <v>400</v>
      </c>
      <c r="M135">
        <v>200</v>
      </c>
      <c r="N135">
        <v>200</v>
      </c>
      <c r="O135">
        <v>800</v>
      </c>
      <c r="P135">
        <f t="shared" si="17"/>
        <v>43553.600000000006</v>
      </c>
      <c r="Q135">
        <f t="shared" si="18"/>
        <v>1.5084504885320671</v>
      </c>
      <c r="R135">
        <f t="shared" si="19"/>
        <v>-3011.35176</v>
      </c>
      <c r="S135" cm="1">
        <f t="array" ref="S135:T135">LINEST(R135:R138,C135:C138)</f>
        <v>0.49846519999999966</v>
      </c>
      <c r="T135">
        <v>-3609.2599999999993</v>
      </c>
    </row>
    <row r="136" spans="2:20" x14ac:dyDescent="0.2">
      <c r="B136">
        <v>32</v>
      </c>
      <c r="C136">
        <v>1300</v>
      </c>
      <c r="D136">
        <v>0.5</v>
      </c>
      <c r="E136">
        <v>0.25</v>
      </c>
      <c r="F136">
        <v>0.25</v>
      </c>
      <c r="G136">
        <v>200000</v>
      </c>
      <c r="H136">
        <v>1301.53</v>
      </c>
      <c r="I136">
        <v>-3229.88</v>
      </c>
      <c r="J136">
        <v>48898.7</v>
      </c>
      <c r="K136">
        <v>2.6696</v>
      </c>
      <c r="L136">
        <v>400</v>
      </c>
      <c r="M136">
        <v>200</v>
      </c>
      <c r="N136">
        <v>200</v>
      </c>
      <c r="O136">
        <v>800</v>
      </c>
      <c r="P136">
        <f t="shared" ref="P136:P150" si="36">L136*$L$2+M136*$M$2+N136*$N$2+O136*$O$2</f>
        <v>43553.600000000006</v>
      </c>
      <c r="Q136">
        <f t="shared" ref="Q136:Q150" si="37">P136*1.66E-24/(J136*1E-24)</f>
        <v>1.4785459736148407</v>
      </c>
      <c r="R136">
        <f t="shared" ref="R136:R150" si="38">I136+(1.5)*C136*(0.000086173)*SUM(L136:O136)</f>
        <v>-2961.0202400000003</v>
      </c>
      <c r="S136">
        <f t="shared" ref="S136" si="39">S135/SUM(L135:N135)*(1.602E-19)*(6.022E+23)</f>
        <v>60.110192623859959</v>
      </c>
    </row>
    <row r="137" spans="2:20" x14ac:dyDescent="0.2">
      <c r="B137">
        <v>32</v>
      </c>
      <c r="C137">
        <v>1400</v>
      </c>
      <c r="D137">
        <v>0.5</v>
      </c>
      <c r="E137">
        <v>0.25</v>
      </c>
      <c r="F137">
        <v>0.25</v>
      </c>
      <c r="G137">
        <v>200000</v>
      </c>
      <c r="H137">
        <v>1400.23</v>
      </c>
      <c r="I137">
        <v>-3200.67</v>
      </c>
      <c r="J137">
        <v>49832.5</v>
      </c>
      <c r="K137">
        <v>9.6610099999999992</v>
      </c>
      <c r="L137">
        <v>400</v>
      </c>
      <c r="M137">
        <v>200</v>
      </c>
      <c r="N137">
        <v>200</v>
      </c>
      <c r="O137">
        <v>800</v>
      </c>
      <c r="P137">
        <f t="shared" si="36"/>
        <v>43553.600000000006</v>
      </c>
      <c r="Q137">
        <f t="shared" si="37"/>
        <v>1.4508398334420312</v>
      </c>
      <c r="R137">
        <f t="shared" si="38"/>
        <v>-2911.1287200000002</v>
      </c>
    </row>
    <row r="138" spans="2:20" x14ac:dyDescent="0.2">
      <c r="B138">
        <v>32</v>
      </c>
      <c r="C138">
        <v>1500</v>
      </c>
      <c r="D138">
        <v>0.5</v>
      </c>
      <c r="E138">
        <v>0.25</v>
      </c>
      <c r="F138">
        <v>0.25</v>
      </c>
      <c r="G138">
        <v>200000</v>
      </c>
      <c r="H138">
        <v>1498.48</v>
      </c>
      <c r="I138">
        <v>-3172.05</v>
      </c>
      <c r="J138">
        <v>50874.5</v>
      </c>
      <c r="K138">
        <v>-4.0952900000000003</v>
      </c>
      <c r="L138">
        <v>400</v>
      </c>
      <c r="M138">
        <v>200</v>
      </c>
      <c r="N138">
        <v>200</v>
      </c>
      <c r="O138">
        <v>800</v>
      </c>
      <c r="P138">
        <f t="shared" si="36"/>
        <v>43553.600000000006</v>
      </c>
      <c r="Q138">
        <f t="shared" si="37"/>
        <v>1.4211240601873241</v>
      </c>
      <c r="R138">
        <f t="shared" si="38"/>
        <v>-2861.8272000000002</v>
      </c>
    </row>
    <row r="139" spans="2:20" x14ac:dyDescent="0.2">
      <c r="B139">
        <v>33</v>
      </c>
      <c r="C139">
        <v>1200</v>
      </c>
      <c r="D139">
        <v>0.5</v>
      </c>
      <c r="E139">
        <v>0.375</v>
      </c>
      <c r="F139">
        <v>0.125</v>
      </c>
      <c r="G139">
        <v>200000</v>
      </c>
      <c r="H139">
        <v>1201.1199999999999</v>
      </c>
      <c r="I139">
        <v>-3279.71</v>
      </c>
      <c r="J139">
        <v>49959.6</v>
      </c>
      <c r="K139">
        <v>4.4553099999999999</v>
      </c>
      <c r="L139">
        <v>400</v>
      </c>
      <c r="M139">
        <v>300</v>
      </c>
      <c r="N139">
        <v>100</v>
      </c>
      <c r="O139">
        <v>800</v>
      </c>
      <c r="P139">
        <f t="shared" si="36"/>
        <v>45164.400000000009</v>
      </c>
      <c r="Q139">
        <f t="shared" si="37"/>
        <v>1.5006706218624652</v>
      </c>
      <c r="R139">
        <f t="shared" si="38"/>
        <v>-3031.5317599999998</v>
      </c>
      <c r="S139" cm="1">
        <f t="array" ref="S139:T139">LINEST(R139:R142,C139:C142)</f>
        <v>0.50545519999999988</v>
      </c>
      <c r="T139">
        <v>-3638.1539999999995</v>
      </c>
    </row>
    <row r="140" spans="2:20" x14ac:dyDescent="0.2">
      <c r="B140">
        <v>33</v>
      </c>
      <c r="C140">
        <v>1300</v>
      </c>
      <c r="D140">
        <v>0.5</v>
      </c>
      <c r="E140">
        <v>0.375</v>
      </c>
      <c r="F140">
        <v>0.125</v>
      </c>
      <c r="G140">
        <v>200000</v>
      </c>
      <c r="H140">
        <v>1299.73</v>
      </c>
      <c r="I140">
        <v>-3250.02</v>
      </c>
      <c r="J140">
        <v>50949.9</v>
      </c>
      <c r="K140">
        <v>8.3987999999999996</v>
      </c>
      <c r="L140">
        <v>400</v>
      </c>
      <c r="M140">
        <v>300</v>
      </c>
      <c r="N140">
        <v>100</v>
      </c>
      <c r="O140">
        <v>800</v>
      </c>
      <c r="P140">
        <f t="shared" si="36"/>
        <v>45164.400000000009</v>
      </c>
      <c r="Q140">
        <f t="shared" si="37"/>
        <v>1.4715024759616806</v>
      </c>
      <c r="R140">
        <f t="shared" si="38"/>
        <v>-2981.1602400000002</v>
      </c>
      <c r="S140">
        <f t="shared" ref="S140" si="40">S139/SUM(L139:N139)*(1.602E-19)*(6.022E+23)</f>
        <v>60.953120568359985</v>
      </c>
    </row>
    <row r="141" spans="2:20" x14ac:dyDescent="0.2">
      <c r="B141">
        <v>33</v>
      </c>
      <c r="C141">
        <v>1400</v>
      </c>
      <c r="D141">
        <v>0.5</v>
      </c>
      <c r="E141">
        <v>0.375</v>
      </c>
      <c r="F141">
        <v>0.125</v>
      </c>
      <c r="G141">
        <v>200000</v>
      </c>
      <c r="H141">
        <v>1398.66</v>
      </c>
      <c r="I141">
        <v>-3220.09</v>
      </c>
      <c r="J141">
        <v>52048.2</v>
      </c>
      <c r="K141">
        <v>-4.3137499999999998</v>
      </c>
      <c r="L141">
        <v>400</v>
      </c>
      <c r="M141">
        <v>300</v>
      </c>
      <c r="N141">
        <v>100</v>
      </c>
      <c r="O141">
        <v>800</v>
      </c>
      <c r="P141">
        <f t="shared" si="36"/>
        <v>45164.400000000009</v>
      </c>
      <c r="Q141">
        <f t="shared" si="37"/>
        <v>1.4404514277150802</v>
      </c>
      <c r="R141">
        <f t="shared" si="38"/>
        <v>-2930.5487200000002</v>
      </c>
    </row>
    <row r="142" spans="2:20" x14ac:dyDescent="0.2">
      <c r="B142">
        <v>33</v>
      </c>
      <c r="C142">
        <v>1500</v>
      </c>
      <c r="D142">
        <v>0.5</v>
      </c>
      <c r="E142">
        <v>0.375</v>
      </c>
      <c r="F142">
        <v>0.125</v>
      </c>
      <c r="G142">
        <v>200000</v>
      </c>
      <c r="H142">
        <v>1500.58</v>
      </c>
      <c r="I142">
        <v>-3190.14</v>
      </c>
      <c r="J142">
        <v>53063.6</v>
      </c>
      <c r="K142">
        <v>8.9337400000000002</v>
      </c>
      <c r="L142">
        <v>400</v>
      </c>
      <c r="M142">
        <v>300</v>
      </c>
      <c r="N142">
        <v>100</v>
      </c>
      <c r="O142">
        <v>800</v>
      </c>
      <c r="P142">
        <f t="shared" si="36"/>
        <v>45164.400000000009</v>
      </c>
      <c r="Q142">
        <f t="shared" si="37"/>
        <v>1.4128876291846015</v>
      </c>
      <c r="R142">
        <f t="shared" si="38"/>
        <v>-2879.9171999999999</v>
      </c>
    </row>
    <row r="143" spans="2:20" x14ac:dyDescent="0.2">
      <c r="B143">
        <v>34</v>
      </c>
      <c r="C143">
        <v>1200</v>
      </c>
      <c r="D143">
        <v>0.5</v>
      </c>
      <c r="E143">
        <v>0.5</v>
      </c>
      <c r="F143">
        <v>0</v>
      </c>
      <c r="G143">
        <v>200000</v>
      </c>
      <c r="H143">
        <v>1199.8599999999999</v>
      </c>
      <c r="I143">
        <v>-3300.58</v>
      </c>
      <c r="J143">
        <v>51943.8</v>
      </c>
      <c r="K143">
        <v>5.0752600000000001</v>
      </c>
      <c r="L143">
        <v>400</v>
      </c>
      <c r="M143">
        <v>400</v>
      </c>
      <c r="N143">
        <v>0</v>
      </c>
      <c r="O143">
        <v>800</v>
      </c>
      <c r="P143">
        <f t="shared" si="36"/>
        <v>46775.199999999997</v>
      </c>
      <c r="Q143">
        <f t="shared" si="37"/>
        <v>1.4948238673335412</v>
      </c>
      <c r="R143">
        <f t="shared" si="38"/>
        <v>-3052.4017599999997</v>
      </c>
      <c r="S143" cm="1">
        <f t="array" ref="S143:T143">LINEST(R143:R146,C143:C146)</f>
        <v>0.51849519999999882</v>
      </c>
      <c r="T143">
        <v>-3674.2329999999984</v>
      </c>
    </row>
    <row r="144" spans="2:20" x14ac:dyDescent="0.2">
      <c r="B144">
        <v>34</v>
      </c>
      <c r="C144">
        <v>1300</v>
      </c>
      <c r="D144">
        <v>0.5</v>
      </c>
      <c r="E144">
        <v>0.5</v>
      </c>
      <c r="F144">
        <v>0</v>
      </c>
      <c r="G144">
        <v>200000</v>
      </c>
      <c r="H144">
        <v>1299.7</v>
      </c>
      <c r="I144">
        <v>-3268.99</v>
      </c>
      <c r="J144">
        <v>53084.800000000003</v>
      </c>
      <c r="K144">
        <v>11.046099999999999</v>
      </c>
      <c r="L144">
        <v>400</v>
      </c>
      <c r="M144">
        <v>400</v>
      </c>
      <c r="N144">
        <v>0</v>
      </c>
      <c r="O144">
        <v>800</v>
      </c>
      <c r="P144">
        <f t="shared" si="36"/>
        <v>46775.199999999997</v>
      </c>
      <c r="Q144">
        <f t="shared" si="37"/>
        <v>1.4626942552293687</v>
      </c>
      <c r="R144">
        <f t="shared" si="38"/>
        <v>-3000.13024</v>
      </c>
      <c r="S144">
        <f t="shared" ref="S144" si="41">S143/SUM(L143:N143)*(1.602E-19)*(6.022E+23)</f>
        <v>62.525621340359862</v>
      </c>
    </row>
    <row r="145" spans="2:20" x14ac:dyDescent="0.2">
      <c r="B145">
        <v>34</v>
      </c>
      <c r="C145">
        <v>1400</v>
      </c>
      <c r="D145">
        <v>0.5</v>
      </c>
      <c r="E145">
        <v>0.5</v>
      </c>
      <c r="F145">
        <v>0</v>
      </c>
      <c r="G145">
        <v>200000</v>
      </c>
      <c r="H145">
        <v>1400.59</v>
      </c>
      <c r="I145">
        <v>-3236.91</v>
      </c>
      <c r="J145">
        <v>54222.2</v>
      </c>
      <c r="K145">
        <v>7.8344800000000001</v>
      </c>
      <c r="L145">
        <v>400</v>
      </c>
      <c r="M145">
        <v>400</v>
      </c>
      <c r="N145">
        <v>0</v>
      </c>
      <c r="O145">
        <v>800</v>
      </c>
      <c r="P145">
        <f t="shared" si="36"/>
        <v>46775.199999999997</v>
      </c>
      <c r="Q145">
        <f t="shared" si="37"/>
        <v>1.4320118327917346</v>
      </c>
      <c r="R145">
        <f t="shared" si="38"/>
        <v>-2947.3687199999999</v>
      </c>
    </row>
    <row r="146" spans="2:20" x14ac:dyDescent="0.2">
      <c r="B146">
        <v>34</v>
      </c>
      <c r="C146">
        <v>1500</v>
      </c>
      <c r="D146">
        <v>0.5</v>
      </c>
      <c r="E146">
        <v>0.5</v>
      </c>
      <c r="F146">
        <v>0</v>
      </c>
      <c r="G146">
        <v>200000</v>
      </c>
      <c r="H146">
        <v>1500.22</v>
      </c>
      <c r="I146">
        <v>-3207.38</v>
      </c>
      <c r="J146">
        <v>55389.3</v>
      </c>
      <c r="K146">
        <v>5.5629600000000003</v>
      </c>
      <c r="L146">
        <v>400</v>
      </c>
      <c r="M146">
        <v>400</v>
      </c>
      <c r="N146">
        <v>0</v>
      </c>
      <c r="O146">
        <v>800</v>
      </c>
      <c r="P146">
        <f t="shared" si="36"/>
        <v>46775.199999999997</v>
      </c>
      <c r="Q146">
        <f t="shared" si="37"/>
        <v>1.4018381167481806</v>
      </c>
      <c r="R146">
        <f t="shared" si="38"/>
        <v>-2897.1572000000001</v>
      </c>
    </row>
    <row r="147" spans="2:20" x14ac:dyDescent="0.2">
      <c r="B147">
        <v>35</v>
      </c>
      <c r="C147">
        <v>1200</v>
      </c>
      <c r="D147">
        <v>0.625</v>
      </c>
      <c r="E147">
        <v>0</v>
      </c>
      <c r="F147">
        <v>0.375</v>
      </c>
      <c r="G147">
        <v>200000</v>
      </c>
      <c r="H147">
        <v>1201.23</v>
      </c>
      <c r="I147">
        <v>-3453.07</v>
      </c>
      <c r="J147">
        <v>42432.4</v>
      </c>
      <c r="K147">
        <v>5.3605099999999997</v>
      </c>
      <c r="L147">
        <v>500</v>
      </c>
      <c r="M147">
        <v>0</v>
      </c>
      <c r="N147">
        <v>300</v>
      </c>
      <c r="O147">
        <v>800</v>
      </c>
      <c r="P147">
        <f t="shared" si="36"/>
        <v>38727</v>
      </c>
      <c r="Q147">
        <f t="shared" si="37"/>
        <v>1.5150408649993874</v>
      </c>
      <c r="R147">
        <f t="shared" si="38"/>
        <v>-3204.89176</v>
      </c>
      <c r="S147" cm="1">
        <f t="array" ref="S147:T147">LINEST(R147:R150,C147:C150)</f>
        <v>0.48624520000000038</v>
      </c>
      <c r="T147">
        <v>-3788.1430000000005</v>
      </c>
    </row>
    <row r="148" spans="2:20" x14ac:dyDescent="0.2">
      <c r="B148">
        <v>35</v>
      </c>
      <c r="C148">
        <v>1300</v>
      </c>
      <c r="D148">
        <v>0.625</v>
      </c>
      <c r="E148">
        <v>0</v>
      </c>
      <c r="F148">
        <v>0.375</v>
      </c>
      <c r="G148">
        <v>200000</v>
      </c>
      <c r="H148">
        <v>1300.73</v>
      </c>
      <c r="I148">
        <v>-3424.46</v>
      </c>
      <c r="J148">
        <v>43259.9</v>
      </c>
      <c r="K148">
        <v>11.418900000000001</v>
      </c>
      <c r="L148">
        <v>500</v>
      </c>
      <c r="M148">
        <v>0</v>
      </c>
      <c r="N148">
        <v>300</v>
      </c>
      <c r="O148">
        <v>800</v>
      </c>
      <c r="P148">
        <f t="shared" si="36"/>
        <v>38727</v>
      </c>
      <c r="Q148">
        <f t="shared" si="37"/>
        <v>1.4860603006479443</v>
      </c>
      <c r="R148">
        <f t="shared" si="38"/>
        <v>-3155.6002400000002</v>
      </c>
      <c r="S148">
        <f t="shared" ref="S148" si="42">S147/SUM(L147:N147)*(1.602E-19)*(6.022E+23)</f>
        <v>58.636576102860055</v>
      </c>
    </row>
    <row r="149" spans="2:20" x14ac:dyDescent="0.2">
      <c r="B149">
        <v>35</v>
      </c>
      <c r="C149">
        <v>1400</v>
      </c>
      <c r="D149">
        <v>0.625</v>
      </c>
      <c r="E149">
        <v>0</v>
      </c>
      <c r="F149">
        <v>0.375</v>
      </c>
      <c r="G149">
        <v>200000</v>
      </c>
      <c r="H149">
        <v>1401.21</v>
      </c>
      <c r="I149">
        <v>-3397.06</v>
      </c>
      <c r="J149">
        <v>43984.7</v>
      </c>
      <c r="K149">
        <v>1.25037</v>
      </c>
      <c r="L149">
        <v>500</v>
      </c>
      <c r="M149">
        <v>0</v>
      </c>
      <c r="N149">
        <v>300</v>
      </c>
      <c r="O149">
        <v>800</v>
      </c>
      <c r="P149">
        <f t="shared" si="36"/>
        <v>38727</v>
      </c>
      <c r="Q149">
        <f t="shared" si="37"/>
        <v>1.4615723194656325</v>
      </c>
      <c r="R149">
        <f t="shared" si="38"/>
        <v>-3107.51872</v>
      </c>
    </row>
    <row r="150" spans="2:20" x14ac:dyDescent="0.2">
      <c r="B150">
        <v>35</v>
      </c>
      <c r="C150">
        <v>1500</v>
      </c>
      <c r="D150">
        <v>0.625</v>
      </c>
      <c r="E150">
        <v>0</v>
      </c>
      <c r="F150">
        <v>0.375</v>
      </c>
      <c r="G150">
        <v>200000</v>
      </c>
      <c r="H150">
        <v>1499.62</v>
      </c>
      <c r="I150">
        <v>-3369.06</v>
      </c>
      <c r="J150">
        <v>44932.1</v>
      </c>
      <c r="K150">
        <v>10.4689</v>
      </c>
      <c r="L150">
        <v>500</v>
      </c>
      <c r="M150">
        <v>0</v>
      </c>
      <c r="N150">
        <v>300</v>
      </c>
      <c r="O150">
        <v>800</v>
      </c>
      <c r="P150">
        <f t="shared" si="36"/>
        <v>38727</v>
      </c>
      <c r="Q150">
        <f t="shared" si="37"/>
        <v>1.4307548500960339</v>
      </c>
      <c r="R150">
        <f t="shared" si="38"/>
        <v>-3058.8371999999999</v>
      </c>
    </row>
    <row r="151" spans="2:20" x14ac:dyDescent="0.2">
      <c r="B151">
        <v>36</v>
      </c>
      <c r="C151">
        <v>1200</v>
      </c>
      <c r="D151">
        <v>0.625</v>
      </c>
      <c r="E151">
        <v>0.125</v>
      </c>
      <c r="F151">
        <v>0.25</v>
      </c>
      <c r="G151">
        <v>200000</v>
      </c>
      <c r="H151">
        <v>1199.58</v>
      </c>
      <c r="I151">
        <v>-3476.81</v>
      </c>
      <c r="J151">
        <v>44453.7</v>
      </c>
      <c r="K151">
        <v>-2.6045600000000002</v>
      </c>
      <c r="L151">
        <v>500</v>
      </c>
      <c r="M151">
        <v>100</v>
      </c>
      <c r="N151">
        <v>200</v>
      </c>
      <c r="O151">
        <v>800</v>
      </c>
      <c r="P151">
        <f t="shared" ref="P151:P186" si="43">L151*$L$2+M151*$M$2+N151*$N$2+O151*$O$2</f>
        <v>40337.800000000003</v>
      </c>
      <c r="Q151">
        <f t="shared" ref="Q151:Q186" si="44">P151*1.66E-24/(J151*1E-24)</f>
        <v>1.5063031423706019</v>
      </c>
      <c r="R151">
        <f t="shared" ref="R151:R186" si="45">I151+(1.5)*C151*(0.000086173)*SUM(L151:O151)</f>
        <v>-3228.6317599999998</v>
      </c>
      <c r="S151" cm="1">
        <f t="array" ref="S151:T151">LINEST(R151:R154,C151:C154)</f>
        <v>0.49658519999999945</v>
      </c>
      <c r="T151">
        <v>-3824.0969999999993</v>
      </c>
    </row>
    <row r="152" spans="2:20" x14ac:dyDescent="0.2">
      <c r="B152">
        <v>36</v>
      </c>
      <c r="C152">
        <v>1300</v>
      </c>
      <c r="D152">
        <v>0.625</v>
      </c>
      <c r="E152">
        <v>0.125</v>
      </c>
      <c r="F152">
        <v>0.25</v>
      </c>
      <c r="G152">
        <v>200000</v>
      </c>
      <c r="H152">
        <v>1298.3499999999999</v>
      </c>
      <c r="I152">
        <v>-3446.93</v>
      </c>
      <c r="J152">
        <v>45389.8</v>
      </c>
      <c r="K152">
        <v>7.6570299999999998</v>
      </c>
      <c r="L152">
        <v>500</v>
      </c>
      <c r="M152">
        <v>100</v>
      </c>
      <c r="N152">
        <v>200</v>
      </c>
      <c r="O152">
        <v>800</v>
      </c>
      <c r="P152">
        <f t="shared" si="43"/>
        <v>40337.800000000003</v>
      </c>
      <c r="Q152">
        <f t="shared" si="44"/>
        <v>1.4752377847005278</v>
      </c>
      <c r="R152">
        <f t="shared" si="45"/>
        <v>-3178.07024</v>
      </c>
      <c r="S152">
        <f>S151/SUM(L151:N151)*(1.602E-19)*(6.022E+23)</f>
        <v>59.883482389859935</v>
      </c>
    </row>
    <row r="153" spans="2:20" x14ac:dyDescent="0.2">
      <c r="B153">
        <v>36</v>
      </c>
      <c r="C153">
        <v>1400</v>
      </c>
      <c r="D153">
        <v>0.625</v>
      </c>
      <c r="E153">
        <v>0.125</v>
      </c>
      <c r="F153">
        <v>0.25</v>
      </c>
      <c r="G153">
        <v>200000</v>
      </c>
      <c r="H153">
        <v>1399.79</v>
      </c>
      <c r="I153">
        <v>-3418.04</v>
      </c>
      <c r="J153">
        <v>46281.9</v>
      </c>
      <c r="K153">
        <v>2.1345999999999998</v>
      </c>
      <c r="L153">
        <v>500</v>
      </c>
      <c r="M153">
        <v>100</v>
      </c>
      <c r="N153">
        <v>200</v>
      </c>
      <c r="O153">
        <v>800</v>
      </c>
      <c r="P153">
        <f t="shared" si="43"/>
        <v>40337.800000000003</v>
      </c>
      <c r="Q153">
        <f t="shared" si="44"/>
        <v>1.4468020543668263</v>
      </c>
      <c r="R153">
        <f t="shared" si="45"/>
        <v>-3128.49872</v>
      </c>
    </row>
    <row r="154" spans="2:20" x14ac:dyDescent="0.2">
      <c r="B154">
        <v>36</v>
      </c>
      <c r="C154">
        <v>1500</v>
      </c>
      <c r="D154">
        <v>0.625</v>
      </c>
      <c r="E154">
        <v>0.125</v>
      </c>
      <c r="F154">
        <v>0.25</v>
      </c>
      <c r="G154">
        <v>200000</v>
      </c>
      <c r="H154">
        <v>1500.55</v>
      </c>
      <c r="I154">
        <v>-3389.85</v>
      </c>
      <c r="J154">
        <v>47126.2</v>
      </c>
      <c r="K154">
        <v>-3.8615200000000001</v>
      </c>
      <c r="L154">
        <v>500</v>
      </c>
      <c r="M154">
        <v>100</v>
      </c>
      <c r="N154">
        <v>200</v>
      </c>
      <c r="O154">
        <v>800</v>
      </c>
      <c r="P154">
        <f t="shared" si="43"/>
        <v>40337.800000000003</v>
      </c>
      <c r="Q154">
        <f t="shared" si="44"/>
        <v>1.420881547843875</v>
      </c>
      <c r="R154">
        <f t="shared" si="45"/>
        <v>-3079.6271999999999</v>
      </c>
    </row>
    <row r="155" spans="2:20" x14ac:dyDescent="0.2">
      <c r="B155">
        <v>37</v>
      </c>
      <c r="C155">
        <v>1200</v>
      </c>
      <c r="D155">
        <v>0.625</v>
      </c>
      <c r="E155">
        <v>0.25</v>
      </c>
      <c r="F155">
        <v>0.125</v>
      </c>
      <c r="G155">
        <v>200000</v>
      </c>
      <c r="H155">
        <v>1199.52</v>
      </c>
      <c r="I155">
        <v>-3498.7</v>
      </c>
      <c r="J155">
        <v>46522</v>
      </c>
      <c r="K155">
        <v>5.9609399999999999</v>
      </c>
      <c r="L155">
        <v>500</v>
      </c>
      <c r="M155">
        <v>200</v>
      </c>
      <c r="N155">
        <v>100</v>
      </c>
      <c r="O155">
        <v>800</v>
      </c>
      <c r="P155">
        <f t="shared" si="43"/>
        <v>41948.600000000006</v>
      </c>
      <c r="Q155">
        <f t="shared" si="44"/>
        <v>1.4968117449808698</v>
      </c>
      <c r="R155">
        <f t="shared" si="45"/>
        <v>-3250.5217599999996</v>
      </c>
      <c r="S155" cm="1">
        <f t="array" ref="S155:T155">LINEST(R155:R158,C155:C158)</f>
        <v>0.50083519999999915</v>
      </c>
      <c r="T155">
        <v>-3851.4069999999983</v>
      </c>
    </row>
    <row r="156" spans="2:20" x14ac:dyDescent="0.2">
      <c r="B156">
        <v>37</v>
      </c>
      <c r="C156">
        <v>1300</v>
      </c>
      <c r="D156">
        <v>0.625</v>
      </c>
      <c r="E156">
        <v>0.25</v>
      </c>
      <c r="F156">
        <v>0.125</v>
      </c>
      <c r="G156">
        <v>200000</v>
      </c>
      <c r="H156">
        <v>1299.52</v>
      </c>
      <c r="I156">
        <v>-3469.11</v>
      </c>
      <c r="J156">
        <v>47454.2</v>
      </c>
      <c r="K156">
        <v>-1.1435</v>
      </c>
      <c r="L156">
        <v>500</v>
      </c>
      <c r="M156">
        <v>200</v>
      </c>
      <c r="N156">
        <v>100</v>
      </c>
      <c r="O156">
        <v>800</v>
      </c>
      <c r="P156">
        <f t="shared" si="43"/>
        <v>41948.600000000006</v>
      </c>
      <c r="Q156">
        <f t="shared" si="44"/>
        <v>1.4674080692541445</v>
      </c>
      <c r="R156">
        <f t="shared" si="45"/>
        <v>-3200.2502400000003</v>
      </c>
      <c r="S156">
        <f t="shared" ref="S156" si="46">S155/SUM(L155:N155)*(1.602E-19)*(6.022E+23)</f>
        <v>60.395992227359891</v>
      </c>
    </row>
    <row r="157" spans="2:20" x14ac:dyDescent="0.2">
      <c r="B157">
        <v>37</v>
      </c>
      <c r="C157">
        <v>1400</v>
      </c>
      <c r="D157">
        <v>0.625</v>
      </c>
      <c r="E157">
        <v>0.25</v>
      </c>
      <c r="F157">
        <v>0.125</v>
      </c>
      <c r="G157">
        <v>200000</v>
      </c>
      <c r="H157">
        <v>1398.92</v>
      </c>
      <c r="I157">
        <v>-3439.57</v>
      </c>
      <c r="J157">
        <v>48425.1</v>
      </c>
      <c r="K157">
        <v>3.32226</v>
      </c>
      <c r="L157">
        <v>500</v>
      </c>
      <c r="M157">
        <v>200</v>
      </c>
      <c r="N157">
        <v>100</v>
      </c>
      <c r="O157">
        <v>800</v>
      </c>
      <c r="P157">
        <f t="shared" si="43"/>
        <v>41948.600000000006</v>
      </c>
      <c r="Q157">
        <f t="shared" si="44"/>
        <v>1.4379872421533466</v>
      </c>
      <c r="R157">
        <f t="shared" si="45"/>
        <v>-3150.0287200000002</v>
      </c>
    </row>
    <row r="158" spans="2:20" x14ac:dyDescent="0.2">
      <c r="B158">
        <v>37</v>
      </c>
      <c r="C158">
        <v>1500</v>
      </c>
      <c r="D158">
        <v>0.625</v>
      </c>
      <c r="E158">
        <v>0.25</v>
      </c>
      <c r="F158">
        <v>0.125</v>
      </c>
      <c r="G158">
        <v>200000</v>
      </c>
      <c r="H158">
        <v>1500.69</v>
      </c>
      <c r="I158">
        <v>-3410.54</v>
      </c>
      <c r="J158">
        <v>49338.8</v>
      </c>
      <c r="K158">
        <v>3.9578799999999998</v>
      </c>
      <c r="L158">
        <v>500</v>
      </c>
      <c r="M158">
        <v>200</v>
      </c>
      <c r="N158">
        <v>100</v>
      </c>
      <c r="O158">
        <v>800</v>
      </c>
      <c r="P158">
        <f t="shared" si="43"/>
        <v>41948.600000000006</v>
      </c>
      <c r="Q158">
        <f t="shared" si="44"/>
        <v>1.4113573090549427</v>
      </c>
      <c r="R158">
        <f t="shared" si="45"/>
        <v>-3100.3172</v>
      </c>
    </row>
    <row r="159" spans="2:20" x14ac:dyDescent="0.2">
      <c r="B159">
        <v>38</v>
      </c>
      <c r="C159">
        <v>1200</v>
      </c>
      <c r="D159">
        <v>0.625</v>
      </c>
      <c r="E159">
        <v>0.375</v>
      </c>
      <c r="F159">
        <v>0</v>
      </c>
      <c r="G159">
        <v>200000</v>
      </c>
      <c r="H159">
        <v>1201.22</v>
      </c>
      <c r="I159">
        <v>-3519.48</v>
      </c>
      <c r="J159">
        <v>48591.9</v>
      </c>
      <c r="K159">
        <v>1.9256</v>
      </c>
      <c r="L159">
        <v>500</v>
      </c>
      <c r="M159">
        <v>300</v>
      </c>
      <c r="N159">
        <v>0</v>
      </c>
      <c r="O159">
        <v>800</v>
      </c>
      <c r="P159">
        <f t="shared" si="43"/>
        <v>43559.4</v>
      </c>
      <c r="Q159">
        <f t="shared" si="44"/>
        <v>1.4880793712532336</v>
      </c>
      <c r="R159">
        <f t="shared" si="45"/>
        <v>-3271.3017599999998</v>
      </c>
      <c r="S159" cm="1">
        <f t="array" ref="S159:T159">LINEST(R159:R162,C159:C162)</f>
        <v>0.50549519999999937</v>
      </c>
      <c r="T159">
        <v>-3877.5579999999991</v>
      </c>
    </row>
    <row r="160" spans="2:20" x14ac:dyDescent="0.2">
      <c r="B160">
        <v>38</v>
      </c>
      <c r="C160">
        <v>1300</v>
      </c>
      <c r="D160">
        <v>0.625</v>
      </c>
      <c r="E160">
        <v>0.375</v>
      </c>
      <c r="F160">
        <v>0</v>
      </c>
      <c r="G160">
        <v>200000</v>
      </c>
      <c r="H160">
        <v>1301.02</v>
      </c>
      <c r="I160">
        <v>-3488.75</v>
      </c>
      <c r="J160">
        <v>49568.6</v>
      </c>
      <c r="K160">
        <v>2.43702</v>
      </c>
      <c r="L160">
        <v>500</v>
      </c>
      <c r="M160">
        <v>300</v>
      </c>
      <c r="N160">
        <v>0</v>
      </c>
      <c r="O160">
        <v>800</v>
      </c>
      <c r="P160">
        <f t="shared" si="43"/>
        <v>43559.4</v>
      </c>
      <c r="Q160">
        <f t="shared" si="44"/>
        <v>1.4587582461477631</v>
      </c>
      <c r="R160">
        <f t="shared" si="45"/>
        <v>-3219.8902400000002</v>
      </c>
      <c r="S160">
        <f t="shared" ref="S160" si="47">S159/SUM(L159:N159)*(1.602E-19)*(6.022E+23)</f>
        <v>60.957944190359925</v>
      </c>
    </row>
    <row r="161" spans="2:20" x14ac:dyDescent="0.2">
      <c r="B161">
        <v>38</v>
      </c>
      <c r="C161">
        <v>1400</v>
      </c>
      <c r="D161">
        <v>0.625</v>
      </c>
      <c r="E161">
        <v>0.375</v>
      </c>
      <c r="F161">
        <v>0</v>
      </c>
      <c r="G161">
        <v>200000</v>
      </c>
      <c r="H161">
        <v>1399.86</v>
      </c>
      <c r="I161">
        <v>-3459.44</v>
      </c>
      <c r="J161">
        <v>50594.3</v>
      </c>
      <c r="K161">
        <v>5.9714200000000002</v>
      </c>
      <c r="L161">
        <v>500</v>
      </c>
      <c r="M161">
        <v>300</v>
      </c>
      <c r="N161">
        <v>0</v>
      </c>
      <c r="O161">
        <v>800</v>
      </c>
      <c r="P161">
        <f t="shared" si="43"/>
        <v>43559.4</v>
      </c>
      <c r="Q161">
        <f t="shared" si="44"/>
        <v>1.4291847895909224</v>
      </c>
      <c r="R161">
        <f t="shared" si="45"/>
        <v>-3169.8987200000001</v>
      </c>
    </row>
    <row r="162" spans="2:20" x14ac:dyDescent="0.2">
      <c r="B162">
        <v>38</v>
      </c>
      <c r="C162">
        <v>1500</v>
      </c>
      <c r="D162">
        <v>0.625</v>
      </c>
      <c r="E162">
        <v>0.375</v>
      </c>
      <c r="F162">
        <v>0</v>
      </c>
      <c r="G162">
        <v>200000</v>
      </c>
      <c r="H162">
        <v>1500.04</v>
      </c>
      <c r="I162">
        <v>-3429.69</v>
      </c>
      <c r="J162">
        <v>51677.599999999999</v>
      </c>
      <c r="K162">
        <v>-0.209951</v>
      </c>
      <c r="L162">
        <v>500</v>
      </c>
      <c r="M162">
        <v>300</v>
      </c>
      <c r="N162">
        <v>0</v>
      </c>
      <c r="O162">
        <v>800</v>
      </c>
      <c r="P162">
        <f t="shared" si="43"/>
        <v>43559.4</v>
      </c>
      <c r="Q162">
        <f t="shared" si="44"/>
        <v>1.3992252736195181</v>
      </c>
      <c r="R162">
        <f t="shared" si="45"/>
        <v>-3119.4672</v>
      </c>
    </row>
    <row r="163" spans="2:20" x14ac:dyDescent="0.2">
      <c r="B163">
        <v>39</v>
      </c>
      <c r="C163">
        <v>1200</v>
      </c>
      <c r="D163">
        <v>0.75</v>
      </c>
      <c r="E163">
        <v>0</v>
      </c>
      <c r="F163">
        <v>0.25</v>
      </c>
      <c r="G163">
        <v>200000</v>
      </c>
      <c r="H163">
        <v>1199.95</v>
      </c>
      <c r="I163">
        <v>-3688.55</v>
      </c>
      <c r="J163">
        <v>41046.9</v>
      </c>
      <c r="K163">
        <v>2.4356100000000001</v>
      </c>
      <c r="L163">
        <v>600</v>
      </c>
      <c r="M163">
        <v>0</v>
      </c>
      <c r="N163">
        <v>200</v>
      </c>
      <c r="O163">
        <v>800</v>
      </c>
      <c r="P163">
        <f t="shared" si="43"/>
        <v>37122</v>
      </c>
      <c r="Q163">
        <f t="shared" si="44"/>
        <v>1.5012709851413872</v>
      </c>
      <c r="R163">
        <f t="shared" si="45"/>
        <v>-3440.37176</v>
      </c>
      <c r="S163" cm="1">
        <f t="array" ref="S163:T163">LINEST(R163:R166,C163:C166)</f>
        <v>0.48393519999999995</v>
      </c>
      <c r="T163">
        <v>-4020.672</v>
      </c>
    </row>
    <row r="164" spans="2:20" x14ac:dyDescent="0.2">
      <c r="B164">
        <v>39</v>
      </c>
      <c r="C164">
        <v>1300</v>
      </c>
      <c r="D164">
        <v>0.75</v>
      </c>
      <c r="E164">
        <v>0</v>
      </c>
      <c r="F164">
        <v>0.25</v>
      </c>
      <c r="G164">
        <v>200000</v>
      </c>
      <c r="H164">
        <v>1300.01</v>
      </c>
      <c r="I164">
        <v>-3660.04</v>
      </c>
      <c r="J164">
        <v>41832.1</v>
      </c>
      <c r="K164">
        <v>-0.322768</v>
      </c>
      <c r="L164">
        <v>600</v>
      </c>
      <c r="M164">
        <v>0</v>
      </c>
      <c r="N164">
        <v>200</v>
      </c>
      <c r="O164">
        <v>800</v>
      </c>
      <c r="P164">
        <f t="shared" si="43"/>
        <v>37122</v>
      </c>
      <c r="Q164">
        <f t="shared" si="44"/>
        <v>1.4730917166482203</v>
      </c>
      <c r="R164">
        <f t="shared" si="45"/>
        <v>-3391.1802400000001</v>
      </c>
      <c r="S164">
        <f t="shared" ref="S164" si="48">S163/SUM(L163:N163)*(1.602E-19)*(6.022E+23)</f>
        <v>58.35801193236</v>
      </c>
    </row>
    <row r="165" spans="2:20" x14ac:dyDescent="0.2">
      <c r="B165">
        <v>39</v>
      </c>
      <c r="C165">
        <v>1400</v>
      </c>
      <c r="D165">
        <v>0.75</v>
      </c>
      <c r="E165">
        <v>0</v>
      </c>
      <c r="F165">
        <v>0.25</v>
      </c>
      <c r="G165">
        <v>200000</v>
      </c>
      <c r="H165">
        <v>1400.83</v>
      </c>
      <c r="I165">
        <v>-3632.19</v>
      </c>
      <c r="J165">
        <v>42588.6</v>
      </c>
      <c r="K165">
        <v>6.6232100000000003</v>
      </c>
      <c r="L165">
        <v>600</v>
      </c>
      <c r="M165">
        <v>0</v>
      </c>
      <c r="N165">
        <v>200</v>
      </c>
      <c r="O165">
        <v>800</v>
      </c>
      <c r="P165">
        <f t="shared" si="43"/>
        <v>37122</v>
      </c>
      <c r="Q165">
        <f t="shared" si="44"/>
        <v>1.4469252335131939</v>
      </c>
      <c r="R165">
        <f t="shared" si="45"/>
        <v>-3342.6487200000001</v>
      </c>
    </row>
    <row r="166" spans="2:20" x14ac:dyDescent="0.2">
      <c r="B166">
        <v>39</v>
      </c>
      <c r="C166">
        <v>1500</v>
      </c>
      <c r="D166">
        <v>0.75</v>
      </c>
      <c r="E166">
        <v>0</v>
      </c>
      <c r="F166">
        <v>0.25</v>
      </c>
      <c r="G166">
        <v>200000</v>
      </c>
      <c r="H166">
        <v>1500.73</v>
      </c>
      <c r="I166">
        <v>-3605.46</v>
      </c>
      <c r="J166">
        <v>43418.7</v>
      </c>
      <c r="K166">
        <v>4.6814299999999998</v>
      </c>
      <c r="L166">
        <v>600</v>
      </c>
      <c r="M166">
        <v>0</v>
      </c>
      <c r="N166">
        <v>200</v>
      </c>
      <c r="O166">
        <v>800</v>
      </c>
      <c r="P166">
        <f t="shared" si="43"/>
        <v>37122</v>
      </c>
      <c r="Q166">
        <f t="shared" si="44"/>
        <v>1.4192622072977776</v>
      </c>
      <c r="R166">
        <f t="shared" si="45"/>
        <v>-3295.2372</v>
      </c>
    </row>
    <row r="167" spans="2:20" x14ac:dyDescent="0.2">
      <c r="B167">
        <v>40</v>
      </c>
      <c r="C167">
        <v>1200</v>
      </c>
      <c r="D167">
        <v>0.75</v>
      </c>
      <c r="E167">
        <v>0.125</v>
      </c>
      <c r="F167">
        <v>0.125</v>
      </c>
      <c r="G167">
        <v>200000</v>
      </c>
      <c r="H167">
        <v>1200.3900000000001</v>
      </c>
      <c r="I167">
        <v>-3713.14</v>
      </c>
      <c r="J167">
        <v>43103.7</v>
      </c>
      <c r="K167">
        <v>4.2061400000000004</v>
      </c>
      <c r="L167">
        <v>600</v>
      </c>
      <c r="M167">
        <v>100</v>
      </c>
      <c r="N167">
        <v>100</v>
      </c>
      <c r="O167">
        <v>800</v>
      </c>
      <c r="P167">
        <f t="shared" si="43"/>
        <v>38732.800000000003</v>
      </c>
      <c r="Q167">
        <f t="shared" si="44"/>
        <v>1.4916688822537281</v>
      </c>
      <c r="R167">
        <f t="shared" si="45"/>
        <v>-3464.9617599999997</v>
      </c>
      <c r="S167" cm="1">
        <f t="array" ref="S167:T167">LINEST(R167:R170,C167:C170)</f>
        <v>0.49029519999999865</v>
      </c>
      <c r="T167">
        <v>-4052.9629999999979</v>
      </c>
    </row>
    <row r="168" spans="2:20" x14ac:dyDescent="0.2">
      <c r="B168">
        <v>40</v>
      </c>
      <c r="C168">
        <v>1300</v>
      </c>
      <c r="D168">
        <v>0.75</v>
      </c>
      <c r="E168">
        <v>0.125</v>
      </c>
      <c r="F168">
        <v>0.125</v>
      </c>
      <c r="G168">
        <v>200000</v>
      </c>
      <c r="H168">
        <v>1300.3</v>
      </c>
      <c r="I168">
        <v>-3684</v>
      </c>
      <c r="J168">
        <v>43948.800000000003</v>
      </c>
      <c r="K168">
        <v>-0.63690000000000002</v>
      </c>
      <c r="L168">
        <v>600</v>
      </c>
      <c r="M168">
        <v>100</v>
      </c>
      <c r="N168">
        <v>100</v>
      </c>
      <c r="O168">
        <v>800</v>
      </c>
      <c r="P168">
        <f t="shared" si="43"/>
        <v>38732.800000000003</v>
      </c>
      <c r="Q168">
        <f t="shared" si="44"/>
        <v>1.4629852919761177</v>
      </c>
      <c r="R168">
        <f t="shared" si="45"/>
        <v>-3415.1402400000002</v>
      </c>
      <c r="S168">
        <f t="shared" ref="S168" si="49">S167/SUM(L167:N167)*(1.602E-19)*(6.022E+23)</f>
        <v>59.124967830359843</v>
      </c>
    </row>
    <row r="169" spans="2:20" x14ac:dyDescent="0.2">
      <c r="B169">
        <v>40</v>
      </c>
      <c r="C169">
        <v>1400</v>
      </c>
      <c r="D169">
        <v>0.75</v>
      </c>
      <c r="E169">
        <v>0.125</v>
      </c>
      <c r="F169">
        <v>0.125</v>
      </c>
      <c r="G169">
        <v>200000</v>
      </c>
      <c r="H169">
        <v>1400.37</v>
      </c>
      <c r="I169">
        <v>-3655.91</v>
      </c>
      <c r="J169">
        <v>44758.8</v>
      </c>
      <c r="K169">
        <v>5.8608900000000004</v>
      </c>
      <c r="L169">
        <v>600</v>
      </c>
      <c r="M169">
        <v>100</v>
      </c>
      <c r="N169">
        <v>100</v>
      </c>
      <c r="O169">
        <v>800</v>
      </c>
      <c r="P169">
        <f t="shared" si="43"/>
        <v>38732.800000000003</v>
      </c>
      <c r="Q169">
        <f t="shared" si="44"/>
        <v>1.4365096472648957</v>
      </c>
      <c r="R169">
        <f t="shared" si="45"/>
        <v>-3366.3687199999999</v>
      </c>
    </row>
    <row r="170" spans="2:20" x14ac:dyDescent="0.2">
      <c r="B170">
        <v>40</v>
      </c>
      <c r="C170">
        <v>1500</v>
      </c>
      <c r="D170">
        <v>0.75</v>
      </c>
      <c r="E170">
        <v>0.125</v>
      </c>
      <c r="F170">
        <v>0.125</v>
      </c>
      <c r="G170">
        <v>200000</v>
      </c>
      <c r="H170">
        <v>1500.65</v>
      </c>
      <c r="I170">
        <v>-3628.01</v>
      </c>
      <c r="J170">
        <v>45626</v>
      </c>
      <c r="K170">
        <v>4.23942</v>
      </c>
      <c r="L170">
        <v>600</v>
      </c>
      <c r="M170">
        <v>100</v>
      </c>
      <c r="N170">
        <v>100</v>
      </c>
      <c r="O170">
        <v>800</v>
      </c>
      <c r="P170">
        <f t="shared" si="43"/>
        <v>38732.800000000003</v>
      </c>
      <c r="Q170">
        <f t="shared" si="44"/>
        <v>1.4092063297242803</v>
      </c>
      <c r="R170">
        <f t="shared" si="45"/>
        <v>-3317.7872000000002</v>
      </c>
    </row>
    <row r="171" spans="2:20" x14ac:dyDescent="0.2">
      <c r="B171">
        <v>41</v>
      </c>
      <c r="C171">
        <v>1200</v>
      </c>
      <c r="D171">
        <v>0.75</v>
      </c>
      <c r="E171">
        <v>0.25</v>
      </c>
      <c r="F171">
        <v>0</v>
      </c>
      <c r="G171">
        <v>200000</v>
      </c>
      <c r="H171">
        <v>1199.3399999999999</v>
      </c>
      <c r="I171">
        <v>-3737.21</v>
      </c>
      <c r="J171">
        <v>45144.800000000003</v>
      </c>
      <c r="K171">
        <v>2.3404500000000001</v>
      </c>
      <c r="L171">
        <v>600</v>
      </c>
      <c r="M171">
        <v>200</v>
      </c>
      <c r="N171">
        <v>0</v>
      </c>
      <c r="O171">
        <v>800</v>
      </c>
      <c r="P171">
        <f t="shared" si="43"/>
        <v>40343.600000000006</v>
      </c>
      <c r="Q171">
        <f t="shared" si="44"/>
        <v>1.4834571423508358</v>
      </c>
      <c r="R171">
        <f t="shared" si="45"/>
        <v>-3489.0317599999998</v>
      </c>
      <c r="S171" cm="1">
        <f t="array" ref="S171:T171">LINEST(R171:R174,C171:C174)</f>
        <v>0.50037519999999902</v>
      </c>
      <c r="T171">
        <v>-4089.2609999999986</v>
      </c>
    </row>
    <row r="172" spans="2:20" x14ac:dyDescent="0.2">
      <c r="B172">
        <v>41</v>
      </c>
      <c r="C172">
        <v>1300</v>
      </c>
      <c r="D172">
        <v>0.75</v>
      </c>
      <c r="E172">
        <v>0.25</v>
      </c>
      <c r="F172">
        <v>0</v>
      </c>
      <c r="G172">
        <v>200000</v>
      </c>
      <c r="H172">
        <v>1300.25</v>
      </c>
      <c r="I172">
        <v>-3707.53</v>
      </c>
      <c r="J172">
        <v>46027.8</v>
      </c>
      <c r="K172">
        <v>2.3311700000000002</v>
      </c>
      <c r="L172">
        <v>600</v>
      </c>
      <c r="M172">
        <v>200</v>
      </c>
      <c r="N172">
        <v>0</v>
      </c>
      <c r="O172">
        <v>800</v>
      </c>
      <c r="P172">
        <f t="shared" si="43"/>
        <v>40343.600000000006</v>
      </c>
      <c r="Q172">
        <f t="shared" si="44"/>
        <v>1.4549984140019732</v>
      </c>
      <c r="R172">
        <f t="shared" si="45"/>
        <v>-3438.6702400000004</v>
      </c>
      <c r="S172">
        <f t="shared" ref="S172" si="50">S171/SUM(L171:N171)*(1.602E-19)*(6.022E+23)</f>
        <v>60.340520574359886</v>
      </c>
    </row>
    <row r="173" spans="2:20" x14ac:dyDescent="0.2">
      <c r="B173">
        <v>41</v>
      </c>
      <c r="C173">
        <v>1400</v>
      </c>
      <c r="D173">
        <v>0.75</v>
      </c>
      <c r="E173">
        <v>0.25</v>
      </c>
      <c r="F173">
        <v>0</v>
      </c>
      <c r="G173">
        <v>200000</v>
      </c>
      <c r="H173">
        <v>1399.21</v>
      </c>
      <c r="I173">
        <v>-3677.82</v>
      </c>
      <c r="J173">
        <v>46969.8</v>
      </c>
      <c r="K173">
        <v>1.9641599999999999</v>
      </c>
      <c r="L173">
        <v>600</v>
      </c>
      <c r="M173">
        <v>200</v>
      </c>
      <c r="N173">
        <v>0</v>
      </c>
      <c r="O173">
        <v>800</v>
      </c>
      <c r="P173">
        <f t="shared" si="43"/>
        <v>40343.600000000006</v>
      </c>
      <c r="Q173">
        <f t="shared" si="44"/>
        <v>1.4258177807868038</v>
      </c>
      <c r="R173">
        <f t="shared" si="45"/>
        <v>-3388.2787200000002</v>
      </c>
    </row>
    <row r="174" spans="2:20" x14ac:dyDescent="0.2">
      <c r="B174">
        <v>41</v>
      </c>
      <c r="C174">
        <v>1500</v>
      </c>
      <c r="D174">
        <v>0.75</v>
      </c>
      <c r="E174">
        <v>0.25</v>
      </c>
      <c r="F174">
        <v>0</v>
      </c>
      <c r="G174">
        <v>200000</v>
      </c>
      <c r="H174">
        <v>1500.06</v>
      </c>
      <c r="I174">
        <v>-3649.26</v>
      </c>
      <c r="J174">
        <v>47873.8</v>
      </c>
      <c r="K174">
        <v>4.2785599999999997</v>
      </c>
      <c r="L174">
        <v>600</v>
      </c>
      <c r="M174">
        <v>200</v>
      </c>
      <c r="N174">
        <v>0</v>
      </c>
      <c r="O174">
        <v>800</v>
      </c>
      <c r="P174">
        <f t="shared" si="43"/>
        <v>40343.600000000006</v>
      </c>
      <c r="Q174">
        <f t="shared" si="44"/>
        <v>1.3988940923845614</v>
      </c>
      <c r="R174">
        <f t="shared" si="45"/>
        <v>-3339.0372000000002</v>
      </c>
    </row>
    <row r="175" spans="2:20" x14ac:dyDescent="0.2">
      <c r="B175">
        <v>42</v>
      </c>
      <c r="C175">
        <v>1200</v>
      </c>
      <c r="D175">
        <v>0.875</v>
      </c>
      <c r="E175">
        <v>0</v>
      </c>
      <c r="F175">
        <v>0.125</v>
      </c>
      <c r="G175">
        <v>200000</v>
      </c>
      <c r="H175">
        <v>1199.55</v>
      </c>
      <c r="I175">
        <v>-3923.98</v>
      </c>
      <c r="J175">
        <v>39646.800000000003</v>
      </c>
      <c r="K175">
        <v>7.0102900000000004</v>
      </c>
      <c r="L175">
        <v>700</v>
      </c>
      <c r="M175">
        <v>0</v>
      </c>
      <c r="N175">
        <v>100</v>
      </c>
      <c r="O175">
        <v>800</v>
      </c>
      <c r="P175">
        <f t="shared" si="43"/>
        <v>35517</v>
      </c>
      <c r="Q175">
        <f t="shared" si="44"/>
        <v>1.4870864735615485</v>
      </c>
      <c r="R175">
        <f t="shared" si="45"/>
        <v>-3675.8017599999998</v>
      </c>
      <c r="S175" cm="1">
        <f t="array" ref="S175:T175">LINEST(R175:R178,C175:C178)</f>
        <v>0.4827552</v>
      </c>
      <c r="T175">
        <v>-4254.5789999999997</v>
      </c>
    </row>
    <row r="176" spans="2:20" x14ac:dyDescent="0.2">
      <c r="B176">
        <v>42</v>
      </c>
      <c r="C176">
        <v>1300</v>
      </c>
      <c r="D176">
        <v>0.875</v>
      </c>
      <c r="E176">
        <v>0</v>
      </c>
      <c r="F176">
        <v>0.125</v>
      </c>
      <c r="G176">
        <v>200000</v>
      </c>
      <c r="H176">
        <v>1299.8499999999999</v>
      </c>
      <c r="I176">
        <v>-3895.21</v>
      </c>
      <c r="J176">
        <v>40380.300000000003</v>
      </c>
      <c r="K176">
        <v>5.2718600000000002</v>
      </c>
      <c r="L176">
        <v>700</v>
      </c>
      <c r="M176">
        <v>0</v>
      </c>
      <c r="N176">
        <v>100</v>
      </c>
      <c r="O176">
        <v>800</v>
      </c>
      <c r="P176">
        <f t="shared" si="43"/>
        <v>35517</v>
      </c>
      <c r="Q176">
        <f t="shared" si="44"/>
        <v>1.4600738478911746</v>
      </c>
      <c r="R176">
        <f t="shared" si="45"/>
        <v>-3626.3502400000002</v>
      </c>
      <c r="S176">
        <f t="shared" ref="S176" si="51">S175/SUM(L175:N175)*(1.602E-19)*(6.022E+23)</f>
        <v>58.215715083359996</v>
      </c>
    </row>
    <row r="177" spans="2:20" x14ac:dyDescent="0.2">
      <c r="B177">
        <v>42</v>
      </c>
      <c r="C177">
        <v>1400</v>
      </c>
      <c r="D177">
        <v>0.875</v>
      </c>
      <c r="E177">
        <v>0</v>
      </c>
      <c r="F177">
        <v>0.125</v>
      </c>
      <c r="G177">
        <v>200000</v>
      </c>
      <c r="H177">
        <v>1399.96</v>
      </c>
      <c r="I177">
        <v>-3867.97</v>
      </c>
      <c r="J177">
        <v>41160.1</v>
      </c>
      <c r="K177">
        <v>-5.3204599999999997</v>
      </c>
      <c r="L177">
        <v>700</v>
      </c>
      <c r="M177">
        <v>0</v>
      </c>
      <c r="N177">
        <v>100</v>
      </c>
      <c r="O177">
        <v>800</v>
      </c>
      <c r="P177">
        <f t="shared" si="43"/>
        <v>35517</v>
      </c>
      <c r="Q177">
        <f t="shared" si="44"/>
        <v>1.4324119717882124</v>
      </c>
      <c r="R177">
        <f t="shared" si="45"/>
        <v>-3578.4287199999999</v>
      </c>
    </row>
    <row r="178" spans="2:20" x14ac:dyDescent="0.2">
      <c r="B178">
        <v>42</v>
      </c>
      <c r="C178">
        <v>1500</v>
      </c>
      <c r="D178">
        <v>0.875</v>
      </c>
      <c r="E178">
        <v>0</v>
      </c>
      <c r="F178">
        <v>0.125</v>
      </c>
      <c r="G178">
        <v>200000</v>
      </c>
      <c r="H178">
        <v>1500.28</v>
      </c>
      <c r="I178">
        <v>-3841.08</v>
      </c>
      <c r="J178">
        <v>41915.199999999997</v>
      </c>
      <c r="K178">
        <v>6.6770100000000001</v>
      </c>
      <c r="L178">
        <v>700</v>
      </c>
      <c r="M178">
        <v>0</v>
      </c>
      <c r="N178">
        <v>100</v>
      </c>
      <c r="O178">
        <v>800</v>
      </c>
      <c r="P178">
        <f t="shared" si="43"/>
        <v>35517</v>
      </c>
      <c r="Q178">
        <f t="shared" si="44"/>
        <v>1.406607149673627</v>
      </c>
      <c r="R178">
        <f t="shared" si="45"/>
        <v>-3530.8571999999999</v>
      </c>
    </row>
    <row r="179" spans="2:20" x14ac:dyDescent="0.2">
      <c r="B179">
        <v>43</v>
      </c>
      <c r="C179">
        <v>1200</v>
      </c>
      <c r="D179">
        <v>0.875</v>
      </c>
      <c r="E179">
        <v>0.125</v>
      </c>
      <c r="F179">
        <v>0</v>
      </c>
      <c r="G179">
        <v>200000</v>
      </c>
      <c r="H179">
        <v>1200.18</v>
      </c>
      <c r="I179">
        <v>-3949.35</v>
      </c>
      <c r="J179">
        <v>41694</v>
      </c>
      <c r="K179">
        <v>4.8842100000000004</v>
      </c>
      <c r="L179">
        <v>700</v>
      </c>
      <c r="M179">
        <v>100</v>
      </c>
      <c r="N179">
        <v>0</v>
      </c>
      <c r="O179">
        <v>800</v>
      </c>
      <c r="P179">
        <f t="shared" si="43"/>
        <v>37127.800000000003</v>
      </c>
      <c r="Q179">
        <f t="shared" si="44"/>
        <v>1.4782018515853603</v>
      </c>
      <c r="R179">
        <f t="shared" si="45"/>
        <v>-3701.1717599999997</v>
      </c>
      <c r="S179" cm="1">
        <f t="array" ref="S179:T179">LINEST(R179:R182,C179:C182)</f>
        <v>0.49042519999999923</v>
      </c>
      <c r="T179">
        <v>-4289.2659999999987</v>
      </c>
    </row>
    <row r="180" spans="2:20" x14ac:dyDescent="0.2">
      <c r="B180">
        <v>43</v>
      </c>
      <c r="C180">
        <v>1300</v>
      </c>
      <c r="D180">
        <v>0.875</v>
      </c>
      <c r="E180">
        <v>0.125</v>
      </c>
      <c r="F180">
        <v>0</v>
      </c>
      <c r="G180">
        <v>200000</v>
      </c>
      <c r="H180">
        <v>1299.69</v>
      </c>
      <c r="I180">
        <v>-3920.1</v>
      </c>
      <c r="J180">
        <v>42546</v>
      </c>
      <c r="K180">
        <v>0.91718699999999997</v>
      </c>
      <c r="L180">
        <v>700</v>
      </c>
      <c r="M180">
        <v>100</v>
      </c>
      <c r="N180">
        <v>0</v>
      </c>
      <c r="O180">
        <v>800</v>
      </c>
      <c r="P180">
        <f t="shared" si="43"/>
        <v>37127.800000000003</v>
      </c>
      <c r="Q180">
        <f t="shared" si="44"/>
        <v>1.4486002914492553</v>
      </c>
      <c r="R180">
        <f t="shared" si="45"/>
        <v>-3651.2402400000001</v>
      </c>
      <c r="S180">
        <f t="shared" ref="S180" si="52">S179/SUM(L179:N179)*(1.602E-19)*(6.022E+23)</f>
        <v>59.140644601859918</v>
      </c>
    </row>
    <row r="181" spans="2:20" x14ac:dyDescent="0.2">
      <c r="B181">
        <v>43</v>
      </c>
      <c r="C181">
        <v>1400</v>
      </c>
      <c r="D181">
        <v>0.875</v>
      </c>
      <c r="E181">
        <v>0.125</v>
      </c>
      <c r="F181">
        <v>0</v>
      </c>
      <c r="G181">
        <v>200000</v>
      </c>
      <c r="H181">
        <v>1398.56</v>
      </c>
      <c r="I181">
        <v>-3891.91</v>
      </c>
      <c r="J181">
        <v>43310.3</v>
      </c>
      <c r="K181">
        <v>3.66961</v>
      </c>
      <c r="L181">
        <v>700</v>
      </c>
      <c r="M181">
        <v>100</v>
      </c>
      <c r="N181">
        <v>0</v>
      </c>
      <c r="O181">
        <v>800</v>
      </c>
      <c r="P181">
        <f t="shared" si="43"/>
        <v>37127.800000000003</v>
      </c>
      <c r="Q181">
        <f t="shared" si="44"/>
        <v>1.4230367372195531</v>
      </c>
      <c r="R181">
        <f t="shared" si="45"/>
        <v>-3602.3687199999999</v>
      </c>
    </row>
    <row r="182" spans="2:20" x14ac:dyDescent="0.2">
      <c r="B182">
        <v>43</v>
      </c>
      <c r="C182">
        <v>1500</v>
      </c>
      <c r="D182">
        <v>0.875</v>
      </c>
      <c r="E182">
        <v>0.125</v>
      </c>
      <c r="F182">
        <v>0</v>
      </c>
      <c r="G182">
        <v>200000</v>
      </c>
      <c r="H182">
        <v>1500.73</v>
      </c>
      <c r="I182">
        <v>-3864.21</v>
      </c>
      <c r="J182">
        <v>44135.1</v>
      </c>
      <c r="K182">
        <v>6.4423700000000004</v>
      </c>
      <c r="L182">
        <v>700</v>
      </c>
      <c r="M182">
        <v>100</v>
      </c>
      <c r="N182">
        <v>0</v>
      </c>
      <c r="O182">
        <v>800</v>
      </c>
      <c r="P182">
        <f t="shared" si="43"/>
        <v>37127.800000000003</v>
      </c>
      <c r="Q182">
        <f t="shared" si="44"/>
        <v>1.3964429218467846</v>
      </c>
      <c r="R182">
        <f t="shared" si="45"/>
        <v>-3553.9872</v>
      </c>
    </row>
    <row r="183" spans="2:20" x14ac:dyDescent="0.2">
      <c r="B183">
        <v>44</v>
      </c>
      <c r="C183">
        <v>1200</v>
      </c>
      <c r="D183">
        <v>1</v>
      </c>
      <c r="E183">
        <v>0</v>
      </c>
      <c r="F183">
        <v>0</v>
      </c>
      <c r="G183">
        <v>200000</v>
      </c>
      <c r="H183">
        <v>1200.3499999999999</v>
      </c>
      <c r="I183">
        <v>-4158.95</v>
      </c>
      <c r="J183">
        <v>38226.5</v>
      </c>
      <c r="K183">
        <v>3.3226900000000001</v>
      </c>
      <c r="L183">
        <v>800</v>
      </c>
      <c r="M183">
        <v>0</v>
      </c>
      <c r="N183">
        <v>0</v>
      </c>
      <c r="O183">
        <v>800</v>
      </c>
      <c r="P183">
        <f t="shared" si="43"/>
        <v>33912</v>
      </c>
      <c r="Q183">
        <f t="shared" si="44"/>
        <v>1.4726412305599523</v>
      </c>
      <c r="R183">
        <f t="shared" si="45"/>
        <v>-3910.7717599999996</v>
      </c>
      <c r="S183" cm="1">
        <f t="array" ref="S183:T183">LINEST(R183:R186,C183:C186)</f>
        <v>0.47854519999999817</v>
      </c>
      <c r="T183">
        <v>-4484.5179999999982</v>
      </c>
    </row>
    <row r="184" spans="2:20" x14ac:dyDescent="0.2">
      <c r="B184">
        <v>44</v>
      </c>
      <c r="C184">
        <v>1300</v>
      </c>
      <c r="D184">
        <v>1</v>
      </c>
      <c r="E184">
        <v>0</v>
      </c>
      <c r="F184">
        <v>0</v>
      </c>
      <c r="G184">
        <v>200000</v>
      </c>
      <c r="H184">
        <v>1299.1500000000001</v>
      </c>
      <c r="I184">
        <v>-4130.92</v>
      </c>
      <c r="J184">
        <v>38917.1</v>
      </c>
      <c r="K184">
        <v>-0.26263199999999998</v>
      </c>
      <c r="L184">
        <v>800</v>
      </c>
      <c r="M184">
        <v>0</v>
      </c>
      <c r="N184">
        <v>0</v>
      </c>
      <c r="O184">
        <v>800</v>
      </c>
      <c r="P184">
        <f t="shared" si="43"/>
        <v>33912</v>
      </c>
      <c r="Q184">
        <f t="shared" si="44"/>
        <v>1.4465086041868487</v>
      </c>
      <c r="R184">
        <f t="shared" si="45"/>
        <v>-3862.0602400000002</v>
      </c>
      <c r="S184">
        <f t="shared" ref="S184" si="53">S183/SUM(L183:N183)*(1.602E-19)*(6.022E+23)</f>
        <v>57.708028867859781</v>
      </c>
    </row>
    <row r="185" spans="2:20" x14ac:dyDescent="0.2">
      <c r="B185">
        <v>44</v>
      </c>
      <c r="C185">
        <v>1400</v>
      </c>
      <c r="D185">
        <v>1</v>
      </c>
      <c r="E185">
        <v>0</v>
      </c>
      <c r="F185">
        <v>0</v>
      </c>
      <c r="G185">
        <v>200000</v>
      </c>
      <c r="H185">
        <v>1400.54</v>
      </c>
      <c r="I185">
        <v>-4103.2700000000004</v>
      </c>
      <c r="J185">
        <v>39662.5</v>
      </c>
      <c r="K185">
        <v>6.3904899999999998</v>
      </c>
      <c r="L185">
        <v>800</v>
      </c>
      <c r="M185">
        <v>0</v>
      </c>
      <c r="N185">
        <v>0</v>
      </c>
      <c r="O185">
        <v>800</v>
      </c>
      <c r="P185">
        <f t="shared" si="43"/>
        <v>33912</v>
      </c>
      <c r="Q185">
        <f t="shared" si="44"/>
        <v>1.4193235423889066</v>
      </c>
      <c r="R185">
        <f t="shared" si="45"/>
        <v>-3813.7287200000005</v>
      </c>
    </row>
    <row r="186" spans="2:20" x14ac:dyDescent="0.2">
      <c r="B186">
        <v>44</v>
      </c>
      <c r="C186">
        <v>1500</v>
      </c>
      <c r="D186">
        <v>1</v>
      </c>
      <c r="E186">
        <v>0</v>
      </c>
      <c r="F186">
        <v>0</v>
      </c>
      <c r="G186">
        <v>200000</v>
      </c>
      <c r="H186">
        <v>1499.48</v>
      </c>
      <c r="I186">
        <v>-4077.59</v>
      </c>
      <c r="J186">
        <v>40338.199999999997</v>
      </c>
      <c r="K186">
        <v>5.6201100000000004</v>
      </c>
      <c r="L186">
        <v>800</v>
      </c>
      <c r="M186">
        <v>0</v>
      </c>
      <c r="N186">
        <v>0</v>
      </c>
      <c r="O186">
        <v>800</v>
      </c>
      <c r="P186">
        <f t="shared" si="43"/>
        <v>33912</v>
      </c>
      <c r="Q186">
        <f t="shared" si="44"/>
        <v>1.3955486362802507</v>
      </c>
      <c r="R186">
        <f t="shared" si="45"/>
        <v>-3767.3672000000001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W113"/>
  <sheetViews>
    <sheetView workbookViewId="0">
      <selection activeCell="K8" sqref="K8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20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20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20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20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20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20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20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20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20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20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20" x14ac:dyDescent="0.2">
      <c r="I59" s="3"/>
      <c r="J59" s="3"/>
      <c r="K59" s="3"/>
      <c r="Q59" s="3"/>
      <c r="R59" s="3"/>
      <c r="S59" s="3"/>
    </row>
    <row r="60" spans="1:20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20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20" x14ac:dyDescent="0.2">
      <c r="I62" s="3"/>
      <c r="J62" s="3"/>
      <c r="K62" s="7">
        <f>AVERAGE(K54:K58)</f>
        <v>1.3664279708111686</v>
      </c>
      <c r="L62">
        <f>STDEV(K54:K58)</f>
        <v>0.20529765566236829</v>
      </c>
      <c r="Q62" s="3"/>
      <c r="R62" s="3"/>
      <c r="S62" s="7">
        <f>AVERAGE(S54:S58)</f>
        <v>0.67233753288214759</v>
      </c>
      <c r="T62">
        <f>STDEV(S54:S58)</f>
        <v>9.2275682496846076E-2</v>
      </c>
    </row>
    <row r="64" spans="1:20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0:23" x14ac:dyDescent="0.2">
      <c r="Q81" s="3"/>
      <c r="R81" s="3"/>
      <c r="S81" s="7">
        <f>AVERAGE(S73:S77)</f>
        <v>0.79944194698329507</v>
      </c>
      <c r="T81">
        <f>STDEV(S73:S77)</f>
        <v>9.3224498140583908E-2</v>
      </c>
    </row>
    <row r="82" spans="10:23" x14ac:dyDescent="0.2">
      <c r="Q82" s="3"/>
      <c r="R82" s="3"/>
      <c r="S82" s="7"/>
    </row>
    <row r="83" spans="10:23" x14ac:dyDescent="0.2">
      <c r="Q83" s="3"/>
      <c r="R83" s="3"/>
      <c r="S83" s="7"/>
    </row>
    <row r="84" spans="10:23" x14ac:dyDescent="0.2">
      <c r="Q84" t="s">
        <v>1</v>
      </c>
      <c r="R84" t="s">
        <v>51</v>
      </c>
      <c r="S84" t="s">
        <v>52</v>
      </c>
      <c r="T84" t="s">
        <v>53</v>
      </c>
      <c r="U84" t="s">
        <v>54</v>
      </c>
      <c r="V84" t="s">
        <v>55</v>
      </c>
    </row>
    <row r="85" spans="10:23" x14ac:dyDescent="0.2">
      <c r="P85" t="s">
        <v>121</v>
      </c>
      <c r="Q85">
        <v>1000000</v>
      </c>
      <c r="R85">
        <v>1.47184</v>
      </c>
      <c r="S85">
        <v>0.30315599999999998</v>
      </c>
      <c r="T85">
        <v>1806.74</v>
      </c>
      <c r="U85">
        <f>1/T85</f>
        <v>5.5348306895292075E-4</v>
      </c>
      <c r="V85">
        <f>U85*1000</f>
        <v>0.55348306895292076</v>
      </c>
    </row>
    <row r="87" spans="10:23" x14ac:dyDescent="0.2">
      <c r="J87">
        <v>0.02</v>
      </c>
      <c r="K87" t="s">
        <v>93</v>
      </c>
      <c r="L87" t="s">
        <v>95</v>
      </c>
      <c r="M87" t="s">
        <v>96</v>
      </c>
      <c r="N87" t="s">
        <v>97</v>
      </c>
      <c r="O87" t="s">
        <v>104</v>
      </c>
      <c r="P87" t="s">
        <v>105</v>
      </c>
      <c r="Q87" t="s">
        <v>106</v>
      </c>
      <c r="R87" t="s">
        <v>107</v>
      </c>
      <c r="S87" t="s">
        <v>108</v>
      </c>
      <c r="U87" t="s">
        <v>54</v>
      </c>
      <c r="V87" t="s">
        <v>55</v>
      </c>
      <c r="W87" t="s">
        <v>109</v>
      </c>
    </row>
    <row r="88" spans="10:23" x14ac:dyDescent="0.2">
      <c r="L88">
        <v>0</v>
      </c>
      <c r="M88">
        <v>0</v>
      </c>
      <c r="N88">
        <v>0</v>
      </c>
      <c r="O88">
        <v>1</v>
      </c>
      <c r="P88">
        <v>1500</v>
      </c>
      <c r="Q88">
        <v>1778.5740000000001</v>
      </c>
      <c r="R88">
        <v>293.23345999999998</v>
      </c>
      <c r="S88">
        <v>5</v>
      </c>
      <c r="T88">
        <v>1000000</v>
      </c>
      <c r="U88">
        <f>1/Q88</f>
        <v>5.6224818309499631E-4</v>
      </c>
      <c r="V88">
        <f>U88*1000</f>
        <v>0.56224818309499636</v>
      </c>
      <c r="W88">
        <f>(R88/Q88)*V88</f>
        <v>9.2697846762439612E-2</v>
      </c>
    </row>
    <row r="89" spans="10:23" x14ac:dyDescent="0.2">
      <c r="L89">
        <v>1</v>
      </c>
      <c r="M89">
        <v>0</v>
      </c>
      <c r="N89">
        <v>1</v>
      </c>
      <c r="O89">
        <v>0</v>
      </c>
      <c r="P89">
        <v>1500</v>
      </c>
      <c r="Q89">
        <v>1968.912</v>
      </c>
      <c r="R89">
        <v>453.44954999999999</v>
      </c>
      <c r="S89">
        <v>5</v>
      </c>
      <c r="T89">
        <v>1000000</v>
      </c>
      <c r="U89">
        <f t="shared" ref="U89:U90" si="26">1/Q89</f>
        <v>5.0789471545706463E-4</v>
      </c>
      <c r="V89">
        <f t="shared" ref="V89:V90" si="27">U89*1000</f>
        <v>0.50789471545706466</v>
      </c>
      <c r="W89">
        <f t="shared" ref="W89:W90" si="28">(R89/Q89)*V89</f>
        <v>0.11697050460933957</v>
      </c>
    </row>
    <row r="90" spans="10:23" x14ac:dyDescent="0.2">
      <c r="L90">
        <v>2</v>
      </c>
      <c r="M90">
        <v>1</v>
      </c>
      <c r="N90">
        <v>0</v>
      </c>
      <c r="O90">
        <v>0</v>
      </c>
      <c r="P90">
        <v>1500</v>
      </c>
      <c r="Q90">
        <v>1434.0362</v>
      </c>
      <c r="R90">
        <v>555.21614999999997</v>
      </c>
      <c r="S90">
        <v>5</v>
      </c>
      <c r="T90">
        <v>1000000</v>
      </c>
      <c r="U90">
        <f t="shared" si="26"/>
        <v>6.9733246622365598E-4</v>
      </c>
      <c r="V90">
        <f t="shared" si="27"/>
        <v>0.69733246622365597</v>
      </c>
      <c r="W90">
        <f t="shared" si="28"/>
        <v>0.26998638330517966</v>
      </c>
    </row>
    <row r="92" spans="10:23" x14ac:dyDescent="0.2">
      <c r="J92">
        <v>0.04</v>
      </c>
      <c r="K92" t="s">
        <v>93</v>
      </c>
      <c r="L92" t="s">
        <v>95</v>
      </c>
      <c r="M92" t="s">
        <v>96</v>
      </c>
      <c r="N92" t="s">
        <v>97</v>
      </c>
      <c r="O92" t="s">
        <v>104</v>
      </c>
      <c r="P92" t="s">
        <v>105</v>
      </c>
      <c r="Q92" t="s">
        <v>106</v>
      </c>
      <c r="R92" t="s">
        <v>107</v>
      </c>
      <c r="S92" t="s">
        <v>108</v>
      </c>
      <c r="U92" t="s">
        <v>54</v>
      </c>
      <c r="V92" t="s">
        <v>55</v>
      </c>
      <c r="W92" t="s">
        <v>109</v>
      </c>
    </row>
    <row r="93" spans="10:23" x14ac:dyDescent="0.2">
      <c r="L93">
        <v>0</v>
      </c>
      <c r="M93">
        <v>0</v>
      </c>
      <c r="N93">
        <v>0</v>
      </c>
      <c r="O93">
        <v>1</v>
      </c>
      <c r="P93">
        <v>1500</v>
      </c>
      <c r="Q93">
        <v>1770.4159999999999</v>
      </c>
      <c r="R93">
        <v>216.91240999999999</v>
      </c>
      <c r="S93">
        <v>5</v>
      </c>
      <c r="T93">
        <v>1000000</v>
      </c>
      <c r="U93">
        <f>1/Q93</f>
        <v>5.648389982919269E-4</v>
      </c>
      <c r="V93">
        <f>U93*1000</f>
        <v>0.56483899829192685</v>
      </c>
      <c r="W93">
        <f>(R93/Q93)*V93</f>
        <v>6.9204406411537023E-2</v>
      </c>
    </row>
    <row r="94" spans="10:23" x14ac:dyDescent="0.2">
      <c r="L94">
        <v>1</v>
      </c>
      <c r="M94">
        <v>0</v>
      </c>
      <c r="N94">
        <v>1</v>
      </c>
      <c r="O94">
        <v>0</v>
      </c>
      <c r="P94">
        <v>1500</v>
      </c>
      <c r="Q94">
        <v>1653.5</v>
      </c>
      <c r="R94">
        <v>277.99484999999999</v>
      </c>
      <c r="S94">
        <v>5</v>
      </c>
      <c r="T94">
        <v>900000</v>
      </c>
      <c r="U94">
        <f t="shared" ref="U94:U95" si="29">1/Q94</f>
        <v>6.0477774417901423E-4</v>
      </c>
      <c r="V94">
        <f t="shared" ref="V94:V95" si="30">U94*1000</f>
        <v>0.6047777441790142</v>
      </c>
      <c r="W94">
        <f t="shared" ref="W94:W95" si="31">(R94/Q94)*V94</f>
        <v>0.10167831767546623</v>
      </c>
    </row>
    <row r="95" spans="10:23" x14ac:dyDescent="0.2">
      <c r="L95">
        <v>2</v>
      </c>
      <c r="M95">
        <v>1</v>
      </c>
      <c r="N95">
        <v>0</v>
      </c>
      <c r="O95">
        <v>0</v>
      </c>
      <c r="P95">
        <v>1500</v>
      </c>
      <c r="Q95">
        <v>1496.4880000000001</v>
      </c>
      <c r="R95">
        <v>372.29730000000001</v>
      </c>
      <c r="S95">
        <v>5</v>
      </c>
      <c r="T95">
        <v>500000</v>
      </c>
      <c r="U95">
        <f t="shared" si="29"/>
        <v>6.6823121869336738E-4</v>
      </c>
      <c r="V95">
        <f t="shared" si="30"/>
        <v>0.66823121869336732</v>
      </c>
      <c r="W95">
        <f t="shared" si="31"/>
        <v>0.16624301597824384</v>
      </c>
    </row>
    <row r="97" spans="10:23" x14ac:dyDescent="0.2">
      <c r="J97">
        <v>0.06</v>
      </c>
      <c r="K97" t="s">
        <v>93</v>
      </c>
      <c r="L97" t="s">
        <v>95</v>
      </c>
      <c r="M97" t="s">
        <v>96</v>
      </c>
      <c r="N97" t="s">
        <v>97</v>
      </c>
      <c r="O97" t="s">
        <v>104</v>
      </c>
      <c r="P97" t="s">
        <v>105</v>
      </c>
      <c r="Q97" t="s">
        <v>106</v>
      </c>
      <c r="R97" t="s">
        <v>107</v>
      </c>
      <c r="S97" t="s">
        <v>108</v>
      </c>
      <c r="U97" t="s">
        <v>54</v>
      </c>
      <c r="V97" t="s">
        <v>55</v>
      </c>
      <c r="W97" t="s">
        <v>109</v>
      </c>
    </row>
    <row r="98" spans="10:23" x14ac:dyDescent="0.2">
      <c r="L98">
        <v>0</v>
      </c>
      <c r="M98">
        <v>0</v>
      </c>
      <c r="N98">
        <v>0</v>
      </c>
      <c r="O98">
        <v>1</v>
      </c>
      <c r="P98">
        <v>1500</v>
      </c>
      <c r="Q98">
        <v>1636.374</v>
      </c>
      <c r="R98">
        <v>144.55921000000001</v>
      </c>
      <c r="S98">
        <v>5</v>
      </c>
      <c r="T98">
        <v>1000000</v>
      </c>
      <c r="U98">
        <f>1/Q98</f>
        <v>6.1110724076525295E-4</v>
      </c>
      <c r="V98">
        <f>U98*1000</f>
        <v>0.61110724076525291</v>
      </c>
      <c r="W98">
        <f>(R98/Q98)*V98</f>
        <v>5.3985934725377424E-2</v>
      </c>
    </row>
    <row r="99" spans="10:23" x14ac:dyDescent="0.2">
      <c r="L99">
        <v>1</v>
      </c>
      <c r="M99">
        <v>0</v>
      </c>
      <c r="N99">
        <v>1</v>
      </c>
      <c r="O99">
        <v>0</v>
      </c>
      <c r="P99">
        <v>1500</v>
      </c>
      <c r="Q99">
        <v>1867.816</v>
      </c>
      <c r="R99">
        <v>85.002645000000001</v>
      </c>
      <c r="S99">
        <v>5</v>
      </c>
      <c r="T99">
        <v>1000000</v>
      </c>
      <c r="U99">
        <f t="shared" ref="U99:U100" si="32">1/Q99</f>
        <v>5.3538464174201312E-4</v>
      </c>
      <c r="V99">
        <f t="shared" ref="V99:V100" si="33">U99*1000</f>
        <v>0.53538464174201317</v>
      </c>
      <c r="W99">
        <f t="shared" ref="W99:W100" si="34">(R99/Q99)*V99</f>
        <v>2.4364878896234173E-2</v>
      </c>
    </row>
    <row r="100" spans="10:23" x14ac:dyDescent="0.2">
      <c r="L100">
        <v>2</v>
      </c>
      <c r="M100">
        <v>1</v>
      </c>
      <c r="N100">
        <v>0</v>
      </c>
      <c r="O100">
        <v>0</v>
      </c>
      <c r="P100">
        <v>1500</v>
      </c>
      <c r="Q100">
        <v>1625.88</v>
      </c>
      <c r="R100">
        <v>163.72036</v>
      </c>
      <c r="S100">
        <v>5</v>
      </c>
      <c r="T100">
        <v>1000000</v>
      </c>
      <c r="U100">
        <f t="shared" si="32"/>
        <v>6.1505154131916249E-4</v>
      </c>
      <c r="V100">
        <f t="shared" si="33"/>
        <v>0.61505154131916251</v>
      </c>
      <c r="W100">
        <f t="shared" si="34"/>
        <v>6.1933512782818022E-2</v>
      </c>
    </row>
    <row r="102" spans="10:23" x14ac:dyDescent="0.2">
      <c r="J102">
        <v>0.1</v>
      </c>
      <c r="K102" t="s">
        <v>93</v>
      </c>
      <c r="L102" t="s">
        <v>95</v>
      </c>
      <c r="M102" t="s">
        <v>96</v>
      </c>
      <c r="N102" t="s">
        <v>97</v>
      </c>
      <c r="O102" t="s">
        <v>104</v>
      </c>
      <c r="P102" t="s">
        <v>105</v>
      </c>
      <c r="Q102" t="s">
        <v>106</v>
      </c>
      <c r="R102" t="s">
        <v>107</v>
      </c>
      <c r="S102" t="s">
        <v>108</v>
      </c>
      <c r="U102" t="s">
        <v>54</v>
      </c>
      <c r="V102" t="s">
        <v>55</v>
      </c>
      <c r="W102" t="s">
        <v>109</v>
      </c>
    </row>
    <row r="103" spans="10:23" x14ac:dyDescent="0.2">
      <c r="L103">
        <v>0</v>
      </c>
      <c r="M103">
        <v>0</v>
      </c>
      <c r="N103">
        <v>0</v>
      </c>
      <c r="O103">
        <v>1</v>
      </c>
      <c r="P103">
        <v>1500</v>
      </c>
      <c r="Q103">
        <v>1660.7719999999999</v>
      </c>
      <c r="R103">
        <v>62.672324000000003</v>
      </c>
      <c r="S103">
        <v>5</v>
      </c>
      <c r="T103">
        <v>1000000</v>
      </c>
      <c r="U103">
        <f>1/Q103</f>
        <v>6.0212961201176318E-4</v>
      </c>
      <c r="V103">
        <f>U103*1000</f>
        <v>0.60212961201176318</v>
      </c>
      <c r="W103">
        <f>(R103/Q103)*V103</f>
        <v>2.2722482155284121E-2</v>
      </c>
    </row>
    <row r="104" spans="10:23" x14ac:dyDescent="0.2">
      <c r="L104">
        <v>1</v>
      </c>
      <c r="M104">
        <v>0</v>
      </c>
      <c r="N104">
        <v>1</v>
      </c>
      <c r="O104">
        <v>0</v>
      </c>
      <c r="P104">
        <v>1500</v>
      </c>
      <c r="Q104">
        <v>1828.894</v>
      </c>
      <c r="R104">
        <v>69.450989000000007</v>
      </c>
      <c r="S104">
        <v>5</v>
      </c>
      <c r="T104">
        <v>1000000</v>
      </c>
      <c r="U104">
        <f t="shared" ref="U104:U105" si="35">1/Q104</f>
        <v>5.4677854484732301E-4</v>
      </c>
      <c r="V104">
        <f t="shared" ref="V104:V105" si="36">U104*1000</f>
        <v>0.54677854484732302</v>
      </c>
      <c r="W104">
        <f t="shared" ref="W104:W105" si="37">(R104/Q104)*V104</f>
        <v>2.0763538348109539E-2</v>
      </c>
    </row>
    <row r="105" spans="10:23" x14ac:dyDescent="0.2">
      <c r="L105">
        <v>2</v>
      </c>
      <c r="M105">
        <v>1</v>
      </c>
      <c r="N105">
        <v>0</v>
      </c>
      <c r="O105">
        <v>0</v>
      </c>
      <c r="P105">
        <v>1500</v>
      </c>
      <c r="Q105">
        <v>1646.6224999999999</v>
      </c>
      <c r="R105">
        <v>179.58672000000001</v>
      </c>
      <c r="S105">
        <v>4</v>
      </c>
      <c r="T105">
        <v>400000</v>
      </c>
      <c r="U105">
        <f t="shared" si="35"/>
        <v>6.0730373840998779E-4</v>
      </c>
      <c r="V105">
        <f t="shared" si="36"/>
        <v>0.60730373840998775</v>
      </c>
      <c r="W105">
        <f t="shared" si="37"/>
        <v>6.6234784490548218E-2</v>
      </c>
    </row>
    <row r="107" spans="10:23" x14ac:dyDescent="0.2">
      <c r="J107">
        <v>0.5</v>
      </c>
      <c r="K107" t="s">
        <v>93</v>
      </c>
      <c r="L107" t="s">
        <v>95</v>
      </c>
      <c r="M107" t="s">
        <v>96</v>
      </c>
      <c r="N107" t="s">
        <v>97</v>
      </c>
      <c r="O107" t="s">
        <v>104</v>
      </c>
      <c r="P107" t="s">
        <v>105</v>
      </c>
      <c r="Q107" t="s">
        <v>106</v>
      </c>
      <c r="R107" t="s">
        <v>107</v>
      </c>
      <c r="S107" t="s">
        <v>108</v>
      </c>
      <c r="U107" t="s">
        <v>54</v>
      </c>
      <c r="V107" t="s">
        <v>55</v>
      </c>
      <c r="W107" t="s">
        <v>109</v>
      </c>
    </row>
    <row r="108" spans="10:23" x14ac:dyDescent="0.2">
      <c r="L108">
        <v>0</v>
      </c>
      <c r="M108">
        <v>0</v>
      </c>
      <c r="N108">
        <v>0</v>
      </c>
      <c r="O108">
        <v>1</v>
      </c>
      <c r="P108">
        <v>1500</v>
      </c>
      <c r="Q108">
        <v>1832.1780000000001</v>
      </c>
      <c r="R108">
        <v>23.071906999999999</v>
      </c>
      <c r="S108">
        <v>5</v>
      </c>
      <c r="T108">
        <v>1000000</v>
      </c>
      <c r="U108">
        <f>1/Q108</f>
        <v>5.4579849774421478E-4</v>
      </c>
      <c r="V108">
        <f>U108*1000</f>
        <v>0.54579849774421474</v>
      </c>
      <c r="W108">
        <f>(R108/Q108)*V108</f>
        <v>6.8730288108984124E-3</v>
      </c>
    </row>
    <row r="109" spans="10:23" x14ac:dyDescent="0.2">
      <c r="L109">
        <v>1</v>
      </c>
      <c r="M109">
        <v>0</v>
      </c>
      <c r="N109">
        <v>1</v>
      </c>
      <c r="O109">
        <v>0</v>
      </c>
      <c r="P109">
        <v>1500</v>
      </c>
      <c r="Q109">
        <v>2524.94</v>
      </c>
      <c r="R109">
        <v>14.338206</v>
      </c>
      <c r="S109">
        <v>5</v>
      </c>
      <c r="T109">
        <v>1000000</v>
      </c>
      <c r="U109">
        <f t="shared" ref="U109:U110" si="38">1/Q109</f>
        <v>3.960490150260996E-4</v>
      </c>
      <c r="V109">
        <f t="shared" ref="V109:V110" si="39">U109*1000</f>
        <v>0.39604901502609963</v>
      </c>
      <c r="W109">
        <f t="shared" ref="W109:W110" si="40">(R109/Q109)*V109</f>
        <v>2.2490167542758687E-3</v>
      </c>
    </row>
    <row r="110" spans="10:23" x14ac:dyDescent="0.2">
      <c r="L110">
        <v>2</v>
      </c>
      <c r="M110">
        <v>1</v>
      </c>
      <c r="N110">
        <v>0</v>
      </c>
      <c r="O110">
        <v>0</v>
      </c>
      <c r="P110">
        <v>1500</v>
      </c>
      <c r="Q110">
        <v>1619.952</v>
      </c>
      <c r="R110">
        <v>20.207076000000001</v>
      </c>
      <c r="S110">
        <v>5</v>
      </c>
      <c r="T110">
        <v>700000</v>
      </c>
      <c r="U110">
        <f t="shared" si="38"/>
        <v>6.1730224105405597E-4</v>
      </c>
      <c r="V110">
        <f t="shared" si="39"/>
        <v>0.61730224105405596</v>
      </c>
      <c r="W110">
        <f t="shared" si="40"/>
        <v>7.7001499426832586E-3</v>
      </c>
    </row>
    <row r="113" spans="11:11" x14ac:dyDescent="0.2">
      <c r="K113" t="s">
        <v>122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3DF09-C268-0643-A2FE-C339E77896CE}">
  <dimension ref="B3:X226"/>
  <sheetViews>
    <sheetView workbookViewId="0">
      <selection activeCell="Y9" sqref="Y9"/>
    </sheetView>
  </sheetViews>
  <sheetFormatPr baseColWidth="10" defaultRowHeight="16" x14ac:dyDescent="0.2"/>
  <sheetData>
    <row r="3" spans="2:24" x14ac:dyDescent="0.2">
      <c r="T3" t="s">
        <v>123</v>
      </c>
    </row>
    <row r="4" spans="2:24" x14ac:dyDescent="0.2">
      <c r="U4" s="5">
        <v>8.931E-2</v>
      </c>
      <c r="V4" s="5">
        <v>2641</v>
      </c>
    </row>
    <row r="5" spans="2:24" x14ac:dyDescent="0.2">
      <c r="B5" t="s">
        <v>24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>
        <v>5</v>
      </c>
      <c r="K5" t="s">
        <v>53</v>
      </c>
      <c r="L5" t="s">
        <v>117</v>
      </c>
      <c r="M5" t="s">
        <v>118</v>
      </c>
      <c r="N5" t="s">
        <v>119</v>
      </c>
      <c r="O5" t="s">
        <v>111</v>
      </c>
      <c r="P5" t="s">
        <v>120</v>
      </c>
      <c r="T5">
        <v>1000</v>
      </c>
      <c r="U5">
        <f t="shared" ref="U5:U10" si="0">$U$4*EXP($V$4/T5)</f>
        <v>1.2527713593891416</v>
      </c>
    </row>
    <row r="6" spans="2:24" x14ac:dyDescent="0.2">
      <c r="B6" t="s">
        <v>24</v>
      </c>
      <c r="C6" t="s">
        <v>93</v>
      </c>
      <c r="D6" t="s">
        <v>95</v>
      </c>
      <c r="E6" t="s">
        <v>96</v>
      </c>
      <c r="F6" t="s">
        <v>97</v>
      </c>
      <c r="G6" t="s">
        <v>104</v>
      </c>
      <c r="H6" t="s">
        <v>105</v>
      </c>
      <c r="I6" t="s">
        <v>106</v>
      </c>
      <c r="J6" t="s">
        <v>107</v>
      </c>
      <c r="K6" t="s">
        <v>108</v>
      </c>
      <c r="T6">
        <v>1100</v>
      </c>
      <c r="U6">
        <f t="shared" si="0"/>
        <v>0.9853752711996876</v>
      </c>
      <c r="W6" t="s">
        <v>124</v>
      </c>
      <c r="X6" t="s">
        <v>125</v>
      </c>
    </row>
    <row r="7" spans="2:24" x14ac:dyDescent="0.2">
      <c r="C7">
        <v>0</v>
      </c>
      <c r="D7">
        <v>0</v>
      </c>
      <c r="E7">
        <v>0</v>
      </c>
      <c r="F7">
        <v>1</v>
      </c>
      <c r="G7">
        <v>1200</v>
      </c>
      <c r="H7">
        <v>1137.4364</v>
      </c>
      <c r="I7">
        <v>138.42928000000001</v>
      </c>
      <c r="J7">
        <v>5</v>
      </c>
      <c r="K7">
        <v>1000000</v>
      </c>
      <c r="Q7">
        <f>1/H7*1000</f>
        <v>0.87917003535318539</v>
      </c>
      <c r="S7">
        <f>1/T7</f>
        <v>8.3333333333333339E-4</v>
      </c>
      <c r="T7">
        <v>1200</v>
      </c>
      <c r="U7">
        <f t="shared" si="0"/>
        <v>0.80669592221134334</v>
      </c>
      <c r="W7">
        <f>ABS(U7-Q7)/U7</f>
        <v>8.9840683640960331E-2</v>
      </c>
      <c r="X7">
        <f>ABS(U7-Q7)</f>
        <v>7.2474113141842045E-2</v>
      </c>
    </row>
    <row r="8" spans="2:24" x14ac:dyDescent="0.2">
      <c r="C8">
        <v>0</v>
      </c>
      <c r="D8">
        <v>0</v>
      </c>
      <c r="E8">
        <v>0</v>
      </c>
      <c r="F8">
        <v>1</v>
      </c>
      <c r="G8">
        <v>1300</v>
      </c>
      <c r="H8">
        <v>1277.2360000000001</v>
      </c>
      <c r="I8">
        <v>178.78263999999999</v>
      </c>
      <c r="J8">
        <v>5</v>
      </c>
      <c r="K8">
        <v>1000000</v>
      </c>
      <c r="Q8">
        <f t="shared" ref="Q8:Q71" si="1">1/H8*1000</f>
        <v>0.78294066249307093</v>
      </c>
      <c r="S8">
        <f t="shared" ref="S8:S10" si="2">1/T8</f>
        <v>7.6923076923076923E-4</v>
      </c>
      <c r="T8">
        <v>1300</v>
      </c>
      <c r="U8">
        <f t="shared" si="0"/>
        <v>0.68106103333154533</v>
      </c>
      <c r="W8">
        <f t="shared" ref="W8:W9" si="3">ABS(U8-Q8)/U8</f>
        <v>0.14958957299782832</v>
      </c>
      <c r="X8">
        <f t="shared" ref="X8:X10" si="4">ABS(U8-Q8)</f>
        <v>0.1018796291615256</v>
      </c>
    </row>
    <row r="9" spans="2:24" x14ac:dyDescent="0.2">
      <c r="C9">
        <v>0</v>
      </c>
      <c r="D9">
        <v>0</v>
      </c>
      <c r="E9">
        <v>0</v>
      </c>
      <c r="F9">
        <v>1</v>
      </c>
      <c r="G9">
        <v>1400</v>
      </c>
      <c r="H9">
        <v>1480.954</v>
      </c>
      <c r="I9">
        <v>179.58078</v>
      </c>
      <c r="J9">
        <v>5</v>
      </c>
      <c r="K9">
        <v>1000000</v>
      </c>
      <c r="Q9">
        <f t="shared" si="1"/>
        <v>0.67524041935131007</v>
      </c>
      <c r="S9">
        <f t="shared" si="2"/>
        <v>7.1428571428571429E-4</v>
      </c>
      <c r="T9">
        <v>1400</v>
      </c>
      <c r="U9">
        <f t="shared" si="0"/>
        <v>0.58906824047027018</v>
      </c>
      <c r="W9">
        <f t="shared" si="3"/>
        <v>0.14628556245409896</v>
      </c>
      <c r="X9">
        <f t="shared" si="4"/>
        <v>8.6172178881039896E-2</v>
      </c>
    </row>
    <row r="10" spans="2:24" x14ac:dyDescent="0.2">
      <c r="C10">
        <v>0</v>
      </c>
      <c r="D10">
        <v>0</v>
      </c>
      <c r="E10">
        <v>0</v>
      </c>
      <c r="F10">
        <v>1</v>
      </c>
      <c r="G10">
        <v>1500</v>
      </c>
      <c r="H10">
        <v>1636.374</v>
      </c>
      <c r="I10">
        <v>144.55921000000001</v>
      </c>
      <c r="J10">
        <v>5</v>
      </c>
      <c r="K10">
        <v>1000000</v>
      </c>
      <c r="Q10">
        <f t="shared" si="1"/>
        <v>0.61110724076525291</v>
      </c>
      <c r="S10">
        <f t="shared" si="2"/>
        <v>6.6666666666666664E-4</v>
      </c>
      <c r="T10">
        <v>1500</v>
      </c>
      <c r="U10">
        <f t="shared" si="0"/>
        <v>0.51945497159970466</v>
      </c>
      <c r="W10">
        <f>ABS(U10-Q10)/U10</f>
        <v>0.17643929537010203</v>
      </c>
      <c r="X10">
        <f t="shared" si="4"/>
        <v>9.165226916554825E-2</v>
      </c>
    </row>
    <row r="11" spans="2:24" x14ac:dyDescent="0.2">
      <c r="C11">
        <v>1</v>
      </c>
      <c r="D11">
        <v>0</v>
      </c>
      <c r="E11">
        <v>0.111111</v>
      </c>
      <c r="F11">
        <v>0.88888900000000004</v>
      </c>
      <c r="G11">
        <v>1200</v>
      </c>
      <c r="H11">
        <v>1076.4474</v>
      </c>
      <c r="I11">
        <v>79.890663000000004</v>
      </c>
      <c r="J11">
        <v>5</v>
      </c>
      <c r="K11">
        <v>1000000</v>
      </c>
      <c r="Q11">
        <f t="shared" si="1"/>
        <v>0.92898175981473874</v>
      </c>
    </row>
    <row r="12" spans="2:24" x14ac:dyDescent="0.2">
      <c r="C12">
        <v>1</v>
      </c>
      <c r="D12">
        <v>0</v>
      </c>
      <c r="E12">
        <v>0.111111</v>
      </c>
      <c r="F12">
        <v>0.88888900000000004</v>
      </c>
      <c r="G12">
        <v>1300</v>
      </c>
      <c r="H12">
        <v>1259.98</v>
      </c>
      <c r="I12">
        <v>105.52198</v>
      </c>
      <c r="J12">
        <v>5</v>
      </c>
      <c r="K12">
        <v>1000000</v>
      </c>
      <c r="Q12">
        <f t="shared" si="1"/>
        <v>0.79366339148240439</v>
      </c>
    </row>
    <row r="13" spans="2:24" x14ac:dyDescent="0.2">
      <c r="C13">
        <v>1</v>
      </c>
      <c r="D13">
        <v>0</v>
      </c>
      <c r="E13">
        <v>0.111111</v>
      </c>
      <c r="F13">
        <v>0.88888900000000004</v>
      </c>
      <c r="G13">
        <v>1400</v>
      </c>
      <c r="H13">
        <v>1536.3219999999999</v>
      </c>
      <c r="I13">
        <v>98.385711999999998</v>
      </c>
      <c r="J13">
        <v>5</v>
      </c>
      <c r="K13">
        <v>1000000</v>
      </c>
      <c r="Q13">
        <f t="shared" si="1"/>
        <v>0.65090521388094436</v>
      </c>
    </row>
    <row r="14" spans="2:24" x14ac:dyDescent="0.2">
      <c r="C14">
        <v>1</v>
      </c>
      <c r="D14">
        <v>0</v>
      </c>
      <c r="E14">
        <v>0.111111</v>
      </c>
      <c r="F14">
        <v>0.88888900000000004</v>
      </c>
      <c r="G14">
        <v>1500</v>
      </c>
      <c r="H14">
        <v>1707.13</v>
      </c>
      <c r="I14">
        <v>113.68275</v>
      </c>
      <c r="J14">
        <v>5</v>
      </c>
      <c r="K14">
        <v>1000000</v>
      </c>
      <c r="Q14">
        <f t="shared" si="1"/>
        <v>0.5857784702981027</v>
      </c>
    </row>
    <row r="15" spans="2:24" x14ac:dyDescent="0.2">
      <c r="C15">
        <v>2</v>
      </c>
      <c r="D15">
        <v>0</v>
      </c>
      <c r="E15">
        <v>0.222222</v>
      </c>
      <c r="F15">
        <v>0.77777799999999997</v>
      </c>
      <c r="G15">
        <v>1200</v>
      </c>
      <c r="H15">
        <v>1173.2054000000001</v>
      </c>
      <c r="I15">
        <v>185.0915</v>
      </c>
      <c r="J15">
        <v>5</v>
      </c>
      <c r="K15">
        <v>1000000</v>
      </c>
      <c r="Q15">
        <f t="shared" si="1"/>
        <v>0.85236566418804405</v>
      </c>
    </row>
    <row r="16" spans="2:24" x14ac:dyDescent="0.2">
      <c r="C16">
        <v>2</v>
      </c>
      <c r="D16">
        <v>0</v>
      </c>
      <c r="E16">
        <v>0.222222</v>
      </c>
      <c r="F16">
        <v>0.77777799999999997</v>
      </c>
      <c r="G16">
        <v>1300</v>
      </c>
      <c r="H16">
        <v>1306.5039999999999</v>
      </c>
      <c r="I16">
        <v>94.851698999999996</v>
      </c>
      <c r="J16">
        <v>5</v>
      </c>
      <c r="K16">
        <v>1000000</v>
      </c>
      <c r="Q16">
        <f t="shared" si="1"/>
        <v>0.76540140711394689</v>
      </c>
    </row>
    <row r="17" spans="3:17" x14ac:dyDescent="0.2">
      <c r="C17">
        <v>2</v>
      </c>
      <c r="D17">
        <v>0</v>
      </c>
      <c r="E17">
        <v>0.222222</v>
      </c>
      <c r="F17">
        <v>0.77777799999999997</v>
      </c>
      <c r="G17">
        <v>1400</v>
      </c>
      <c r="H17">
        <v>1555.22</v>
      </c>
      <c r="I17">
        <v>220.00889000000001</v>
      </c>
      <c r="J17">
        <v>5</v>
      </c>
      <c r="K17">
        <v>1000000</v>
      </c>
      <c r="Q17">
        <f t="shared" si="1"/>
        <v>0.64299584624683315</v>
      </c>
    </row>
    <row r="18" spans="3:17" x14ac:dyDescent="0.2">
      <c r="C18">
        <v>2</v>
      </c>
      <c r="D18">
        <v>0</v>
      </c>
      <c r="E18">
        <v>0.222222</v>
      </c>
      <c r="F18">
        <v>0.77777799999999997</v>
      </c>
      <c r="G18">
        <v>1500</v>
      </c>
      <c r="H18">
        <v>1781.14</v>
      </c>
      <c r="I18">
        <v>136.73885000000001</v>
      </c>
      <c r="J18">
        <v>5</v>
      </c>
      <c r="K18">
        <v>1000000</v>
      </c>
      <c r="Q18">
        <f t="shared" si="1"/>
        <v>0.56143818004199553</v>
      </c>
    </row>
    <row r="19" spans="3:17" x14ac:dyDescent="0.2">
      <c r="C19">
        <v>3</v>
      </c>
      <c r="D19">
        <v>0</v>
      </c>
      <c r="E19">
        <v>0.33333299999999999</v>
      </c>
      <c r="F19">
        <v>0.66666700000000001</v>
      </c>
      <c r="G19">
        <v>1200</v>
      </c>
      <c r="H19">
        <v>1085.048</v>
      </c>
      <c r="I19">
        <v>79.976868999999994</v>
      </c>
      <c r="J19">
        <v>5</v>
      </c>
      <c r="K19">
        <v>1000000</v>
      </c>
      <c r="Q19">
        <f t="shared" si="1"/>
        <v>0.92161821412508937</v>
      </c>
    </row>
    <row r="20" spans="3:17" x14ac:dyDescent="0.2">
      <c r="C20">
        <v>3</v>
      </c>
      <c r="D20">
        <v>0</v>
      </c>
      <c r="E20">
        <v>0.33333299999999999</v>
      </c>
      <c r="F20">
        <v>0.66666700000000001</v>
      </c>
      <c r="G20">
        <v>1300</v>
      </c>
      <c r="H20">
        <v>1288.5920000000001</v>
      </c>
      <c r="I20">
        <v>81.304316999999998</v>
      </c>
      <c r="J20">
        <v>5</v>
      </c>
      <c r="K20">
        <v>1000000</v>
      </c>
      <c r="Q20">
        <f t="shared" si="1"/>
        <v>0.77604082595577184</v>
      </c>
    </row>
    <row r="21" spans="3:17" x14ac:dyDescent="0.2">
      <c r="C21">
        <v>3</v>
      </c>
      <c r="D21">
        <v>0</v>
      </c>
      <c r="E21">
        <v>0.33333299999999999</v>
      </c>
      <c r="F21">
        <v>0.66666700000000001</v>
      </c>
      <c r="G21">
        <v>1400</v>
      </c>
      <c r="H21">
        <v>1513.5260000000001</v>
      </c>
      <c r="I21">
        <v>133.86512999999999</v>
      </c>
      <c r="J21">
        <v>5</v>
      </c>
      <c r="K21">
        <v>1000000</v>
      </c>
      <c r="Q21">
        <f t="shared" si="1"/>
        <v>0.66070883486639798</v>
      </c>
    </row>
    <row r="22" spans="3:17" x14ac:dyDescent="0.2">
      <c r="C22">
        <v>3</v>
      </c>
      <c r="D22">
        <v>0</v>
      </c>
      <c r="E22">
        <v>0.33333299999999999</v>
      </c>
      <c r="F22">
        <v>0.66666700000000001</v>
      </c>
      <c r="G22">
        <v>1500</v>
      </c>
      <c r="H22">
        <v>1657.7380000000001</v>
      </c>
      <c r="I22">
        <v>108.73887999999999</v>
      </c>
      <c r="J22">
        <v>5</v>
      </c>
      <c r="K22">
        <v>1000000</v>
      </c>
      <c r="Q22">
        <f t="shared" si="1"/>
        <v>0.60323163250163769</v>
      </c>
    </row>
    <row r="23" spans="3:17" x14ac:dyDescent="0.2">
      <c r="C23">
        <v>4</v>
      </c>
      <c r="D23">
        <v>0</v>
      </c>
      <c r="E23">
        <v>0.44444400000000001</v>
      </c>
      <c r="F23">
        <v>0.55555600000000005</v>
      </c>
      <c r="G23">
        <v>1200</v>
      </c>
      <c r="H23">
        <v>1170.2556</v>
      </c>
      <c r="I23">
        <v>151.39966999999999</v>
      </c>
      <c r="J23">
        <v>5</v>
      </c>
      <c r="K23">
        <v>1000000</v>
      </c>
      <c r="Q23">
        <f t="shared" si="1"/>
        <v>0.85451417621928072</v>
      </c>
    </row>
    <row r="24" spans="3:17" x14ac:dyDescent="0.2">
      <c r="C24">
        <v>4</v>
      </c>
      <c r="D24">
        <v>0</v>
      </c>
      <c r="E24">
        <v>0.44444400000000001</v>
      </c>
      <c r="F24">
        <v>0.55555600000000005</v>
      </c>
      <c r="G24">
        <v>1300</v>
      </c>
      <c r="H24">
        <v>1363.87</v>
      </c>
      <c r="I24">
        <v>106.37605000000001</v>
      </c>
      <c r="J24">
        <v>5</v>
      </c>
      <c r="K24">
        <v>1000000</v>
      </c>
      <c r="Q24">
        <f t="shared" si="1"/>
        <v>0.73320771041228272</v>
      </c>
    </row>
    <row r="25" spans="3:17" x14ac:dyDescent="0.2">
      <c r="C25">
        <v>4</v>
      </c>
      <c r="D25">
        <v>0</v>
      </c>
      <c r="E25">
        <v>0.44444400000000001</v>
      </c>
      <c r="F25">
        <v>0.55555600000000005</v>
      </c>
      <c r="G25">
        <v>1400</v>
      </c>
      <c r="H25">
        <v>1502.8119999999999</v>
      </c>
      <c r="I25">
        <v>33.571753000000001</v>
      </c>
      <c r="J25">
        <v>5</v>
      </c>
      <c r="K25">
        <v>1000000</v>
      </c>
      <c r="Q25">
        <f t="shared" si="1"/>
        <v>0.66541922742166026</v>
      </c>
    </row>
    <row r="26" spans="3:17" x14ac:dyDescent="0.2">
      <c r="C26">
        <v>4</v>
      </c>
      <c r="D26">
        <v>0</v>
      </c>
      <c r="E26">
        <v>0.44444400000000001</v>
      </c>
      <c r="F26">
        <v>0.55555600000000005</v>
      </c>
      <c r="G26">
        <v>1500</v>
      </c>
      <c r="H26">
        <v>1643.1120000000001</v>
      </c>
      <c r="I26">
        <v>163.71856</v>
      </c>
      <c r="J26">
        <v>5</v>
      </c>
      <c r="K26">
        <v>1000000</v>
      </c>
      <c r="Q26">
        <f t="shared" si="1"/>
        <v>0.60860123959900481</v>
      </c>
    </row>
    <row r="27" spans="3:17" x14ac:dyDescent="0.2">
      <c r="C27">
        <v>5</v>
      </c>
      <c r="D27">
        <v>0</v>
      </c>
      <c r="E27">
        <v>0.55555600000000005</v>
      </c>
      <c r="F27">
        <v>0.44444400000000001</v>
      </c>
      <c r="G27">
        <v>1200</v>
      </c>
      <c r="H27">
        <v>1147.54</v>
      </c>
      <c r="I27">
        <v>120.48027</v>
      </c>
      <c r="J27">
        <v>5</v>
      </c>
      <c r="K27">
        <v>1000000</v>
      </c>
      <c r="Q27">
        <f t="shared" si="1"/>
        <v>0.8714293183679872</v>
      </c>
    </row>
    <row r="28" spans="3:17" x14ac:dyDescent="0.2">
      <c r="C28">
        <v>5</v>
      </c>
      <c r="D28">
        <v>0</v>
      </c>
      <c r="E28">
        <v>0.55555600000000005</v>
      </c>
      <c r="F28">
        <v>0.44444400000000001</v>
      </c>
      <c r="G28">
        <v>1300</v>
      </c>
      <c r="H28">
        <v>1432.54</v>
      </c>
      <c r="I28">
        <v>42.694414000000002</v>
      </c>
      <c r="J28">
        <v>5</v>
      </c>
      <c r="K28">
        <v>1000000</v>
      </c>
      <c r="Q28">
        <f t="shared" si="1"/>
        <v>0.69806078713334352</v>
      </c>
    </row>
    <row r="29" spans="3:17" x14ac:dyDescent="0.2">
      <c r="C29">
        <v>5</v>
      </c>
      <c r="D29">
        <v>0</v>
      </c>
      <c r="E29">
        <v>0.55555600000000005</v>
      </c>
      <c r="F29">
        <v>0.44444400000000001</v>
      </c>
      <c r="G29">
        <v>1400</v>
      </c>
      <c r="H29">
        <v>1619.3820000000001</v>
      </c>
      <c r="I29">
        <v>69.370373999999998</v>
      </c>
      <c r="J29">
        <v>5</v>
      </c>
      <c r="K29">
        <v>1000000</v>
      </c>
      <c r="Q29">
        <f t="shared" si="1"/>
        <v>0.61751952287971579</v>
      </c>
    </row>
    <row r="30" spans="3:17" x14ac:dyDescent="0.2">
      <c r="C30">
        <v>5</v>
      </c>
      <c r="D30">
        <v>0</v>
      </c>
      <c r="E30">
        <v>0.55555600000000005</v>
      </c>
      <c r="F30">
        <v>0.44444400000000001</v>
      </c>
      <c r="G30">
        <v>1500</v>
      </c>
      <c r="H30">
        <v>1848.4459999999999</v>
      </c>
      <c r="I30">
        <v>53.748899000000002</v>
      </c>
      <c r="J30">
        <v>5</v>
      </c>
      <c r="K30">
        <v>1000000</v>
      </c>
      <c r="Q30">
        <f t="shared" si="1"/>
        <v>0.54099497632064997</v>
      </c>
    </row>
    <row r="31" spans="3:17" x14ac:dyDescent="0.2">
      <c r="C31">
        <v>6</v>
      </c>
      <c r="D31">
        <v>0</v>
      </c>
      <c r="E31">
        <v>0.66666700000000001</v>
      </c>
      <c r="F31">
        <v>0.33333299999999999</v>
      </c>
      <c r="G31">
        <v>1200</v>
      </c>
      <c r="H31">
        <v>1133.2424000000001</v>
      </c>
      <c r="I31">
        <v>178.64884000000001</v>
      </c>
      <c r="J31">
        <v>5</v>
      </c>
      <c r="K31">
        <v>1000000</v>
      </c>
      <c r="Q31">
        <f t="shared" si="1"/>
        <v>0.8824237427050029</v>
      </c>
    </row>
    <row r="32" spans="3:17" x14ac:dyDescent="0.2">
      <c r="C32">
        <v>6</v>
      </c>
      <c r="D32">
        <v>0</v>
      </c>
      <c r="E32">
        <v>0.66666700000000001</v>
      </c>
      <c r="F32">
        <v>0.33333299999999999</v>
      </c>
      <c r="G32">
        <v>1300</v>
      </c>
      <c r="H32">
        <v>1377.55</v>
      </c>
      <c r="I32">
        <v>106.68177</v>
      </c>
      <c r="J32">
        <v>5</v>
      </c>
      <c r="K32">
        <v>1000000</v>
      </c>
      <c r="Q32">
        <f t="shared" si="1"/>
        <v>0.72592646364923241</v>
      </c>
    </row>
    <row r="33" spans="3:17" x14ac:dyDescent="0.2">
      <c r="C33">
        <v>6</v>
      </c>
      <c r="D33">
        <v>0</v>
      </c>
      <c r="E33">
        <v>0.66666700000000001</v>
      </c>
      <c r="F33">
        <v>0.33333299999999999</v>
      </c>
      <c r="G33">
        <v>1400</v>
      </c>
      <c r="H33">
        <v>1629.5060000000001</v>
      </c>
      <c r="I33">
        <v>123.49308000000001</v>
      </c>
      <c r="J33">
        <v>5</v>
      </c>
      <c r="K33">
        <v>1000000</v>
      </c>
      <c r="Q33">
        <f t="shared" si="1"/>
        <v>0.61368291985423795</v>
      </c>
    </row>
    <row r="34" spans="3:17" x14ac:dyDescent="0.2">
      <c r="C34">
        <v>6</v>
      </c>
      <c r="D34">
        <v>0</v>
      </c>
      <c r="E34">
        <v>0.66666700000000001</v>
      </c>
      <c r="F34">
        <v>0.33333299999999999</v>
      </c>
      <c r="G34">
        <v>1500</v>
      </c>
      <c r="H34">
        <v>1770.9280000000001</v>
      </c>
      <c r="I34">
        <v>137.13639000000001</v>
      </c>
      <c r="J34">
        <v>5</v>
      </c>
      <c r="K34">
        <v>1000000</v>
      </c>
      <c r="Q34">
        <f t="shared" si="1"/>
        <v>0.5646756954545864</v>
      </c>
    </row>
    <row r="35" spans="3:17" x14ac:dyDescent="0.2">
      <c r="C35">
        <v>7</v>
      </c>
      <c r="D35">
        <v>0</v>
      </c>
      <c r="E35">
        <v>0.77777799999999997</v>
      </c>
      <c r="F35">
        <v>0.222222</v>
      </c>
      <c r="G35">
        <v>1200</v>
      </c>
      <c r="H35">
        <v>1261.664</v>
      </c>
      <c r="I35">
        <v>111.51562</v>
      </c>
      <c r="J35">
        <v>5</v>
      </c>
      <c r="K35">
        <v>1000000</v>
      </c>
      <c r="Q35">
        <f t="shared" si="1"/>
        <v>0.79260405306008574</v>
      </c>
    </row>
    <row r="36" spans="3:17" x14ac:dyDescent="0.2">
      <c r="C36">
        <v>7</v>
      </c>
      <c r="D36">
        <v>0</v>
      </c>
      <c r="E36">
        <v>0.77777799999999997</v>
      </c>
      <c r="F36">
        <v>0.222222</v>
      </c>
      <c r="G36">
        <v>1300</v>
      </c>
      <c r="H36">
        <v>1325.422</v>
      </c>
      <c r="I36">
        <v>76.843539000000007</v>
      </c>
      <c r="J36">
        <v>5</v>
      </c>
      <c r="K36">
        <v>1000000</v>
      </c>
      <c r="Q36">
        <f t="shared" si="1"/>
        <v>0.75447668742483531</v>
      </c>
    </row>
    <row r="37" spans="3:17" x14ac:dyDescent="0.2">
      <c r="C37">
        <v>7</v>
      </c>
      <c r="D37">
        <v>0</v>
      </c>
      <c r="E37">
        <v>0.77777799999999997</v>
      </c>
      <c r="F37">
        <v>0.222222</v>
      </c>
      <c r="G37">
        <v>1400</v>
      </c>
      <c r="H37">
        <v>1558.086</v>
      </c>
      <c r="I37">
        <v>134.72566</v>
      </c>
      <c r="J37">
        <v>5</v>
      </c>
      <c r="K37">
        <v>1000000</v>
      </c>
      <c r="Q37">
        <f t="shared" si="1"/>
        <v>0.64181309632459316</v>
      </c>
    </row>
    <row r="38" spans="3:17" x14ac:dyDescent="0.2">
      <c r="C38">
        <v>7</v>
      </c>
      <c r="D38">
        <v>0</v>
      </c>
      <c r="E38">
        <v>0.77777799999999997</v>
      </c>
      <c r="F38">
        <v>0.222222</v>
      </c>
      <c r="G38">
        <v>1500</v>
      </c>
      <c r="H38">
        <v>1773.9939999999999</v>
      </c>
      <c r="I38">
        <v>159.43917999999999</v>
      </c>
      <c r="J38">
        <v>5</v>
      </c>
      <c r="K38">
        <v>1000000</v>
      </c>
      <c r="Q38">
        <f t="shared" si="1"/>
        <v>0.56369976448623837</v>
      </c>
    </row>
    <row r="39" spans="3:17" x14ac:dyDescent="0.2">
      <c r="C39">
        <v>8</v>
      </c>
      <c r="D39">
        <v>0</v>
      </c>
      <c r="E39">
        <v>0.88888900000000004</v>
      </c>
      <c r="F39">
        <v>0.111111</v>
      </c>
      <c r="G39">
        <v>1200</v>
      </c>
      <c r="H39">
        <v>1078.4594</v>
      </c>
      <c r="I39">
        <v>97.793726000000007</v>
      </c>
      <c r="J39">
        <v>5</v>
      </c>
      <c r="K39">
        <v>1000000</v>
      </c>
      <c r="Q39">
        <f t="shared" si="1"/>
        <v>0.92724862892381488</v>
      </c>
    </row>
    <row r="40" spans="3:17" x14ac:dyDescent="0.2">
      <c r="C40">
        <v>8</v>
      </c>
      <c r="D40">
        <v>0</v>
      </c>
      <c r="E40">
        <v>0.88888900000000004</v>
      </c>
      <c r="F40">
        <v>0.111111</v>
      </c>
      <c r="G40">
        <v>1300</v>
      </c>
      <c r="H40">
        <v>1354.06</v>
      </c>
      <c r="I40">
        <v>57.614179</v>
      </c>
      <c r="J40">
        <v>5</v>
      </c>
      <c r="K40">
        <v>1000000</v>
      </c>
      <c r="Q40">
        <f t="shared" si="1"/>
        <v>0.73851971109108905</v>
      </c>
    </row>
    <row r="41" spans="3:17" x14ac:dyDescent="0.2">
      <c r="C41">
        <v>8</v>
      </c>
      <c r="D41">
        <v>0</v>
      </c>
      <c r="E41">
        <v>0.88888900000000004</v>
      </c>
      <c r="F41">
        <v>0.111111</v>
      </c>
      <c r="G41">
        <v>1400</v>
      </c>
      <c r="H41">
        <v>1652.59</v>
      </c>
      <c r="I41">
        <v>99.627452000000005</v>
      </c>
      <c r="J41">
        <v>5</v>
      </c>
      <c r="K41">
        <v>1000000</v>
      </c>
      <c r="Q41">
        <f t="shared" si="1"/>
        <v>0.60511076552562948</v>
      </c>
    </row>
    <row r="42" spans="3:17" x14ac:dyDescent="0.2">
      <c r="C42">
        <v>8</v>
      </c>
      <c r="D42">
        <v>0</v>
      </c>
      <c r="E42">
        <v>0.88888900000000004</v>
      </c>
      <c r="F42">
        <v>0.111111</v>
      </c>
      <c r="G42">
        <v>1500</v>
      </c>
      <c r="H42">
        <v>1759.0519999999999</v>
      </c>
      <c r="I42">
        <v>107.70398</v>
      </c>
      <c r="J42">
        <v>5</v>
      </c>
      <c r="K42">
        <v>1000000</v>
      </c>
      <c r="Q42">
        <f t="shared" si="1"/>
        <v>0.56848802650518582</v>
      </c>
    </row>
    <row r="43" spans="3:17" x14ac:dyDescent="0.2">
      <c r="C43">
        <v>9</v>
      </c>
      <c r="D43">
        <v>0</v>
      </c>
      <c r="E43">
        <v>1</v>
      </c>
      <c r="F43">
        <v>0</v>
      </c>
      <c r="G43">
        <v>1200</v>
      </c>
      <c r="H43">
        <v>1150.8440000000001</v>
      </c>
      <c r="I43">
        <v>67.769394000000005</v>
      </c>
      <c r="J43">
        <v>5</v>
      </c>
      <c r="K43">
        <v>1000000</v>
      </c>
      <c r="Q43">
        <f t="shared" si="1"/>
        <v>0.86892750016509623</v>
      </c>
    </row>
    <row r="44" spans="3:17" x14ac:dyDescent="0.2">
      <c r="C44">
        <v>9</v>
      </c>
      <c r="D44">
        <v>0</v>
      </c>
      <c r="E44">
        <v>1</v>
      </c>
      <c r="F44">
        <v>0</v>
      </c>
      <c r="G44">
        <v>1300</v>
      </c>
      <c r="H44">
        <v>1389.7239999999999</v>
      </c>
      <c r="I44">
        <v>84.655798000000004</v>
      </c>
      <c r="J44">
        <v>5</v>
      </c>
      <c r="K44">
        <v>1000000</v>
      </c>
      <c r="Q44">
        <f t="shared" si="1"/>
        <v>0.71956733855067623</v>
      </c>
    </row>
    <row r="45" spans="3:17" x14ac:dyDescent="0.2">
      <c r="C45">
        <v>9</v>
      </c>
      <c r="D45">
        <v>0</v>
      </c>
      <c r="E45">
        <v>1</v>
      </c>
      <c r="F45">
        <v>0</v>
      </c>
      <c r="G45">
        <v>1400</v>
      </c>
      <c r="H45">
        <v>1580.0260000000001</v>
      </c>
      <c r="I45">
        <v>105.92071</v>
      </c>
      <c r="J45">
        <v>5</v>
      </c>
      <c r="K45">
        <v>1000000</v>
      </c>
      <c r="Q45">
        <f t="shared" si="1"/>
        <v>0.63290097757884989</v>
      </c>
    </row>
    <row r="46" spans="3:17" x14ac:dyDescent="0.2">
      <c r="C46">
        <v>9</v>
      </c>
      <c r="D46">
        <v>0</v>
      </c>
      <c r="E46">
        <v>1</v>
      </c>
      <c r="F46">
        <v>0</v>
      </c>
      <c r="G46">
        <v>1500</v>
      </c>
      <c r="H46">
        <v>1867.816</v>
      </c>
      <c r="I46">
        <v>85.002645000000001</v>
      </c>
      <c r="J46">
        <v>5</v>
      </c>
      <c r="K46">
        <v>1000000</v>
      </c>
      <c r="Q46">
        <f t="shared" si="1"/>
        <v>0.53538464174201317</v>
      </c>
    </row>
    <row r="47" spans="3:17" x14ac:dyDescent="0.2">
      <c r="C47">
        <v>10</v>
      </c>
      <c r="D47">
        <v>0.111111</v>
      </c>
      <c r="E47">
        <v>0</v>
      </c>
      <c r="F47">
        <v>0.88888900000000004</v>
      </c>
      <c r="G47">
        <v>1200</v>
      </c>
      <c r="H47">
        <v>1158.27</v>
      </c>
      <c r="I47">
        <v>54.109932999999998</v>
      </c>
      <c r="J47">
        <v>5</v>
      </c>
      <c r="K47">
        <v>1000000</v>
      </c>
      <c r="Q47">
        <f t="shared" si="1"/>
        <v>0.8633565576247334</v>
      </c>
    </row>
    <row r="48" spans="3:17" x14ac:dyDescent="0.2">
      <c r="C48">
        <v>10</v>
      </c>
      <c r="D48">
        <v>0.111111</v>
      </c>
      <c r="E48">
        <v>0</v>
      </c>
      <c r="F48">
        <v>0.88888900000000004</v>
      </c>
      <c r="G48">
        <v>1300</v>
      </c>
      <c r="H48">
        <v>1265.51</v>
      </c>
      <c r="I48">
        <v>140.57595000000001</v>
      </c>
      <c r="J48">
        <v>5</v>
      </c>
      <c r="K48">
        <v>1000000</v>
      </c>
      <c r="Q48">
        <f t="shared" si="1"/>
        <v>0.79019525724806594</v>
      </c>
    </row>
    <row r="49" spans="3:17" x14ac:dyDescent="0.2">
      <c r="C49">
        <v>10</v>
      </c>
      <c r="D49">
        <v>0.111111</v>
      </c>
      <c r="E49">
        <v>0</v>
      </c>
      <c r="F49">
        <v>0.88888900000000004</v>
      </c>
      <c r="G49">
        <v>1400</v>
      </c>
      <c r="H49">
        <v>1483.704</v>
      </c>
      <c r="I49">
        <v>218.12365</v>
      </c>
      <c r="J49">
        <v>5</v>
      </c>
      <c r="K49">
        <v>1000000</v>
      </c>
      <c r="Q49">
        <f t="shared" si="1"/>
        <v>0.67398888187940453</v>
      </c>
    </row>
    <row r="50" spans="3:17" x14ac:dyDescent="0.2">
      <c r="C50">
        <v>10</v>
      </c>
      <c r="D50">
        <v>0.111111</v>
      </c>
      <c r="E50">
        <v>0</v>
      </c>
      <c r="F50">
        <v>0.88888900000000004</v>
      </c>
      <c r="G50">
        <v>1500</v>
      </c>
      <c r="H50">
        <v>1660.1980000000001</v>
      </c>
      <c r="I50">
        <v>112.39646999999999</v>
      </c>
      <c r="J50">
        <v>5</v>
      </c>
      <c r="K50">
        <v>1000000</v>
      </c>
      <c r="Q50">
        <f t="shared" si="1"/>
        <v>0.60233779344391447</v>
      </c>
    </row>
    <row r="51" spans="3:17" x14ac:dyDescent="0.2">
      <c r="C51">
        <v>11</v>
      </c>
      <c r="D51">
        <v>0.111111</v>
      </c>
      <c r="E51">
        <v>0.111111</v>
      </c>
      <c r="F51">
        <v>0.77777799999999997</v>
      </c>
      <c r="G51">
        <v>1200</v>
      </c>
      <c r="H51">
        <v>1105.4259999999999</v>
      </c>
      <c r="I51">
        <v>23.178607</v>
      </c>
      <c r="J51">
        <v>5</v>
      </c>
      <c r="K51">
        <v>1000000</v>
      </c>
      <c r="Q51">
        <f t="shared" si="1"/>
        <v>0.90462862281147727</v>
      </c>
    </row>
    <row r="52" spans="3:17" x14ac:dyDescent="0.2">
      <c r="C52">
        <v>11</v>
      </c>
      <c r="D52">
        <v>0.111111</v>
      </c>
      <c r="E52">
        <v>0.111111</v>
      </c>
      <c r="F52">
        <v>0.77777799999999997</v>
      </c>
      <c r="G52">
        <v>1300</v>
      </c>
      <c r="H52">
        <v>1305.604</v>
      </c>
      <c r="I52">
        <v>116.96138000000001</v>
      </c>
      <c r="J52">
        <v>5</v>
      </c>
      <c r="K52">
        <v>1000000</v>
      </c>
      <c r="Q52">
        <f t="shared" si="1"/>
        <v>0.76592902595273915</v>
      </c>
    </row>
    <row r="53" spans="3:17" x14ac:dyDescent="0.2">
      <c r="C53">
        <v>11</v>
      </c>
      <c r="D53">
        <v>0.111111</v>
      </c>
      <c r="E53">
        <v>0.111111</v>
      </c>
      <c r="F53">
        <v>0.77777799999999997</v>
      </c>
      <c r="G53">
        <v>1400</v>
      </c>
      <c r="H53">
        <v>1518.818</v>
      </c>
      <c r="I53">
        <v>118.87058</v>
      </c>
      <c r="J53">
        <v>5</v>
      </c>
      <c r="K53">
        <v>1000000</v>
      </c>
      <c r="Q53">
        <f t="shared" si="1"/>
        <v>0.65840673471080802</v>
      </c>
    </row>
    <row r="54" spans="3:17" x14ac:dyDescent="0.2">
      <c r="C54">
        <v>11</v>
      </c>
      <c r="D54">
        <v>0.111111</v>
      </c>
      <c r="E54">
        <v>0.111111</v>
      </c>
      <c r="F54">
        <v>0.77777799999999997</v>
      </c>
      <c r="G54">
        <v>1500</v>
      </c>
      <c r="H54">
        <v>1548.21</v>
      </c>
      <c r="I54">
        <v>183.21275</v>
      </c>
      <c r="J54">
        <v>5</v>
      </c>
      <c r="K54">
        <v>1000000</v>
      </c>
      <c r="Q54">
        <f t="shared" si="1"/>
        <v>0.64590720897035925</v>
      </c>
    </row>
    <row r="55" spans="3:17" x14ac:dyDescent="0.2">
      <c r="C55">
        <v>12</v>
      </c>
      <c r="D55">
        <v>0.111111</v>
      </c>
      <c r="E55">
        <v>0.222222</v>
      </c>
      <c r="F55">
        <v>0.66666700000000001</v>
      </c>
      <c r="G55">
        <v>1200</v>
      </c>
      <c r="H55">
        <v>1196.99</v>
      </c>
      <c r="I55">
        <v>149.00342000000001</v>
      </c>
      <c r="J55">
        <v>5</v>
      </c>
      <c r="K55">
        <v>1000000</v>
      </c>
      <c r="Q55">
        <f t="shared" si="1"/>
        <v>0.83542886740908451</v>
      </c>
    </row>
    <row r="56" spans="3:17" x14ac:dyDescent="0.2">
      <c r="C56">
        <v>12</v>
      </c>
      <c r="D56">
        <v>0.111111</v>
      </c>
      <c r="E56">
        <v>0.222222</v>
      </c>
      <c r="F56">
        <v>0.66666700000000001</v>
      </c>
      <c r="G56">
        <v>1300</v>
      </c>
      <c r="H56">
        <v>1295.9059999999999</v>
      </c>
      <c r="I56">
        <v>96.895814999999999</v>
      </c>
      <c r="J56">
        <v>5</v>
      </c>
      <c r="K56">
        <v>1000000</v>
      </c>
      <c r="Q56">
        <f t="shared" si="1"/>
        <v>0.77166090750409366</v>
      </c>
    </row>
    <row r="57" spans="3:17" x14ac:dyDescent="0.2">
      <c r="C57">
        <v>12</v>
      </c>
      <c r="D57">
        <v>0.111111</v>
      </c>
      <c r="E57">
        <v>0.222222</v>
      </c>
      <c r="F57">
        <v>0.66666700000000001</v>
      </c>
      <c r="G57">
        <v>1400</v>
      </c>
      <c r="H57">
        <v>1489.636</v>
      </c>
      <c r="I57">
        <v>185.18478999999999</v>
      </c>
      <c r="J57">
        <v>5</v>
      </c>
      <c r="K57">
        <v>1000000</v>
      </c>
      <c r="Q57">
        <f t="shared" si="1"/>
        <v>0.67130493623945708</v>
      </c>
    </row>
    <row r="58" spans="3:17" x14ac:dyDescent="0.2">
      <c r="C58">
        <v>12</v>
      </c>
      <c r="D58">
        <v>0.111111</v>
      </c>
      <c r="E58">
        <v>0.222222</v>
      </c>
      <c r="F58">
        <v>0.66666700000000001</v>
      </c>
      <c r="G58">
        <v>1500</v>
      </c>
      <c r="H58">
        <v>1690.694</v>
      </c>
      <c r="I58">
        <v>179.7071</v>
      </c>
      <c r="J58">
        <v>5</v>
      </c>
      <c r="K58">
        <v>1000000</v>
      </c>
      <c r="Q58">
        <f t="shared" si="1"/>
        <v>0.59147308738305104</v>
      </c>
    </row>
    <row r="59" spans="3:17" x14ac:dyDescent="0.2">
      <c r="C59">
        <v>13</v>
      </c>
      <c r="D59">
        <v>0.111111</v>
      </c>
      <c r="E59">
        <v>0.33333299999999999</v>
      </c>
      <c r="F59">
        <v>0.55555600000000005</v>
      </c>
      <c r="G59">
        <v>1200</v>
      </c>
      <c r="H59">
        <v>1133.423</v>
      </c>
      <c r="I59">
        <v>144.85153</v>
      </c>
      <c r="J59">
        <v>5</v>
      </c>
      <c r="K59">
        <v>1000000</v>
      </c>
      <c r="Q59">
        <f t="shared" si="1"/>
        <v>0.88228313701063055</v>
      </c>
    </row>
    <row r="60" spans="3:17" x14ac:dyDescent="0.2">
      <c r="C60">
        <v>13</v>
      </c>
      <c r="D60">
        <v>0.111111</v>
      </c>
      <c r="E60">
        <v>0.33333299999999999</v>
      </c>
      <c r="F60">
        <v>0.55555600000000005</v>
      </c>
      <c r="G60">
        <v>1300</v>
      </c>
      <c r="H60">
        <v>1380.2719999999999</v>
      </c>
      <c r="I60">
        <v>138.53223</v>
      </c>
      <c r="J60">
        <v>5</v>
      </c>
      <c r="K60">
        <v>1000000</v>
      </c>
      <c r="Q60">
        <f t="shared" si="1"/>
        <v>0.7244948821681525</v>
      </c>
    </row>
    <row r="61" spans="3:17" x14ac:dyDescent="0.2">
      <c r="C61">
        <v>13</v>
      </c>
      <c r="D61">
        <v>0.111111</v>
      </c>
      <c r="E61">
        <v>0.33333299999999999</v>
      </c>
      <c r="F61">
        <v>0.55555600000000005</v>
      </c>
      <c r="G61">
        <v>1400</v>
      </c>
      <c r="H61">
        <v>1513.578</v>
      </c>
      <c r="I61">
        <v>82.538077999999999</v>
      </c>
      <c r="J61">
        <v>5</v>
      </c>
      <c r="K61">
        <v>1000000</v>
      </c>
      <c r="Q61">
        <f t="shared" si="1"/>
        <v>0.66068613576571544</v>
      </c>
    </row>
    <row r="62" spans="3:17" x14ac:dyDescent="0.2">
      <c r="C62">
        <v>13</v>
      </c>
      <c r="D62">
        <v>0.111111</v>
      </c>
      <c r="E62">
        <v>0.33333299999999999</v>
      </c>
      <c r="F62">
        <v>0.55555600000000005</v>
      </c>
      <c r="G62">
        <v>1500</v>
      </c>
      <c r="H62">
        <v>1866.5920000000001</v>
      </c>
      <c r="I62">
        <v>252.43432000000001</v>
      </c>
      <c r="J62">
        <v>5</v>
      </c>
      <c r="K62">
        <v>1000000</v>
      </c>
      <c r="Q62">
        <f t="shared" si="1"/>
        <v>0.53573571514289142</v>
      </c>
    </row>
    <row r="63" spans="3:17" x14ac:dyDescent="0.2">
      <c r="C63">
        <v>14</v>
      </c>
      <c r="D63">
        <v>0.111111</v>
      </c>
      <c r="E63">
        <v>0.44444400000000001</v>
      </c>
      <c r="F63">
        <v>0.44444400000000001</v>
      </c>
      <c r="G63">
        <v>1200</v>
      </c>
      <c r="H63">
        <v>1216.8620000000001</v>
      </c>
      <c r="I63">
        <v>126.562</v>
      </c>
      <c r="J63">
        <v>5</v>
      </c>
      <c r="K63">
        <v>1000000</v>
      </c>
      <c r="Q63">
        <f t="shared" si="1"/>
        <v>0.82178587218599963</v>
      </c>
    </row>
    <row r="64" spans="3:17" x14ac:dyDescent="0.2">
      <c r="C64">
        <v>14</v>
      </c>
      <c r="D64">
        <v>0.111111</v>
      </c>
      <c r="E64">
        <v>0.44444400000000001</v>
      </c>
      <c r="F64">
        <v>0.44444400000000001</v>
      </c>
      <c r="G64">
        <v>1300</v>
      </c>
      <c r="H64">
        <v>1379.1880000000001</v>
      </c>
      <c r="I64">
        <v>114.77012000000001</v>
      </c>
      <c r="J64">
        <v>5</v>
      </c>
      <c r="K64">
        <v>1000000</v>
      </c>
      <c r="Q64">
        <f t="shared" si="1"/>
        <v>0.7250643132045812</v>
      </c>
    </row>
    <row r="65" spans="3:17" x14ac:dyDescent="0.2">
      <c r="C65">
        <v>14</v>
      </c>
      <c r="D65">
        <v>0.111111</v>
      </c>
      <c r="E65">
        <v>0.44444400000000001</v>
      </c>
      <c r="F65">
        <v>0.44444400000000001</v>
      </c>
      <c r="G65">
        <v>1400</v>
      </c>
      <c r="H65">
        <v>1579.2919999999999</v>
      </c>
      <c r="I65">
        <v>101.59138</v>
      </c>
      <c r="J65">
        <v>5</v>
      </c>
      <c r="K65">
        <v>1000000</v>
      </c>
      <c r="Q65">
        <f t="shared" si="1"/>
        <v>0.6331951279434076</v>
      </c>
    </row>
    <row r="66" spans="3:17" x14ac:dyDescent="0.2">
      <c r="C66">
        <v>14</v>
      </c>
      <c r="D66">
        <v>0.111111</v>
      </c>
      <c r="E66">
        <v>0.44444400000000001</v>
      </c>
      <c r="F66">
        <v>0.44444400000000001</v>
      </c>
      <c r="G66">
        <v>1500</v>
      </c>
      <c r="H66">
        <v>1741.704</v>
      </c>
      <c r="I66">
        <v>174.11141000000001</v>
      </c>
      <c r="J66">
        <v>5</v>
      </c>
      <c r="K66">
        <v>1000000</v>
      </c>
      <c r="Q66">
        <f t="shared" si="1"/>
        <v>0.57415037227910137</v>
      </c>
    </row>
    <row r="67" spans="3:17" x14ac:dyDescent="0.2">
      <c r="C67">
        <v>15</v>
      </c>
      <c r="D67">
        <v>0.111111</v>
      </c>
      <c r="E67">
        <v>0.55555600000000005</v>
      </c>
      <c r="F67">
        <v>0.33333299999999999</v>
      </c>
      <c r="G67">
        <v>1200</v>
      </c>
      <c r="H67">
        <v>1181.9880000000001</v>
      </c>
      <c r="I67">
        <v>88.661507</v>
      </c>
      <c r="J67">
        <v>5</v>
      </c>
      <c r="K67">
        <v>1000000</v>
      </c>
      <c r="Q67">
        <f t="shared" si="1"/>
        <v>0.84603227782346346</v>
      </c>
    </row>
    <row r="68" spans="3:17" x14ac:dyDescent="0.2">
      <c r="C68">
        <v>15</v>
      </c>
      <c r="D68">
        <v>0.111111</v>
      </c>
      <c r="E68">
        <v>0.55555600000000005</v>
      </c>
      <c r="F68">
        <v>0.33333299999999999</v>
      </c>
      <c r="G68">
        <v>1300</v>
      </c>
      <c r="H68">
        <v>1326.4359999999999</v>
      </c>
      <c r="I68">
        <v>177.85459</v>
      </c>
      <c r="J68">
        <v>5</v>
      </c>
      <c r="K68">
        <v>1000000</v>
      </c>
      <c r="Q68">
        <f t="shared" si="1"/>
        <v>0.75389992430844766</v>
      </c>
    </row>
    <row r="69" spans="3:17" x14ac:dyDescent="0.2">
      <c r="C69">
        <v>15</v>
      </c>
      <c r="D69">
        <v>0.111111</v>
      </c>
      <c r="E69">
        <v>0.55555600000000005</v>
      </c>
      <c r="F69">
        <v>0.33333299999999999</v>
      </c>
      <c r="G69">
        <v>1400</v>
      </c>
      <c r="H69">
        <v>1513.508</v>
      </c>
      <c r="I69">
        <v>61.972945000000003</v>
      </c>
      <c r="J69">
        <v>5</v>
      </c>
      <c r="K69">
        <v>1000000</v>
      </c>
      <c r="Q69">
        <f t="shared" si="1"/>
        <v>0.66071669261080879</v>
      </c>
    </row>
    <row r="70" spans="3:17" x14ac:dyDescent="0.2">
      <c r="C70">
        <v>15</v>
      </c>
      <c r="D70">
        <v>0.111111</v>
      </c>
      <c r="E70">
        <v>0.55555600000000005</v>
      </c>
      <c r="F70">
        <v>0.33333299999999999</v>
      </c>
      <c r="G70">
        <v>1500</v>
      </c>
      <c r="H70">
        <v>1764.5840000000001</v>
      </c>
      <c r="I70">
        <v>187.29071999999999</v>
      </c>
      <c r="J70">
        <v>5</v>
      </c>
      <c r="K70">
        <v>1000000</v>
      </c>
      <c r="Q70">
        <f t="shared" si="1"/>
        <v>0.56670580714774699</v>
      </c>
    </row>
    <row r="71" spans="3:17" x14ac:dyDescent="0.2">
      <c r="C71">
        <v>16</v>
      </c>
      <c r="D71">
        <v>0.111111</v>
      </c>
      <c r="E71">
        <v>0.66666700000000001</v>
      </c>
      <c r="F71">
        <v>0.222222</v>
      </c>
      <c r="G71">
        <v>1200</v>
      </c>
      <c r="H71">
        <v>1142.942</v>
      </c>
      <c r="I71">
        <v>82.502594000000002</v>
      </c>
      <c r="J71">
        <v>5</v>
      </c>
      <c r="K71">
        <v>1000000</v>
      </c>
      <c r="Q71">
        <f t="shared" si="1"/>
        <v>0.87493503607357148</v>
      </c>
    </row>
    <row r="72" spans="3:17" x14ac:dyDescent="0.2">
      <c r="C72">
        <v>16</v>
      </c>
      <c r="D72">
        <v>0.111111</v>
      </c>
      <c r="E72">
        <v>0.66666700000000001</v>
      </c>
      <c r="F72">
        <v>0.222222</v>
      </c>
      <c r="G72">
        <v>1300</v>
      </c>
      <c r="H72">
        <v>1418.318</v>
      </c>
      <c r="I72">
        <v>103.43210999999999</v>
      </c>
      <c r="J72">
        <v>5</v>
      </c>
      <c r="K72">
        <v>1000000</v>
      </c>
      <c r="Q72">
        <f t="shared" ref="Q72:Q135" si="5">1/H72*1000</f>
        <v>0.70506050124161157</v>
      </c>
    </row>
    <row r="73" spans="3:17" x14ac:dyDescent="0.2">
      <c r="C73">
        <v>16</v>
      </c>
      <c r="D73">
        <v>0.111111</v>
      </c>
      <c r="E73">
        <v>0.66666700000000001</v>
      </c>
      <c r="F73">
        <v>0.222222</v>
      </c>
      <c r="G73">
        <v>1400</v>
      </c>
      <c r="H73">
        <v>1631.672</v>
      </c>
      <c r="I73">
        <v>113.55252</v>
      </c>
      <c r="J73">
        <v>5</v>
      </c>
      <c r="K73">
        <v>1000000</v>
      </c>
      <c r="Q73">
        <f t="shared" si="5"/>
        <v>0.61286827254497234</v>
      </c>
    </row>
    <row r="74" spans="3:17" x14ac:dyDescent="0.2">
      <c r="C74">
        <v>16</v>
      </c>
      <c r="D74">
        <v>0.111111</v>
      </c>
      <c r="E74">
        <v>0.66666700000000001</v>
      </c>
      <c r="F74">
        <v>0.222222</v>
      </c>
      <c r="G74">
        <v>1500</v>
      </c>
      <c r="H74">
        <v>1676.204</v>
      </c>
      <c r="I74">
        <v>127.97153</v>
      </c>
      <c r="J74">
        <v>5</v>
      </c>
      <c r="K74">
        <v>1000000</v>
      </c>
      <c r="Q74">
        <f t="shared" si="5"/>
        <v>0.59658609572581867</v>
      </c>
    </row>
    <row r="75" spans="3:17" x14ac:dyDescent="0.2">
      <c r="C75">
        <v>17</v>
      </c>
      <c r="D75">
        <v>0.111111</v>
      </c>
      <c r="E75">
        <v>0.77777799999999997</v>
      </c>
      <c r="F75">
        <v>0.111111</v>
      </c>
      <c r="G75">
        <v>1200</v>
      </c>
      <c r="H75">
        <v>1201.3720000000001</v>
      </c>
      <c r="I75">
        <v>72.591819000000001</v>
      </c>
      <c r="J75">
        <v>5</v>
      </c>
      <c r="K75">
        <v>1000000</v>
      </c>
      <c r="Q75">
        <f t="shared" si="5"/>
        <v>0.83238164365408873</v>
      </c>
    </row>
    <row r="76" spans="3:17" x14ac:dyDescent="0.2">
      <c r="C76">
        <v>17</v>
      </c>
      <c r="D76">
        <v>0.111111</v>
      </c>
      <c r="E76">
        <v>0.77777799999999997</v>
      </c>
      <c r="F76">
        <v>0.111111</v>
      </c>
      <c r="G76">
        <v>1300</v>
      </c>
      <c r="H76">
        <v>1388.7560000000001</v>
      </c>
      <c r="I76">
        <v>77.608849000000006</v>
      </c>
      <c r="J76">
        <v>5</v>
      </c>
      <c r="K76">
        <v>1000000</v>
      </c>
      <c r="Q76">
        <f t="shared" si="5"/>
        <v>0.72006889619198766</v>
      </c>
    </row>
    <row r="77" spans="3:17" x14ac:dyDescent="0.2">
      <c r="C77">
        <v>17</v>
      </c>
      <c r="D77">
        <v>0.111111</v>
      </c>
      <c r="E77">
        <v>0.77777799999999997</v>
      </c>
      <c r="F77">
        <v>0.111111</v>
      </c>
      <c r="G77">
        <v>1400</v>
      </c>
      <c r="H77">
        <v>1598.492</v>
      </c>
      <c r="I77">
        <v>51.055045</v>
      </c>
      <c r="J77">
        <v>5</v>
      </c>
      <c r="K77">
        <v>1000000</v>
      </c>
      <c r="Q77">
        <f t="shared" si="5"/>
        <v>0.62558961821516779</v>
      </c>
    </row>
    <row r="78" spans="3:17" x14ac:dyDescent="0.2">
      <c r="C78">
        <v>17</v>
      </c>
      <c r="D78">
        <v>0.111111</v>
      </c>
      <c r="E78">
        <v>0.77777799999999997</v>
      </c>
      <c r="F78">
        <v>0.111111</v>
      </c>
      <c r="G78">
        <v>1500</v>
      </c>
      <c r="H78">
        <v>1817.7360000000001</v>
      </c>
      <c r="I78">
        <v>127.93606</v>
      </c>
      <c r="J78">
        <v>5</v>
      </c>
      <c r="K78">
        <v>1000000</v>
      </c>
      <c r="Q78">
        <f t="shared" si="5"/>
        <v>0.55013489307578212</v>
      </c>
    </row>
    <row r="79" spans="3:17" x14ac:dyDescent="0.2">
      <c r="C79">
        <v>18</v>
      </c>
      <c r="D79">
        <v>0.111111</v>
      </c>
      <c r="E79">
        <v>0.88888900000000004</v>
      </c>
      <c r="F79">
        <v>0</v>
      </c>
      <c r="G79">
        <v>1200</v>
      </c>
      <c r="H79">
        <v>1175.1500000000001</v>
      </c>
      <c r="I79">
        <v>106.95701</v>
      </c>
      <c r="J79">
        <v>5</v>
      </c>
      <c r="K79">
        <v>1000000</v>
      </c>
      <c r="Q79">
        <f t="shared" si="5"/>
        <v>0.85095519720886692</v>
      </c>
    </row>
    <row r="80" spans="3:17" x14ac:dyDescent="0.2">
      <c r="C80">
        <v>18</v>
      </c>
      <c r="D80">
        <v>0.111111</v>
      </c>
      <c r="E80">
        <v>0.88888900000000004</v>
      </c>
      <c r="F80">
        <v>0</v>
      </c>
      <c r="G80">
        <v>1300</v>
      </c>
      <c r="H80">
        <v>1470.53</v>
      </c>
      <c r="I80">
        <v>112.93208</v>
      </c>
      <c r="J80">
        <v>5</v>
      </c>
      <c r="K80">
        <v>1000000</v>
      </c>
      <c r="Q80">
        <f t="shared" si="5"/>
        <v>0.68002692906639106</v>
      </c>
    </row>
    <row r="81" spans="3:17" x14ac:dyDescent="0.2">
      <c r="C81">
        <v>18</v>
      </c>
      <c r="D81">
        <v>0.111111</v>
      </c>
      <c r="E81">
        <v>0.88888900000000004</v>
      </c>
      <c r="F81">
        <v>0</v>
      </c>
      <c r="G81">
        <v>1400</v>
      </c>
      <c r="H81">
        <v>1621.3</v>
      </c>
      <c r="I81">
        <v>47.499419000000003</v>
      </c>
      <c r="J81">
        <v>5</v>
      </c>
      <c r="K81">
        <v>1000000</v>
      </c>
      <c r="Q81">
        <f t="shared" si="5"/>
        <v>0.61678899648430263</v>
      </c>
    </row>
    <row r="82" spans="3:17" x14ac:dyDescent="0.2">
      <c r="C82">
        <v>18</v>
      </c>
      <c r="D82">
        <v>0.111111</v>
      </c>
      <c r="E82">
        <v>0.88888900000000004</v>
      </c>
      <c r="F82">
        <v>0</v>
      </c>
      <c r="G82">
        <v>1500</v>
      </c>
      <c r="H82">
        <v>1755.6320000000001</v>
      </c>
      <c r="I82">
        <v>204.75908000000001</v>
      </c>
      <c r="J82">
        <v>5</v>
      </c>
      <c r="K82">
        <v>1000000</v>
      </c>
      <c r="Q82">
        <f t="shared" si="5"/>
        <v>0.5695954505272175</v>
      </c>
    </row>
    <row r="83" spans="3:17" x14ac:dyDescent="0.2">
      <c r="C83">
        <v>19</v>
      </c>
      <c r="D83">
        <v>0.222222</v>
      </c>
      <c r="E83">
        <v>0</v>
      </c>
      <c r="F83">
        <v>0.77777799999999997</v>
      </c>
      <c r="G83">
        <v>1200</v>
      </c>
      <c r="H83">
        <v>1132.2380000000001</v>
      </c>
      <c r="I83">
        <v>90.807697000000005</v>
      </c>
      <c r="J83">
        <v>5</v>
      </c>
      <c r="K83">
        <v>1000000</v>
      </c>
      <c r="Q83">
        <f t="shared" si="5"/>
        <v>0.88320653431522345</v>
      </c>
    </row>
    <row r="84" spans="3:17" x14ac:dyDescent="0.2">
      <c r="C84">
        <v>19</v>
      </c>
      <c r="D84">
        <v>0.222222</v>
      </c>
      <c r="E84">
        <v>0</v>
      </c>
      <c r="F84">
        <v>0.77777799999999997</v>
      </c>
      <c r="G84">
        <v>1300</v>
      </c>
      <c r="H84">
        <v>1375.23</v>
      </c>
      <c r="I84">
        <v>86.653812000000002</v>
      </c>
      <c r="J84">
        <v>5</v>
      </c>
      <c r="K84">
        <v>1000000</v>
      </c>
      <c r="Q84">
        <f t="shared" si="5"/>
        <v>0.72715109472597317</v>
      </c>
    </row>
    <row r="85" spans="3:17" x14ac:dyDescent="0.2">
      <c r="C85">
        <v>19</v>
      </c>
      <c r="D85">
        <v>0.222222</v>
      </c>
      <c r="E85">
        <v>0</v>
      </c>
      <c r="F85">
        <v>0.77777799999999997</v>
      </c>
      <c r="G85">
        <v>1400</v>
      </c>
      <c r="H85">
        <v>1545.9280000000001</v>
      </c>
      <c r="I85">
        <v>176.59234000000001</v>
      </c>
      <c r="J85">
        <v>5</v>
      </c>
      <c r="K85">
        <v>1000000</v>
      </c>
      <c r="Q85">
        <f t="shared" si="5"/>
        <v>0.64686065586495622</v>
      </c>
    </row>
    <row r="86" spans="3:17" x14ac:dyDescent="0.2">
      <c r="C86">
        <v>19</v>
      </c>
      <c r="D86">
        <v>0.222222</v>
      </c>
      <c r="E86">
        <v>0</v>
      </c>
      <c r="F86">
        <v>0.77777799999999997</v>
      </c>
      <c r="G86">
        <v>1500</v>
      </c>
      <c r="H86">
        <v>1722.24</v>
      </c>
      <c r="I86">
        <v>234.98581999999999</v>
      </c>
      <c r="J86">
        <v>5</v>
      </c>
      <c r="K86">
        <v>1000000</v>
      </c>
      <c r="Q86">
        <f t="shared" si="5"/>
        <v>0.58063916759568934</v>
      </c>
    </row>
    <row r="87" spans="3:17" x14ac:dyDescent="0.2">
      <c r="C87">
        <v>20</v>
      </c>
      <c r="D87">
        <v>0.222222</v>
      </c>
      <c r="E87">
        <v>0.111111</v>
      </c>
      <c r="F87">
        <v>0.66666700000000001</v>
      </c>
      <c r="G87">
        <v>1200</v>
      </c>
      <c r="H87">
        <v>1078.3026</v>
      </c>
      <c r="I87">
        <v>137.09105</v>
      </c>
      <c r="J87">
        <v>5</v>
      </c>
      <c r="K87">
        <v>1000000</v>
      </c>
      <c r="Q87">
        <f t="shared" si="5"/>
        <v>0.92738346360288848</v>
      </c>
    </row>
    <row r="88" spans="3:17" x14ac:dyDescent="0.2">
      <c r="C88">
        <v>20</v>
      </c>
      <c r="D88">
        <v>0.222222</v>
      </c>
      <c r="E88">
        <v>0.111111</v>
      </c>
      <c r="F88">
        <v>0.66666700000000001</v>
      </c>
      <c r="G88">
        <v>1300</v>
      </c>
      <c r="H88">
        <v>1364.09</v>
      </c>
      <c r="I88">
        <v>73.531028000000006</v>
      </c>
      <c r="J88">
        <v>5</v>
      </c>
      <c r="K88">
        <v>1000000</v>
      </c>
      <c r="Q88">
        <f t="shared" si="5"/>
        <v>0.73308945890667043</v>
      </c>
    </row>
    <row r="89" spans="3:17" x14ac:dyDescent="0.2">
      <c r="C89">
        <v>20</v>
      </c>
      <c r="D89">
        <v>0.222222</v>
      </c>
      <c r="E89">
        <v>0.111111</v>
      </c>
      <c r="F89">
        <v>0.66666700000000001</v>
      </c>
      <c r="G89">
        <v>1400</v>
      </c>
      <c r="H89">
        <v>1476.306</v>
      </c>
      <c r="I89">
        <v>158.56881999999999</v>
      </c>
      <c r="J89">
        <v>5</v>
      </c>
      <c r="K89">
        <v>1000000</v>
      </c>
      <c r="Q89">
        <f t="shared" si="5"/>
        <v>0.67736634545954566</v>
      </c>
    </row>
    <row r="90" spans="3:17" x14ac:dyDescent="0.2">
      <c r="C90">
        <v>20</v>
      </c>
      <c r="D90">
        <v>0.222222</v>
      </c>
      <c r="E90">
        <v>0.111111</v>
      </c>
      <c r="F90">
        <v>0.66666700000000001</v>
      </c>
      <c r="G90">
        <v>1500</v>
      </c>
      <c r="H90">
        <v>1813.2280000000001</v>
      </c>
      <c r="I90">
        <v>139.67586</v>
      </c>
      <c r="J90">
        <v>5</v>
      </c>
      <c r="K90">
        <v>1000000</v>
      </c>
      <c r="Q90">
        <f t="shared" si="5"/>
        <v>0.55150262404948525</v>
      </c>
    </row>
    <row r="91" spans="3:17" x14ac:dyDescent="0.2">
      <c r="C91">
        <v>21</v>
      </c>
      <c r="D91">
        <v>0.222222</v>
      </c>
      <c r="E91">
        <v>0.222222</v>
      </c>
      <c r="F91">
        <v>0.55555600000000005</v>
      </c>
      <c r="G91">
        <v>1200</v>
      </c>
      <c r="H91">
        <v>1134.0708</v>
      </c>
      <c r="I91">
        <v>155.31401</v>
      </c>
      <c r="J91">
        <v>5</v>
      </c>
      <c r="K91">
        <v>1000000</v>
      </c>
      <c r="Q91">
        <f t="shared" si="5"/>
        <v>0.88177916228863307</v>
      </c>
    </row>
    <row r="92" spans="3:17" x14ac:dyDescent="0.2">
      <c r="C92">
        <v>21</v>
      </c>
      <c r="D92">
        <v>0.222222</v>
      </c>
      <c r="E92">
        <v>0.222222</v>
      </c>
      <c r="F92">
        <v>0.55555600000000005</v>
      </c>
      <c r="G92">
        <v>1300</v>
      </c>
      <c r="H92">
        <v>1464.78</v>
      </c>
      <c r="I92">
        <v>107.87723</v>
      </c>
      <c r="J92">
        <v>5</v>
      </c>
      <c r="K92">
        <v>1000000</v>
      </c>
      <c r="Q92">
        <f t="shared" si="5"/>
        <v>0.68269637761302038</v>
      </c>
    </row>
    <row r="93" spans="3:17" x14ac:dyDescent="0.2">
      <c r="C93">
        <v>21</v>
      </c>
      <c r="D93">
        <v>0.222222</v>
      </c>
      <c r="E93">
        <v>0.222222</v>
      </c>
      <c r="F93">
        <v>0.55555600000000005</v>
      </c>
      <c r="G93">
        <v>1400</v>
      </c>
      <c r="H93">
        <v>1511.09</v>
      </c>
      <c r="I93">
        <v>79.612825999999998</v>
      </c>
      <c r="J93">
        <v>5</v>
      </c>
      <c r="K93">
        <v>1000000</v>
      </c>
      <c r="Q93">
        <f t="shared" si="5"/>
        <v>0.66177395125373073</v>
      </c>
    </row>
    <row r="94" spans="3:17" x14ac:dyDescent="0.2">
      <c r="C94">
        <v>21</v>
      </c>
      <c r="D94">
        <v>0.222222</v>
      </c>
      <c r="E94">
        <v>0.222222</v>
      </c>
      <c r="F94">
        <v>0.55555600000000005</v>
      </c>
      <c r="G94">
        <v>1500</v>
      </c>
      <c r="H94">
        <v>1695.8420000000001</v>
      </c>
      <c r="I94">
        <v>206.67486</v>
      </c>
      <c r="J94">
        <v>5</v>
      </c>
      <c r="K94">
        <v>1000000</v>
      </c>
      <c r="Q94">
        <f t="shared" si="5"/>
        <v>0.58967757609494276</v>
      </c>
    </row>
    <row r="95" spans="3:17" x14ac:dyDescent="0.2">
      <c r="C95">
        <v>22</v>
      </c>
      <c r="D95">
        <v>0.222222</v>
      </c>
      <c r="E95">
        <v>0.33333299999999999</v>
      </c>
      <c r="F95">
        <v>0.44444400000000001</v>
      </c>
      <c r="G95">
        <v>1200</v>
      </c>
      <c r="H95">
        <v>1198.538</v>
      </c>
      <c r="I95">
        <v>88.577680999999998</v>
      </c>
      <c r="J95">
        <v>5</v>
      </c>
      <c r="K95">
        <v>1000000</v>
      </c>
      <c r="Q95">
        <f t="shared" si="5"/>
        <v>0.8343498495667222</v>
      </c>
    </row>
    <row r="96" spans="3:17" x14ac:dyDescent="0.2">
      <c r="C96">
        <v>22</v>
      </c>
      <c r="D96">
        <v>0.222222</v>
      </c>
      <c r="E96">
        <v>0.33333299999999999</v>
      </c>
      <c r="F96">
        <v>0.44444400000000001</v>
      </c>
      <c r="G96">
        <v>1300</v>
      </c>
      <c r="H96">
        <v>1319.4179999999999</v>
      </c>
      <c r="I96">
        <v>94.933182000000002</v>
      </c>
      <c r="J96">
        <v>5</v>
      </c>
      <c r="K96">
        <v>1000000</v>
      </c>
      <c r="Q96">
        <f t="shared" si="5"/>
        <v>0.75790992695264137</v>
      </c>
    </row>
    <row r="97" spans="3:17" x14ac:dyDescent="0.2">
      <c r="C97">
        <v>22</v>
      </c>
      <c r="D97">
        <v>0.222222</v>
      </c>
      <c r="E97">
        <v>0.33333299999999999</v>
      </c>
      <c r="F97">
        <v>0.44444400000000001</v>
      </c>
      <c r="G97">
        <v>1400</v>
      </c>
      <c r="H97">
        <v>1589.0820000000001</v>
      </c>
      <c r="I97">
        <v>49.690247999999997</v>
      </c>
      <c r="J97">
        <v>5</v>
      </c>
      <c r="K97">
        <v>1000000</v>
      </c>
      <c r="Q97">
        <f t="shared" si="5"/>
        <v>0.62929414592827804</v>
      </c>
    </row>
    <row r="98" spans="3:17" x14ac:dyDescent="0.2">
      <c r="C98">
        <v>22</v>
      </c>
      <c r="D98">
        <v>0.222222</v>
      </c>
      <c r="E98">
        <v>0.33333299999999999</v>
      </c>
      <c r="F98">
        <v>0.44444400000000001</v>
      </c>
      <c r="G98">
        <v>1500</v>
      </c>
      <c r="H98">
        <v>1670.306</v>
      </c>
      <c r="I98">
        <v>93.354007999999993</v>
      </c>
      <c r="J98">
        <v>5</v>
      </c>
      <c r="K98">
        <v>1000000</v>
      </c>
      <c r="Q98">
        <f t="shared" si="5"/>
        <v>0.59869269463200148</v>
      </c>
    </row>
    <row r="99" spans="3:17" x14ac:dyDescent="0.2">
      <c r="C99">
        <v>23</v>
      </c>
      <c r="D99">
        <v>0.222222</v>
      </c>
      <c r="E99">
        <v>0.44444400000000001</v>
      </c>
      <c r="F99">
        <v>0.33333299999999999</v>
      </c>
      <c r="G99">
        <v>1200</v>
      </c>
      <c r="H99">
        <v>1175.922</v>
      </c>
      <c r="I99">
        <v>97.135337000000007</v>
      </c>
      <c r="J99">
        <v>5</v>
      </c>
      <c r="K99">
        <v>1000000</v>
      </c>
      <c r="Q99">
        <f t="shared" si="5"/>
        <v>0.85039653990655839</v>
      </c>
    </row>
    <row r="100" spans="3:17" x14ac:dyDescent="0.2">
      <c r="C100">
        <v>23</v>
      </c>
      <c r="D100">
        <v>0.222222</v>
      </c>
      <c r="E100">
        <v>0.44444400000000001</v>
      </c>
      <c r="F100">
        <v>0.33333299999999999</v>
      </c>
      <c r="G100">
        <v>1300</v>
      </c>
      <c r="H100">
        <v>1231.462</v>
      </c>
      <c r="I100">
        <v>43.251691999999998</v>
      </c>
      <c r="J100">
        <v>5</v>
      </c>
      <c r="K100">
        <v>1000000</v>
      </c>
      <c r="Q100">
        <f t="shared" si="5"/>
        <v>0.81204292134065037</v>
      </c>
    </row>
    <row r="101" spans="3:17" x14ac:dyDescent="0.2">
      <c r="C101">
        <v>23</v>
      </c>
      <c r="D101">
        <v>0.222222</v>
      </c>
      <c r="E101">
        <v>0.44444400000000001</v>
      </c>
      <c r="F101">
        <v>0.33333299999999999</v>
      </c>
      <c r="G101">
        <v>1400</v>
      </c>
      <c r="H101">
        <v>1627.8520000000001</v>
      </c>
      <c r="I101">
        <v>164.20403999999999</v>
      </c>
      <c r="J101">
        <v>5</v>
      </c>
      <c r="K101">
        <v>1000000</v>
      </c>
      <c r="Q101">
        <f t="shared" si="5"/>
        <v>0.61430646029245894</v>
      </c>
    </row>
    <row r="102" spans="3:17" x14ac:dyDescent="0.2">
      <c r="C102">
        <v>23</v>
      </c>
      <c r="D102">
        <v>0.222222</v>
      </c>
      <c r="E102">
        <v>0.44444400000000001</v>
      </c>
      <c r="F102">
        <v>0.33333299999999999</v>
      </c>
      <c r="G102">
        <v>1500</v>
      </c>
      <c r="H102">
        <v>1791.114</v>
      </c>
      <c r="I102">
        <v>40.924849000000002</v>
      </c>
      <c r="J102">
        <v>5</v>
      </c>
      <c r="K102">
        <v>1000000</v>
      </c>
      <c r="Q102">
        <f t="shared" si="5"/>
        <v>0.55831175458401872</v>
      </c>
    </row>
    <row r="103" spans="3:17" x14ac:dyDescent="0.2">
      <c r="C103">
        <v>24</v>
      </c>
      <c r="D103">
        <v>0.222222</v>
      </c>
      <c r="E103">
        <v>0.55555600000000005</v>
      </c>
      <c r="F103">
        <v>0.222222</v>
      </c>
      <c r="G103">
        <v>1200</v>
      </c>
      <c r="H103">
        <v>1132.2919999999999</v>
      </c>
      <c r="I103">
        <v>19.007652</v>
      </c>
      <c r="J103">
        <v>5</v>
      </c>
      <c r="K103">
        <v>1000000</v>
      </c>
      <c r="Q103">
        <f t="shared" si="5"/>
        <v>0.88316441341985996</v>
      </c>
    </row>
    <row r="104" spans="3:17" x14ac:dyDescent="0.2">
      <c r="C104">
        <v>24</v>
      </c>
      <c r="D104">
        <v>0.222222</v>
      </c>
      <c r="E104">
        <v>0.55555600000000005</v>
      </c>
      <c r="F104">
        <v>0.222222</v>
      </c>
      <c r="G104">
        <v>1300</v>
      </c>
      <c r="H104">
        <v>1374.144</v>
      </c>
      <c r="I104">
        <v>48.891075000000001</v>
      </c>
      <c r="J104">
        <v>5</v>
      </c>
      <c r="K104">
        <v>1000000</v>
      </c>
      <c r="Q104">
        <f t="shared" si="5"/>
        <v>0.72772576964277402</v>
      </c>
    </row>
    <row r="105" spans="3:17" x14ac:dyDescent="0.2">
      <c r="C105">
        <v>24</v>
      </c>
      <c r="D105">
        <v>0.222222</v>
      </c>
      <c r="E105">
        <v>0.55555600000000005</v>
      </c>
      <c r="F105">
        <v>0.222222</v>
      </c>
      <c r="G105">
        <v>1400</v>
      </c>
      <c r="H105">
        <v>1724.9760000000001</v>
      </c>
      <c r="I105">
        <v>128.00496999999999</v>
      </c>
      <c r="J105">
        <v>5</v>
      </c>
      <c r="K105">
        <v>1000000</v>
      </c>
      <c r="Q105">
        <f t="shared" si="5"/>
        <v>0.57971821057220496</v>
      </c>
    </row>
    <row r="106" spans="3:17" x14ac:dyDescent="0.2">
      <c r="C106">
        <v>24</v>
      </c>
      <c r="D106">
        <v>0.222222</v>
      </c>
      <c r="E106">
        <v>0.55555600000000005</v>
      </c>
      <c r="F106">
        <v>0.222222</v>
      </c>
      <c r="G106">
        <v>1500</v>
      </c>
      <c r="H106">
        <v>1905.2819999999999</v>
      </c>
      <c r="I106">
        <v>58.824567999999999</v>
      </c>
      <c r="J106">
        <v>5</v>
      </c>
      <c r="K106">
        <v>1000000</v>
      </c>
      <c r="Q106">
        <f t="shared" si="5"/>
        <v>0.52485668788137407</v>
      </c>
    </row>
    <row r="107" spans="3:17" x14ac:dyDescent="0.2">
      <c r="C107">
        <v>25</v>
      </c>
      <c r="D107">
        <v>0.222222</v>
      </c>
      <c r="E107">
        <v>0.66666700000000001</v>
      </c>
      <c r="F107">
        <v>0.111111</v>
      </c>
      <c r="G107">
        <v>1200</v>
      </c>
      <c r="H107">
        <v>1083.6061999999999</v>
      </c>
      <c r="I107">
        <v>102.79635</v>
      </c>
      <c r="J107">
        <v>5</v>
      </c>
      <c r="K107">
        <v>1000000</v>
      </c>
      <c r="Q107">
        <f t="shared" si="5"/>
        <v>0.9228444798488602</v>
      </c>
    </row>
    <row r="108" spans="3:17" x14ac:dyDescent="0.2">
      <c r="C108">
        <v>25</v>
      </c>
      <c r="D108">
        <v>0.222222</v>
      </c>
      <c r="E108">
        <v>0.66666700000000001</v>
      </c>
      <c r="F108">
        <v>0.111111</v>
      </c>
      <c r="G108">
        <v>1300</v>
      </c>
      <c r="H108">
        <v>1374.672</v>
      </c>
      <c r="I108">
        <v>201.11637999999999</v>
      </c>
      <c r="J108">
        <v>5</v>
      </c>
      <c r="K108">
        <v>1000000</v>
      </c>
      <c r="Q108">
        <f t="shared" si="5"/>
        <v>0.72744625627058679</v>
      </c>
    </row>
    <row r="109" spans="3:17" x14ac:dyDescent="0.2">
      <c r="C109">
        <v>25</v>
      </c>
      <c r="D109">
        <v>0.222222</v>
      </c>
      <c r="E109">
        <v>0.66666700000000001</v>
      </c>
      <c r="F109">
        <v>0.111111</v>
      </c>
      <c r="G109">
        <v>1400</v>
      </c>
      <c r="H109">
        <v>1668.586</v>
      </c>
      <c r="I109">
        <v>53.878678999999998</v>
      </c>
      <c r="J109">
        <v>5</v>
      </c>
      <c r="K109">
        <v>1000000</v>
      </c>
      <c r="Q109">
        <f t="shared" si="5"/>
        <v>0.59930983479425093</v>
      </c>
    </row>
    <row r="110" spans="3:17" x14ac:dyDescent="0.2">
      <c r="C110">
        <v>25</v>
      </c>
      <c r="D110">
        <v>0.222222</v>
      </c>
      <c r="E110">
        <v>0.66666700000000001</v>
      </c>
      <c r="F110">
        <v>0.111111</v>
      </c>
      <c r="G110">
        <v>1500</v>
      </c>
      <c r="H110">
        <v>1860.056</v>
      </c>
      <c r="I110">
        <v>124.86747</v>
      </c>
      <c r="J110">
        <v>5</v>
      </c>
      <c r="K110">
        <v>1000000</v>
      </c>
      <c r="Q110">
        <f t="shared" si="5"/>
        <v>0.53761822224707212</v>
      </c>
    </row>
    <row r="111" spans="3:17" x14ac:dyDescent="0.2">
      <c r="C111">
        <v>26</v>
      </c>
      <c r="D111">
        <v>0.222222</v>
      </c>
      <c r="E111">
        <v>0.77777799999999997</v>
      </c>
      <c r="F111">
        <v>0</v>
      </c>
      <c r="G111">
        <v>1200</v>
      </c>
      <c r="H111">
        <v>1166.9100000000001</v>
      </c>
      <c r="I111">
        <v>119.60372</v>
      </c>
      <c r="J111">
        <v>5</v>
      </c>
      <c r="K111">
        <v>1000000</v>
      </c>
      <c r="Q111">
        <f t="shared" si="5"/>
        <v>0.85696411891234114</v>
      </c>
    </row>
    <row r="112" spans="3:17" x14ac:dyDescent="0.2">
      <c r="C112">
        <v>26</v>
      </c>
      <c r="D112">
        <v>0.222222</v>
      </c>
      <c r="E112">
        <v>0.77777799999999997</v>
      </c>
      <c r="F112">
        <v>0</v>
      </c>
      <c r="G112">
        <v>1300</v>
      </c>
      <c r="H112">
        <v>1459</v>
      </c>
      <c r="I112">
        <v>111.34061</v>
      </c>
      <c r="J112">
        <v>5</v>
      </c>
      <c r="K112">
        <v>1000000</v>
      </c>
      <c r="Q112">
        <f t="shared" si="5"/>
        <v>0.68540095956134339</v>
      </c>
    </row>
    <row r="113" spans="3:17" x14ac:dyDescent="0.2">
      <c r="C113">
        <v>26</v>
      </c>
      <c r="D113">
        <v>0.222222</v>
      </c>
      <c r="E113">
        <v>0.77777799999999997</v>
      </c>
      <c r="F113">
        <v>0</v>
      </c>
      <c r="G113">
        <v>1400</v>
      </c>
      <c r="H113">
        <v>1604.932</v>
      </c>
      <c r="I113">
        <v>112.78073999999999</v>
      </c>
      <c r="J113">
        <v>5</v>
      </c>
      <c r="K113">
        <v>1000000</v>
      </c>
      <c r="Q113">
        <f t="shared" si="5"/>
        <v>0.62307935787933699</v>
      </c>
    </row>
    <row r="114" spans="3:17" x14ac:dyDescent="0.2">
      <c r="C114">
        <v>26</v>
      </c>
      <c r="D114">
        <v>0.222222</v>
      </c>
      <c r="E114">
        <v>0.77777799999999997</v>
      </c>
      <c r="F114">
        <v>0</v>
      </c>
      <c r="G114">
        <v>1500</v>
      </c>
      <c r="H114">
        <v>1729.9179999999999</v>
      </c>
      <c r="I114">
        <v>242.81443999999999</v>
      </c>
      <c r="J114">
        <v>5</v>
      </c>
      <c r="K114">
        <v>1000000</v>
      </c>
      <c r="Q114">
        <f t="shared" si="5"/>
        <v>0.57806208155531069</v>
      </c>
    </row>
    <row r="115" spans="3:17" x14ac:dyDescent="0.2">
      <c r="C115">
        <v>27</v>
      </c>
      <c r="D115">
        <v>0.33333299999999999</v>
      </c>
      <c r="E115">
        <v>0</v>
      </c>
      <c r="F115">
        <v>0.66666700000000001</v>
      </c>
      <c r="G115">
        <v>1200</v>
      </c>
      <c r="H115">
        <v>1191.6179999999999</v>
      </c>
      <c r="I115">
        <v>66.861699999999999</v>
      </c>
      <c r="J115">
        <v>5</v>
      </c>
      <c r="K115">
        <v>1000000</v>
      </c>
      <c r="Q115">
        <f t="shared" si="5"/>
        <v>0.83919511118496037</v>
      </c>
    </row>
    <row r="116" spans="3:17" x14ac:dyDescent="0.2">
      <c r="C116">
        <v>27</v>
      </c>
      <c r="D116">
        <v>0.33333299999999999</v>
      </c>
      <c r="E116">
        <v>0</v>
      </c>
      <c r="F116">
        <v>0.66666700000000001</v>
      </c>
      <c r="G116">
        <v>1300</v>
      </c>
      <c r="H116">
        <v>1351.4459999999999</v>
      </c>
      <c r="I116">
        <v>38.045428999999999</v>
      </c>
      <c r="J116">
        <v>5</v>
      </c>
      <c r="K116">
        <v>1000000</v>
      </c>
      <c r="Q116">
        <f t="shared" si="5"/>
        <v>0.73994817402989099</v>
      </c>
    </row>
    <row r="117" spans="3:17" x14ac:dyDescent="0.2">
      <c r="C117">
        <v>27</v>
      </c>
      <c r="D117">
        <v>0.33333299999999999</v>
      </c>
      <c r="E117">
        <v>0</v>
      </c>
      <c r="F117">
        <v>0.66666700000000001</v>
      </c>
      <c r="G117">
        <v>1400</v>
      </c>
      <c r="H117">
        <v>1505.12</v>
      </c>
      <c r="I117">
        <v>109.893</v>
      </c>
      <c r="J117">
        <v>5</v>
      </c>
      <c r="K117">
        <v>1000000</v>
      </c>
      <c r="Q117">
        <f t="shared" si="5"/>
        <v>0.66439885191878401</v>
      </c>
    </row>
    <row r="118" spans="3:17" x14ac:dyDescent="0.2">
      <c r="C118">
        <v>27</v>
      </c>
      <c r="D118">
        <v>0.33333299999999999</v>
      </c>
      <c r="E118">
        <v>0</v>
      </c>
      <c r="F118">
        <v>0.66666700000000001</v>
      </c>
      <c r="G118">
        <v>1500</v>
      </c>
      <c r="H118">
        <v>1596.1780000000001</v>
      </c>
      <c r="I118">
        <v>189.92813000000001</v>
      </c>
      <c r="J118">
        <v>5</v>
      </c>
      <c r="K118">
        <v>1000000</v>
      </c>
      <c r="Q118">
        <f t="shared" si="5"/>
        <v>0.62649654361856877</v>
      </c>
    </row>
    <row r="119" spans="3:17" x14ac:dyDescent="0.2">
      <c r="C119">
        <v>28</v>
      </c>
      <c r="D119">
        <v>0.33333299999999999</v>
      </c>
      <c r="E119">
        <v>0.111111</v>
      </c>
      <c r="F119">
        <v>0.55555600000000005</v>
      </c>
      <c r="G119">
        <v>1200</v>
      </c>
      <c r="H119">
        <v>1214.9739999999999</v>
      </c>
      <c r="I119">
        <v>117.25193</v>
      </c>
      <c r="J119">
        <v>5</v>
      </c>
      <c r="K119">
        <v>1000000</v>
      </c>
      <c r="Q119">
        <f t="shared" si="5"/>
        <v>0.82306288035793362</v>
      </c>
    </row>
    <row r="120" spans="3:17" x14ac:dyDescent="0.2">
      <c r="C120">
        <v>28</v>
      </c>
      <c r="D120">
        <v>0.33333299999999999</v>
      </c>
      <c r="E120">
        <v>0.111111</v>
      </c>
      <c r="F120">
        <v>0.55555600000000005</v>
      </c>
      <c r="G120">
        <v>1300</v>
      </c>
      <c r="H120">
        <v>1260.9680000000001</v>
      </c>
      <c r="I120">
        <v>140.71842000000001</v>
      </c>
      <c r="J120">
        <v>5</v>
      </c>
      <c r="K120">
        <v>1000000</v>
      </c>
      <c r="Q120">
        <f t="shared" si="5"/>
        <v>0.79304153634350749</v>
      </c>
    </row>
    <row r="121" spans="3:17" x14ac:dyDescent="0.2">
      <c r="C121">
        <v>28</v>
      </c>
      <c r="D121">
        <v>0.33333299999999999</v>
      </c>
      <c r="E121">
        <v>0.111111</v>
      </c>
      <c r="F121">
        <v>0.55555600000000005</v>
      </c>
      <c r="G121">
        <v>1400</v>
      </c>
      <c r="H121">
        <v>1601.1559999999999</v>
      </c>
      <c r="I121">
        <v>78.178386000000003</v>
      </c>
      <c r="J121">
        <v>5</v>
      </c>
      <c r="K121">
        <v>1000000</v>
      </c>
      <c r="Q121">
        <f t="shared" si="5"/>
        <v>0.62454876351835797</v>
      </c>
    </row>
    <row r="122" spans="3:17" x14ac:dyDescent="0.2">
      <c r="C122">
        <v>28</v>
      </c>
      <c r="D122">
        <v>0.33333299999999999</v>
      </c>
      <c r="E122">
        <v>0.111111</v>
      </c>
      <c r="F122">
        <v>0.55555600000000005</v>
      </c>
      <c r="G122">
        <v>1500</v>
      </c>
      <c r="H122">
        <v>1701.518</v>
      </c>
      <c r="I122">
        <v>142.61985000000001</v>
      </c>
      <c r="J122">
        <v>5</v>
      </c>
      <c r="K122">
        <v>1000000</v>
      </c>
      <c r="Q122">
        <f t="shared" si="5"/>
        <v>0.58771050320948703</v>
      </c>
    </row>
    <row r="123" spans="3:17" x14ac:dyDescent="0.2">
      <c r="C123">
        <v>29</v>
      </c>
      <c r="D123">
        <v>0.33333299999999999</v>
      </c>
      <c r="E123">
        <v>0.222222</v>
      </c>
      <c r="F123">
        <v>0.44444400000000001</v>
      </c>
      <c r="G123">
        <v>1200</v>
      </c>
      <c r="H123">
        <v>1151.606</v>
      </c>
      <c r="I123">
        <v>141.83248</v>
      </c>
      <c r="J123">
        <v>5</v>
      </c>
      <c r="K123">
        <v>1000000</v>
      </c>
      <c r="Q123">
        <f t="shared" si="5"/>
        <v>0.86835254418611918</v>
      </c>
    </row>
    <row r="124" spans="3:17" x14ac:dyDescent="0.2">
      <c r="C124">
        <v>29</v>
      </c>
      <c r="D124">
        <v>0.33333299999999999</v>
      </c>
      <c r="E124">
        <v>0.222222</v>
      </c>
      <c r="F124">
        <v>0.44444400000000001</v>
      </c>
      <c r="G124">
        <v>1300</v>
      </c>
      <c r="H124">
        <v>1409.05</v>
      </c>
      <c r="I124">
        <v>165.62806</v>
      </c>
      <c r="J124">
        <v>5</v>
      </c>
      <c r="K124">
        <v>1000000</v>
      </c>
      <c r="Q124">
        <f t="shared" si="5"/>
        <v>0.70969802349100464</v>
      </c>
    </row>
    <row r="125" spans="3:17" x14ac:dyDescent="0.2">
      <c r="C125">
        <v>29</v>
      </c>
      <c r="D125">
        <v>0.33333299999999999</v>
      </c>
      <c r="E125">
        <v>0.222222</v>
      </c>
      <c r="F125">
        <v>0.44444400000000001</v>
      </c>
      <c r="G125">
        <v>1400</v>
      </c>
      <c r="H125">
        <v>1491.6980000000001</v>
      </c>
      <c r="I125">
        <v>64.223984000000002</v>
      </c>
      <c r="J125">
        <v>5</v>
      </c>
      <c r="K125">
        <v>1000000</v>
      </c>
      <c r="Q125">
        <f t="shared" si="5"/>
        <v>0.67037697979081556</v>
      </c>
    </row>
    <row r="126" spans="3:17" x14ac:dyDescent="0.2">
      <c r="C126">
        <v>29</v>
      </c>
      <c r="D126">
        <v>0.33333299999999999</v>
      </c>
      <c r="E126">
        <v>0.222222</v>
      </c>
      <c r="F126">
        <v>0.44444400000000001</v>
      </c>
      <c r="G126">
        <v>1500</v>
      </c>
      <c r="H126">
        <v>1838.046</v>
      </c>
      <c r="I126">
        <v>245.1403</v>
      </c>
      <c r="J126">
        <v>5</v>
      </c>
      <c r="K126">
        <v>1000000</v>
      </c>
      <c r="Q126">
        <f t="shared" si="5"/>
        <v>0.54405602471320091</v>
      </c>
    </row>
    <row r="127" spans="3:17" x14ac:dyDescent="0.2">
      <c r="C127">
        <v>30</v>
      </c>
      <c r="D127">
        <v>0.33333299999999999</v>
      </c>
      <c r="E127">
        <v>0.33333299999999999</v>
      </c>
      <c r="F127">
        <v>0.33333299999999999</v>
      </c>
      <c r="G127">
        <v>1200</v>
      </c>
      <c r="H127">
        <v>1194</v>
      </c>
      <c r="I127">
        <v>44.853270000000002</v>
      </c>
      <c r="J127">
        <v>5</v>
      </c>
      <c r="K127">
        <v>1000000</v>
      </c>
      <c r="Q127">
        <f t="shared" si="5"/>
        <v>0.83752093802345062</v>
      </c>
    </row>
    <row r="128" spans="3:17" x14ac:dyDescent="0.2">
      <c r="C128">
        <v>30</v>
      </c>
      <c r="D128">
        <v>0.33333299999999999</v>
      </c>
      <c r="E128">
        <v>0.33333299999999999</v>
      </c>
      <c r="F128">
        <v>0.33333299999999999</v>
      </c>
      <c r="G128">
        <v>1300</v>
      </c>
      <c r="H128">
        <v>1378.9580000000001</v>
      </c>
      <c r="I128">
        <v>133.11363</v>
      </c>
      <c r="J128">
        <v>5</v>
      </c>
      <c r="K128">
        <v>1000000</v>
      </c>
      <c r="Q128">
        <f t="shared" si="5"/>
        <v>0.7251852485717476</v>
      </c>
    </row>
    <row r="129" spans="3:17" x14ac:dyDescent="0.2">
      <c r="C129">
        <v>30</v>
      </c>
      <c r="D129">
        <v>0.33333299999999999</v>
      </c>
      <c r="E129">
        <v>0.33333299999999999</v>
      </c>
      <c r="F129">
        <v>0.33333299999999999</v>
      </c>
      <c r="G129">
        <v>1400</v>
      </c>
      <c r="H129">
        <v>1596.1659999999999</v>
      </c>
      <c r="I129">
        <v>34.514203000000002</v>
      </c>
      <c r="J129">
        <v>5</v>
      </c>
      <c r="K129">
        <v>1000000</v>
      </c>
      <c r="Q129">
        <f t="shared" si="5"/>
        <v>0.62650125362900855</v>
      </c>
    </row>
    <row r="130" spans="3:17" x14ac:dyDescent="0.2">
      <c r="C130">
        <v>30</v>
      </c>
      <c r="D130">
        <v>0.33333299999999999</v>
      </c>
      <c r="E130">
        <v>0.33333299999999999</v>
      </c>
      <c r="F130">
        <v>0.33333299999999999</v>
      </c>
      <c r="G130">
        <v>1500</v>
      </c>
      <c r="H130">
        <v>1669.2760000000001</v>
      </c>
      <c r="I130">
        <v>109.71086</v>
      </c>
      <c r="J130">
        <v>5</v>
      </c>
      <c r="K130">
        <v>1000000</v>
      </c>
      <c r="Q130">
        <f t="shared" si="5"/>
        <v>0.59906210836314666</v>
      </c>
    </row>
    <row r="131" spans="3:17" x14ac:dyDescent="0.2">
      <c r="C131">
        <v>31</v>
      </c>
      <c r="D131">
        <v>0.33333299999999999</v>
      </c>
      <c r="E131">
        <v>0.44444400000000001</v>
      </c>
      <c r="F131">
        <v>0.222222</v>
      </c>
      <c r="G131">
        <v>1200</v>
      </c>
      <c r="H131">
        <v>1114.4618</v>
      </c>
      <c r="I131">
        <v>100.59452</v>
      </c>
      <c r="J131">
        <v>5</v>
      </c>
      <c r="K131">
        <v>1000000</v>
      </c>
      <c r="Q131">
        <f t="shared" si="5"/>
        <v>0.89729410196024662</v>
      </c>
    </row>
    <row r="132" spans="3:17" x14ac:dyDescent="0.2">
      <c r="C132">
        <v>31</v>
      </c>
      <c r="D132">
        <v>0.33333299999999999</v>
      </c>
      <c r="E132">
        <v>0.44444400000000001</v>
      </c>
      <c r="F132">
        <v>0.222222</v>
      </c>
      <c r="G132">
        <v>1300</v>
      </c>
      <c r="H132">
        <v>1372.818</v>
      </c>
      <c r="I132">
        <v>59.772852</v>
      </c>
      <c r="J132">
        <v>5</v>
      </c>
      <c r="K132">
        <v>1000000</v>
      </c>
      <c r="Q132">
        <f t="shared" si="5"/>
        <v>0.72842867736291339</v>
      </c>
    </row>
    <row r="133" spans="3:17" x14ac:dyDescent="0.2">
      <c r="C133">
        <v>31</v>
      </c>
      <c r="D133">
        <v>0.33333299999999999</v>
      </c>
      <c r="E133">
        <v>0.44444400000000001</v>
      </c>
      <c r="F133">
        <v>0.222222</v>
      </c>
      <c r="G133">
        <v>1400</v>
      </c>
      <c r="H133">
        <v>1522.2560000000001</v>
      </c>
      <c r="I133">
        <v>44.466935999999997</v>
      </c>
      <c r="J133">
        <v>5</v>
      </c>
      <c r="K133">
        <v>1000000</v>
      </c>
      <c r="Q133">
        <f t="shared" si="5"/>
        <v>0.65691972966439272</v>
      </c>
    </row>
    <row r="134" spans="3:17" x14ac:dyDescent="0.2">
      <c r="C134">
        <v>31</v>
      </c>
      <c r="D134">
        <v>0.33333299999999999</v>
      </c>
      <c r="E134">
        <v>0.44444400000000001</v>
      </c>
      <c r="F134">
        <v>0.222222</v>
      </c>
      <c r="G134">
        <v>1500</v>
      </c>
      <c r="H134">
        <v>1840.626</v>
      </c>
      <c r="I134">
        <v>60.572665999999998</v>
      </c>
      <c r="J134">
        <v>5</v>
      </c>
      <c r="K134">
        <v>1000000</v>
      </c>
      <c r="Q134">
        <f t="shared" si="5"/>
        <v>0.54329342299847994</v>
      </c>
    </row>
    <row r="135" spans="3:17" x14ac:dyDescent="0.2">
      <c r="C135">
        <v>32</v>
      </c>
      <c r="D135">
        <v>0.33333299999999999</v>
      </c>
      <c r="E135">
        <v>0.55555600000000005</v>
      </c>
      <c r="F135">
        <v>0.111111</v>
      </c>
      <c r="G135">
        <v>1200</v>
      </c>
      <c r="H135">
        <v>1152.644</v>
      </c>
      <c r="I135">
        <v>82.738258999999999</v>
      </c>
      <c r="J135">
        <v>5</v>
      </c>
      <c r="K135">
        <v>1000000</v>
      </c>
      <c r="Q135">
        <f t="shared" si="5"/>
        <v>0.86757055951360529</v>
      </c>
    </row>
    <row r="136" spans="3:17" x14ac:dyDescent="0.2">
      <c r="C136">
        <v>32</v>
      </c>
      <c r="D136">
        <v>0.33333299999999999</v>
      </c>
      <c r="E136">
        <v>0.55555600000000005</v>
      </c>
      <c r="F136">
        <v>0.111111</v>
      </c>
      <c r="G136">
        <v>1300</v>
      </c>
      <c r="H136">
        <v>1377.2260000000001</v>
      </c>
      <c r="I136">
        <v>58.976565000000001</v>
      </c>
      <c r="J136">
        <v>5</v>
      </c>
      <c r="K136">
        <v>1000000</v>
      </c>
      <c r="Q136">
        <f t="shared" ref="Q136:Q199" si="6">1/H136*1000</f>
        <v>0.72609724184701707</v>
      </c>
    </row>
    <row r="137" spans="3:17" x14ac:dyDescent="0.2">
      <c r="C137">
        <v>32</v>
      </c>
      <c r="D137">
        <v>0.33333299999999999</v>
      </c>
      <c r="E137">
        <v>0.55555600000000005</v>
      </c>
      <c r="F137">
        <v>0.111111</v>
      </c>
      <c r="G137">
        <v>1400</v>
      </c>
      <c r="H137">
        <v>1678.02</v>
      </c>
      <c r="I137">
        <v>161.40863999999999</v>
      </c>
      <c r="J137">
        <v>5</v>
      </c>
      <c r="K137">
        <v>1000000</v>
      </c>
      <c r="Q137">
        <f t="shared" si="6"/>
        <v>0.59594045362987336</v>
      </c>
    </row>
    <row r="138" spans="3:17" x14ac:dyDescent="0.2">
      <c r="C138">
        <v>32</v>
      </c>
      <c r="D138">
        <v>0.33333299999999999</v>
      </c>
      <c r="E138">
        <v>0.55555600000000005</v>
      </c>
      <c r="F138">
        <v>0.111111</v>
      </c>
      <c r="G138">
        <v>1500</v>
      </c>
      <c r="H138">
        <v>1856.568</v>
      </c>
      <c r="I138">
        <v>114.75211</v>
      </c>
      <c r="J138">
        <v>5</v>
      </c>
      <c r="K138">
        <v>1000000</v>
      </c>
      <c r="Q138">
        <f t="shared" si="6"/>
        <v>0.53862826462591185</v>
      </c>
    </row>
    <row r="139" spans="3:17" x14ac:dyDescent="0.2">
      <c r="C139">
        <v>33</v>
      </c>
      <c r="D139">
        <v>0.33333299999999999</v>
      </c>
      <c r="E139">
        <v>0.66666700000000001</v>
      </c>
      <c r="F139">
        <v>0</v>
      </c>
      <c r="G139">
        <v>1200</v>
      </c>
      <c r="H139">
        <v>1177.336</v>
      </c>
      <c r="I139">
        <v>95.382446000000002</v>
      </c>
      <c r="J139">
        <v>5</v>
      </c>
      <c r="K139">
        <v>1000000</v>
      </c>
      <c r="Q139">
        <f t="shared" si="6"/>
        <v>0.84937519960317187</v>
      </c>
    </row>
    <row r="140" spans="3:17" x14ac:dyDescent="0.2">
      <c r="C140">
        <v>33</v>
      </c>
      <c r="D140">
        <v>0.33333299999999999</v>
      </c>
      <c r="E140">
        <v>0.66666700000000001</v>
      </c>
      <c r="F140">
        <v>0</v>
      </c>
      <c r="G140">
        <v>1300</v>
      </c>
      <c r="H140">
        <v>1398.7059999999999</v>
      </c>
      <c r="I140">
        <v>76.777283999999995</v>
      </c>
      <c r="J140">
        <v>5</v>
      </c>
      <c r="K140">
        <v>1000000</v>
      </c>
      <c r="Q140">
        <f t="shared" si="6"/>
        <v>0.71494652914908496</v>
      </c>
    </row>
    <row r="141" spans="3:17" x14ac:dyDescent="0.2">
      <c r="C141">
        <v>33</v>
      </c>
      <c r="D141">
        <v>0.33333299999999999</v>
      </c>
      <c r="E141">
        <v>0.66666700000000001</v>
      </c>
      <c r="F141">
        <v>0</v>
      </c>
      <c r="G141">
        <v>1400</v>
      </c>
      <c r="H141">
        <v>1594.3140000000001</v>
      </c>
      <c r="I141">
        <v>159.72379000000001</v>
      </c>
      <c r="J141">
        <v>5</v>
      </c>
      <c r="K141">
        <v>1000000</v>
      </c>
      <c r="Q141">
        <f t="shared" si="6"/>
        <v>0.62722901511245588</v>
      </c>
    </row>
    <row r="142" spans="3:17" x14ac:dyDescent="0.2">
      <c r="C142">
        <v>33</v>
      </c>
      <c r="D142">
        <v>0.33333299999999999</v>
      </c>
      <c r="E142">
        <v>0.66666700000000001</v>
      </c>
      <c r="F142">
        <v>0</v>
      </c>
      <c r="G142">
        <v>1500</v>
      </c>
      <c r="H142">
        <v>1817.7260000000001</v>
      </c>
      <c r="I142">
        <v>104.02936</v>
      </c>
      <c r="J142">
        <v>5</v>
      </c>
      <c r="K142">
        <v>1000000</v>
      </c>
      <c r="Q142">
        <f t="shared" si="6"/>
        <v>0.55013791957643776</v>
      </c>
    </row>
    <row r="143" spans="3:17" x14ac:dyDescent="0.2">
      <c r="C143">
        <v>34</v>
      </c>
      <c r="D143">
        <v>0.44444400000000001</v>
      </c>
      <c r="E143">
        <v>0</v>
      </c>
      <c r="F143">
        <v>0.55555600000000005</v>
      </c>
      <c r="G143">
        <v>1200</v>
      </c>
      <c r="H143">
        <v>1223.9000000000001</v>
      </c>
      <c r="I143">
        <v>140.54459</v>
      </c>
      <c r="J143">
        <v>5</v>
      </c>
      <c r="K143">
        <v>1000000</v>
      </c>
      <c r="Q143">
        <f t="shared" si="6"/>
        <v>0.81706021733801781</v>
      </c>
    </row>
    <row r="144" spans="3:17" x14ac:dyDescent="0.2">
      <c r="C144">
        <v>34</v>
      </c>
      <c r="D144">
        <v>0.44444400000000001</v>
      </c>
      <c r="E144">
        <v>0</v>
      </c>
      <c r="F144">
        <v>0.55555600000000005</v>
      </c>
      <c r="G144">
        <v>1300</v>
      </c>
      <c r="H144">
        <v>1278.0640000000001</v>
      </c>
      <c r="I144">
        <v>123.69298999999999</v>
      </c>
      <c r="J144">
        <v>5</v>
      </c>
      <c r="K144">
        <v>1000000</v>
      </c>
      <c r="Q144">
        <f t="shared" si="6"/>
        <v>0.78243343056372761</v>
      </c>
    </row>
    <row r="145" spans="3:17" x14ac:dyDescent="0.2">
      <c r="C145">
        <v>34</v>
      </c>
      <c r="D145">
        <v>0.44444400000000001</v>
      </c>
      <c r="E145">
        <v>0</v>
      </c>
      <c r="F145">
        <v>0.55555600000000005</v>
      </c>
      <c r="G145">
        <v>1400</v>
      </c>
      <c r="H145">
        <v>1524.694</v>
      </c>
      <c r="I145">
        <v>270.07812000000001</v>
      </c>
      <c r="J145">
        <v>5</v>
      </c>
      <c r="K145">
        <v>1000000</v>
      </c>
      <c r="Q145">
        <f t="shared" si="6"/>
        <v>0.65586930885803973</v>
      </c>
    </row>
    <row r="146" spans="3:17" x14ac:dyDescent="0.2">
      <c r="C146">
        <v>34</v>
      </c>
      <c r="D146">
        <v>0.44444400000000001</v>
      </c>
      <c r="E146">
        <v>0</v>
      </c>
      <c r="F146">
        <v>0.55555600000000005</v>
      </c>
      <c r="G146">
        <v>1500</v>
      </c>
      <c r="H146">
        <v>1776.67</v>
      </c>
      <c r="I146">
        <v>165.84215</v>
      </c>
      <c r="J146">
        <v>5</v>
      </c>
      <c r="K146">
        <v>1000000</v>
      </c>
      <c r="Q146">
        <f t="shared" si="6"/>
        <v>0.56285072635886235</v>
      </c>
    </row>
    <row r="147" spans="3:17" x14ac:dyDescent="0.2">
      <c r="C147">
        <v>35</v>
      </c>
      <c r="D147">
        <v>0.44444400000000001</v>
      </c>
      <c r="E147">
        <v>0.111111</v>
      </c>
      <c r="F147">
        <v>0.44444400000000001</v>
      </c>
      <c r="G147">
        <v>1200</v>
      </c>
      <c r="H147">
        <v>1131.32</v>
      </c>
      <c r="I147">
        <v>81.983028000000004</v>
      </c>
      <c r="J147">
        <v>5</v>
      </c>
      <c r="K147">
        <v>1000000</v>
      </c>
      <c r="Q147">
        <f t="shared" si="6"/>
        <v>0.88392320475197128</v>
      </c>
    </row>
    <row r="148" spans="3:17" x14ac:dyDescent="0.2">
      <c r="C148">
        <v>35</v>
      </c>
      <c r="D148">
        <v>0.44444400000000001</v>
      </c>
      <c r="E148">
        <v>0.111111</v>
      </c>
      <c r="F148">
        <v>0.44444400000000001</v>
      </c>
      <c r="G148">
        <v>1300</v>
      </c>
      <c r="H148">
        <v>1439.306</v>
      </c>
      <c r="I148">
        <v>133.04981000000001</v>
      </c>
      <c r="J148">
        <v>5</v>
      </c>
      <c r="K148">
        <v>1000000</v>
      </c>
      <c r="Q148">
        <f t="shared" si="6"/>
        <v>0.69477928946311618</v>
      </c>
    </row>
    <row r="149" spans="3:17" x14ac:dyDescent="0.2">
      <c r="C149">
        <v>35</v>
      </c>
      <c r="D149">
        <v>0.44444400000000001</v>
      </c>
      <c r="E149">
        <v>0.111111</v>
      </c>
      <c r="F149">
        <v>0.44444400000000001</v>
      </c>
      <c r="G149">
        <v>1400</v>
      </c>
      <c r="H149">
        <v>1517.7260000000001</v>
      </c>
      <c r="I149">
        <v>110.55544</v>
      </c>
      <c r="J149">
        <v>5</v>
      </c>
      <c r="K149">
        <v>1000000</v>
      </c>
      <c r="Q149">
        <f t="shared" si="6"/>
        <v>0.65888045668322204</v>
      </c>
    </row>
    <row r="150" spans="3:17" x14ac:dyDescent="0.2">
      <c r="C150">
        <v>35</v>
      </c>
      <c r="D150">
        <v>0.44444400000000001</v>
      </c>
      <c r="E150">
        <v>0.111111</v>
      </c>
      <c r="F150">
        <v>0.44444400000000001</v>
      </c>
      <c r="G150">
        <v>1500</v>
      </c>
      <c r="H150">
        <v>1591.1579999999999</v>
      </c>
      <c r="I150">
        <v>263.35196000000002</v>
      </c>
      <c r="J150">
        <v>5</v>
      </c>
      <c r="K150">
        <v>1000000</v>
      </c>
      <c r="Q150">
        <f t="shared" si="6"/>
        <v>0.62847309946592367</v>
      </c>
    </row>
    <row r="151" spans="3:17" x14ac:dyDescent="0.2">
      <c r="C151">
        <v>36</v>
      </c>
      <c r="D151">
        <v>0.44444400000000001</v>
      </c>
      <c r="E151">
        <v>0.222222</v>
      </c>
      <c r="F151">
        <v>0.33333299999999999</v>
      </c>
      <c r="G151">
        <v>1200</v>
      </c>
      <c r="H151">
        <v>1235.5319999999999</v>
      </c>
      <c r="I151">
        <v>118.76537999999999</v>
      </c>
      <c r="J151">
        <v>5</v>
      </c>
      <c r="K151">
        <v>1000000</v>
      </c>
      <c r="Q151">
        <f t="shared" si="6"/>
        <v>0.80936794838174975</v>
      </c>
    </row>
    <row r="152" spans="3:17" x14ac:dyDescent="0.2">
      <c r="C152">
        <v>36</v>
      </c>
      <c r="D152">
        <v>0.44444400000000001</v>
      </c>
      <c r="E152">
        <v>0.222222</v>
      </c>
      <c r="F152">
        <v>0.33333299999999999</v>
      </c>
      <c r="G152">
        <v>1300</v>
      </c>
      <c r="H152">
        <v>1371.64</v>
      </c>
      <c r="I152">
        <v>112.55786999999999</v>
      </c>
      <c r="J152">
        <v>5</v>
      </c>
      <c r="K152">
        <v>1000000</v>
      </c>
      <c r="Q152">
        <f t="shared" si="6"/>
        <v>0.72905427079991836</v>
      </c>
    </row>
    <row r="153" spans="3:17" x14ac:dyDescent="0.2">
      <c r="C153">
        <v>36</v>
      </c>
      <c r="D153">
        <v>0.44444400000000001</v>
      </c>
      <c r="E153">
        <v>0.222222</v>
      </c>
      <c r="F153">
        <v>0.33333299999999999</v>
      </c>
      <c r="G153">
        <v>1400</v>
      </c>
      <c r="H153">
        <v>1605.46</v>
      </c>
      <c r="I153">
        <v>182.18870000000001</v>
      </c>
      <c r="J153">
        <v>5</v>
      </c>
      <c r="K153">
        <v>1000000</v>
      </c>
      <c r="Q153">
        <f t="shared" si="6"/>
        <v>0.62287444097018918</v>
      </c>
    </row>
    <row r="154" spans="3:17" x14ac:dyDescent="0.2">
      <c r="C154">
        <v>36</v>
      </c>
      <c r="D154">
        <v>0.44444400000000001</v>
      </c>
      <c r="E154">
        <v>0.222222</v>
      </c>
      <c r="F154">
        <v>0.33333299999999999</v>
      </c>
      <c r="G154">
        <v>1500</v>
      </c>
      <c r="H154">
        <v>1694.2760000000001</v>
      </c>
      <c r="I154">
        <v>237.19471999999999</v>
      </c>
      <c r="J154">
        <v>5</v>
      </c>
      <c r="K154">
        <v>1000000</v>
      </c>
      <c r="Q154">
        <f t="shared" si="6"/>
        <v>0.59022260835896867</v>
      </c>
    </row>
    <row r="155" spans="3:17" x14ac:dyDescent="0.2">
      <c r="C155">
        <v>37</v>
      </c>
      <c r="D155">
        <v>0.44444400000000001</v>
      </c>
      <c r="E155">
        <v>0.33333299999999999</v>
      </c>
      <c r="F155">
        <v>0.222222</v>
      </c>
      <c r="G155">
        <v>1200</v>
      </c>
      <c r="H155">
        <v>1225.4480000000001</v>
      </c>
      <c r="I155">
        <v>159.89793</v>
      </c>
      <c r="J155">
        <v>5</v>
      </c>
      <c r="K155">
        <v>1000000</v>
      </c>
      <c r="Q155">
        <f t="shared" si="6"/>
        <v>0.81602809747945237</v>
      </c>
    </row>
    <row r="156" spans="3:17" x14ac:dyDescent="0.2">
      <c r="C156">
        <v>37</v>
      </c>
      <c r="D156">
        <v>0.44444400000000001</v>
      </c>
      <c r="E156">
        <v>0.33333299999999999</v>
      </c>
      <c r="F156">
        <v>0.222222</v>
      </c>
      <c r="G156">
        <v>1300</v>
      </c>
      <c r="H156">
        <v>1337.7260000000001</v>
      </c>
      <c r="I156">
        <v>42.807217999999999</v>
      </c>
      <c r="J156">
        <v>5</v>
      </c>
      <c r="K156">
        <v>1000000</v>
      </c>
      <c r="Q156">
        <f t="shared" si="6"/>
        <v>0.74753723856753918</v>
      </c>
    </row>
    <row r="157" spans="3:17" x14ac:dyDescent="0.2">
      <c r="C157">
        <v>37</v>
      </c>
      <c r="D157">
        <v>0.44444400000000001</v>
      </c>
      <c r="E157">
        <v>0.33333299999999999</v>
      </c>
      <c r="F157">
        <v>0.222222</v>
      </c>
      <c r="G157">
        <v>1400</v>
      </c>
      <c r="H157">
        <v>1618.194</v>
      </c>
      <c r="I157">
        <v>75.582206999999997</v>
      </c>
      <c r="J157">
        <v>5</v>
      </c>
      <c r="K157">
        <v>1000000</v>
      </c>
      <c r="Q157">
        <f t="shared" si="6"/>
        <v>0.61797287593452954</v>
      </c>
    </row>
    <row r="158" spans="3:17" x14ac:dyDescent="0.2">
      <c r="C158">
        <v>37</v>
      </c>
      <c r="D158">
        <v>0.44444400000000001</v>
      </c>
      <c r="E158">
        <v>0.33333299999999999</v>
      </c>
      <c r="F158">
        <v>0.222222</v>
      </c>
      <c r="G158">
        <v>1500</v>
      </c>
      <c r="H158">
        <v>1811.008</v>
      </c>
      <c r="I158">
        <v>94.931185999999997</v>
      </c>
      <c r="J158">
        <v>5</v>
      </c>
      <c r="K158">
        <v>1000000</v>
      </c>
      <c r="Q158">
        <f t="shared" si="6"/>
        <v>0.55217867618475447</v>
      </c>
    </row>
    <row r="159" spans="3:17" x14ac:dyDescent="0.2">
      <c r="C159">
        <v>38</v>
      </c>
      <c r="D159">
        <v>0.44444400000000001</v>
      </c>
      <c r="E159">
        <v>0.44444400000000001</v>
      </c>
      <c r="F159">
        <v>0.111111</v>
      </c>
      <c r="G159">
        <v>1200</v>
      </c>
      <c r="H159">
        <v>1296.5999999999999</v>
      </c>
      <c r="I159">
        <v>54.042301000000002</v>
      </c>
      <c r="J159">
        <v>5</v>
      </c>
      <c r="K159">
        <v>1000000</v>
      </c>
      <c r="Q159">
        <f t="shared" si="6"/>
        <v>0.77124787906833259</v>
      </c>
    </row>
    <row r="160" spans="3:17" x14ac:dyDescent="0.2">
      <c r="C160">
        <v>38</v>
      </c>
      <c r="D160">
        <v>0.44444400000000001</v>
      </c>
      <c r="E160">
        <v>0.44444400000000001</v>
      </c>
      <c r="F160">
        <v>0.111111</v>
      </c>
      <c r="G160">
        <v>1300</v>
      </c>
      <c r="H160">
        <v>1398.374</v>
      </c>
      <c r="I160">
        <v>191.72254000000001</v>
      </c>
      <c r="J160">
        <v>5</v>
      </c>
      <c r="K160">
        <v>1000000</v>
      </c>
      <c r="Q160">
        <f t="shared" si="6"/>
        <v>0.71511627075446194</v>
      </c>
    </row>
    <row r="161" spans="3:17" x14ac:dyDescent="0.2">
      <c r="C161">
        <v>38</v>
      </c>
      <c r="D161">
        <v>0.44444400000000001</v>
      </c>
      <c r="E161">
        <v>0.44444400000000001</v>
      </c>
      <c r="F161">
        <v>0.111111</v>
      </c>
      <c r="G161">
        <v>1400</v>
      </c>
      <c r="H161">
        <v>1571.444</v>
      </c>
      <c r="I161">
        <v>110.01392</v>
      </c>
      <c r="J161">
        <v>5</v>
      </c>
      <c r="K161">
        <v>1000000</v>
      </c>
      <c r="Q161">
        <f t="shared" si="6"/>
        <v>0.6363573884910948</v>
      </c>
    </row>
    <row r="162" spans="3:17" x14ac:dyDescent="0.2">
      <c r="C162">
        <v>38</v>
      </c>
      <c r="D162">
        <v>0.44444400000000001</v>
      </c>
      <c r="E162">
        <v>0.44444400000000001</v>
      </c>
      <c r="F162">
        <v>0.111111</v>
      </c>
      <c r="G162">
        <v>1500</v>
      </c>
      <c r="H162">
        <v>1809.4559999999999</v>
      </c>
      <c r="I162">
        <v>206.34979000000001</v>
      </c>
      <c r="J162">
        <v>5</v>
      </c>
      <c r="K162">
        <v>1000000</v>
      </c>
      <c r="Q162">
        <f t="shared" si="6"/>
        <v>0.55265228886471962</v>
      </c>
    </row>
    <row r="163" spans="3:17" x14ac:dyDescent="0.2">
      <c r="C163">
        <v>39</v>
      </c>
      <c r="D163">
        <v>0.44444400000000001</v>
      </c>
      <c r="E163">
        <v>0.55555600000000005</v>
      </c>
      <c r="F163">
        <v>0</v>
      </c>
      <c r="G163">
        <v>1200</v>
      </c>
      <c r="H163">
        <v>1161.806</v>
      </c>
      <c r="I163">
        <v>74.527979000000002</v>
      </c>
      <c r="J163">
        <v>5</v>
      </c>
      <c r="K163">
        <v>1000000</v>
      </c>
      <c r="Q163">
        <f t="shared" si="6"/>
        <v>0.86072889966138921</v>
      </c>
    </row>
    <row r="164" spans="3:17" x14ac:dyDescent="0.2">
      <c r="C164">
        <v>39</v>
      </c>
      <c r="D164">
        <v>0.44444400000000001</v>
      </c>
      <c r="E164">
        <v>0.55555600000000005</v>
      </c>
      <c r="F164">
        <v>0</v>
      </c>
      <c r="G164">
        <v>1300</v>
      </c>
      <c r="H164">
        <v>1433.48</v>
      </c>
      <c r="I164">
        <v>112.87658999999999</v>
      </c>
      <c r="J164">
        <v>5</v>
      </c>
      <c r="K164">
        <v>1000000</v>
      </c>
      <c r="Q164">
        <f t="shared" si="6"/>
        <v>0.69760303596841244</v>
      </c>
    </row>
    <row r="165" spans="3:17" x14ac:dyDescent="0.2">
      <c r="C165">
        <v>39</v>
      </c>
      <c r="D165">
        <v>0.44444400000000001</v>
      </c>
      <c r="E165">
        <v>0.55555600000000005</v>
      </c>
      <c r="F165">
        <v>0</v>
      </c>
      <c r="G165">
        <v>1400</v>
      </c>
      <c r="H165">
        <v>1602.144</v>
      </c>
      <c r="I165">
        <v>257.01650000000001</v>
      </c>
      <c r="J165">
        <v>5</v>
      </c>
      <c r="K165">
        <v>1000000</v>
      </c>
      <c r="Q165">
        <f t="shared" si="6"/>
        <v>0.62416362074819742</v>
      </c>
    </row>
    <row r="166" spans="3:17" x14ac:dyDescent="0.2">
      <c r="C166">
        <v>39</v>
      </c>
      <c r="D166">
        <v>0.44444400000000001</v>
      </c>
      <c r="E166">
        <v>0.55555600000000005</v>
      </c>
      <c r="F166">
        <v>0</v>
      </c>
      <c r="G166">
        <v>1500</v>
      </c>
      <c r="H166">
        <v>1833.75</v>
      </c>
      <c r="I166">
        <v>168.97055</v>
      </c>
      <c r="J166">
        <v>5</v>
      </c>
      <c r="K166">
        <v>1000000</v>
      </c>
      <c r="Q166">
        <f t="shared" si="6"/>
        <v>0.54533060668029998</v>
      </c>
    </row>
    <row r="167" spans="3:17" x14ac:dyDescent="0.2">
      <c r="C167">
        <v>40</v>
      </c>
      <c r="D167">
        <v>0.55555600000000005</v>
      </c>
      <c r="E167">
        <v>0</v>
      </c>
      <c r="F167">
        <v>0.44444400000000001</v>
      </c>
      <c r="G167">
        <v>1200</v>
      </c>
      <c r="H167">
        <v>1082.1078</v>
      </c>
      <c r="I167">
        <v>159.93720999999999</v>
      </c>
      <c r="J167">
        <v>5</v>
      </c>
      <c r="K167">
        <v>1000000</v>
      </c>
      <c r="Q167">
        <f t="shared" si="6"/>
        <v>0.92412234714508112</v>
      </c>
    </row>
    <row r="168" spans="3:17" x14ac:dyDescent="0.2">
      <c r="C168">
        <v>40</v>
      </c>
      <c r="D168">
        <v>0.55555600000000005</v>
      </c>
      <c r="E168">
        <v>0</v>
      </c>
      <c r="F168">
        <v>0.44444400000000001</v>
      </c>
      <c r="G168">
        <v>1300</v>
      </c>
      <c r="H168">
        <v>1286.28</v>
      </c>
      <c r="I168">
        <v>127.51138</v>
      </c>
      <c r="J168">
        <v>5</v>
      </c>
      <c r="K168">
        <v>1000000</v>
      </c>
      <c r="Q168">
        <f t="shared" si="6"/>
        <v>0.77743570606710821</v>
      </c>
    </row>
    <row r="169" spans="3:17" x14ac:dyDescent="0.2">
      <c r="C169">
        <v>40</v>
      </c>
      <c r="D169">
        <v>0.55555600000000005</v>
      </c>
      <c r="E169">
        <v>0</v>
      </c>
      <c r="F169">
        <v>0.44444400000000001</v>
      </c>
      <c r="G169">
        <v>1400</v>
      </c>
      <c r="H169">
        <v>1498.0419999999999</v>
      </c>
      <c r="I169">
        <v>132.31829999999999</v>
      </c>
      <c r="J169">
        <v>5</v>
      </c>
      <c r="K169">
        <v>1000000</v>
      </c>
      <c r="Q169">
        <f t="shared" si="6"/>
        <v>0.66753802630366843</v>
      </c>
    </row>
    <row r="170" spans="3:17" x14ac:dyDescent="0.2">
      <c r="C170">
        <v>40</v>
      </c>
      <c r="D170">
        <v>0.55555600000000005</v>
      </c>
      <c r="E170">
        <v>0</v>
      </c>
      <c r="F170">
        <v>0.44444400000000001</v>
      </c>
      <c r="G170">
        <v>1500</v>
      </c>
      <c r="H170">
        <v>1642.4559999999999</v>
      </c>
      <c r="I170">
        <v>159.35068000000001</v>
      </c>
      <c r="J170">
        <v>5</v>
      </c>
      <c r="K170">
        <v>1000000</v>
      </c>
      <c r="Q170">
        <f t="shared" si="6"/>
        <v>0.60884431607300293</v>
      </c>
    </row>
    <row r="171" spans="3:17" x14ac:dyDescent="0.2">
      <c r="C171">
        <v>41</v>
      </c>
      <c r="D171">
        <v>0.55555600000000005</v>
      </c>
      <c r="E171">
        <v>0.111111</v>
      </c>
      <c r="F171">
        <v>0.33333299999999999</v>
      </c>
      <c r="G171">
        <v>1200</v>
      </c>
      <c r="H171">
        <v>1171.384</v>
      </c>
      <c r="I171">
        <v>128.59041999999999</v>
      </c>
      <c r="J171">
        <v>5</v>
      </c>
      <c r="K171">
        <v>1000000</v>
      </c>
      <c r="Q171">
        <f t="shared" si="6"/>
        <v>0.85369101848753259</v>
      </c>
    </row>
    <row r="172" spans="3:17" x14ac:dyDescent="0.2">
      <c r="C172">
        <v>41</v>
      </c>
      <c r="D172">
        <v>0.55555600000000005</v>
      </c>
      <c r="E172">
        <v>0.111111</v>
      </c>
      <c r="F172">
        <v>0.33333299999999999</v>
      </c>
      <c r="G172">
        <v>1300</v>
      </c>
      <c r="H172">
        <v>1391.3140000000001</v>
      </c>
      <c r="I172">
        <v>33.289267000000002</v>
      </c>
      <c r="J172">
        <v>5</v>
      </c>
      <c r="K172">
        <v>1000000</v>
      </c>
      <c r="Q172">
        <f t="shared" si="6"/>
        <v>0.71874501370646737</v>
      </c>
    </row>
    <row r="173" spans="3:17" x14ac:dyDescent="0.2">
      <c r="C173">
        <v>41</v>
      </c>
      <c r="D173">
        <v>0.55555600000000005</v>
      </c>
      <c r="E173">
        <v>0.111111</v>
      </c>
      <c r="F173">
        <v>0.33333299999999999</v>
      </c>
      <c r="G173">
        <v>1400</v>
      </c>
      <c r="H173">
        <v>1596.038</v>
      </c>
      <c r="I173">
        <v>137.14404999999999</v>
      </c>
      <c r="J173">
        <v>5</v>
      </c>
      <c r="K173">
        <v>1000000</v>
      </c>
      <c r="Q173">
        <f t="shared" si="6"/>
        <v>0.62655149814728728</v>
      </c>
    </row>
    <row r="174" spans="3:17" x14ac:dyDescent="0.2">
      <c r="C174">
        <v>41</v>
      </c>
      <c r="D174">
        <v>0.55555600000000005</v>
      </c>
      <c r="E174">
        <v>0.111111</v>
      </c>
      <c r="F174">
        <v>0.33333299999999999</v>
      </c>
      <c r="G174">
        <v>1500</v>
      </c>
      <c r="H174">
        <v>1725.7159999999999</v>
      </c>
      <c r="I174">
        <v>224.58806000000001</v>
      </c>
      <c r="J174">
        <v>5</v>
      </c>
      <c r="K174">
        <v>1000000</v>
      </c>
      <c r="Q174">
        <f t="shared" si="6"/>
        <v>0.57946962304342087</v>
      </c>
    </row>
    <row r="175" spans="3:17" x14ac:dyDescent="0.2">
      <c r="C175">
        <v>42</v>
      </c>
      <c r="D175">
        <v>0.55555600000000005</v>
      </c>
      <c r="E175">
        <v>0.222222</v>
      </c>
      <c r="F175">
        <v>0.222222</v>
      </c>
      <c r="G175">
        <v>1200</v>
      </c>
      <c r="H175">
        <v>1225.434</v>
      </c>
      <c r="I175">
        <v>140.26304999999999</v>
      </c>
      <c r="J175">
        <v>5</v>
      </c>
      <c r="K175">
        <v>1000000</v>
      </c>
      <c r="Q175">
        <f t="shared" si="6"/>
        <v>0.81603742021194126</v>
      </c>
    </row>
    <row r="176" spans="3:17" x14ac:dyDescent="0.2">
      <c r="C176">
        <v>42</v>
      </c>
      <c r="D176">
        <v>0.55555600000000005</v>
      </c>
      <c r="E176">
        <v>0.222222</v>
      </c>
      <c r="F176">
        <v>0.222222</v>
      </c>
      <c r="G176">
        <v>1300</v>
      </c>
      <c r="H176">
        <v>1356.694</v>
      </c>
      <c r="I176">
        <v>170.45117999999999</v>
      </c>
      <c r="J176">
        <v>5</v>
      </c>
      <c r="K176">
        <v>1000000</v>
      </c>
      <c r="Q176">
        <f t="shared" si="6"/>
        <v>0.73708588672169251</v>
      </c>
    </row>
    <row r="177" spans="3:17" x14ac:dyDescent="0.2">
      <c r="C177">
        <v>42</v>
      </c>
      <c r="D177">
        <v>0.55555600000000005</v>
      </c>
      <c r="E177">
        <v>0.222222</v>
      </c>
      <c r="F177">
        <v>0.222222</v>
      </c>
      <c r="G177">
        <v>1400</v>
      </c>
      <c r="H177">
        <v>1513.778</v>
      </c>
      <c r="I177">
        <v>74.660979999999995</v>
      </c>
      <c r="J177">
        <v>5</v>
      </c>
      <c r="K177">
        <v>1000000</v>
      </c>
      <c r="Q177">
        <f t="shared" si="6"/>
        <v>0.66059884606593566</v>
      </c>
    </row>
    <row r="178" spans="3:17" x14ac:dyDescent="0.2">
      <c r="C178">
        <v>42</v>
      </c>
      <c r="D178">
        <v>0.55555600000000005</v>
      </c>
      <c r="E178">
        <v>0.222222</v>
      </c>
      <c r="F178">
        <v>0.222222</v>
      </c>
      <c r="G178">
        <v>1500</v>
      </c>
      <c r="H178">
        <v>1729.76</v>
      </c>
      <c r="I178">
        <v>175.92744999999999</v>
      </c>
      <c r="J178">
        <v>5</v>
      </c>
      <c r="K178">
        <v>1000000</v>
      </c>
      <c r="Q178">
        <f t="shared" si="6"/>
        <v>0.57811488298954772</v>
      </c>
    </row>
    <row r="179" spans="3:17" x14ac:dyDescent="0.2">
      <c r="C179">
        <v>43</v>
      </c>
      <c r="D179">
        <v>0.55555600000000005</v>
      </c>
      <c r="E179">
        <v>0.33333299999999999</v>
      </c>
      <c r="F179">
        <v>0.111111</v>
      </c>
      <c r="G179">
        <v>1200</v>
      </c>
      <c r="H179">
        <v>1276.5360000000001</v>
      </c>
      <c r="I179">
        <v>81.857958999999994</v>
      </c>
      <c r="J179">
        <v>5</v>
      </c>
      <c r="K179">
        <v>1000000</v>
      </c>
      <c r="Q179">
        <f t="shared" si="6"/>
        <v>0.78336999504910165</v>
      </c>
    </row>
    <row r="180" spans="3:17" x14ac:dyDescent="0.2">
      <c r="C180">
        <v>43</v>
      </c>
      <c r="D180">
        <v>0.55555600000000005</v>
      </c>
      <c r="E180">
        <v>0.33333299999999999</v>
      </c>
      <c r="F180">
        <v>0.111111</v>
      </c>
      <c r="G180">
        <v>1300</v>
      </c>
      <c r="H180">
        <v>1372.35</v>
      </c>
      <c r="I180">
        <v>198.76875999999999</v>
      </c>
      <c r="J180">
        <v>5</v>
      </c>
      <c r="K180">
        <v>1000000</v>
      </c>
      <c r="Q180">
        <f t="shared" si="6"/>
        <v>0.72867708674900722</v>
      </c>
    </row>
    <row r="181" spans="3:17" x14ac:dyDescent="0.2">
      <c r="C181">
        <v>43</v>
      </c>
      <c r="D181">
        <v>0.55555600000000005</v>
      </c>
      <c r="E181">
        <v>0.33333299999999999</v>
      </c>
      <c r="F181">
        <v>0.111111</v>
      </c>
      <c r="G181">
        <v>1400</v>
      </c>
      <c r="H181">
        <v>1512.4760000000001</v>
      </c>
      <c r="I181">
        <v>184.82388</v>
      </c>
      <c r="J181">
        <v>5</v>
      </c>
      <c r="K181">
        <v>1000000</v>
      </c>
      <c r="Q181">
        <f t="shared" si="6"/>
        <v>0.66116751604653556</v>
      </c>
    </row>
    <row r="182" spans="3:17" x14ac:dyDescent="0.2">
      <c r="C182">
        <v>43</v>
      </c>
      <c r="D182">
        <v>0.55555600000000005</v>
      </c>
      <c r="E182">
        <v>0.33333299999999999</v>
      </c>
      <c r="F182">
        <v>0.111111</v>
      </c>
      <c r="G182">
        <v>1500</v>
      </c>
      <c r="H182">
        <v>1766.932</v>
      </c>
      <c r="I182">
        <v>115.70003</v>
      </c>
      <c r="J182">
        <v>5</v>
      </c>
      <c r="K182">
        <v>1000000</v>
      </c>
      <c r="Q182">
        <f t="shared" si="6"/>
        <v>0.56595273615509822</v>
      </c>
    </row>
    <row r="183" spans="3:17" x14ac:dyDescent="0.2">
      <c r="C183">
        <v>44</v>
      </c>
      <c r="D183">
        <v>0.55555600000000005</v>
      </c>
      <c r="E183">
        <v>0.44444400000000001</v>
      </c>
      <c r="F183">
        <v>0</v>
      </c>
      <c r="G183">
        <v>1200</v>
      </c>
      <c r="H183">
        <v>1217.788</v>
      </c>
      <c r="I183">
        <v>138.16623000000001</v>
      </c>
      <c r="J183">
        <v>5</v>
      </c>
      <c r="K183">
        <v>1000000</v>
      </c>
      <c r="Q183">
        <f t="shared" si="6"/>
        <v>0.82116099025446132</v>
      </c>
    </row>
    <row r="184" spans="3:17" x14ac:dyDescent="0.2">
      <c r="C184">
        <v>44</v>
      </c>
      <c r="D184">
        <v>0.55555600000000005</v>
      </c>
      <c r="E184">
        <v>0.44444400000000001</v>
      </c>
      <c r="F184">
        <v>0</v>
      </c>
      <c r="G184">
        <v>1300</v>
      </c>
      <c r="H184">
        <v>1363.742</v>
      </c>
      <c r="I184">
        <v>105.77254000000001</v>
      </c>
      <c r="J184">
        <v>5</v>
      </c>
      <c r="K184">
        <v>1000000</v>
      </c>
      <c r="Q184">
        <f t="shared" si="6"/>
        <v>0.7332765288448988</v>
      </c>
    </row>
    <row r="185" spans="3:17" x14ac:dyDescent="0.2">
      <c r="C185">
        <v>44</v>
      </c>
      <c r="D185">
        <v>0.55555600000000005</v>
      </c>
      <c r="E185">
        <v>0.44444400000000001</v>
      </c>
      <c r="F185">
        <v>0</v>
      </c>
      <c r="G185">
        <v>1400</v>
      </c>
      <c r="H185">
        <v>1549.19</v>
      </c>
      <c r="I185">
        <v>189.33436</v>
      </c>
      <c r="J185">
        <v>5</v>
      </c>
      <c r="K185">
        <v>1000000</v>
      </c>
      <c r="Q185">
        <f t="shared" si="6"/>
        <v>0.64549861540546993</v>
      </c>
    </row>
    <row r="186" spans="3:17" x14ac:dyDescent="0.2">
      <c r="C186">
        <v>44</v>
      </c>
      <c r="D186">
        <v>0.55555600000000005</v>
      </c>
      <c r="E186">
        <v>0.44444400000000001</v>
      </c>
      <c r="F186">
        <v>0</v>
      </c>
      <c r="G186">
        <v>1500</v>
      </c>
      <c r="H186">
        <v>1783.144</v>
      </c>
      <c r="I186">
        <v>135.87674999999999</v>
      </c>
      <c r="J186">
        <v>5</v>
      </c>
      <c r="K186">
        <v>1000000</v>
      </c>
      <c r="Q186">
        <f t="shared" si="6"/>
        <v>0.56080720345636692</v>
      </c>
    </row>
    <row r="187" spans="3:17" x14ac:dyDescent="0.2">
      <c r="C187">
        <v>45</v>
      </c>
      <c r="D187">
        <v>0.66666700000000001</v>
      </c>
      <c r="E187">
        <v>0</v>
      </c>
      <c r="F187">
        <v>0.33333299999999999</v>
      </c>
      <c r="G187">
        <v>1200</v>
      </c>
      <c r="H187">
        <v>1234.7791999999999</v>
      </c>
      <c r="I187">
        <v>188.88929999999999</v>
      </c>
      <c r="J187">
        <v>5</v>
      </c>
      <c r="K187">
        <v>1000000</v>
      </c>
      <c r="Q187">
        <f t="shared" si="6"/>
        <v>0.80986139060327544</v>
      </c>
    </row>
    <row r="188" spans="3:17" x14ac:dyDescent="0.2">
      <c r="C188">
        <v>45</v>
      </c>
      <c r="D188">
        <v>0.66666700000000001</v>
      </c>
      <c r="E188">
        <v>0</v>
      </c>
      <c r="F188">
        <v>0.33333299999999999</v>
      </c>
      <c r="G188">
        <v>1300</v>
      </c>
      <c r="H188">
        <v>1245.644</v>
      </c>
      <c r="I188">
        <v>52.271912</v>
      </c>
      <c r="J188">
        <v>5</v>
      </c>
      <c r="K188">
        <v>1000000</v>
      </c>
      <c r="Q188">
        <f t="shared" si="6"/>
        <v>0.80279758903828058</v>
      </c>
    </row>
    <row r="189" spans="3:17" x14ac:dyDescent="0.2">
      <c r="C189">
        <v>45</v>
      </c>
      <c r="D189">
        <v>0.66666700000000001</v>
      </c>
      <c r="E189">
        <v>0</v>
      </c>
      <c r="F189">
        <v>0.33333299999999999</v>
      </c>
      <c r="G189">
        <v>1400</v>
      </c>
      <c r="H189">
        <v>1500.74</v>
      </c>
      <c r="I189">
        <v>264.26501999999999</v>
      </c>
      <c r="J189">
        <v>5</v>
      </c>
      <c r="K189">
        <v>1000000</v>
      </c>
      <c r="Q189">
        <f t="shared" si="6"/>
        <v>0.66633793994962487</v>
      </c>
    </row>
    <row r="190" spans="3:17" x14ac:dyDescent="0.2">
      <c r="C190">
        <v>45</v>
      </c>
      <c r="D190">
        <v>0.66666700000000001</v>
      </c>
      <c r="E190">
        <v>0</v>
      </c>
      <c r="F190">
        <v>0.33333299999999999</v>
      </c>
      <c r="G190">
        <v>1500</v>
      </c>
      <c r="H190">
        <v>1569.912</v>
      </c>
      <c r="I190">
        <v>108.95302</v>
      </c>
      <c r="J190">
        <v>5</v>
      </c>
      <c r="K190">
        <v>1000000</v>
      </c>
      <c r="Q190">
        <f t="shared" si="6"/>
        <v>0.63697837840592342</v>
      </c>
    </row>
    <row r="191" spans="3:17" x14ac:dyDescent="0.2">
      <c r="C191">
        <v>46</v>
      </c>
      <c r="D191">
        <v>0.66666700000000001</v>
      </c>
      <c r="E191">
        <v>0.111111</v>
      </c>
      <c r="F191">
        <v>0.222222</v>
      </c>
      <c r="G191">
        <v>1200</v>
      </c>
      <c r="H191">
        <v>1082.096</v>
      </c>
      <c r="I191">
        <v>178.63996</v>
      </c>
      <c r="J191">
        <v>5</v>
      </c>
      <c r="K191">
        <v>1000000</v>
      </c>
      <c r="Q191">
        <f t="shared" si="6"/>
        <v>0.9241324244798983</v>
      </c>
    </row>
    <row r="192" spans="3:17" x14ac:dyDescent="0.2">
      <c r="C192">
        <v>46</v>
      </c>
      <c r="D192">
        <v>0.66666700000000001</v>
      </c>
      <c r="E192">
        <v>0.111111</v>
      </c>
      <c r="F192">
        <v>0.222222</v>
      </c>
      <c r="G192">
        <v>1300</v>
      </c>
      <c r="H192">
        <v>1431.0219999999999</v>
      </c>
      <c r="I192">
        <v>119.63762</v>
      </c>
      <c r="J192">
        <v>5</v>
      </c>
      <c r="K192">
        <v>1000000</v>
      </c>
      <c r="Q192">
        <f t="shared" si="6"/>
        <v>0.69880127629065103</v>
      </c>
    </row>
    <row r="193" spans="3:17" x14ac:dyDescent="0.2">
      <c r="C193">
        <v>46</v>
      </c>
      <c r="D193">
        <v>0.66666700000000001</v>
      </c>
      <c r="E193">
        <v>0.111111</v>
      </c>
      <c r="F193">
        <v>0.222222</v>
      </c>
      <c r="G193">
        <v>1400</v>
      </c>
      <c r="H193">
        <v>1542.116</v>
      </c>
      <c r="I193">
        <v>190.04034999999999</v>
      </c>
      <c r="J193">
        <v>5</v>
      </c>
      <c r="K193">
        <v>1000000</v>
      </c>
      <c r="Q193">
        <f t="shared" si="6"/>
        <v>0.6484596489498845</v>
      </c>
    </row>
    <row r="194" spans="3:17" x14ac:dyDescent="0.2">
      <c r="C194">
        <v>46</v>
      </c>
      <c r="D194">
        <v>0.66666700000000001</v>
      </c>
      <c r="E194">
        <v>0.111111</v>
      </c>
      <c r="F194">
        <v>0.222222</v>
      </c>
      <c r="G194">
        <v>1500</v>
      </c>
      <c r="H194">
        <v>1857.914</v>
      </c>
      <c r="I194">
        <v>97.781205999999997</v>
      </c>
      <c r="J194">
        <v>5</v>
      </c>
      <c r="K194">
        <v>1000000</v>
      </c>
      <c r="Q194">
        <f t="shared" si="6"/>
        <v>0.5382380454638912</v>
      </c>
    </row>
    <row r="195" spans="3:17" x14ac:dyDescent="0.2">
      <c r="C195">
        <v>47</v>
      </c>
      <c r="D195">
        <v>0.66666700000000001</v>
      </c>
      <c r="E195">
        <v>0.222222</v>
      </c>
      <c r="F195">
        <v>0.111111</v>
      </c>
      <c r="G195">
        <v>1200</v>
      </c>
      <c r="H195">
        <v>1263.49</v>
      </c>
      <c r="I195">
        <v>134.43275</v>
      </c>
      <c r="J195">
        <v>5</v>
      </c>
      <c r="K195">
        <v>1000000</v>
      </c>
      <c r="Q195">
        <f t="shared" si="6"/>
        <v>0.79145857901526728</v>
      </c>
    </row>
    <row r="196" spans="3:17" x14ac:dyDescent="0.2">
      <c r="C196">
        <v>47</v>
      </c>
      <c r="D196">
        <v>0.66666700000000001</v>
      </c>
      <c r="E196">
        <v>0.222222</v>
      </c>
      <c r="F196">
        <v>0.111111</v>
      </c>
      <c r="G196">
        <v>1300</v>
      </c>
      <c r="H196">
        <v>1373.6379999999999</v>
      </c>
      <c r="I196">
        <v>123.30838</v>
      </c>
      <c r="J196">
        <v>5</v>
      </c>
      <c r="K196">
        <v>1000000</v>
      </c>
      <c r="Q196">
        <f t="shared" si="6"/>
        <v>0.72799383826015307</v>
      </c>
    </row>
    <row r="197" spans="3:17" x14ac:dyDescent="0.2">
      <c r="C197">
        <v>47</v>
      </c>
      <c r="D197">
        <v>0.66666700000000001</v>
      </c>
      <c r="E197">
        <v>0.222222</v>
      </c>
      <c r="F197">
        <v>0.111111</v>
      </c>
      <c r="G197">
        <v>1400</v>
      </c>
      <c r="H197">
        <v>1550.404</v>
      </c>
      <c r="I197">
        <v>99.893451999999996</v>
      </c>
      <c r="J197">
        <v>5</v>
      </c>
      <c r="K197">
        <v>1000000</v>
      </c>
      <c r="Q197">
        <f t="shared" si="6"/>
        <v>0.6449931759721983</v>
      </c>
    </row>
    <row r="198" spans="3:17" x14ac:dyDescent="0.2">
      <c r="C198">
        <v>47</v>
      </c>
      <c r="D198">
        <v>0.66666700000000001</v>
      </c>
      <c r="E198">
        <v>0.222222</v>
      </c>
      <c r="F198">
        <v>0.111111</v>
      </c>
      <c r="G198">
        <v>1500</v>
      </c>
      <c r="H198">
        <v>1699.078</v>
      </c>
      <c r="I198">
        <v>139.19607999999999</v>
      </c>
      <c r="J198">
        <v>5</v>
      </c>
      <c r="K198">
        <v>1000000</v>
      </c>
      <c r="Q198">
        <f t="shared" si="6"/>
        <v>0.58855449838088658</v>
      </c>
    </row>
    <row r="199" spans="3:17" x14ac:dyDescent="0.2">
      <c r="C199">
        <v>48</v>
      </c>
      <c r="D199">
        <v>0.66666700000000001</v>
      </c>
      <c r="E199">
        <v>0.33333299999999999</v>
      </c>
      <c r="F199">
        <v>0</v>
      </c>
      <c r="G199">
        <v>1200</v>
      </c>
      <c r="H199">
        <v>1214.74</v>
      </c>
      <c r="I199">
        <v>146.62501</v>
      </c>
      <c r="J199">
        <v>5</v>
      </c>
      <c r="K199">
        <v>1000000</v>
      </c>
      <c r="Q199">
        <f t="shared" si="6"/>
        <v>0.82322143010026838</v>
      </c>
    </row>
    <row r="200" spans="3:17" x14ac:dyDescent="0.2">
      <c r="C200">
        <v>48</v>
      </c>
      <c r="D200">
        <v>0.66666700000000001</v>
      </c>
      <c r="E200">
        <v>0.33333299999999999</v>
      </c>
      <c r="F200">
        <v>0</v>
      </c>
      <c r="G200">
        <v>1300</v>
      </c>
      <c r="H200">
        <v>1389.204</v>
      </c>
      <c r="I200">
        <v>231.43374</v>
      </c>
      <c r="J200">
        <v>5</v>
      </c>
      <c r="K200">
        <v>1000000</v>
      </c>
      <c r="Q200">
        <f t="shared" ref="Q200:Q226" si="7">1/H200*1000</f>
        <v>0.71983668345325813</v>
      </c>
    </row>
    <row r="201" spans="3:17" x14ac:dyDescent="0.2">
      <c r="C201">
        <v>48</v>
      </c>
      <c r="D201">
        <v>0.66666700000000001</v>
      </c>
      <c r="E201">
        <v>0.33333299999999999</v>
      </c>
      <c r="F201">
        <v>0</v>
      </c>
      <c r="G201">
        <v>1400</v>
      </c>
      <c r="H201">
        <v>1605.404</v>
      </c>
      <c r="I201">
        <v>174.52798000000001</v>
      </c>
      <c r="J201">
        <v>5</v>
      </c>
      <c r="K201">
        <v>1000000</v>
      </c>
      <c r="Q201">
        <f t="shared" si="7"/>
        <v>0.62289616819193183</v>
      </c>
    </row>
    <row r="202" spans="3:17" x14ac:dyDescent="0.2">
      <c r="C202">
        <v>48</v>
      </c>
      <c r="D202">
        <v>0.66666700000000001</v>
      </c>
      <c r="E202">
        <v>0.33333299999999999</v>
      </c>
      <c r="F202">
        <v>0</v>
      </c>
      <c r="G202">
        <v>1500</v>
      </c>
      <c r="H202">
        <v>1820.67</v>
      </c>
      <c r="I202">
        <v>215.02256</v>
      </c>
      <c r="J202">
        <v>5</v>
      </c>
      <c r="K202">
        <v>1000000</v>
      </c>
      <c r="Q202">
        <f t="shared" si="7"/>
        <v>0.54924835362806002</v>
      </c>
    </row>
    <row r="203" spans="3:17" x14ac:dyDescent="0.2">
      <c r="C203">
        <v>49</v>
      </c>
      <c r="D203">
        <v>0.77777799999999997</v>
      </c>
      <c r="E203">
        <v>0</v>
      </c>
      <c r="F203">
        <v>0.222222</v>
      </c>
      <c r="G203">
        <v>1200</v>
      </c>
      <c r="H203">
        <v>1101.8322000000001</v>
      </c>
      <c r="I203">
        <v>84.953017000000003</v>
      </c>
      <c r="J203">
        <v>5</v>
      </c>
      <c r="K203">
        <v>1000000</v>
      </c>
      <c r="Q203">
        <f t="shared" si="7"/>
        <v>0.90757921215226778</v>
      </c>
    </row>
    <row r="204" spans="3:17" x14ac:dyDescent="0.2">
      <c r="C204">
        <v>49</v>
      </c>
      <c r="D204">
        <v>0.77777799999999997</v>
      </c>
      <c r="E204">
        <v>0</v>
      </c>
      <c r="F204">
        <v>0.222222</v>
      </c>
      <c r="G204">
        <v>1300</v>
      </c>
      <c r="H204">
        <v>1372.1959999999999</v>
      </c>
      <c r="I204">
        <v>153.01650000000001</v>
      </c>
      <c r="J204">
        <v>5</v>
      </c>
      <c r="K204">
        <v>1000000</v>
      </c>
      <c r="Q204">
        <f t="shared" si="7"/>
        <v>0.72875886535159706</v>
      </c>
    </row>
    <row r="205" spans="3:17" x14ac:dyDescent="0.2">
      <c r="C205">
        <v>49</v>
      </c>
      <c r="D205">
        <v>0.77777799999999997</v>
      </c>
      <c r="E205">
        <v>0</v>
      </c>
      <c r="F205">
        <v>0.222222</v>
      </c>
      <c r="G205">
        <v>1400</v>
      </c>
      <c r="H205">
        <v>1328.93</v>
      </c>
      <c r="I205">
        <v>148.68822</v>
      </c>
      <c r="J205">
        <v>5</v>
      </c>
      <c r="K205">
        <v>1000000</v>
      </c>
      <c r="Q205">
        <f t="shared" si="7"/>
        <v>0.75248508198324959</v>
      </c>
    </row>
    <row r="206" spans="3:17" x14ac:dyDescent="0.2">
      <c r="C206">
        <v>49</v>
      </c>
      <c r="D206">
        <v>0.77777799999999997</v>
      </c>
      <c r="E206">
        <v>0</v>
      </c>
      <c r="F206">
        <v>0.222222</v>
      </c>
      <c r="G206">
        <v>1500</v>
      </c>
      <c r="H206">
        <v>1676.89</v>
      </c>
      <c r="I206">
        <v>211.03317000000001</v>
      </c>
      <c r="J206">
        <v>5</v>
      </c>
      <c r="K206">
        <v>1000000</v>
      </c>
      <c r="Q206">
        <f t="shared" si="7"/>
        <v>0.59634203793928042</v>
      </c>
    </row>
    <row r="207" spans="3:17" x14ac:dyDescent="0.2">
      <c r="C207">
        <v>50</v>
      </c>
      <c r="D207">
        <v>0.77777799999999997</v>
      </c>
      <c r="E207">
        <v>0.111111</v>
      </c>
      <c r="F207">
        <v>0.111111</v>
      </c>
      <c r="G207">
        <v>1200</v>
      </c>
      <c r="H207">
        <v>1187.1500000000001</v>
      </c>
      <c r="I207">
        <v>143.51537999999999</v>
      </c>
      <c r="J207">
        <v>5</v>
      </c>
      <c r="K207">
        <v>1000000</v>
      </c>
      <c r="Q207">
        <f t="shared" si="7"/>
        <v>0.84235353577896632</v>
      </c>
    </row>
    <row r="208" spans="3:17" x14ac:dyDescent="0.2">
      <c r="C208">
        <v>50</v>
      </c>
      <c r="D208">
        <v>0.77777799999999997</v>
      </c>
      <c r="E208">
        <v>0.111111</v>
      </c>
      <c r="F208">
        <v>0.111111</v>
      </c>
      <c r="G208">
        <v>1300</v>
      </c>
      <c r="H208">
        <v>1305.51</v>
      </c>
      <c r="I208">
        <v>48.777959000000003</v>
      </c>
      <c r="J208">
        <v>5</v>
      </c>
      <c r="K208">
        <v>1000000</v>
      </c>
      <c r="Q208">
        <f t="shared" si="7"/>
        <v>0.76598417476694936</v>
      </c>
    </row>
    <row r="209" spans="3:17" x14ac:dyDescent="0.2">
      <c r="C209">
        <v>50</v>
      </c>
      <c r="D209">
        <v>0.77777799999999997</v>
      </c>
      <c r="E209">
        <v>0.111111</v>
      </c>
      <c r="F209">
        <v>0.111111</v>
      </c>
      <c r="G209">
        <v>1400</v>
      </c>
      <c r="H209">
        <v>1491.74</v>
      </c>
      <c r="I209">
        <v>277.66280999999998</v>
      </c>
      <c r="J209">
        <v>5</v>
      </c>
      <c r="K209">
        <v>1000000</v>
      </c>
      <c r="Q209">
        <f t="shared" si="7"/>
        <v>0.67035810529985118</v>
      </c>
    </row>
    <row r="210" spans="3:17" x14ac:dyDescent="0.2">
      <c r="C210">
        <v>50</v>
      </c>
      <c r="D210">
        <v>0.77777799999999997</v>
      </c>
      <c r="E210">
        <v>0.111111</v>
      </c>
      <c r="F210">
        <v>0.111111</v>
      </c>
      <c r="G210">
        <v>1500</v>
      </c>
      <c r="H210">
        <v>1677.9960000000001</v>
      </c>
      <c r="I210">
        <v>181.95242999999999</v>
      </c>
      <c r="J210">
        <v>5</v>
      </c>
      <c r="K210">
        <v>1000000</v>
      </c>
      <c r="Q210">
        <f t="shared" si="7"/>
        <v>0.59594897723236528</v>
      </c>
    </row>
    <row r="211" spans="3:17" x14ac:dyDescent="0.2">
      <c r="C211">
        <v>51</v>
      </c>
      <c r="D211">
        <v>0.77777799999999997</v>
      </c>
      <c r="E211">
        <v>0.222222</v>
      </c>
      <c r="F211">
        <v>0</v>
      </c>
      <c r="G211">
        <v>1200</v>
      </c>
      <c r="H211">
        <v>1180.268</v>
      </c>
      <c r="I211">
        <v>134.02673999999999</v>
      </c>
      <c r="J211">
        <v>5</v>
      </c>
      <c r="K211">
        <v>1000000</v>
      </c>
      <c r="Q211">
        <f t="shared" si="7"/>
        <v>0.84726519739584572</v>
      </c>
    </row>
    <row r="212" spans="3:17" x14ac:dyDescent="0.2">
      <c r="C212">
        <v>51</v>
      </c>
      <c r="D212">
        <v>0.77777799999999997</v>
      </c>
      <c r="E212">
        <v>0.222222</v>
      </c>
      <c r="F212">
        <v>0</v>
      </c>
      <c r="G212">
        <v>1300</v>
      </c>
      <c r="H212">
        <v>1335.1849999999999</v>
      </c>
      <c r="I212">
        <v>200.69820000000001</v>
      </c>
      <c r="J212">
        <v>5</v>
      </c>
      <c r="K212">
        <v>1000000</v>
      </c>
      <c r="Q212">
        <f t="shared" si="7"/>
        <v>0.74895988196392271</v>
      </c>
    </row>
    <row r="213" spans="3:17" x14ac:dyDescent="0.2">
      <c r="C213">
        <v>51</v>
      </c>
      <c r="D213">
        <v>0.77777799999999997</v>
      </c>
      <c r="E213">
        <v>0.222222</v>
      </c>
      <c r="F213">
        <v>0</v>
      </c>
      <c r="G213">
        <v>1400</v>
      </c>
      <c r="H213">
        <v>1551.3879999999999</v>
      </c>
      <c r="I213">
        <v>188.94345999999999</v>
      </c>
      <c r="J213">
        <v>5</v>
      </c>
      <c r="K213">
        <v>1000000</v>
      </c>
      <c r="Q213">
        <f t="shared" si="7"/>
        <v>0.64458407567932718</v>
      </c>
    </row>
    <row r="214" spans="3:17" x14ac:dyDescent="0.2">
      <c r="C214">
        <v>51</v>
      </c>
      <c r="D214">
        <v>0.77777799999999997</v>
      </c>
      <c r="E214">
        <v>0.222222</v>
      </c>
      <c r="F214">
        <v>0</v>
      </c>
      <c r="G214">
        <v>1500</v>
      </c>
      <c r="H214">
        <v>1826.2819999999999</v>
      </c>
      <c r="I214">
        <v>218.44023000000001</v>
      </c>
      <c r="J214">
        <v>5</v>
      </c>
      <c r="K214">
        <v>1000000</v>
      </c>
      <c r="Q214">
        <f t="shared" si="7"/>
        <v>0.54756056293606359</v>
      </c>
    </row>
    <row r="215" spans="3:17" x14ac:dyDescent="0.2">
      <c r="C215">
        <v>52</v>
      </c>
      <c r="D215">
        <v>0.88888900000000004</v>
      </c>
      <c r="E215">
        <v>0</v>
      </c>
      <c r="F215">
        <v>0.111111</v>
      </c>
      <c r="G215">
        <v>1200</v>
      </c>
      <c r="H215">
        <v>1064.8706</v>
      </c>
      <c r="I215">
        <v>58.312922</v>
      </c>
      <c r="J215">
        <v>5</v>
      </c>
      <c r="K215">
        <v>1000000</v>
      </c>
      <c r="Q215">
        <f t="shared" si="7"/>
        <v>0.93908123672491295</v>
      </c>
    </row>
    <row r="216" spans="3:17" x14ac:dyDescent="0.2">
      <c r="C216">
        <v>52</v>
      </c>
      <c r="D216">
        <v>0.88888900000000004</v>
      </c>
      <c r="E216">
        <v>0</v>
      </c>
      <c r="F216">
        <v>0.111111</v>
      </c>
      <c r="G216">
        <v>1300</v>
      </c>
      <c r="H216">
        <v>1261.83</v>
      </c>
      <c r="I216">
        <v>97.090599999999995</v>
      </c>
      <c r="J216">
        <v>5</v>
      </c>
      <c r="K216">
        <v>1000000</v>
      </c>
      <c r="Q216">
        <f t="shared" si="7"/>
        <v>0.79249978206256</v>
      </c>
    </row>
    <row r="217" spans="3:17" x14ac:dyDescent="0.2">
      <c r="C217">
        <v>52</v>
      </c>
      <c r="D217">
        <v>0.88888900000000004</v>
      </c>
      <c r="E217">
        <v>0</v>
      </c>
      <c r="F217">
        <v>0.111111</v>
      </c>
      <c r="G217">
        <v>1400</v>
      </c>
      <c r="H217">
        <v>1412.1079999999999</v>
      </c>
      <c r="I217">
        <v>81.029929999999993</v>
      </c>
      <c r="J217">
        <v>5</v>
      </c>
      <c r="K217">
        <v>1000000</v>
      </c>
      <c r="Q217">
        <f t="shared" si="7"/>
        <v>0.70816113215136511</v>
      </c>
    </row>
    <row r="218" spans="3:17" x14ac:dyDescent="0.2">
      <c r="C218">
        <v>52</v>
      </c>
      <c r="D218">
        <v>0.88888900000000004</v>
      </c>
      <c r="E218">
        <v>0</v>
      </c>
      <c r="F218">
        <v>0.111111</v>
      </c>
      <c r="G218">
        <v>1500</v>
      </c>
      <c r="H218">
        <v>1672.8</v>
      </c>
      <c r="I218">
        <v>116.47902000000001</v>
      </c>
      <c r="J218">
        <v>5</v>
      </c>
      <c r="K218">
        <v>1000000</v>
      </c>
      <c r="Q218">
        <f t="shared" si="7"/>
        <v>0.59780009564801528</v>
      </c>
    </row>
    <row r="219" spans="3:17" x14ac:dyDescent="0.2">
      <c r="C219">
        <v>53</v>
      </c>
      <c r="D219">
        <v>0.88888900000000004</v>
      </c>
      <c r="E219">
        <v>0.111111</v>
      </c>
      <c r="F219">
        <v>0</v>
      </c>
      <c r="G219">
        <v>1200</v>
      </c>
      <c r="H219">
        <v>1117.1795999999999</v>
      </c>
      <c r="I219">
        <v>149.35980000000001</v>
      </c>
      <c r="J219">
        <v>5</v>
      </c>
      <c r="K219">
        <v>1000000</v>
      </c>
      <c r="Q219">
        <f t="shared" si="7"/>
        <v>0.89511122473056259</v>
      </c>
    </row>
    <row r="220" spans="3:17" x14ac:dyDescent="0.2">
      <c r="C220">
        <v>53</v>
      </c>
      <c r="D220">
        <v>0.88888900000000004</v>
      </c>
      <c r="E220">
        <v>0.111111</v>
      </c>
      <c r="F220">
        <v>0</v>
      </c>
      <c r="G220">
        <v>1300</v>
      </c>
      <c r="H220">
        <v>1236.7280000000001</v>
      </c>
      <c r="I220">
        <v>151.65613999999999</v>
      </c>
      <c r="J220">
        <v>5</v>
      </c>
      <c r="K220">
        <v>1000000</v>
      </c>
      <c r="Q220">
        <f t="shared" si="7"/>
        <v>0.80858523458674825</v>
      </c>
    </row>
    <row r="221" spans="3:17" x14ac:dyDescent="0.2">
      <c r="C221">
        <v>53</v>
      </c>
      <c r="D221">
        <v>0.88888900000000004</v>
      </c>
      <c r="E221">
        <v>0.111111</v>
      </c>
      <c r="F221">
        <v>0</v>
      </c>
      <c r="G221">
        <v>1400</v>
      </c>
      <c r="H221">
        <v>1509.8979999999999</v>
      </c>
      <c r="I221">
        <v>117.67174</v>
      </c>
      <c r="J221">
        <v>5</v>
      </c>
      <c r="K221">
        <v>1000000</v>
      </c>
      <c r="Q221">
        <f t="shared" si="7"/>
        <v>0.66229639353121872</v>
      </c>
    </row>
    <row r="222" spans="3:17" x14ac:dyDescent="0.2">
      <c r="C222">
        <v>53</v>
      </c>
      <c r="D222">
        <v>0.88888900000000004</v>
      </c>
      <c r="E222">
        <v>0.111111</v>
      </c>
      <c r="F222">
        <v>0</v>
      </c>
      <c r="G222">
        <v>1500</v>
      </c>
      <c r="H222">
        <v>1636.6020000000001</v>
      </c>
      <c r="I222">
        <v>205.7714</v>
      </c>
      <c r="J222">
        <v>5</v>
      </c>
      <c r="K222">
        <v>1000000</v>
      </c>
      <c r="Q222">
        <f t="shared" si="7"/>
        <v>0.61102210555773484</v>
      </c>
    </row>
    <row r="223" spans="3:17" x14ac:dyDescent="0.2">
      <c r="C223">
        <v>54</v>
      </c>
      <c r="D223">
        <v>1</v>
      </c>
      <c r="E223">
        <v>0</v>
      </c>
      <c r="F223">
        <v>0</v>
      </c>
      <c r="G223">
        <v>1200</v>
      </c>
      <c r="H223">
        <v>1107.5668000000001</v>
      </c>
      <c r="I223">
        <v>179.17429999999999</v>
      </c>
      <c r="J223">
        <v>5</v>
      </c>
      <c r="K223">
        <v>1000000</v>
      </c>
      <c r="Q223">
        <f t="shared" si="7"/>
        <v>0.90288007910674106</v>
      </c>
    </row>
    <row r="224" spans="3:17" x14ac:dyDescent="0.2">
      <c r="C224">
        <v>54</v>
      </c>
      <c r="D224">
        <v>1</v>
      </c>
      <c r="E224">
        <v>0</v>
      </c>
      <c r="F224">
        <v>0</v>
      </c>
      <c r="G224">
        <v>1300</v>
      </c>
      <c r="H224">
        <v>1241.932</v>
      </c>
      <c r="I224">
        <v>219.53527</v>
      </c>
      <c r="J224">
        <v>5</v>
      </c>
      <c r="K224">
        <v>1000000</v>
      </c>
      <c r="Q224">
        <f t="shared" si="7"/>
        <v>0.80519706392942614</v>
      </c>
    </row>
    <row r="225" spans="3:17" x14ac:dyDescent="0.2">
      <c r="C225">
        <v>54</v>
      </c>
      <c r="D225">
        <v>1</v>
      </c>
      <c r="E225">
        <v>0</v>
      </c>
      <c r="F225">
        <v>0</v>
      </c>
      <c r="G225">
        <v>1400</v>
      </c>
      <c r="H225">
        <v>1239.616</v>
      </c>
      <c r="I225">
        <v>235.44271000000001</v>
      </c>
      <c r="J225">
        <v>5</v>
      </c>
      <c r="K225">
        <v>1000000</v>
      </c>
      <c r="Q225">
        <f t="shared" si="7"/>
        <v>0.80670143012029538</v>
      </c>
    </row>
    <row r="226" spans="3:17" x14ac:dyDescent="0.2">
      <c r="C226">
        <v>54</v>
      </c>
      <c r="D226">
        <v>1</v>
      </c>
      <c r="E226">
        <v>0</v>
      </c>
      <c r="F226">
        <v>0</v>
      </c>
      <c r="G226">
        <v>1500</v>
      </c>
      <c r="H226">
        <v>1625.88</v>
      </c>
      <c r="I226">
        <v>163.72036</v>
      </c>
      <c r="J226">
        <v>5</v>
      </c>
      <c r="K226">
        <v>1000000</v>
      </c>
      <c r="Q226">
        <f t="shared" si="7"/>
        <v>0.61505154131916251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LiKNaCl MTP 18C</vt:lpstr>
      <vt:lpstr>LiCl-KCl</vt:lpstr>
      <vt:lpstr>LiCl-NaCl</vt:lpstr>
      <vt:lpstr>KCl-NaCl</vt:lpstr>
      <vt:lpstr>LiKNaCl ternaries</vt:lpstr>
      <vt:lpstr>new_ternaries</vt:lpstr>
      <vt:lpstr>rdfs</vt:lpstr>
      <vt:lpstr>viscosity</vt:lpstr>
      <vt:lpstr>Sheet1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2026-09-03T20:30:41Z</dcterms:modified>
</cp:coreProperties>
</file>