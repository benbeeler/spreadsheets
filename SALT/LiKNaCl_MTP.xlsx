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SALT/"/>
    </mc:Choice>
  </mc:AlternateContent>
  <xr:revisionPtr revIDLastSave="0" documentId="13_ncr:1_{AF38635D-1C11-D644-BF79-4FF838C19C5C}" xr6:coauthVersionLast="47" xr6:coauthVersionMax="47" xr10:uidLastSave="{00000000-0000-0000-0000-000000000000}"/>
  <bookViews>
    <workbookView xWindow="5540" yWindow="5720" windowWidth="27640" windowHeight="16020" activeTab="1" xr2:uid="{263A2D24-7DC2-114A-B34B-DF7FAD104BF4}"/>
  </bookViews>
  <sheets>
    <sheet name="LiKNaCl MTP 14B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" l="1" a="1"/>
  <c r="L33" i="1" s="1"/>
  <c r="L34" i="1" s="1"/>
  <c r="G33" i="1" a="1"/>
  <c r="G33" i="1" s="1"/>
  <c r="G34" i="1" s="1"/>
  <c r="M31" i="1"/>
  <c r="K31" i="1"/>
  <c r="L31" i="1" s="1"/>
  <c r="M30" i="1"/>
  <c r="K30" i="1"/>
  <c r="L30" i="1" s="1"/>
  <c r="M29" i="1"/>
  <c r="K29" i="1"/>
  <c r="L29" i="1" s="1"/>
  <c r="M28" i="1"/>
  <c r="K28" i="1"/>
  <c r="L28" i="1" s="1"/>
  <c r="L22" i="1" a="1"/>
  <c r="L22" i="1" s="1"/>
  <c r="L23" i="1" s="1"/>
  <c r="G22" i="1" a="1"/>
  <c r="G22" i="1" s="1"/>
  <c r="G23" i="1" s="1"/>
  <c r="M6" i="1"/>
  <c r="G11" i="1" a="1"/>
  <c r="G11" i="1" s="1"/>
  <c r="G12" i="1" s="1"/>
  <c r="L9" i="1"/>
  <c r="K9" i="1"/>
  <c r="L20" i="1"/>
  <c r="K20" i="1"/>
  <c r="M20" i="1"/>
  <c r="M19" i="1"/>
  <c r="K19" i="1"/>
  <c r="L19" i="1" s="1"/>
  <c r="M18" i="1"/>
  <c r="K18" i="1"/>
  <c r="L18" i="1" s="1"/>
  <c r="M17" i="1"/>
  <c r="K17" i="1"/>
  <c r="L17" i="1" s="1"/>
  <c r="AX10" i="2" l="1"/>
  <c r="AX11" i="2"/>
  <c r="AX12" i="2" s="1"/>
  <c r="AX13" i="2" s="1"/>
  <c r="AX14" i="2" s="1"/>
  <c r="AX15" i="2" s="1"/>
  <c r="AX16" i="2" s="1"/>
  <c r="AX17" i="2" s="1"/>
  <c r="AX18" i="2" s="1"/>
  <c r="AX19" i="2" s="1"/>
  <c r="AX20" i="2" s="1"/>
  <c r="AX21" i="2" s="1"/>
  <c r="AX22" i="2" s="1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AX33" i="2" s="1"/>
  <c r="AX34" i="2" s="1"/>
  <c r="AX35" i="2" s="1"/>
  <c r="AX36" i="2" s="1"/>
  <c r="AX37" i="2" s="1"/>
  <c r="AX38" i="2" s="1"/>
  <c r="AX39" i="2" s="1"/>
  <c r="AX40" i="2" s="1"/>
  <c r="AX41" i="2" s="1"/>
  <c r="AX42" i="2" s="1"/>
  <c r="AX43" i="2" s="1"/>
  <c r="AX44" i="2" s="1"/>
  <c r="AX45" i="2" s="1"/>
  <c r="AX46" i="2" s="1"/>
  <c r="AX47" i="2" s="1"/>
  <c r="AX48" i="2" s="1"/>
  <c r="AX49" i="2" s="1"/>
  <c r="AX50" i="2" s="1"/>
  <c r="AX51" i="2" s="1"/>
  <c r="AX52" i="2" s="1"/>
  <c r="AX53" i="2" s="1"/>
  <c r="AX54" i="2" s="1"/>
  <c r="AX55" i="2" s="1"/>
  <c r="AX56" i="2" s="1"/>
  <c r="AX57" i="2" s="1"/>
  <c r="AX58" i="2" s="1"/>
  <c r="AX59" i="2" s="1"/>
  <c r="AX60" i="2" s="1"/>
  <c r="AX61" i="2" s="1"/>
  <c r="AX62" i="2" s="1"/>
  <c r="AX63" i="2" s="1"/>
  <c r="AX64" i="2" s="1"/>
  <c r="AX65" i="2" s="1"/>
  <c r="AX66" i="2" s="1"/>
  <c r="AX67" i="2" s="1"/>
  <c r="AX68" i="2" s="1"/>
  <c r="AX69" i="2" s="1"/>
  <c r="AX70" i="2" s="1"/>
  <c r="AX71" i="2" s="1"/>
  <c r="AX72" i="2" s="1"/>
  <c r="AX73" i="2" s="1"/>
  <c r="AX74" i="2" s="1"/>
  <c r="AX75" i="2" s="1"/>
  <c r="AX76" i="2" s="1"/>
  <c r="AX77" i="2" s="1"/>
  <c r="AX78" i="2" s="1"/>
  <c r="AX79" i="2" s="1"/>
  <c r="AX80" i="2" s="1"/>
  <c r="AX81" i="2" s="1"/>
  <c r="AX82" i="2" s="1"/>
  <c r="AX83" i="2" s="1"/>
  <c r="AX84" i="2" s="1"/>
  <c r="AX85" i="2" s="1"/>
  <c r="AX86" i="2" s="1"/>
  <c r="AX87" i="2" s="1"/>
  <c r="AX88" i="2" s="1"/>
  <c r="AX89" i="2" s="1"/>
  <c r="AX90" i="2" s="1"/>
  <c r="AX91" i="2" s="1"/>
  <c r="AX92" i="2" s="1"/>
  <c r="AX93" i="2" s="1"/>
  <c r="AX94" i="2" s="1"/>
  <c r="AX95" i="2" s="1"/>
  <c r="AX96" i="2" s="1"/>
  <c r="AX97" i="2" s="1"/>
  <c r="AX98" i="2" s="1"/>
  <c r="AX99" i="2" s="1"/>
  <c r="AX100" i="2" s="1"/>
  <c r="AX101" i="2" s="1"/>
  <c r="AX102" i="2" s="1"/>
  <c r="AX103" i="2" s="1"/>
  <c r="AX104" i="2" s="1"/>
  <c r="AX105" i="2" s="1"/>
  <c r="AX106" i="2" s="1"/>
  <c r="AX107" i="2" s="1"/>
  <c r="AP10" i="2"/>
  <c r="AP11" i="2"/>
  <c r="AP12" i="2" s="1"/>
  <c r="AP13" i="2" s="1"/>
  <c r="AP14" i="2" s="1"/>
  <c r="AP15" i="2" s="1"/>
  <c r="AP16" i="2" s="1"/>
  <c r="AP17" i="2" s="1"/>
  <c r="AP18" i="2" s="1"/>
  <c r="AP19" i="2" s="1"/>
  <c r="AP20" i="2" s="1"/>
  <c r="AP21" i="2" s="1"/>
  <c r="AP22" i="2" s="1"/>
  <c r="AP23" i="2" s="1"/>
  <c r="AP24" i="2" s="1"/>
  <c r="AP25" i="2" s="1"/>
  <c r="AP26" i="2" s="1"/>
  <c r="AP27" i="2" s="1"/>
  <c r="AP28" i="2" s="1"/>
  <c r="AP29" i="2" s="1"/>
  <c r="AP30" i="2" s="1"/>
  <c r="AP31" i="2" s="1"/>
  <c r="AP32" i="2" s="1"/>
  <c r="AP33" i="2" s="1"/>
  <c r="AP34" i="2" s="1"/>
  <c r="AP35" i="2" s="1"/>
  <c r="AP36" i="2" s="1"/>
  <c r="AP37" i="2" s="1"/>
  <c r="AP38" i="2" s="1"/>
  <c r="AP39" i="2" s="1"/>
  <c r="AP40" i="2" s="1"/>
  <c r="AP41" i="2" s="1"/>
  <c r="AP42" i="2" s="1"/>
  <c r="AP43" i="2" s="1"/>
  <c r="AP44" i="2" s="1"/>
  <c r="AP45" i="2" s="1"/>
  <c r="AP46" i="2" s="1"/>
  <c r="AP47" i="2" s="1"/>
  <c r="AP48" i="2" s="1"/>
  <c r="AP49" i="2" s="1"/>
  <c r="AP50" i="2" s="1"/>
  <c r="AP51" i="2" s="1"/>
  <c r="AP52" i="2" s="1"/>
  <c r="AP53" i="2" s="1"/>
  <c r="AP54" i="2" s="1"/>
  <c r="AP55" i="2" s="1"/>
  <c r="AP56" i="2" s="1"/>
  <c r="AP57" i="2" s="1"/>
  <c r="AP58" i="2" s="1"/>
  <c r="AP59" i="2" s="1"/>
  <c r="AP60" i="2" s="1"/>
  <c r="AP61" i="2" s="1"/>
  <c r="AP62" i="2" s="1"/>
  <c r="AP63" i="2" s="1"/>
  <c r="AP64" i="2" s="1"/>
  <c r="AP65" i="2" s="1"/>
  <c r="AP66" i="2" s="1"/>
  <c r="AP67" i="2" s="1"/>
  <c r="AP68" i="2" s="1"/>
  <c r="AP69" i="2" s="1"/>
  <c r="AP70" i="2" s="1"/>
  <c r="AP71" i="2" s="1"/>
  <c r="AP72" i="2" s="1"/>
  <c r="AP73" i="2" s="1"/>
  <c r="AP74" i="2" s="1"/>
  <c r="AP75" i="2" s="1"/>
  <c r="AP76" i="2" s="1"/>
  <c r="AP77" i="2" s="1"/>
  <c r="AP78" i="2" s="1"/>
  <c r="AP79" i="2" s="1"/>
  <c r="AP80" i="2" s="1"/>
  <c r="AP81" i="2" s="1"/>
  <c r="AP82" i="2" s="1"/>
  <c r="AP83" i="2" s="1"/>
  <c r="AP84" i="2" s="1"/>
  <c r="AP85" i="2" s="1"/>
  <c r="AP86" i="2" s="1"/>
  <c r="AP87" i="2" s="1"/>
  <c r="AP88" i="2" s="1"/>
  <c r="AP89" i="2" s="1"/>
  <c r="AP90" i="2" s="1"/>
  <c r="AP91" i="2" s="1"/>
  <c r="AP92" i="2" s="1"/>
  <c r="AP93" i="2" s="1"/>
  <c r="AP94" i="2" s="1"/>
  <c r="AP95" i="2" s="1"/>
  <c r="AP96" i="2" s="1"/>
  <c r="AP97" i="2" s="1"/>
  <c r="AP98" i="2" s="1"/>
  <c r="AP99" i="2" s="1"/>
  <c r="AP100" i="2" s="1"/>
  <c r="AP101" i="2" s="1"/>
  <c r="AP102" i="2" s="1"/>
  <c r="AP103" i="2" s="1"/>
  <c r="AP104" i="2" s="1"/>
  <c r="AP105" i="2" s="1"/>
  <c r="AP106" i="2" s="1"/>
  <c r="AP107" i="2" s="1"/>
  <c r="AX7" i="2"/>
  <c r="AX8" i="2" s="1"/>
  <c r="AX9" i="2" s="1"/>
  <c r="AP7" i="2"/>
  <c r="AP8" i="2" s="1"/>
  <c r="AP9" i="2" s="1"/>
  <c r="AH9" i="2"/>
  <c r="AH10" i="2"/>
  <c r="AH11" i="2"/>
  <c r="AH12" i="2"/>
  <c r="AH13" i="2"/>
  <c r="AH14" i="2"/>
  <c r="AH15" i="2"/>
  <c r="AH16" i="2"/>
  <c r="AH17" i="2"/>
  <c r="AH18" i="2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H63" i="2" s="1"/>
  <c r="AH64" i="2" s="1"/>
  <c r="AH65" i="2" s="1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H79" i="2" s="1"/>
  <c r="AH80" i="2" s="1"/>
  <c r="AH81" i="2" s="1"/>
  <c r="AH82" i="2" s="1"/>
  <c r="AH83" i="2" s="1"/>
  <c r="AH84" i="2" s="1"/>
  <c r="AH85" i="2" s="1"/>
  <c r="AH86" i="2" s="1"/>
  <c r="AH87" i="2" s="1"/>
  <c r="AH88" i="2" s="1"/>
  <c r="AH89" i="2" s="1"/>
  <c r="AH90" i="2" s="1"/>
  <c r="AH91" i="2" s="1"/>
  <c r="AH92" i="2" s="1"/>
  <c r="AH93" i="2" s="1"/>
  <c r="AH94" i="2" s="1"/>
  <c r="AH95" i="2" s="1"/>
  <c r="AH96" i="2" s="1"/>
  <c r="AH97" i="2" s="1"/>
  <c r="AH98" i="2" s="1"/>
  <c r="AH99" i="2" s="1"/>
  <c r="AH100" i="2" s="1"/>
  <c r="AH101" i="2" s="1"/>
  <c r="AH102" i="2" s="1"/>
  <c r="AH103" i="2" s="1"/>
  <c r="AH104" i="2" s="1"/>
  <c r="AH105" i="2" s="1"/>
  <c r="AH106" i="2" s="1"/>
  <c r="AH107" i="2" s="1"/>
  <c r="AH8" i="2"/>
  <c r="AH7" i="2"/>
  <c r="Z10" i="2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7" i="2"/>
  <c r="Z8" i="2" s="1"/>
  <c r="Z9" i="2" s="1"/>
  <c r="R10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7" i="2"/>
  <c r="R8" i="2" s="1"/>
  <c r="R9" i="2" s="1"/>
  <c r="J9" i="2"/>
  <c r="J10" i="2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7" i="2"/>
  <c r="J8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8" i="2"/>
  <c r="B7" i="2"/>
  <c r="L11" i="1" a="1"/>
  <c r="L11" i="1" s="1"/>
  <c r="L12" i="1" s="1"/>
  <c r="M7" i="1"/>
  <c r="M8" i="1"/>
  <c r="M9" i="1"/>
  <c r="K8" i="1"/>
  <c r="L8" i="1" s="1"/>
  <c r="K6" i="1"/>
  <c r="L6" i="1"/>
  <c r="K7" i="1"/>
  <c r="L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<sst xmlns="http://schemas.openxmlformats.org/spreadsheetml/2006/main" count="104" uniqueCount="38">
  <si>
    <t>LiCl</t>
  </si>
  <si>
    <t>TimeStep</t>
  </si>
  <si>
    <t>v_T</t>
  </si>
  <si>
    <t>v_E</t>
  </si>
  <si>
    <t>v_V</t>
  </si>
  <si>
    <t>v_P</t>
  </si>
  <si>
    <t>c_nat[1]</t>
  </si>
  <si>
    <t>c_nat[2]</t>
  </si>
  <si>
    <t>c_nat[3]</t>
  </si>
  <si>
    <t>c_nat[4]</t>
  </si>
  <si>
    <t>Li</t>
  </si>
  <si>
    <t>K</t>
  </si>
  <si>
    <t>Na</t>
  </si>
  <si>
    <t>Cl</t>
  </si>
  <si>
    <t>mass</t>
  </si>
  <si>
    <t>total mass</t>
  </si>
  <si>
    <t>density</t>
  </si>
  <si>
    <t>KCl</t>
  </si>
  <si>
    <t>DFT</t>
  </si>
  <si>
    <t>EXPT</t>
  </si>
  <si>
    <t>CTE</t>
  </si>
  <si>
    <t>TE</t>
  </si>
  <si>
    <t>Cp</t>
  </si>
  <si>
    <t>LiCl EvsR</t>
  </si>
  <si>
    <t>#</t>
  </si>
  <si>
    <t>Time-averaged</t>
  </si>
  <si>
    <t>data</t>
  </si>
  <si>
    <t>for</t>
  </si>
  <si>
    <t>fix</t>
  </si>
  <si>
    <t>c_PE</t>
  </si>
  <si>
    <t>c_P</t>
  </si>
  <si>
    <t>KCl EvsR</t>
  </si>
  <si>
    <t>NaCl EvsR</t>
  </si>
  <si>
    <t>LiLi EvsR</t>
  </si>
  <si>
    <t>KK EvsR</t>
  </si>
  <si>
    <t>ClCl EvsR</t>
  </si>
  <si>
    <t>NaNa EvsR</t>
  </si>
  <si>
    <t>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</si>
</sst>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'LiKNaCl MTP 14B'!$Q$6:$Q$9</c:f>
              <c:numCache>
                <c:formatCode>General</c:formatCode>
                <c:ptCount val="4"/>
                <c:pt idx="0">
                  <c:v>1500</c:v>
                </c:pt>
                <c:pt idx="1">
                  <c:v>1400</c:v>
                </c:pt>
                <c:pt idx="2">
                  <c:v>1300</c:v>
                </c:pt>
                <c:pt idx="3">
                  <c:v>1200</c:v>
                </c:pt>
              </c:numCache>
            </c:numRef>
          </c:xVal>
          <c:yVal>
            <c:numRef>
              <c:f>'LiKNaCl MTP 14B'!$S$6:$S$9</c:f>
              <c:numCache>
                <c:formatCode>0.000</c:formatCode>
                <c:ptCount val="4"/>
                <c:pt idx="0">
                  <c:v>1.2304999999999999</c:v>
                </c:pt>
                <c:pt idx="1">
                  <c:v>1.2738</c:v>
                </c:pt>
                <c:pt idx="2">
                  <c:v>1.3170999999999999</c:v>
                </c:pt>
                <c:pt idx="3">
                  <c:v>1.3603999999999998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5E-E24B-8C5A-6213D80BF17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'LiKNaCl MTP 14B'!$Q$6:$Q$9</c:f>
              <c:numCache>
                <c:formatCode>General</c:formatCode>
                <c:ptCount val="4"/>
                <c:pt idx="0">
                  <c:v>1500</c:v>
                </c:pt>
                <c:pt idx="1">
                  <c:v>1400</c:v>
                </c:pt>
                <c:pt idx="2">
                  <c:v>1300</c:v>
                </c:pt>
                <c:pt idx="3">
                  <c:v>1200</c:v>
                </c:pt>
              </c:numCache>
            </c:numRef>
          </c:xVal>
          <c:yVal>
            <c:numRef>
              <c:f>'LiKNaCl MTP 14B'!$R$6:$R$9</c:f>
              <c:numCache>
                <c:formatCode>0.000</c:formatCode>
                <c:ptCount val="4"/>
                <c:pt idx="0">
                  <c:v>1.2958796517248168</c:v>
                </c:pt>
                <c:pt idx="1">
                  <c:v>1.3370693256097848</c:v>
                </c:pt>
                <c:pt idx="2">
                  <c:v>1.3854045245553943</c:v>
                </c:pt>
                <c:pt idx="3">
                  <c:v>1.4003834985078594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5E-E24B-8C5A-6213D80BF17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'LiKNaCl MTP 14B'!$C$6:$C$9</c:f>
              <c:numCache>
                <c:formatCode>General</c:formatCode>
                <c:ptCount val="4"/>
                <c:pt idx="0">
                  <c:v>1510.02</c:v>
                </c:pt>
                <c:pt idx="1">
                  <c:v>1397.91</c:v>
                </c:pt>
                <c:pt idx="2">
                  <c:v>1298.8399999999999</c:v>
                </c:pt>
                <c:pt idx="3">
                  <c:v>1200.08</c:v>
                </c:pt>
              </c:numCache>
            </c:numRef>
          </c:xVal>
          <c:yVal>
            <c:numRef>
              <c:f>'LiKNaCl MTP 14B'!$L$6:$L$9</c:f>
              <c:numCache>
                <c:formatCode>General</c:formatCode>
                <c:ptCount val="4"/>
                <c:pt idx="0">
                  <c:v>1.3822819753256126</c:v>
                </c:pt>
                <c:pt idx="1">
                  <c:v>1.4111467018165507</c:v>
                </c:pt>
                <c:pt idx="2">
                  <c:v>1.4368297734231477</c:v>
                </c:pt>
                <c:pt idx="3">
                  <c:v>1.4633889840881273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5E-E24B-8C5A-6213D80BF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45680"/>
        <c:axId val="1328327520"/>
      </c:scatterChart>
      <c:valAx>
        <c:axId val="178845680"/>
        <c:scaling>
          <c:orientation val="minMax"/>
          <c:min val="1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27520"/>
        <c:crosses val="autoZero"/>
        <c:crossBetween val="midCat"/>
      </c:valAx>
      <c:valAx>
        <c:axId val="132832752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'LiKNaCl MTP 14B'!$B$38:$B$137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'LiKNaCl MTP 14B'!$D$38:$D$137</c:f>
              <c:numCache>
                <c:formatCode>General</c:formatCode>
                <c:ptCount val="100"/>
                <c:pt idx="0">
                  <c:v>-4023.46</c:v>
                </c:pt>
                <c:pt idx="1">
                  <c:v>-4034.92</c:v>
                </c:pt>
                <c:pt idx="2">
                  <c:v>-4050.83</c:v>
                </c:pt>
                <c:pt idx="3">
                  <c:v>-4061.77</c:v>
                </c:pt>
                <c:pt idx="4">
                  <c:v>-4068.51</c:v>
                </c:pt>
                <c:pt idx="5">
                  <c:v>-4075.31</c:v>
                </c:pt>
                <c:pt idx="6">
                  <c:v>-4074.18</c:v>
                </c:pt>
                <c:pt idx="7">
                  <c:v>-4059.13</c:v>
                </c:pt>
                <c:pt idx="8">
                  <c:v>-4065.51</c:v>
                </c:pt>
                <c:pt idx="9">
                  <c:v>-4066.39</c:v>
                </c:pt>
                <c:pt idx="10">
                  <c:v>-4069.93</c:v>
                </c:pt>
                <c:pt idx="11">
                  <c:v>-4079</c:v>
                </c:pt>
                <c:pt idx="12">
                  <c:v>-4070.87</c:v>
                </c:pt>
                <c:pt idx="13">
                  <c:v>-4065.87</c:v>
                </c:pt>
                <c:pt idx="14">
                  <c:v>-4063.24</c:v>
                </c:pt>
                <c:pt idx="15">
                  <c:v>-4065.43</c:v>
                </c:pt>
                <c:pt idx="16">
                  <c:v>-4066.97</c:v>
                </c:pt>
                <c:pt idx="17">
                  <c:v>-4072.21</c:v>
                </c:pt>
                <c:pt idx="18">
                  <c:v>-4066.14</c:v>
                </c:pt>
                <c:pt idx="19">
                  <c:v>-4056.59</c:v>
                </c:pt>
                <c:pt idx="20">
                  <c:v>-4063.85</c:v>
                </c:pt>
                <c:pt idx="21">
                  <c:v>-4068.45</c:v>
                </c:pt>
                <c:pt idx="22">
                  <c:v>-4067.71</c:v>
                </c:pt>
                <c:pt idx="23">
                  <c:v>-4076.58</c:v>
                </c:pt>
                <c:pt idx="24">
                  <c:v>-4065.58</c:v>
                </c:pt>
                <c:pt idx="25">
                  <c:v>-4057.72</c:v>
                </c:pt>
                <c:pt idx="26">
                  <c:v>-4065.36</c:v>
                </c:pt>
                <c:pt idx="27">
                  <c:v>-4070.54</c:v>
                </c:pt>
                <c:pt idx="28">
                  <c:v>-4069.64</c:v>
                </c:pt>
                <c:pt idx="29">
                  <c:v>-4072.65</c:v>
                </c:pt>
                <c:pt idx="30">
                  <c:v>-4069.46</c:v>
                </c:pt>
                <c:pt idx="31">
                  <c:v>-4060.98</c:v>
                </c:pt>
                <c:pt idx="32">
                  <c:v>-4060.86</c:v>
                </c:pt>
                <c:pt idx="33">
                  <c:v>-4066.93</c:v>
                </c:pt>
                <c:pt idx="34">
                  <c:v>-4069.62</c:v>
                </c:pt>
                <c:pt idx="35">
                  <c:v>-4072.18</c:v>
                </c:pt>
                <c:pt idx="36">
                  <c:v>-4061.92</c:v>
                </c:pt>
                <c:pt idx="37">
                  <c:v>-4063.53</c:v>
                </c:pt>
                <c:pt idx="38">
                  <c:v>-4060.07</c:v>
                </c:pt>
                <c:pt idx="39">
                  <c:v>-4064.02</c:v>
                </c:pt>
                <c:pt idx="40">
                  <c:v>-4066.19</c:v>
                </c:pt>
                <c:pt idx="41">
                  <c:v>-4065.13</c:v>
                </c:pt>
                <c:pt idx="42">
                  <c:v>-4066.63</c:v>
                </c:pt>
                <c:pt idx="43">
                  <c:v>-4070.82</c:v>
                </c:pt>
                <c:pt idx="44">
                  <c:v>-4064.14</c:v>
                </c:pt>
                <c:pt idx="45">
                  <c:v>-4064.91</c:v>
                </c:pt>
                <c:pt idx="46">
                  <c:v>-4068.08</c:v>
                </c:pt>
                <c:pt idx="47">
                  <c:v>-4076.32</c:v>
                </c:pt>
                <c:pt idx="48">
                  <c:v>-4067.92</c:v>
                </c:pt>
                <c:pt idx="49">
                  <c:v>-4070.71</c:v>
                </c:pt>
                <c:pt idx="50">
                  <c:v>-4062.57</c:v>
                </c:pt>
                <c:pt idx="51">
                  <c:v>-4059.24</c:v>
                </c:pt>
                <c:pt idx="52">
                  <c:v>-4066.06</c:v>
                </c:pt>
                <c:pt idx="53">
                  <c:v>-4071.03</c:v>
                </c:pt>
                <c:pt idx="54">
                  <c:v>-4078.1</c:v>
                </c:pt>
                <c:pt idx="55">
                  <c:v>-4069.2</c:v>
                </c:pt>
                <c:pt idx="56">
                  <c:v>-4052.93</c:v>
                </c:pt>
                <c:pt idx="57">
                  <c:v>-4061.48</c:v>
                </c:pt>
                <c:pt idx="58">
                  <c:v>-4062.78</c:v>
                </c:pt>
                <c:pt idx="59">
                  <c:v>-4073.35</c:v>
                </c:pt>
                <c:pt idx="60">
                  <c:v>-4070.39</c:v>
                </c:pt>
                <c:pt idx="61">
                  <c:v>-4067.88</c:v>
                </c:pt>
                <c:pt idx="62">
                  <c:v>-4070.96</c:v>
                </c:pt>
                <c:pt idx="63">
                  <c:v>-4072.2</c:v>
                </c:pt>
                <c:pt idx="64">
                  <c:v>-4072.79</c:v>
                </c:pt>
                <c:pt idx="65">
                  <c:v>-4062.29</c:v>
                </c:pt>
                <c:pt idx="66">
                  <c:v>-4061.54</c:v>
                </c:pt>
                <c:pt idx="67">
                  <c:v>-4066.51</c:v>
                </c:pt>
                <c:pt idx="68">
                  <c:v>-4073.32</c:v>
                </c:pt>
                <c:pt idx="69">
                  <c:v>-4079.52</c:v>
                </c:pt>
                <c:pt idx="70">
                  <c:v>-4073.7</c:v>
                </c:pt>
                <c:pt idx="71">
                  <c:v>-4065.6</c:v>
                </c:pt>
                <c:pt idx="72">
                  <c:v>-4061.03</c:v>
                </c:pt>
                <c:pt idx="73">
                  <c:v>-4066.18</c:v>
                </c:pt>
                <c:pt idx="74">
                  <c:v>-4071.84</c:v>
                </c:pt>
                <c:pt idx="75">
                  <c:v>-4076.14</c:v>
                </c:pt>
                <c:pt idx="76">
                  <c:v>-4073.12</c:v>
                </c:pt>
                <c:pt idx="77">
                  <c:v>-4058.31</c:v>
                </c:pt>
                <c:pt idx="78">
                  <c:v>-4063.34</c:v>
                </c:pt>
                <c:pt idx="79">
                  <c:v>-4065.15</c:v>
                </c:pt>
                <c:pt idx="80">
                  <c:v>-4077.03</c:v>
                </c:pt>
                <c:pt idx="81">
                  <c:v>-4066.63</c:v>
                </c:pt>
                <c:pt idx="82">
                  <c:v>-4067.85</c:v>
                </c:pt>
                <c:pt idx="83">
                  <c:v>-4060.23</c:v>
                </c:pt>
                <c:pt idx="84">
                  <c:v>-4065.14</c:v>
                </c:pt>
                <c:pt idx="85">
                  <c:v>-4070.81</c:v>
                </c:pt>
                <c:pt idx="86">
                  <c:v>-4074.17</c:v>
                </c:pt>
                <c:pt idx="87">
                  <c:v>-4068.42</c:v>
                </c:pt>
                <c:pt idx="88">
                  <c:v>-4063.8</c:v>
                </c:pt>
                <c:pt idx="89">
                  <c:v>-4057.22</c:v>
                </c:pt>
                <c:pt idx="90">
                  <c:v>-4050.71</c:v>
                </c:pt>
                <c:pt idx="91">
                  <c:v>-4055.41</c:v>
                </c:pt>
                <c:pt idx="92">
                  <c:v>-4064.06</c:v>
                </c:pt>
                <c:pt idx="93">
                  <c:v>-4068.88</c:v>
                </c:pt>
                <c:pt idx="94">
                  <c:v>-4071.79</c:v>
                </c:pt>
                <c:pt idx="95">
                  <c:v>-4071.1</c:v>
                </c:pt>
                <c:pt idx="96">
                  <c:v>-4067.09</c:v>
                </c:pt>
                <c:pt idx="97">
                  <c:v>-4062.71</c:v>
                </c:pt>
                <c:pt idx="98">
                  <c:v>-4062.49</c:v>
                </c:pt>
                <c:pt idx="99">
                  <c:v>-4066.36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2-7D45-A0D3-769D829D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675839"/>
        <c:axId val="254612848"/>
      </c:scatterChart>
      <c:valAx>
        <c:axId val="20446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12848"/>
        <c:crosses val="autoZero"/>
        <c:crossBetween val="midCat"/>
      </c:valAx>
      <c:valAx>
        <c:axId val="2546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7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'LiKNaCl MTP 14B'!$B$38:$B$137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'LiKNaCl MTP 14B'!$E$38:$E$137</c:f>
              <c:numCache>
                <c:formatCode>General</c:formatCode>
                <c:ptCount val="100"/>
                <c:pt idx="0">
                  <c:v>42171.3</c:v>
                </c:pt>
                <c:pt idx="1">
                  <c:v>41644.699999999997</c:v>
                </c:pt>
                <c:pt idx="2">
                  <c:v>41157.300000000003</c:v>
                </c:pt>
                <c:pt idx="3">
                  <c:v>40780.6</c:v>
                </c:pt>
                <c:pt idx="4">
                  <c:v>41058.400000000001</c:v>
                </c:pt>
                <c:pt idx="5">
                  <c:v>40631.4</c:v>
                </c:pt>
                <c:pt idx="6">
                  <c:v>40729</c:v>
                </c:pt>
                <c:pt idx="7">
                  <c:v>40274.6</c:v>
                </c:pt>
                <c:pt idx="8">
                  <c:v>40822.400000000001</c:v>
                </c:pt>
                <c:pt idx="9">
                  <c:v>41020.1</c:v>
                </c:pt>
                <c:pt idx="10">
                  <c:v>40045.4</c:v>
                </c:pt>
                <c:pt idx="11">
                  <c:v>40225.300000000003</c:v>
                </c:pt>
                <c:pt idx="12">
                  <c:v>40613.599999999999</c:v>
                </c:pt>
                <c:pt idx="13">
                  <c:v>40751.599999999999</c:v>
                </c:pt>
                <c:pt idx="14">
                  <c:v>40136</c:v>
                </c:pt>
                <c:pt idx="15">
                  <c:v>40857.4</c:v>
                </c:pt>
                <c:pt idx="16">
                  <c:v>40548.300000000003</c:v>
                </c:pt>
                <c:pt idx="17">
                  <c:v>40563.699999999997</c:v>
                </c:pt>
                <c:pt idx="18">
                  <c:v>40753.9</c:v>
                </c:pt>
                <c:pt idx="19">
                  <c:v>40759.300000000003</c:v>
                </c:pt>
                <c:pt idx="20">
                  <c:v>40751.300000000003</c:v>
                </c:pt>
                <c:pt idx="21">
                  <c:v>40920.400000000001</c:v>
                </c:pt>
                <c:pt idx="22">
                  <c:v>40512.699999999997</c:v>
                </c:pt>
                <c:pt idx="23">
                  <c:v>40399.300000000003</c:v>
                </c:pt>
                <c:pt idx="24">
                  <c:v>40246.300000000003</c:v>
                </c:pt>
                <c:pt idx="25">
                  <c:v>40852.300000000003</c:v>
                </c:pt>
                <c:pt idx="26">
                  <c:v>40930.199999999997</c:v>
                </c:pt>
                <c:pt idx="27">
                  <c:v>40595</c:v>
                </c:pt>
                <c:pt idx="28">
                  <c:v>40357.9</c:v>
                </c:pt>
                <c:pt idx="29">
                  <c:v>40462.800000000003</c:v>
                </c:pt>
                <c:pt idx="30">
                  <c:v>40489.300000000003</c:v>
                </c:pt>
                <c:pt idx="31">
                  <c:v>40938.199999999997</c:v>
                </c:pt>
                <c:pt idx="32">
                  <c:v>40719.300000000003</c:v>
                </c:pt>
                <c:pt idx="33">
                  <c:v>40364.1</c:v>
                </c:pt>
                <c:pt idx="34">
                  <c:v>40681.300000000003</c:v>
                </c:pt>
                <c:pt idx="35">
                  <c:v>40937</c:v>
                </c:pt>
                <c:pt idx="36">
                  <c:v>41044.800000000003</c:v>
                </c:pt>
                <c:pt idx="37">
                  <c:v>41040.9</c:v>
                </c:pt>
                <c:pt idx="38">
                  <c:v>40691.5</c:v>
                </c:pt>
                <c:pt idx="39">
                  <c:v>40980.6</c:v>
                </c:pt>
                <c:pt idx="40">
                  <c:v>40617.4</c:v>
                </c:pt>
                <c:pt idx="41">
                  <c:v>40706.5</c:v>
                </c:pt>
                <c:pt idx="42">
                  <c:v>40829.599999999999</c:v>
                </c:pt>
                <c:pt idx="43">
                  <c:v>40731.5</c:v>
                </c:pt>
                <c:pt idx="44">
                  <c:v>40871.9</c:v>
                </c:pt>
                <c:pt idx="45">
                  <c:v>40708.800000000003</c:v>
                </c:pt>
                <c:pt idx="46">
                  <c:v>40268.5</c:v>
                </c:pt>
                <c:pt idx="47">
                  <c:v>40234.199999999997</c:v>
                </c:pt>
                <c:pt idx="48">
                  <c:v>40290.699999999997</c:v>
                </c:pt>
                <c:pt idx="49">
                  <c:v>40641.5</c:v>
                </c:pt>
                <c:pt idx="50">
                  <c:v>40783.4</c:v>
                </c:pt>
                <c:pt idx="51">
                  <c:v>41047.800000000003</c:v>
                </c:pt>
                <c:pt idx="52">
                  <c:v>40490.5</c:v>
                </c:pt>
                <c:pt idx="53">
                  <c:v>40300</c:v>
                </c:pt>
                <c:pt idx="54">
                  <c:v>40453.599999999999</c:v>
                </c:pt>
                <c:pt idx="55">
                  <c:v>40285.4</c:v>
                </c:pt>
                <c:pt idx="56">
                  <c:v>40925.1</c:v>
                </c:pt>
                <c:pt idx="57">
                  <c:v>40813.300000000003</c:v>
                </c:pt>
                <c:pt idx="58">
                  <c:v>40535.699999999997</c:v>
                </c:pt>
                <c:pt idx="59">
                  <c:v>40659</c:v>
                </c:pt>
                <c:pt idx="60">
                  <c:v>40727.199999999997</c:v>
                </c:pt>
                <c:pt idx="61">
                  <c:v>40866.6</c:v>
                </c:pt>
                <c:pt idx="62">
                  <c:v>40522.6</c:v>
                </c:pt>
                <c:pt idx="63">
                  <c:v>40789.4</c:v>
                </c:pt>
                <c:pt idx="64">
                  <c:v>40444.9</c:v>
                </c:pt>
                <c:pt idx="65">
                  <c:v>40677.300000000003</c:v>
                </c:pt>
                <c:pt idx="66">
                  <c:v>40897.9</c:v>
                </c:pt>
                <c:pt idx="67">
                  <c:v>40793</c:v>
                </c:pt>
                <c:pt idx="68">
                  <c:v>40093.199999999997</c:v>
                </c:pt>
                <c:pt idx="69">
                  <c:v>40090.800000000003</c:v>
                </c:pt>
                <c:pt idx="70">
                  <c:v>40630.199999999997</c:v>
                </c:pt>
                <c:pt idx="71">
                  <c:v>40817.199999999997</c:v>
                </c:pt>
                <c:pt idx="72">
                  <c:v>40925.199999999997</c:v>
                </c:pt>
                <c:pt idx="73">
                  <c:v>40704.699999999997</c:v>
                </c:pt>
                <c:pt idx="74">
                  <c:v>40276.5</c:v>
                </c:pt>
                <c:pt idx="75">
                  <c:v>40406.300000000003</c:v>
                </c:pt>
                <c:pt idx="76">
                  <c:v>40662</c:v>
                </c:pt>
                <c:pt idx="77">
                  <c:v>40976.800000000003</c:v>
                </c:pt>
                <c:pt idx="78">
                  <c:v>40860.5</c:v>
                </c:pt>
                <c:pt idx="79">
                  <c:v>40708.300000000003</c:v>
                </c:pt>
                <c:pt idx="80">
                  <c:v>40334.800000000003</c:v>
                </c:pt>
                <c:pt idx="81">
                  <c:v>40718.699999999997</c:v>
                </c:pt>
                <c:pt idx="82">
                  <c:v>40779.800000000003</c:v>
                </c:pt>
                <c:pt idx="83">
                  <c:v>40880.199999999997</c:v>
                </c:pt>
                <c:pt idx="84">
                  <c:v>40823.4</c:v>
                </c:pt>
                <c:pt idx="85">
                  <c:v>41005.5</c:v>
                </c:pt>
                <c:pt idx="86">
                  <c:v>40527.599999999999</c:v>
                </c:pt>
                <c:pt idx="87">
                  <c:v>40837.800000000003</c:v>
                </c:pt>
                <c:pt idx="88">
                  <c:v>41050.9</c:v>
                </c:pt>
                <c:pt idx="89">
                  <c:v>40356.800000000003</c:v>
                </c:pt>
                <c:pt idx="90">
                  <c:v>41263</c:v>
                </c:pt>
                <c:pt idx="91">
                  <c:v>41627.9</c:v>
                </c:pt>
                <c:pt idx="92">
                  <c:v>40765.199999999997</c:v>
                </c:pt>
                <c:pt idx="93">
                  <c:v>40506.800000000003</c:v>
                </c:pt>
                <c:pt idx="94">
                  <c:v>40650.6</c:v>
                </c:pt>
                <c:pt idx="95">
                  <c:v>40337.9</c:v>
                </c:pt>
                <c:pt idx="96">
                  <c:v>40183.199999999997</c:v>
                </c:pt>
                <c:pt idx="97">
                  <c:v>41225.800000000003</c:v>
                </c:pt>
                <c:pt idx="98">
                  <c:v>40736.6</c:v>
                </c:pt>
                <c:pt idx="99">
                  <c:v>40706.9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A5-6B43-9A98-915510BBC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675839"/>
        <c:axId val="254612848"/>
      </c:scatterChart>
      <c:valAx>
        <c:axId val="20446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612848"/>
        <c:crosses val="autoZero"/>
        <c:crossBetween val="midCat"/>
      </c:valAx>
      <c:valAx>
        <c:axId val="2546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7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Sheet2!$B$7:$B$107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Sheet2!$D$7:$D$107</c:f>
              <c:numCache>
                <c:formatCode>0.00E+00</c:formatCode>
                <c:ptCount val="101"/>
                <c:pt idx="0">
                  <c:v>38594500</c:v>
                </c:pt>
                <c:pt idx="1">
                  <c:v>38594500</c:v>
                </c:pt>
                <c:pt idx="2">
                  <c:v>20680500</c:v>
                </c:pt>
                <c:pt idx="3">
                  <c:v>10915300</c:v>
                </c:pt>
                <c:pt idx="4">
                  <c:v>5669560</c:v>
                </c:pt>
                <c:pt idx="5">
                  <c:v>2894980</c:v>
                </c:pt>
                <c:pt idx="6">
                  <c:v>1451430</c:v>
                </c:pt>
                <c:pt idx="7">
                  <c:v>713482</c:v>
                </c:pt>
                <c:pt idx="8">
                  <c:v>343310</c:v>
                </c:pt>
                <c:pt idx="9">
                  <c:v>161378</c:v>
                </c:pt>
                <c:pt idx="10">
                  <c:v>73931.7</c:v>
                </c:pt>
                <c:pt idx="11">
                  <c:v>32916.699999999997</c:v>
                </c:pt>
                <c:pt idx="12">
                  <c:v>14195</c:v>
                </c:pt>
                <c:pt idx="13">
                  <c:v>5906.01</c:v>
                </c:pt>
                <c:pt idx="14">
                  <c:v>2360.88</c:v>
                </c:pt>
                <c:pt idx="15">
                  <c:v>903.66600000000005</c:v>
                </c:pt>
                <c:pt idx="16">
                  <c:v>331.45</c:v>
                </c:pt>
                <c:pt idx="17">
                  <c:v>118.131</c:v>
                </c:pt>
                <c:pt idx="18">
                  <c:v>42.8566</c:v>
                </c:pt>
                <c:pt idx="19">
                  <c:v>17.3858</c:v>
                </c:pt>
                <c:pt idx="20">
                  <c:v>8.5629299999999997</c:v>
                </c:pt>
                <c:pt idx="21">
                  <c:v>4.8803000000000001</c:v>
                </c:pt>
                <c:pt idx="22">
                  <c:v>2.7469299999999999</c:v>
                </c:pt>
                <c:pt idx="23">
                  <c:v>1.1917599999999999</c:v>
                </c:pt>
                <c:pt idx="24">
                  <c:v>-1.20997E-2</c:v>
                </c:pt>
                <c:pt idx="25">
                  <c:v>-0.931504</c:v>
                </c:pt>
                <c:pt idx="26">
                  <c:v>-1.6171</c:v>
                </c:pt>
                <c:pt idx="27">
                  <c:v>-2.12093</c:v>
                </c:pt>
                <c:pt idx="28">
                  <c:v>-2.4896699999999998</c:v>
                </c:pt>
                <c:pt idx="29">
                  <c:v>-2.75983</c:v>
                </c:pt>
                <c:pt idx="30" formatCode="General">
                  <c:v>-2.9573999999999998</c:v>
                </c:pt>
                <c:pt idx="31" formatCode="General">
                  <c:v>-3.10006</c:v>
                </c:pt>
                <c:pt idx="32" formatCode="General">
                  <c:v>-3.1998099999999998</c:v>
                </c:pt>
                <c:pt idx="33" formatCode="General">
                  <c:v>-3.2650299999999999</c:v>
                </c:pt>
                <c:pt idx="34" formatCode="General">
                  <c:v>-3.3019500000000002</c:v>
                </c:pt>
                <c:pt idx="35" formatCode="General">
                  <c:v>-3.31549</c:v>
                </c:pt>
                <c:pt idx="36" formatCode="General">
                  <c:v>-3.3096399999999999</c:v>
                </c:pt>
                <c:pt idx="37" formatCode="General">
                  <c:v>-3.2877700000000001</c:v>
                </c:pt>
                <c:pt idx="38" formatCode="General">
                  <c:v>-3.2526899999999999</c:v>
                </c:pt>
                <c:pt idx="39" formatCode="General">
                  <c:v>-3.20675</c:v>
                </c:pt>
                <c:pt idx="40" formatCode="General">
                  <c:v>-3.1518999999999999</c:v>
                </c:pt>
                <c:pt idx="41" formatCode="General">
                  <c:v>-3.0897700000000001</c:v>
                </c:pt>
                <c:pt idx="42" formatCode="General">
                  <c:v>-3.0217000000000001</c:v>
                </c:pt>
                <c:pt idx="43" formatCode="General">
                  <c:v>-2.94882</c:v>
                </c:pt>
                <c:pt idx="44" formatCode="General">
                  <c:v>-2.87209</c:v>
                </c:pt>
                <c:pt idx="45" formatCode="General">
                  <c:v>-2.7923300000000002</c:v>
                </c:pt>
                <c:pt idx="46" formatCode="General">
                  <c:v>-2.71027</c:v>
                </c:pt>
                <c:pt idx="47" formatCode="General">
                  <c:v>-2.6265800000000001</c:v>
                </c:pt>
                <c:pt idx="48" formatCode="General">
                  <c:v>-2.5418699999999999</c:v>
                </c:pt>
                <c:pt idx="49" formatCode="General">
                  <c:v>-2.4567100000000002</c:v>
                </c:pt>
                <c:pt idx="50" formatCode="General">
                  <c:v>-2.3716200000000001</c:v>
                </c:pt>
                <c:pt idx="51" formatCode="General">
                  <c:v>-2.2870900000000001</c:v>
                </c:pt>
                <c:pt idx="52" formatCode="General">
                  <c:v>-2.20356</c:v>
                </c:pt>
                <c:pt idx="53" formatCode="General">
                  <c:v>-2.1214300000000001</c:v>
                </c:pt>
                <c:pt idx="54" formatCode="General">
                  <c:v>-2.0410400000000002</c:v>
                </c:pt>
                <c:pt idx="55" formatCode="General">
                  <c:v>-1.9626699999999999</c:v>
                </c:pt>
                <c:pt idx="56" formatCode="General">
                  <c:v>-1.8865400000000001</c:v>
                </c:pt>
                <c:pt idx="57" formatCode="General">
                  <c:v>-1.8127899999999999</c:v>
                </c:pt>
                <c:pt idx="58" formatCode="General">
                  <c:v>-1.74152</c:v>
                </c:pt>
                <c:pt idx="59" formatCode="General">
                  <c:v>-1.67276</c:v>
                </c:pt>
                <c:pt idx="60" formatCode="General">
                  <c:v>-1.60649</c:v>
                </c:pt>
                <c:pt idx="61" formatCode="General">
                  <c:v>-1.5426500000000001</c:v>
                </c:pt>
                <c:pt idx="62" formatCode="General">
                  <c:v>-1.4811399999999999</c:v>
                </c:pt>
                <c:pt idx="63" formatCode="General">
                  <c:v>-1.4218599999999999</c:v>
                </c:pt>
                <c:pt idx="64" formatCode="General">
                  <c:v>-1.3646499999999999</c:v>
                </c:pt>
                <c:pt idx="65" formatCode="General">
                  <c:v>-1.30941</c:v>
                </c:pt>
                <c:pt idx="66" formatCode="General">
                  <c:v>-1.256</c:v>
                </c:pt>
                <c:pt idx="67" formatCode="General">
                  <c:v>-1.20434</c:v>
                </c:pt>
                <c:pt idx="68" formatCode="General">
                  <c:v>-1.15435</c:v>
                </c:pt>
                <c:pt idx="69" formatCode="General">
                  <c:v>-1.10598</c:v>
                </c:pt>
                <c:pt idx="70" formatCode="General">
                  <c:v>-1.0592200000000001</c:v>
                </c:pt>
                <c:pt idx="71" formatCode="General">
                  <c:v>-1.0141100000000001</c:v>
                </c:pt>
                <c:pt idx="72" formatCode="General">
                  <c:v>-0.97067800000000004</c:v>
                </c:pt>
                <c:pt idx="73" formatCode="General">
                  <c:v>-0.92900899999999997</c:v>
                </c:pt>
                <c:pt idx="74" formatCode="General">
                  <c:v>-0.889185</c:v>
                </c:pt>
                <c:pt idx="75" formatCode="General">
                  <c:v>-0.85129600000000005</c:v>
                </c:pt>
                <c:pt idx="76" formatCode="General">
                  <c:v>-0.81542400000000004</c:v>
                </c:pt>
                <c:pt idx="77" formatCode="General">
                  <c:v>-0.78162600000000004</c:v>
                </c:pt>
                <c:pt idx="78" formatCode="General">
                  <c:v>-0.74992099999999995</c:v>
                </c:pt>
                <c:pt idx="79">
                  <c:v>-0.72028000000000003</c:v>
                </c:pt>
                <c:pt idx="80" formatCode="General">
                  <c:v>-0.69260500000000003</c:v>
                </c:pt>
                <c:pt idx="81" formatCode="General">
                  <c:v>-0.66672900000000002</c:v>
                </c:pt>
                <c:pt idx="82" formatCode="General">
                  <c:v>-0.64240799999999998</c:v>
                </c:pt>
                <c:pt idx="83" formatCode="General">
                  <c:v>-0.61931999999999998</c:v>
                </c:pt>
                <c:pt idx="84" formatCode="General">
                  <c:v>-0.59708600000000001</c:v>
                </c:pt>
                <c:pt idx="85" formatCode="General">
                  <c:v>-0.57528800000000002</c:v>
                </c:pt>
                <c:pt idx="86" formatCode="General">
                  <c:v>-0.55350699999999997</c:v>
                </c:pt>
                <c:pt idx="87" formatCode="General">
                  <c:v>-0.53138300000000005</c:v>
                </c:pt>
                <c:pt idx="88" formatCode="General">
                  <c:v>-0.50868899999999995</c:v>
                </c:pt>
                <c:pt idx="89" formatCode="General">
                  <c:v>-0.485433</c:v>
                </c:pt>
                <c:pt idx="90" formatCode="General">
                  <c:v>-0.46199000000000001</c:v>
                </c:pt>
                <c:pt idx="91" formatCode="General">
                  <c:v>-0.439276</c:v>
                </c:pt>
                <c:pt idx="92" formatCode="General">
                  <c:v>-0.41895300000000002</c:v>
                </c:pt>
                <c:pt idx="93" formatCode="General">
                  <c:v>-0.40369300000000002</c:v>
                </c:pt>
                <c:pt idx="94" formatCode="General">
                  <c:v>-0.39746799999999999</c:v>
                </c:pt>
                <c:pt idx="95" formatCode="General">
                  <c:v>-0.39746799999999999</c:v>
                </c:pt>
                <c:pt idx="96" formatCode="General">
                  <c:v>-0.39746799999999999</c:v>
                </c:pt>
                <c:pt idx="97" formatCode="General">
                  <c:v>-0.39746799999999999</c:v>
                </c:pt>
                <c:pt idx="98" formatCode="General">
                  <c:v>-0.39746799999999999</c:v>
                </c:pt>
                <c:pt idx="99" formatCode="General">
                  <c:v>-0.39746799999999999</c:v>
                </c:pt>
                <c:pt idx="100" formatCode="General">
                  <c:v>-0.39746799999999999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A-C346-9B92-6EE394852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53584"/>
        <c:axId val="1498249680"/>
      </c:scatterChart>
      <c:valAx>
        <c:axId val="1244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49680"/>
        <c:crosses val="autoZero"/>
        <c:crossBetween val="midCat"/>
      </c:valAx>
      <c:valAx>
        <c:axId val="149824968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Sheet2!$B$7:$B$107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Sheet2!$L$7:$L$107</c:f>
              <c:numCache>
                <c:formatCode>0.00E+00</c:formatCode>
                <c:ptCount val="101"/>
                <c:pt idx="0">
                  <c:v>-20480200000</c:v>
                </c:pt>
                <c:pt idx="1">
                  <c:v>-20480200000</c:v>
                </c:pt>
                <c:pt idx="2">
                  <c:v>-10757300000</c:v>
                </c:pt>
                <c:pt idx="3">
                  <c:v>-5573560000</c:v>
                </c:pt>
                <c:pt idx="4">
                  <c:v>-2846510000</c:v>
                </c:pt>
                <c:pt idx="5">
                  <c:v>-1431880000</c:v>
                </c:pt>
                <c:pt idx="6">
                  <c:v>-708823000</c:v>
                </c:pt>
                <c:pt idx="7">
                  <c:v>-344983000</c:v>
                </c:pt>
                <c:pt idx="8">
                  <c:v>-164902000</c:v>
                </c:pt>
                <c:pt idx="9">
                  <c:v>-77322900</c:v>
                </c:pt>
                <c:pt idx="10">
                  <c:v>-35519200</c:v>
                </c:pt>
                <c:pt idx="11">
                  <c:v>-15960000</c:v>
                </c:pt>
                <c:pt idx="12">
                  <c:v>-7002540</c:v>
                </c:pt>
                <c:pt idx="13">
                  <c:v>-2994030</c:v>
                </c:pt>
                <c:pt idx="14">
                  <c:v>-1244520</c:v>
                </c:pt>
                <c:pt idx="15" formatCode="General">
                  <c:v>-501492</c:v>
                </c:pt>
                <c:pt idx="16" formatCode="General">
                  <c:v>-195228</c:v>
                </c:pt>
                <c:pt idx="17" formatCode="General">
                  <c:v>-73107.399999999994</c:v>
                </c:pt>
                <c:pt idx="18" formatCode="General">
                  <c:v>-26186.2</c:v>
                </c:pt>
                <c:pt idx="19" formatCode="General">
                  <c:v>-8900.9599999999991</c:v>
                </c:pt>
                <c:pt idx="20" formatCode="General">
                  <c:v>-2835.42</c:v>
                </c:pt>
                <c:pt idx="21" formatCode="General">
                  <c:v>-826.24099999999999</c:v>
                </c:pt>
                <c:pt idx="22" formatCode="General">
                  <c:v>-206.63200000000001</c:v>
                </c:pt>
                <c:pt idx="23" formatCode="General">
                  <c:v>-33.128300000000003</c:v>
                </c:pt>
                <c:pt idx="24" formatCode="General">
                  <c:v>8.3907399999999992</c:v>
                </c:pt>
                <c:pt idx="25" formatCode="General">
                  <c:v>14.9679</c:v>
                </c:pt>
                <c:pt idx="26" formatCode="General">
                  <c:v>13.8048</c:v>
                </c:pt>
                <c:pt idx="27" formatCode="General">
                  <c:v>11.5421</c:v>
                </c:pt>
                <c:pt idx="28" formatCode="General">
                  <c:v>9.4594000000000005</c:v>
                </c:pt>
                <c:pt idx="29" formatCode="General">
                  <c:v>7.6789199999999997</c:v>
                </c:pt>
                <c:pt idx="30" formatCode="General">
                  <c:v>6.1542599999999998</c:v>
                </c:pt>
                <c:pt idx="31" formatCode="General">
                  <c:v>4.8433999999999999</c:v>
                </c:pt>
                <c:pt idx="32" formatCode="General">
                  <c:v>3.7185000000000001</c:v>
                </c:pt>
                <c:pt idx="33" formatCode="General">
                  <c:v>2.7581799999999999</c:v>
                </c:pt>
                <c:pt idx="34" formatCode="General">
                  <c:v>1.9437599999999999</c:v>
                </c:pt>
                <c:pt idx="35" formatCode="General">
                  <c:v>1.25806</c:v>
                </c:pt>
                <c:pt idx="36" formatCode="General">
                  <c:v>0.68516299999999997</c:v>
                </c:pt>
                <c:pt idx="37" formatCode="General">
                  <c:v>0.210372</c:v>
                </c:pt>
                <c:pt idx="38" formatCode="General">
                  <c:v>-0.17982699999999999</c:v>
                </c:pt>
                <c:pt idx="39" formatCode="General">
                  <c:v>-0.49769000000000002</c:v>
                </c:pt>
                <c:pt idx="40" formatCode="General">
                  <c:v>-0.75416000000000005</c:v>
                </c:pt>
                <c:pt idx="41" formatCode="General">
                  <c:v>-0.958847</c:v>
                </c:pt>
                <c:pt idx="42" formatCode="General">
                  <c:v>-1.1200600000000001</c:v>
                </c:pt>
                <c:pt idx="43" formatCode="General">
                  <c:v>-1.2448900000000001</c:v>
                </c:pt>
                <c:pt idx="44" formatCode="General">
                  <c:v>-1.3393200000000001</c:v>
                </c:pt>
                <c:pt idx="45" formatCode="General">
                  <c:v>-1.4084000000000001</c:v>
                </c:pt>
                <c:pt idx="46" formatCode="General">
                  <c:v>-1.4562999999999999</c:v>
                </c:pt>
                <c:pt idx="47" formatCode="General">
                  <c:v>-1.48651</c:v>
                </c:pt>
                <c:pt idx="48" formatCode="General">
                  <c:v>-1.5019499999999999</c:v>
                </c:pt>
                <c:pt idx="49" formatCode="General">
                  <c:v>-1.5050300000000001</c:v>
                </c:pt>
                <c:pt idx="50" formatCode="General">
                  <c:v>-1.4977799999999999</c:v>
                </c:pt>
                <c:pt idx="51" formatCode="General">
                  <c:v>-1.48193</c:v>
                </c:pt>
                <c:pt idx="52" formatCode="General">
                  <c:v>-1.4589399999999999</c:v>
                </c:pt>
                <c:pt idx="53" formatCode="General">
                  <c:v>-1.4300999999999999</c:v>
                </c:pt>
                <c:pt idx="54" formatCode="General">
                  <c:v>-1.3965099999999999</c:v>
                </c:pt>
                <c:pt idx="55" formatCode="General">
                  <c:v>-1.35917</c:v>
                </c:pt>
                <c:pt idx="56" formatCode="General">
                  <c:v>-1.31894</c:v>
                </c:pt>
                <c:pt idx="57" formatCode="General">
                  <c:v>-1.27658</c:v>
                </c:pt>
                <c:pt idx="58" formatCode="General">
                  <c:v>-1.2327399999999999</c:v>
                </c:pt>
                <c:pt idx="59" formatCode="General">
                  <c:v>-1.18798</c:v>
                </c:pt>
                <c:pt idx="60" formatCode="General">
                  <c:v>-1.1427499999999999</c:v>
                </c:pt>
                <c:pt idx="61" formatCode="General">
                  <c:v>-1.09741</c:v>
                </c:pt>
                <c:pt idx="62" formatCode="General">
                  <c:v>-1.05223</c:v>
                </c:pt>
                <c:pt idx="63" formatCode="General">
                  <c:v>-1.0074000000000001</c:v>
                </c:pt>
                <c:pt idx="64" formatCode="General">
                  <c:v>-0.963028</c:v>
                </c:pt>
                <c:pt idx="65" formatCode="General">
                  <c:v>-0.91918500000000003</c:v>
                </c:pt>
                <c:pt idx="66" formatCode="General">
                  <c:v>-0.87587700000000002</c:v>
                </c:pt>
                <c:pt idx="67" formatCode="General">
                  <c:v>-0.83308099999999996</c:v>
                </c:pt>
                <c:pt idx="68" formatCode="General">
                  <c:v>-0.79074599999999995</c:v>
                </c:pt>
                <c:pt idx="69" formatCode="General">
                  <c:v>-0.74881200000000003</c:v>
                </c:pt>
                <c:pt idx="70" formatCode="General">
                  <c:v>-0.70721500000000004</c:v>
                </c:pt>
                <c:pt idx="71" formatCode="General">
                  <c:v>-0.66589799999999999</c:v>
                </c:pt>
                <c:pt idx="72" formatCode="General">
                  <c:v>-0.62482899999999997</c:v>
                </c:pt>
                <c:pt idx="73" formatCode="General">
                  <c:v>-0.58400399999999997</c:v>
                </c:pt>
                <c:pt idx="74" formatCode="General">
                  <c:v>-0.543458</c:v>
                </c:pt>
                <c:pt idx="75" formatCode="General">
                  <c:v>-0.50327200000000005</c:v>
                </c:pt>
                <c:pt idx="76" formatCode="General">
                  <c:v>-0.46357300000000001</c:v>
                </c:pt>
                <c:pt idx="77" formatCode="General">
                  <c:v>-0.42452400000000001</c:v>
                </c:pt>
                <c:pt idx="78" formatCode="General">
                  <c:v>-0.38631300000000002</c:v>
                </c:pt>
                <c:pt idx="79" formatCode="General">
                  <c:v>-0.34912799999999999</c:v>
                </c:pt>
                <c:pt idx="80" formatCode="General">
                  <c:v>-0.31313000000000002</c:v>
                </c:pt>
                <c:pt idx="81" formatCode="General">
                  <c:v>-0.27841700000000003</c:v>
                </c:pt>
                <c:pt idx="82" formatCode="General">
                  <c:v>-0.24499199999999999</c:v>
                </c:pt>
                <c:pt idx="83" formatCode="General">
                  <c:v>-0.21273500000000001</c:v>
                </c:pt>
                <c:pt idx="84" formatCode="General">
                  <c:v>-0.18138899999999999</c:v>
                </c:pt>
                <c:pt idx="85" formatCode="General">
                  <c:v>-0.150557</c:v>
                </c:pt>
                <c:pt idx="86" formatCode="General">
                  <c:v>-0.119729</c:v>
                </c:pt>
                <c:pt idx="87" formatCode="General">
                  <c:v>-8.8344199999999998E-2</c:v>
                </c:pt>
                <c:pt idx="88" formatCode="General">
                  <c:v>-5.58875E-2</c:v>
                </c:pt>
                <c:pt idx="89" formatCode="General">
                  <c:v>-2.2065299999999999E-2</c:v>
                </c:pt>
                <c:pt idx="90" formatCode="General">
                  <c:v>1.2929400000000001E-2</c:v>
                </c:pt>
                <c:pt idx="91" formatCode="General">
                  <c:v>4.8014399999999999E-2</c:v>
                </c:pt>
                <c:pt idx="92" formatCode="General">
                  <c:v>8.0648999999999998E-2</c:v>
                </c:pt>
                <c:pt idx="93" formatCode="General">
                  <c:v>0.106118</c:v>
                </c:pt>
                <c:pt idx="94" formatCode="General">
                  <c:v>0.116828</c:v>
                </c:pt>
                <c:pt idx="95" formatCode="General">
                  <c:v>0.116828</c:v>
                </c:pt>
                <c:pt idx="96" formatCode="General">
                  <c:v>0.116828</c:v>
                </c:pt>
                <c:pt idx="97" formatCode="General">
                  <c:v>0.116828</c:v>
                </c:pt>
                <c:pt idx="98" formatCode="General">
                  <c:v>0.116828</c:v>
                </c:pt>
                <c:pt idx="99" formatCode="General">
                  <c:v>0.116828</c:v>
                </c:pt>
                <c:pt idx="100" formatCode="General">
                  <c:v>0.116828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8-3441-A0E6-7687CDDF2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53584"/>
        <c:axId val="1498249680"/>
      </c:scatterChart>
      <c:valAx>
        <c:axId val="1244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49680"/>
        <c:crosses val="autoZero"/>
        <c:crossBetween val="midCat"/>
      </c:valAx>
      <c:valAx>
        <c:axId val="149824968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Sheet2!$B$7:$B$107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Sheet2!$T$7:$T$107</c:f>
              <c:numCache>
                <c:formatCode>0.00E+00</c:formatCode>
                <c:ptCount val="101"/>
                <c:pt idx="0">
                  <c:v>-70799900</c:v>
                </c:pt>
                <c:pt idx="1">
                  <c:v>-70799900</c:v>
                </c:pt>
                <c:pt idx="2">
                  <c:v>-36782800</c:v>
                </c:pt>
                <c:pt idx="3">
                  <c:v>-18835500</c:v>
                </c:pt>
                <c:pt idx="4">
                  <c:v>-9498140</c:v>
                </c:pt>
                <c:pt idx="5">
                  <c:v>-4711680</c:v>
                </c:pt>
                <c:pt idx="6">
                  <c:v>-2296480</c:v>
                </c:pt>
                <c:pt idx="7">
                  <c:v>-1098190</c:v>
                </c:pt>
                <c:pt idx="8" formatCode="General">
                  <c:v>-514348</c:v>
                </c:pt>
                <c:pt idx="9" formatCode="General">
                  <c:v>-235427</c:v>
                </c:pt>
                <c:pt idx="10" formatCode="General">
                  <c:v>-105013</c:v>
                </c:pt>
                <c:pt idx="11" formatCode="General">
                  <c:v>-45472.7</c:v>
                </c:pt>
                <c:pt idx="12" formatCode="General">
                  <c:v>-19008.900000000001</c:v>
                </c:pt>
                <c:pt idx="13" formatCode="General">
                  <c:v>-7604.6</c:v>
                </c:pt>
                <c:pt idx="14" formatCode="General">
                  <c:v>-2867.22</c:v>
                </c:pt>
                <c:pt idx="15" formatCode="General">
                  <c:v>-987.35900000000004</c:v>
                </c:pt>
                <c:pt idx="16" formatCode="General">
                  <c:v>-285.79899999999998</c:v>
                </c:pt>
                <c:pt idx="17" formatCode="General">
                  <c:v>-47.149000000000001</c:v>
                </c:pt>
                <c:pt idx="18" formatCode="General">
                  <c:v>21.125699999999998</c:v>
                </c:pt>
                <c:pt idx="19" formatCode="General">
                  <c:v>32.603499999999997</c:v>
                </c:pt>
                <c:pt idx="20" formatCode="General">
                  <c:v>28.366599999999998</c:v>
                </c:pt>
                <c:pt idx="21" formatCode="General">
                  <c:v>21.729299999999999</c:v>
                </c:pt>
                <c:pt idx="22" formatCode="General">
                  <c:v>16.169599999999999</c:v>
                </c:pt>
                <c:pt idx="23" formatCode="General">
                  <c:v>12.091100000000001</c:v>
                </c:pt>
                <c:pt idx="24" formatCode="General">
                  <c:v>9.1608499999999999</c:v>
                </c:pt>
                <c:pt idx="25" formatCode="General">
                  <c:v>7.0065</c:v>
                </c:pt>
                <c:pt idx="26" formatCode="General">
                  <c:v>5.3638500000000002</c:v>
                </c:pt>
                <c:pt idx="27" formatCode="General">
                  <c:v>4.0691100000000002</c:v>
                </c:pt>
                <c:pt idx="28" formatCode="General">
                  <c:v>3.0244900000000001</c:v>
                </c:pt>
                <c:pt idx="29" formatCode="General">
                  <c:v>2.1704500000000002</c:v>
                </c:pt>
                <c:pt idx="30" formatCode="General">
                  <c:v>1.46848</c:v>
                </c:pt>
                <c:pt idx="31" formatCode="General">
                  <c:v>0.89166900000000004</c:v>
                </c:pt>
                <c:pt idx="32" formatCode="General">
                  <c:v>0.41971399999999998</c:v>
                </c:pt>
                <c:pt idx="33" formatCode="General">
                  <c:v>3.6373599999999999E-2</c:v>
                </c:pt>
                <c:pt idx="34" formatCode="General">
                  <c:v>-0.27184900000000001</c:v>
                </c:pt>
                <c:pt idx="35" formatCode="General">
                  <c:v>-0.51641999999999999</c:v>
                </c:pt>
                <c:pt idx="36" formatCode="General">
                  <c:v>-0.70718400000000003</c:v>
                </c:pt>
                <c:pt idx="37" formatCode="General">
                  <c:v>-0.85262899999999997</c:v>
                </c:pt>
                <c:pt idx="38" formatCode="General">
                  <c:v>-0.96006800000000003</c:v>
                </c:pt>
                <c:pt idx="39" formatCode="General">
                  <c:v>-1.0357799999999999</c:v>
                </c:pt>
                <c:pt idx="40" formatCode="General">
                  <c:v>-1.08514</c:v>
                </c:pt>
                <c:pt idx="41" formatCode="General">
                  <c:v>-1.11273</c:v>
                </c:pt>
                <c:pt idx="42" formatCode="General">
                  <c:v>-1.1224000000000001</c:v>
                </c:pt>
                <c:pt idx="43" formatCode="General">
                  <c:v>-1.1174299999999999</c:v>
                </c:pt>
                <c:pt idx="44" formatCode="General">
                  <c:v>-1.10056</c:v>
                </c:pt>
                <c:pt idx="45" formatCode="General">
                  <c:v>-1.07406</c:v>
                </c:pt>
                <c:pt idx="46" formatCode="General">
                  <c:v>-1.03986</c:v>
                </c:pt>
                <c:pt idx="47" formatCode="General">
                  <c:v>-0.99951900000000005</c:v>
                </c:pt>
                <c:pt idx="48" formatCode="General">
                  <c:v>-0.95437099999999997</c:v>
                </c:pt>
                <c:pt idx="49" formatCode="General">
                  <c:v>-0.90551000000000004</c:v>
                </c:pt>
                <c:pt idx="50" formatCode="General">
                  <c:v>-0.85384899999999997</c:v>
                </c:pt>
                <c:pt idx="51" formatCode="General">
                  <c:v>-0.80015400000000003</c:v>
                </c:pt>
                <c:pt idx="52" formatCode="General">
                  <c:v>-0.74506700000000003</c:v>
                </c:pt>
                <c:pt idx="53" formatCode="General">
                  <c:v>-0.68912799999999996</c:v>
                </c:pt>
                <c:pt idx="54" formatCode="General">
                  <c:v>-0.63279300000000005</c:v>
                </c:pt>
                <c:pt idx="55" formatCode="General">
                  <c:v>-0.57644200000000001</c:v>
                </c:pt>
                <c:pt idx="56" formatCode="General">
                  <c:v>-0.52039500000000005</c:v>
                </c:pt>
                <c:pt idx="57" formatCode="General">
                  <c:v>-0.46491199999999999</c:v>
                </c:pt>
                <c:pt idx="58" formatCode="General">
                  <c:v>-0.41020099999999998</c:v>
                </c:pt>
                <c:pt idx="59" formatCode="General">
                  <c:v>-0.35642400000000002</c:v>
                </c:pt>
                <c:pt idx="60" formatCode="General">
                  <c:v>-0.30369600000000002</c:v>
                </c:pt>
                <c:pt idx="61" formatCode="General">
                  <c:v>-0.25209700000000002</c:v>
                </c:pt>
                <c:pt idx="62" formatCode="General">
                  <c:v>-0.20166799999999999</c:v>
                </c:pt>
                <c:pt idx="63" formatCode="General">
                  <c:v>-0.152422</c:v>
                </c:pt>
                <c:pt idx="64" formatCode="General">
                  <c:v>-0.104348</c:v>
                </c:pt>
                <c:pt idx="65" formatCode="General">
                  <c:v>-5.7414399999999997E-2</c:v>
                </c:pt>
                <c:pt idx="66" formatCode="General">
                  <c:v>-1.1580500000000001E-2</c:v>
                </c:pt>
                <c:pt idx="67" formatCode="General">
                  <c:v>3.3200500000000001E-2</c:v>
                </c:pt>
                <c:pt idx="68" formatCode="General">
                  <c:v>7.6973600000000003E-2</c:v>
                </c:pt>
                <c:pt idx="69" formatCode="General">
                  <c:v>0.11977599999999999</c:v>
                </c:pt>
                <c:pt idx="70" formatCode="General">
                  <c:v>0.161632</c:v>
                </c:pt>
                <c:pt idx="71" formatCode="General">
                  <c:v>0.20254900000000001</c:v>
                </c:pt>
                <c:pt idx="72" formatCode="General">
                  <c:v>0.24251400000000001</c:v>
                </c:pt>
                <c:pt idx="73" formatCode="General">
                  <c:v>0.28149400000000002</c:v>
                </c:pt>
                <c:pt idx="74" formatCode="General">
                  <c:v>0.31943700000000003</c:v>
                </c:pt>
                <c:pt idx="75" formatCode="General">
                  <c:v>0.35627999999999999</c:v>
                </c:pt>
                <c:pt idx="76" formatCode="General">
                  <c:v>0.39194899999999999</c:v>
                </c:pt>
                <c:pt idx="77" formatCode="General">
                  <c:v>0.426375</c:v>
                </c:pt>
                <c:pt idx="78" formatCode="General">
                  <c:v>0.45950200000000002</c:v>
                </c:pt>
                <c:pt idx="79" formatCode="General">
                  <c:v>0.49130200000000002</c:v>
                </c:pt>
                <c:pt idx="80" formatCode="General">
                  <c:v>0.52178400000000003</c:v>
                </c:pt>
                <c:pt idx="81" formatCode="General">
                  <c:v>0.55101299999999998</c:v>
                </c:pt>
                <c:pt idx="82" formatCode="General">
                  <c:v>0.57910799999999996</c:v>
                </c:pt>
                <c:pt idx="83" formatCode="General">
                  <c:v>0.60625499999999999</c:v>
                </c:pt>
                <c:pt idx="84" formatCode="General">
                  <c:v>0.63269299999999995</c:v>
                </c:pt>
                <c:pt idx="85" formatCode="General">
                  <c:v>0.65870499999999998</c:v>
                </c:pt>
                <c:pt idx="86" formatCode="General">
                  <c:v>0.68458699999999995</c:v>
                </c:pt>
                <c:pt idx="87" formatCode="General">
                  <c:v>0.71059600000000001</c:v>
                </c:pt>
                <c:pt idx="88" formatCode="General">
                  <c:v>0.73688200000000004</c:v>
                </c:pt>
                <c:pt idx="89" formatCode="General">
                  <c:v>0.76338399999999995</c:v>
                </c:pt>
                <c:pt idx="90" formatCode="General">
                  <c:v>0.78969</c:v>
                </c:pt>
                <c:pt idx="91" formatCode="General">
                  <c:v>0.81484500000000004</c:v>
                </c:pt>
                <c:pt idx="92" formatCode="General">
                  <c:v>0.837113</c:v>
                </c:pt>
                <c:pt idx="93" formatCode="General">
                  <c:v>0.85369099999999998</c:v>
                </c:pt>
                <c:pt idx="94" formatCode="General">
                  <c:v>0.86040700000000003</c:v>
                </c:pt>
                <c:pt idx="95" formatCode="General">
                  <c:v>0.86040700000000003</c:v>
                </c:pt>
                <c:pt idx="96" formatCode="General">
                  <c:v>0.86040700000000003</c:v>
                </c:pt>
                <c:pt idx="97" formatCode="General">
                  <c:v>0.86040700000000003</c:v>
                </c:pt>
                <c:pt idx="98" formatCode="General">
                  <c:v>0.86040700000000003</c:v>
                </c:pt>
                <c:pt idx="99" formatCode="General">
                  <c:v>0.86040700000000003</c:v>
                </c:pt>
                <c:pt idx="100" formatCode="General">
                  <c:v>0.86040700000000003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2-2C43-B679-5F03184CB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53584"/>
        <c:axId val="1498249680"/>
      </c:scatterChart>
      <c:valAx>
        <c:axId val="1244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49680"/>
        <c:crosses val="autoZero"/>
        <c:crossBetween val="midCat"/>
      </c:valAx>
      <c:valAx>
        <c:axId val="149824968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Sheet2!$B$7:$B$107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Sheet2!$AB$7:$AB$107</c:f>
              <c:numCache>
                <c:formatCode>0.00E+00</c:formatCode>
                <c:ptCount val="101"/>
                <c:pt idx="0">
                  <c:v>83206.2</c:v>
                </c:pt>
                <c:pt idx="1">
                  <c:v>83206.2</c:v>
                </c:pt>
                <c:pt idx="2">
                  <c:v>51630</c:v>
                </c:pt>
                <c:pt idx="3">
                  <c:v>31931.9</c:v>
                </c:pt>
                <c:pt idx="4" formatCode="General">
                  <c:v>19691.8</c:v>
                </c:pt>
                <c:pt idx="5" formatCode="General">
                  <c:v>12112.7</c:v>
                </c:pt>
                <c:pt idx="6" formatCode="General">
                  <c:v>7434.25</c:v>
                </c:pt>
                <c:pt idx="7" formatCode="General">
                  <c:v>4554.1099999999997</c:v>
                </c:pt>
                <c:pt idx="8" formatCode="General">
                  <c:v>2785.08</c:v>
                </c:pt>
                <c:pt idx="9" formatCode="General">
                  <c:v>1700.61</c:v>
                </c:pt>
                <c:pt idx="10" formatCode="General">
                  <c:v>1036.8800000000001</c:v>
                </c:pt>
                <c:pt idx="11" formatCode="General">
                  <c:v>631.23400000000004</c:v>
                </c:pt>
                <c:pt idx="12" formatCode="General">
                  <c:v>383.64699999999999</c:v>
                </c:pt>
                <c:pt idx="13" formatCode="General">
                  <c:v>232.72900000000001</c:v>
                </c:pt>
                <c:pt idx="14" formatCode="General">
                  <c:v>140.86500000000001</c:v>
                </c:pt>
                <c:pt idx="15" formatCode="General">
                  <c:v>85.033100000000005</c:v>
                </c:pt>
                <c:pt idx="16" formatCode="General">
                  <c:v>51.154699999999998</c:v>
                </c:pt>
                <c:pt idx="17" formatCode="General">
                  <c:v>30.6296</c:v>
                </c:pt>
                <c:pt idx="18" formatCode="General">
                  <c:v>18.208600000000001</c:v>
                </c:pt>
                <c:pt idx="19" formatCode="General">
                  <c:v>10.6921</c:v>
                </c:pt>
                <c:pt idx="20" formatCode="General">
                  <c:v>6.1334400000000002</c:v>
                </c:pt>
                <c:pt idx="21" formatCode="General">
                  <c:v>3.3514400000000002</c:v>
                </c:pt>
                <c:pt idx="22" formatCode="General">
                  <c:v>1.6320699999999999</c:v>
                </c:pt>
                <c:pt idx="23" formatCode="General">
                  <c:v>0.54569900000000005</c:v>
                </c:pt>
                <c:pt idx="24" formatCode="General">
                  <c:v>-0.164633</c:v>
                </c:pt>
                <c:pt idx="25" formatCode="General">
                  <c:v>-0.65156999999999998</c:v>
                </c:pt>
                <c:pt idx="26" formatCode="General">
                  <c:v>-1.00512</c:v>
                </c:pt>
                <c:pt idx="27" formatCode="General">
                  <c:v>-1.2780100000000001</c:v>
                </c:pt>
                <c:pt idx="28" formatCode="General">
                  <c:v>-1.50101</c:v>
                </c:pt>
                <c:pt idx="29" formatCode="General">
                  <c:v>-1.69215</c:v>
                </c:pt>
                <c:pt idx="30" formatCode="General">
                  <c:v>-1.86212</c:v>
                </c:pt>
                <c:pt idx="31" formatCode="General">
                  <c:v>-2.0174799999999999</c:v>
                </c:pt>
                <c:pt idx="32" formatCode="General">
                  <c:v>-2.1624599999999998</c:v>
                </c:pt>
                <c:pt idx="33" formatCode="General">
                  <c:v>-2.2999100000000001</c:v>
                </c:pt>
                <c:pt idx="34" formatCode="General">
                  <c:v>-2.43187</c:v>
                </c:pt>
                <c:pt idx="35" formatCode="General">
                  <c:v>-2.5598399999999999</c:v>
                </c:pt>
                <c:pt idx="36" formatCode="General">
                  <c:v>-2.68486</c:v>
                </c:pt>
                <c:pt idx="37" formatCode="General">
                  <c:v>-2.8076400000000001</c:v>
                </c:pt>
                <c:pt idx="38" formatCode="General">
                  <c:v>-2.9285600000000001</c:v>
                </c:pt>
                <c:pt idx="39" formatCode="General">
                  <c:v>-3.0477599999999998</c:v>
                </c:pt>
                <c:pt idx="40" formatCode="General">
                  <c:v>-3.1651500000000001</c:v>
                </c:pt>
                <c:pt idx="41" formatCode="General">
                  <c:v>-3.2804799999999998</c:v>
                </c:pt>
                <c:pt idx="42" formatCode="General">
                  <c:v>-3.3933900000000001</c:v>
                </c:pt>
                <c:pt idx="43" formatCode="General">
                  <c:v>-3.5034800000000001</c:v>
                </c:pt>
                <c:pt idx="44" formatCode="General">
                  <c:v>-3.6103000000000001</c:v>
                </c:pt>
                <c:pt idx="45" formatCode="General">
                  <c:v>-3.71346</c:v>
                </c:pt>
                <c:pt idx="46" formatCode="General">
                  <c:v>-3.8126099999999998</c:v>
                </c:pt>
                <c:pt idx="47" formatCode="General">
                  <c:v>-3.9074599999999999</c:v>
                </c:pt>
                <c:pt idx="48" formatCode="General">
                  <c:v>-3.9978199999999999</c:v>
                </c:pt>
                <c:pt idx="49" formatCode="General">
                  <c:v>-4.0835600000000003</c:v>
                </c:pt>
                <c:pt idx="50" formatCode="General">
                  <c:v>-4.1646299999999998</c:v>
                </c:pt>
                <c:pt idx="51" formatCode="General">
                  <c:v>-4.2410399999999999</c:v>
                </c:pt>
                <c:pt idx="52" formatCode="General">
                  <c:v>-4.3128599999999997</c:v>
                </c:pt>
                <c:pt idx="53" formatCode="General">
                  <c:v>-4.3801899999999998</c:v>
                </c:pt>
                <c:pt idx="54" formatCode="General">
                  <c:v>-4.4431900000000004</c:v>
                </c:pt>
                <c:pt idx="55" formatCode="General">
                  <c:v>-4.5020100000000003</c:v>
                </c:pt>
                <c:pt idx="56" formatCode="General">
                  <c:v>-4.5568299999999997</c:v>
                </c:pt>
                <c:pt idx="57" formatCode="General">
                  <c:v>-4.6078200000000002</c:v>
                </c:pt>
                <c:pt idx="58" formatCode="General">
                  <c:v>-4.65517</c:v>
                </c:pt>
                <c:pt idx="59" formatCode="General">
                  <c:v>-4.6990600000000002</c:v>
                </c:pt>
                <c:pt idx="60" formatCode="General">
                  <c:v>-4.7396799999999999</c:v>
                </c:pt>
                <c:pt idx="61" formatCode="General">
                  <c:v>-4.77719</c:v>
                </c:pt>
                <c:pt idx="62" formatCode="General">
                  <c:v>-4.8117700000000001</c:v>
                </c:pt>
                <c:pt idx="63" formatCode="General">
                  <c:v>-4.8436000000000003</c:v>
                </c:pt>
                <c:pt idx="64" formatCode="General">
                  <c:v>-4.8728300000000004</c:v>
                </c:pt>
                <c:pt idx="65" formatCode="General">
                  <c:v>-4.8996399999999998</c:v>
                </c:pt>
                <c:pt idx="66" formatCode="General">
                  <c:v>-4.9241900000000003</c:v>
                </c:pt>
                <c:pt idx="67" formatCode="General">
                  <c:v>-4.9466400000000004</c:v>
                </c:pt>
                <c:pt idx="68" formatCode="General">
                  <c:v>-4.9671599999999998</c:v>
                </c:pt>
                <c:pt idx="69" formatCode="General">
                  <c:v>-4.9859</c:v>
                </c:pt>
                <c:pt idx="70" formatCode="General">
                  <c:v>-5.0030400000000004</c:v>
                </c:pt>
                <c:pt idx="71" formatCode="General">
                  <c:v>-5.0187299999999997</c:v>
                </c:pt>
                <c:pt idx="72" formatCode="General">
                  <c:v>-5.0331200000000003</c:v>
                </c:pt>
                <c:pt idx="73" formatCode="General">
                  <c:v>-5.0463699999999996</c:v>
                </c:pt>
                <c:pt idx="74" formatCode="General">
                  <c:v>-5.05863</c:v>
                </c:pt>
                <c:pt idx="75" formatCode="General">
                  <c:v>-5.0700399999999997</c:v>
                </c:pt>
                <c:pt idx="76" formatCode="General">
                  <c:v>-5.08073</c:v>
                </c:pt>
                <c:pt idx="77" formatCode="General">
                  <c:v>-5.0908100000000003</c:v>
                </c:pt>
                <c:pt idx="78" formatCode="General">
                  <c:v>-5.10039</c:v>
                </c:pt>
                <c:pt idx="79" formatCode="General">
                  <c:v>-5.1095300000000003</c:v>
                </c:pt>
                <c:pt idx="80" formatCode="General">
                  <c:v>-5.1183100000000001</c:v>
                </c:pt>
                <c:pt idx="81" formatCode="General">
                  <c:v>-5.1267399999999999</c:v>
                </c:pt>
                <c:pt idx="82" formatCode="General">
                  <c:v>-5.1348399999999996</c:v>
                </c:pt>
                <c:pt idx="83" formatCode="General">
                  <c:v>-5.1425700000000001</c:v>
                </c:pt>
                <c:pt idx="84" formatCode="General">
                  <c:v>-5.1498799999999996</c:v>
                </c:pt>
                <c:pt idx="85" formatCode="General">
                  <c:v>-5.1566999999999998</c:v>
                </c:pt>
                <c:pt idx="86" formatCode="General">
                  <c:v>-5.1629199999999997</c:v>
                </c:pt>
                <c:pt idx="87" formatCode="General">
                  <c:v>-5.1684299999999999</c:v>
                </c:pt>
                <c:pt idx="88" formatCode="General">
                  <c:v>-5.1731100000000003</c:v>
                </c:pt>
                <c:pt idx="89" formatCode="General">
                  <c:v>-5.1768599999999996</c:v>
                </c:pt>
                <c:pt idx="90" formatCode="General">
                  <c:v>-5.1795999999999998</c:v>
                </c:pt>
                <c:pt idx="91" formatCode="General">
                  <c:v>-5.18133</c:v>
                </c:pt>
                <c:pt idx="92" formatCode="General">
                  <c:v>-5.1821400000000004</c:v>
                </c:pt>
                <c:pt idx="93" formatCode="General">
                  <c:v>-5.1822699999999999</c:v>
                </c:pt>
                <c:pt idx="94" formatCode="General">
                  <c:v>-5.1821700000000002</c:v>
                </c:pt>
                <c:pt idx="95" formatCode="General">
                  <c:v>-5.1821700000000002</c:v>
                </c:pt>
                <c:pt idx="96" formatCode="General">
                  <c:v>-5.1821700000000002</c:v>
                </c:pt>
                <c:pt idx="97" formatCode="General">
                  <c:v>-5.1821700000000002</c:v>
                </c:pt>
                <c:pt idx="98" formatCode="General">
                  <c:v>-5.1821700000000002</c:v>
                </c:pt>
                <c:pt idx="99" formatCode="General">
                  <c:v>-5.1821700000000002</c:v>
                </c:pt>
                <c:pt idx="100" formatCode="General">
                  <c:v>-5.1821700000000002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D-F241-A57D-1BD581735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53584"/>
        <c:axId val="1498249680"/>
      </c:scatterChart>
      <c:valAx>
        <c:axId val="1244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49680"/>
        <c:crosses val="autoZero"/>
        <c:crossBetween val="midCat"/>
      </c:valAx>
      <c:valAx>
        <c:axId val="149824968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Sheet2!$B$7:$B$107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Sheet2!$AJ$7:$AJ$107</c:f>
              <c:numCache>
                <c:formatCode>0.00E+00</c:formatCode>
                <c:ptCount val="101"/>
                <c:pt idx="0">
                  <c:v>-26432.2</c:v>
                </c:pt>
                <c:pt idx="1">
                  <c:v>-26432.2</c:v>
                </c:pt>
                <c:pt idx="2">
                  <c:v>-5905.38</c:v>
                </c:pt>
                <c:pt idx="3">
                  <c:v>2200.09</c:v>
                </c:pt>
                <c:pt idx="4">
                  <c:v>4654.41</c:v>
                </c:pt>
                <c:pt idx="5">
                  <c:v>4745.37</c:v>
                </c:pt>
                <c:pt idx="6">
                  <c:v>4003.72</c:v>
                </c:pt>
                <c:pt idx="7">
                  <c:v>3096.82</c:v>
                </c:pt>
                <c:pt idx="8">
                  <c:v>2282.4899999999998</c:v>
                </c:pt>
                <c:pt idx="9">
                  <c:v>1634.42</c:v>
                </c:pt>
                <c:pt idx="10">
                  <c:v>1150.58</c:v>
                </c:pt>
                <c:pt idx="11">
                  <c:v>803.11800000000005</c:v>
                </c:pt>
                <c:pt idx="12" formatCode="General">
                  <c:v>559.88300000000004</c:v>
                </c:pt>
                <c:pt idx="13" formatCode="General">
                  <c:v>392.50400000000002</c:v>
                </c:pt>
                <c:pt idx="14" formatCode="General">
                  <c:v>278.57100000000003</c:v>
                </c:pt>
                <c:pt idx="15" formatCode="General">
                  <c:v>201.417</c:v>
                </c:pt>
                <c:pt idx="16" formatCode="General">
                  <c:v>149.10900000000001</c:v>
                </c:pt>
                <c:pt idx="17" formatCode="General">
                  <c:v>113.33799999999999</c:v>
                </c:pt>
                <c:pt idx="18" formatCode="General">
                  <c:v>88.444999999999993</c:v>
                </c:pt>
                <c:pt idx="19" formatCode="General">
                  <c:v>70.651499999999999</c:v>
                </c:pt>
                <c:pt idx="20" formatCode="General">
                  <c:v>57.485700000000001</c:v>
                </c:pt>
                <c:pt idx="21" formatCode="General">
                  <c:v>47.362699999999997</c:v>
                </c:pt>
                <c:pt idx="22" formatCode="General">
                  <c:v>39.287199999999999</c:v>
                </c:pt>
                <c:pt idx="23" formatCode="General">
                  <c:v>32.646599999999999</c:v>
                </c:pt>
                <c:pt idx="24" formatCode="General">
                  <c:v>27.068899999999999</c:v>
                </c:pt>
                <c:pt idx="25" formatCode="General">
                  <c:v>22.328099999999999</c:v>
                </c:pt>
                <c:pt idx="26" formatCode="General">
                  <c:v>18.282399999999999</c:v>
                </c:pt>
                <c:pt idx="27" formatCode="General">
                  <c:v>14.835800000000001</c:v>
                </c:pt>
                <c:pt idx="28" formatCode="General">
                  <c:v>11.915100000000001</c:v>
                </c:pt>
                <c:pt idx="29" formatCode="General">
                  <c:v>9.4580699999999993</c:v>
                </c:pt>
                <c:pt idx="30" formatCode="General">
                  <c:v>7.4068800000000001</c:v>
                </c:pt>
                <c:pt idx="31" formatCode="General">
                  <c:v>5.7067600000000001</c:v>
                </c:pt>
                <c:pt idx="32" formatCode="General">
                  <c:v>4.3057400000000001</c:v>
                </c:pt>
                <c:pt idx="33" formatCode="General">
                  <c:v>3.1555499999999999</c:v>
                </c:pt>
                <c:pt idx="34" formatCode="General">
                  <c:v>2.21258</c:v>
                </c:pt>
                <c:pt idx="35" formatCode="General">
                  <c:v>1.4385300000000001</c:v>
                </c:pt>
                <c:pt idx="36" formatCode="General">
                  <c:v>0.80069299999999999</c:v>
                </c:pt>
                <c:pt idx="37" formatCode="General">
                  <c:v>0.27189000000000002</c:v>
                </c:pt>
                <c:pt idx="38" formatCode="General">
                  <c:v>-0.16999900000000001</c:v>
                </c:pt>
                <c:pt idx="39" formatCode="General">
                  <c:v>-0.54261599999999999</c:v>
                </c:pt>
                <c:pt idx="40" formatCode="General">
                  <c:v>-0.85983799999999999</c:v>
                </c:pt>
                <c:pt idx="41" formatCode="General">
                  <c:v>-1.1324799999999999</c:v>
                </c:pt>
                <c:pt idx="42" formatCode="General">
                  <c:v>-1.36896</c:v>
                </c:pt>
                <c:pt idx="43" formatCode="General">
                  <c:v>-1.57582</c:v>
                </c:pt>
                <c:pt idx="44" formatCode="General">
                  <c:v>-1.7582100000000001</c:v>
                </c:pt>
                <c:pt idx="45" formatCode="General">
                  <c:v>-1.9202399999999999</c:v>
                </c:pt>
                <c:pt idx="46" formatCode="General">
                  <c:v>-2.0651899999999999</c:v>
                </c:pt>
                <c:pt idx="47" formatCode="General">
                  <c:v>-2.1957499999999999</c:v>
                </c:pt>
                <c:pt idx="48" formatCode="General">
                  <c:v>-2.31413</c:v>
                </c:pt>
                <c:pt idx="49" formatCode="General">
                  <c:v>-2.42211</c:v>
                </c:pt>
                <c:pt idx="50" formatCode="General">
                  <c:v>-2.5211999999999999</c:v>
                </c:pt>
                <c:pt idx="51" formatCode="General">
                  <c:v>-2.6126</c:v>
                </c:pt>
                <c:pt idx="52" formatCode="General">
                  <c:v>-2.6972800000000001</c:v>
                </c:pt>
                <c:pt idx="53" formatCode="General">
                  <c:v>-2.7760400000000001</c:v>
                </c:pt>
                <c:pt idx="54" formatCode="General">
                  <c:v>-2.8495200000000001</c:v>
                </c:pt>
                <c:pt idx="55" formatCode="General">
                  <c:v>-2.9182299999999999</c:v>
                </c:pt>
                <c:pt idx="56" formatCode="General">
                  <c:v>-2.9826100000000002</c:v>
                </c:pt>
                <c:pt idx="57" formatCode="General">
                  <c:v>-3.0430199999999998</c:v>
                </c:pt>
                <c:pt idx="58" formatCode="General">
                  <c:v>-3.09979</c:v>
                </c:pt>
                <c:pt idx="59" formatCode="General">
                  <c:v>-3.1532300000000002</c:v>
                </c:pt>
                <c:pt idx="60" formatCode="General">
                  <c:v>-3.2036099999999998</c:v>
                </c:pt>
                <c:pt idx="61" formatCode="General">
                  <c:v>-3.2512300000000001</c:v>
                </c:pt>
                <c:pt idx="62" formatCode="General">
                  <c:v>-3.29637</c:v>
                </c:pt>
                <c:pt idx="63" formatCode="General">
                  <c:v>-3.3393000000000002</c:v>
                </c:pt>
                <c:pt idx="64" formatCode="General">
                  <c:v>-3.38029</c:v>
                </c:pt>
                <c:pt idx="65" formatCode="General">
                  <c:v>-3.4196</c:v>
                </c:pt>
                <c:pt idx="66" formatCode="General">
                  <c:v>-3.4574500000000001</c:v>
                </c:pt>
                <c:pt idx="67" formatCode="General">
                  <c:v>-3.4940699999999998</c:v>
                </c:pt>
                <c:pt idx="68" formatCode="General">
                  <c:v>-3.5296099999999999</c:v>
                </c:pt>
                <c:pt idx="69" formatCode="General">
                  <c:v>-3.5642399999999999</c:v>
                </c:pt>
                <c:pt idx="70" formatCode="General">
                  <c:v>-3.5980300000000001</c:v>
                </c:pt>
                <c:pt idx="71" formatCode="General">
                  <c:v>-3.6310600000000002</c:v>
                </c:pt>
                <c:pt idx="72" formatCode="General">
                  <c:v>-3.6633300000000002</c:v>
                </c:pt>
                <c:pt idx="73" formatCode="General">
                  <c:v>-3.6948300000000001</c:v>
                </c:pt>
                <c:pt idx="74" formatCode="General">
                  <c:v>-3.7254999999999998</c:v>
                </c:pt>
                <c:pt idx="75" formatCode="General">
                  <c:v>-3.7552699999999999</c:v>
                </c:pt>
                <c:pt idx="76" formatCode="General">
                  <c:v>-3.7840600000000002</c:v>
                </c:pt>
                <c:pt idx="77" formatCode="General">
                  <c:v>-3.81176</c:v>
                </c:pt>
                <c:pt idx="78" formatCode="General">
                  <c:v>-3.83832</c:v>
                </c:pt>
                <c:pt idx="79" formatCode="General">
                  <c:v>-3.8636699999999999</c:v>
                </c:pt>
                <c:pt idx="80" formatCode="General">
                  <c:v>-3.88781</c:v>
                </c:pt>
                <c:pt idx="81" formatCode="General">
                  <c:v>-3.9107799999999999</c:v>
                </c:pt>
                <c:pt idx="82" formatCode="General">
                  <c:v>-3.9327000000000001</c:v>
                </c:pt>
                <c:pt idx="83" formatCode="General">
                  <c:v>-3.9537300000000002</c:v>
                </c:pt>
                <c:pt idx="84" formatCode="General">
                  <c:v>-3.9741200000000001</c:v>
                </c:pt>
                <c:pt idx="85" formatCode="General">
                  <c:v>-3.9941300000000002</c:v>
                </c:pt>
                <c:pt idx="86" formatCode="General">
                  <c:v>-4.0140700000000002</c:v>
                </c:pt>
                <c:pt idx="87" formatCode="General">
                  <c:v>-4.0341899999999997</c:v>
                </c:pt>
                <c:pt idx="88" formatCode="General">
                  <c:v>-4.0546800000000003</c:v>
                </c:pt>
                <c:pt idx="89" formatCode="General">
                  <c:v>-4.07552</c:v>
                </c:pt>
                <c:pt idx="90" formatCode="General">
                  <c:v>-4.0964</c:v>
                </c:pt>
                <c:pt idx="91" formatCode="General">
                  <c:v>-4.1165500000000002</c:v>
                </c:pt>
                <c:pt idx="92" formatCode="General">
                  <c:v>-4.1345400000000003</c:v>
                </c:pt>
                <c:pt idx="93" formatCode="General">
                  <c:v>-4.1480600000000001</c:v>
                </c:pt>
                <c:pt idx="94" formatCode="General">
                  <c:v>-4.1535799999999998</c:v>
                </c:pt>
                <c:pt idx="95" formatCode="General">
                  <c:v>-4.1535799999999998</c:v>
                </c:pt>
                <c:pt idx="96" formatCode="General">
                  <c:v>-4.1535799999999998</c:v>
                </c:pt>
                <c:pt idx="97" formatCode="General">
                  <c:v>-4.1535799999999998</c:v>
                </c:pt>
                <c:pt idx="98" formatCode="General">
                  <c:v>-4.1535799999999998</c:v>
                </c:pt>
                <c:pt idx="99" formatCode="General">
                  <c:v>-4.1535799999999998</c:v>
                </c:pt>
                <c:pt idx="100" formatCode="General">
                  <c:v>-4.1535799999999998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A-4D47-9292-50BF55F28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53584"/>
        <c:axId val="1498249680"/>
      </c:scatterChart>
      <c:valAx>
        <c:axId val="1244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49680"/>
        <c:crosses val="autoZero"/>
        <c:crossBetween val="midCat"/>
      </c:valAx>
      <c:valAx>
        <c:axId val="149824968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Sheet2!$B$7:$B$107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Sheet2!$AR$7:$AR$107</c:f>
              <c:numCache>
                <c:formatCode>0.00E+00</c:formatCode>
                <c:ptCount val="101"/>
                <c:pt idx="0">
                  <c:v>-1990620000</c:v>
                </c:pt>
                <c:pt idx="1">
                  <c:v>-1990620000</c:v>
                </c:pt>
                <c:pt idx="2">
                  <c:v>-1113230000</c:v>
                </c:pt>
                <c:pt idx="3">
                  <c:v>-615872000</c:v>
                </c:pt>
                <c:pt idx="4">
                  <c:v>-336903000</c:v>
                </c:pt>
                <c:pt idx="5">
                  <c:v>-182141000</c:v>
                </c:pt>
                <c:pt idx="6">
                  <c:v>-97266400</c:v>
                </c:pt>
                <c:pt idx="7">
                  <c:v>-51275300</c:v>
                </c:pt>
                <c:pt idx="8">
                  <c:v>-26666100</c:v>
                </c:pt>
                <c:pt idx="9">
                  <c:v>-13671000</c:v>
                </c:pt>
                <c:pt idx="10">
                  <c:v>-6903530</c:v>
                </c:pt>
                <c:pt idx="11">
                  <c:v>-3430620</c:v>
                </c:pt>
                <c:pt idx="12">
                  <c:v>-1675840</c:v>
                </c:pt>
                <c:pt idx="13">
                  <c:v>-803711</c:v>
                </c:pt>
                <c:pt idx="14">
                  <c:v>-377832</c:v>
                </c:pt>
                <c:pt idx="15" formatCode="General">
                  <c:v>-173774</c:v>
                </c:pt>
                <c:pt idx="16" formatCode="General">
                  <c:v>-77992.2</c:v>
                </c:pt>
                <c:pt idx="17" formatCode="General">
                  <c:v>-34039.199999999997</c:v>
                </c:pt>
                <c:pt idx="18" formatCode="General">
                  <c:v>-14373.2</c:v>
                </c:pt>
                <c:pt idx="19" formatCode="General">
                  <c:v>-5824.93</c:v>
                </c:pt>
                <c:pt idx="20" formatCode="General">
                  <c:v>-2234.41</c:v>
                </c:pt>
                <c:pt idx="21" formatCode="General">
                  <c:v>-789.27200000000005</c:v>
                </c:pt>
                <c:pt idx="22" formatCode="General">
                  <c:v>-239.97900000000001</c:v>
                </c:pt>
                <c:pt idx="23" formatCode="General">
                  <c:v>-48.463799999999999</c:v>
                </c:pt>
                <c:pt idx="24" formatCode="General">
                  <c:v>8.4970599999999994</c:v>
                </c:pt>
                <c:pt idx="25" formatCode="General">
                  <c:v>19.273399999999999</c:v>
                </c:pt>
                <c:pt idx="26" formatCode="General">
                  <c:v>16.690999999999999</c:v>
                </c:pt>
                <c:pt idx="27" formatCode="General">
                  <c:v>11.802899999999999</c:v>
                </c:pt>
                <c:pt idx="28" formatCode="General">
                  <c:v>7.68865</c:v>
                </c:pt>
                <c:pt idx="29" formatCode="General">
                  <c:v>4.8048900000000003</c:v>
                </c:pt>
                <c:pt idx="30" formatCode="General">
                  <c:v>2.91221</c:v>
                </c:pt>
                <c:pt idx="31" formatCode="General">
                  <c:v>1.6917</c:v>
                </c:pt>
                <c:pt idx="32" formatCode="General">
                  <c:v>0.89812099999999995</c:v>
                </c:pt>
                <c:pt idx="33" formatCode="General">
                  <c:v>0.36995699999999998</c:v>
                </c:pt>
                <c:pt idx="34" formatCode="General">
                  <c:v>6.8884000000000003E-3</c:v>
                </c:pt>
                <c:pt idx="35" formatCode="General">
                  <c:v>-0.25240800000000002</c:v>
                </c:pt>
                <c:pt idx="36" formatCode="General">
                  <c:v>-0.445662</c:v>
                </c:pt>
                <c:pt idx="37" formatCode="General">
                  <c:v>-0.59644799999999998</c:v>
                </c:pt>
                <c:pt idx="38" formatCode="General">
                  <c:v>-0.71971099999999999</c:v>
                </c:pt>
                <c:pt idx="39" formatCode="General">
                  <c:v>-0.82499400000000001</c:v>
                </c:pt>
                <c:pt idx="40" formatCode="General">
                  <c:v>-0.91839099999999996</c:v>
                </c:pt>
                <c:pt idx="41" formatCode="General">
                  <c:v>-1.00376</c:v>
                </c:pt>
                <c:pt idx="42" formatCode="General">
                  <c:v>-1.0835300000000001</c:v>
                </c:pt>
                <c:pt idx="43" formatCode="General">
                  <c:v>-1.1591800000000001</c:v>
                </c:pt>
                <c:pt idx="44" formatCode="General">
                  <c:v>-1.2316400000000001</c:v>
                </c:pt>
                <c:pt idx="45" formatCode="General">
                  <c:v>-1.30145</c:v>
                </c:pt>
                <c:pt idx="46" formatCode="General">
                  <c:v>-1.36894</c:v>
                </c:pt>
                <c:pt idx="47" formatCode="General">
                  <c:v>-1.4342900000000001</c:v>
                </c:pt>
                <c:pt idx="48" formatCode="General">
                  <c:v>-1.4975700000000001</c:v>
                </c:pt>
                <c:pt idx="49" formatCode="General">
                  <c:v>-1.5588200000000001</c:v>
                </c:pt>
                <c:pt idx="50" formatCode="General">
                  <c:v>-1.6180000000000001</c:v>
                </c:pt>
                <c:pt idx="51" formatCode="General">
                  <c:v>-1.6750799999999999</c:v>
                </c:pt>
                <c:pt idx="52" formatCode="General">
                  <c:v>-1.7299899999999999</c:v>
                </c:pt>
                <c:pt idx="53" formatCode="General">
                  <c:v>-1.78268</c:v>
                </c:pt>
                <c:pt idx="54" formatCode="General">
                  <c:v>-1.8330900000000001</c:v>
                </c:pt>
                <c:pt idx="55" formatCode="General">
                  <c:v>-1.88117</c:v>
                </c:pt>
                <c:pt idx="56" formatCode="General">
                  <c:v>-1.9269099999999999</c:v>
                </c:pt>
                <c:pt idx="57" formatCode="General">
                  <c:v>-1.97031</c:v>
                </c:pt>
                <c:pt idx="58" formatCode="General">
                  <c:v>-2.0113699999999999</c:v>
                </c:pt>
                <c:pt idx="59" formatCode="General">
                  <c:v>-2.0501399999999999</c:v>
                </c:pt>
                <c:pt idx="60" formatCode="General">
                  <c:v>-2.0866799999999999</c:v>
                </c:pt>
                <c:pt idx="61" formatCode="General">
                  <c:v>-2.1210800000000001</c:v>
                </c:pt>
                <c:pt idx="62" formatCode="General">
                  <c:v>-2.1534300000000002</c:v>
                </c:pt>
                <c:pt idx="63" formatCode="General">
                  <c:v>-2.1838700000000002</c:v>
                </c:pt>
                <c:pt idx="64" formatCode="General">
                  <c:v>-2.2125300000000001</c:v>
                </c:pt>
                <c:pt idx="65" formatCode="General">
                  <c:v>-2.2395399999999999</c:v>
                </c:pt>
                <c:pt idx="66" formatCode="General">
                  <c:v>-2.2650600000000001</c:v>
                </c:pt>
                <c:pt idx="67" formatCode="General">
                  <c:v>-2.2892399999999999</c:v>
                </c:pt>
                <c:pt idx="68" formatCode="General">
                  <c:v>-2.31223</c:v>
                </c:pt>
                <c:pt idx="69" formatCode="General">
                  <c:v>-2.3341500000000002</c:v>
                </c:pt>
                <c:pt idx="70" formatCode="General">
                  <c:v>-2.3551299999999999</c:v>
                </c:pt>
                <c:pt idx="71" formatCode="General">
                  <c:v>-2.3752599999999999</c:v>
                </c:pt>
                <c:pt idx="72" formatCode="General">
                  <c:v>-2.3946100000000001</c:v>
                </c:pt>
                <c:pt idx="73" formatCode="General">
                  <c:v>-2.4132400000000001</c:v>
                </c:pt>
                <c:pt idx="74" formatCode="General">
                  <c:v>-2.4311600000000002</c:v>
                </c:pt>
                <c:pt idx="75" formatCode="General">
                  <c:v>-2.4483799999999998</c:v>
                </c:pt>
                <c:pt idx="76" formatCode="General">
                  <c:v>-2.46489</c:v>
                </c:pt>
                <c:pt idx="77" formatCode="General">
                  <c:v>-2.4806499999999998</c:v>
                </c:pt>
                <c:pt idx="78" formatCode="General">
                  <c:v>-2.4956299999999998</c:v>
                </c:pt>
                <c:pt idx="79" formatCode="General">
                  <c:v>-2.5097999999999998</c:v>
                </c:pt>
                <c:pt idx="80" formatCode="General">
                  <c:v>-2.5231599999999998</c:v>
                </c:pt>
                <c:pt idx="81" formatCode="General">
                  <c:v>-2.5357099999999999</c:v>
                </c:pt>
                <c:pt idx="82" formatCode="General">
                  <c:v>-2.5475300000000001</c:v>
                </c:pt>
                <c:pt idx="83" formatCode="General">
                  <c:v>-2.5587</c:v>
                </c:pt>
                <c:pt idx="84" formatCode="General">
                  <c:v>-2.5693700000000002</c:v>
                </c:pt>
                <c:pt idx="85" formatCode="General">
                  <c:v>-2.5797300000000001</c:v>
                </c:pt>
                <c:pt idx="86" formatCode="General">
                  <c:v>-2.5899800000000002</c:v>
                </c:pt>
                <c:pt idx="87" formatCode="General">
                  <c:v>-2.6003599999999998</c:v>
                </c:pt>
                <c:pt idx="88" formatCode="General">
                  <c:v>-2.61103</c:v>
                </c:pt>
                <c:pt idx="89" formatCode="General">
                  <c:v>-2.6221000000000001</c:v>
                </c:pt>
                <c:pt idx="90" formatCode="General">
                  <c:v>-2.6334599999999999</c:v>
                </c:pt>
                <c:pt idx="91" formatCode="General">
                  <c:v>-2.64472</c:v>
                </c:pt>
                <c:pt idx="92" formatCode="General">
                  <c:v>-2.6550799999999999</c:v>
                </c:pt>
                <c:pt idx="93" formatCode="General">
                  <c:v>-2.6630699999999998</c:v>
                </c:pt>
                <c:pt idx="94" formatCode="General">
                  <c:v>-2.66642</c:v>
                </c:pt>
                <c:pt idx="95" formatCode="General">
                  <c:v>-2.66642</c:v>
                </c:pt>
                <c:pt idx="96" formatCode="General">
                  <c:v>-2.66642</c:v>
                </c:pt>
                <c:pt idx="97" formatCode="General">
                  <c:v>-2.66642</c:v>
                </c:pt>
                <c:pt idx="98" formatCode="General">
                  <c:v>-2.66642</c:v>
                </c:pt>
                <c:pt idx="99" formatCode="General">
                  <c:v>-2.66642</c:v>
                </c:pt>
                <c:pt idx="100" formatCode="General">
                  <c:v>-2.66642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5-C64E-A4DE-4A491E86A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53584"/>
        <c:axId val="1498249680"/>
      </c:scatterChart>
      <c:valAx>
        <c:axId val="1244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49680"/>
        <c:crosses val="autoZero"/>
        <c:crossBetween val="midCat"/>
      </c:valAx>
      <c:valAx>
        <c:axId val="149824968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Sheet2!$B$7:$B$107</c:f>
              <c:numCache>
                <c:formatCode>General</c:formatCode>
                <c:ptCount val="101"/>
                <c:pt idx="0">
                  <c:v>0.35000000000000003</c:v>
                </c:pt>
                <c:pt idx="1">
                  <c:v>0.4</c:v>
                </c:pt>
                <c:pt idx="2">
                  <c:v>0.45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0.60000000000000009</c:v>
                </c:pt>
                <c:pt idx="6">
                  <c:v>0.65000000000000013</c:v>
                </c:pt>
                <c:pt idx="7">
                  <c:v>0.70000000000000018</c:v>
                </c:pt>
                <c:pt idx="8">
                  <c:v>0.75000000000000022</c:v>
                </c:pt>
                <c:pt idx="9">
                  <c:v>0.80000000000000027</c:v>
                </c:pt>
                <c:pt idx="10">
                  <c:v>0.85000000000000031</c:v>
                </c:pt>
                <c:pt idx="11">
                  <c:v>0.90000000000000036</c:v>
                </c:pt>
                <c:pt idx="12">
                  <c:v>0.9500000000000004</c:v>
                </c:pt>
                <c:pt idx="13">
                  <c:v>1.0000000000000004</c:v>
                </c:pt>
                <c:pt idx="14">
                  <c:v>1.0500000000000005</c:v>
                </c:pt>
                <c:pt idx="15">
                  <c:v>1.1000000000000005</c:v>
                </c:pt>
                <c:pt idx="16">
                  <c:v>1.1500000000000006</c:v>
                </c:pt>
                <c:pt idx="17">
                  <c:v>1.2000000000000006</c:v>
                </c:pt>
                <c:pt idx="18">
                  <c:v>1.2500000000000007</c:v>
                </c:pt>
                <c:pt idx="19">
                  <c:v>1.3000000000000007</c:v>
                </c:pt>
                <c:pt idx="20">
                  <c:v>1.3500000000000008</c:v>
                </c:pt>
                <c:pt idx="21">
                  <c:v>1.4000000000000008</c:v>
                </c:pt>
                <c:pt idx="22">
                  <c:v>1.4500000000000008</c:v>
                </c:pt>
                <c:pt idx="23">
                  <c:v>1.5000000000000009</c:v>
                </c:pt>
                <c:pt idx="24">
                  <c:v>1.5500000000000009</c:v>
                </c:pt>
                <c:pt idx="25">
                  <c:v>1.600000000000001</c:v>
                </c:pt>
                <c:pt idx="26">
                  <c:v>1.650000000000001</c:v>
                </c:pt>
                <c:pt idx="27">
                  <c:v>1.7000000000000011</c:v>
                </c:pt>
                <c:pt idx="28">
                  <c:v>1.7500000000000011</c:v>
                </c:pt>
                <c:pt idx="29">
                  <c:v>1.8000000000000012</c:v>
                </c:pt>
                <c:pt idx="30">
                  <c:v>1.8500000000000012</c:v>
                </c:pt>
                <c:pt idx="31">
                  <c:v>1.9000000000000012</c:v>
                </c:pt>
                <c:pt idx="32">
                  <c:v>1.9500000000000013</c:v>
                </c:pt>
                <c:pt idx="33">
                  <c:v>2.0000000000000013</c:v>
                </c:pt>
                <c:pt idx="34">
                  <c:v>2.0500000000000012</c:v>
                </c:pt>
                <c:pt idx="35">
                  <c:v>2.100000000000001</c:v>
                </c:pt>
                <c:pt idx="36">
                  <c:v>2.1500000000000008</c:v>
                </c:pt>
                <c:pt idx="37">
                  <c:v>2.2000000000000006</c:v>
                </c:pt>
                <c:pt idx="38">
                  <c:v>2.2500000000000004</c:v>
                </c:pt>
                <c:pt idx="39">
                  <c:v>2.3000000000000003</c:v>
                </c:pt>
                <c:pt idx="40">
                  <c:v>2.35</c:v>
                </c:pt>
                <c:pt idx="41">
                  <c:v>2.4</c:v>
                </c:pt>
                <c:pt idx="42">
                  <c:v>2.4499999999999997</c:v>
                </c:pt>
                <c:pt idx="43">
                  <c:v>2.4999999999999996</c:v>
                </c:pt>
                <c:pt idx="44">
                  <c:v>2.5499999999999994</c:v>
                </c:pt>
                <c:pt idx="45">
                  <c:v>2.5999999999999992</c:v>
                </c:pt>
                <c:pt idx="46">
                  <c:v>2.649999999999999</c:v>
                </c:pt>
                <c:pt idx="47">
                  <c:v>2.6999999999999988</c:v>
                </c:pt>
                <c:pt idx="48">
                  <c:v>2.7499999999999987</c:v>
                </c:pt>
                <c:pt idx="49">
                  <c:v>2.7999999999999985</c:v>
                </c:pt>
                <c:pt idx="50">
                  <c:v>2.8499999999999983</c:v>
                </c:pt>
                <c:pt idx="51">
                  <c:v>2.8999999999999981</c:v>
                </c:pt>
                <c:pt idx="52">
                  <c:v>2.949999999999998</c:v>
                </c:pt>
                <c:pt idx="53">
                  <c:v>2.9999999999999978</c:v>
                </c:pt>
                <c:pt idx="54">
                  <c:v>3.0499999999999976</c:v>
                </c:pt>
                <c:pt idx="55">
                  <c:v>3.0999999999999974</c:v>
                </c:pt>
                <c:pt idx="56">
                  <c:v>3.1499999999999972</c:v>
                </c:pt>
                <c:pt idx="57">
                  <c:v>3.1999999999999971</c:v>
                </c:pt>
                <c:pt idx="58">
                  <c:v>3.2499999999999969</c:v>
                </c:pt>
                <c:pt idx="59">
                  <c:v>3.2999999999999967</c:v>
                </c:pt>
                <c:pt idx="60">
                  <c:v>3.3499999999999965</c:v>
                </c:pt>
                <c:pt idx="61">
                  <c:v>3.3999999999999964</c:v>
                </c:pt>
                <c:pt idx="62">
                  <c:v>3.4499999999999962</c:v>
                </c:pt>
                <c:pt idx="63">
                  <c:v>3.499999999999996</c:v>
                </c:pt>
                <c:pt idx="64">
                  <c:v>3.5499999999999958</c:v>
                </c:pt>
                <c:pt idx="65">
                  <c:v>3.5999999999999956</c:v>
                </c:pt>
                <c:pt idx="66">
                  <c:v>3.6499999999999955</c:v>
                </c:pt>
                <c:pt idx="67">
                  <c:v>3.6999999999999953</c:v>
                </c:pt>
                <c:pt idx="68">
                  <c:v>3.7499999999999951</c:v>
                </c:pt>
                <c:pt idx="69">
                  <c:v>3.7999999999999949</c:v>
                </c:pt>
                <c:pt idx="70">
                  <c:v>3.8499999999999948</c:v>
                </c:pt>
                <c:pt idx="71">
                  <c:v>3.8999999999999946</c:v>
                </c:pt>
                <c:pt idx="72">
                  <c:v>3.9499999999999944</c:v>
                </c:pt>
                <c:pt idx="73">
                  <c:v>3.9999999999999942</c:v>
                </c:pt>
                <c:pt idx="74">
                  <c:v>4.0499999999999945</c:v>
                </c:pt>
                <c:pt idx="75">
                  <c:v>4.0999999999999943</c:v>
                </c:pt>
                <c:pt idx="76">
                  <c:v>4.1499999999999941</c:v>
                </c:pt>
                <c:pt idx="77">
                  <c:v>4.199999999999994</c:v>
                </c:pt>
                <c:pt idx="78">
                  <c:v>4.2499999999999938</c:v>
                </c:pt>
                <c:pt idx="79">
                  <c:v>4.2999999999999936</c:v>
                </c:pt>
                <c:pt idx="80">
                  <c:v>4.3499999999999934</c:v>
                </c:pt>
                <c:pt idx="81">
                  <c:v>4.3999999999999932</c:v>
                </c:pt>
                <c:pt idx="82">
                  <c:v>4.4499999999999931</c:v>
                </c:pt>
                <c:pt idx="83">
                  <c:v>4.4999999999999929</c:v>
                </c:pt>
                <c:pt idx="84">
                  <c:v>4.5499999999999927</c:v>
                </c:pt>
                <c:pt idx="85">
                  <c:v>4.5999999999999925</c:v>
                </c:pt>
                <c:pt idx="86">
                  <c:v>4.6499999999999924</c:v>
                </c:pt>
                <c:pt idx="87">
                  <c:v>4.6999999999999922</c:v>
                </c:pt>
                <c:pt idx="88">
                  <c:v>4.749999999999992</c:v>
                </c:pt>
                <c:pt idx="89">
                  <c:v>4.7999999999999918</c:v>
                </c:pt>
                <c:pt idx="90">
                  <c:v>4.8499999999999917</c:v>
                </c:pt>
                <c:pt idx="91">
                  <c:v>4.8999999999999915</c:v>
                </c:pt>
                <c:pt idx="92">
                  <c:v>4.9499999999999913</c:v>
                </c:pt>
                <c:pt idx="93">
                  <c:v>4.9999999999999911</c:v>
                </c:pt>
                <c:pt idx="94">
                  <c:v>5.0499999999999909</c:v>
                </c:pt>
                <c:pt idx="95">
                  <c:v>5.0999999999999908</c:v>
                </c:pt>
                <c:pt idx="96">
                  <c:v>5.1499999999999906</c:v>
                </c:pt>
                <c:pt idx="97">
                  <c:v>5.1999999999999904</c:v>
                </c:pt>
                <c:pt idx="98">
                  <c:v>5.2499999999999902</c:v>
                </c:pt>
                <c:pt idx="99">
                  <c:v>5.2999999999999901</c:v>
                </c:pt>
                <c:pt idx="100">
                  <c:v>5.3499999999999899</c:v>
                </c:pt>
              </c:numCache>
            </c:numRef>
          </c:xVal>
          <c:yVal>
            <c:numRef>
              <c:f>Sheet2!$AZ$7:$AZ$107</c:f>
              <c:numCache>
                <c:formatCode>0.00E+00</c:formatCode>
                <c:ptCount val="101"/>
                <c:pt idx="0">
                  <c:v>-97558700</c:v>
                </c:pt>
                <c:pt idx="1">
                  <c:v>-97558700</c:v>
                </c:pt>
                <c:pt idx="2">
                  <c:v>-48648200</c:v>
                </c:pt>
                <c:pt idx="3">
                  <c:v>-23947600</c:v>
                </c:pt>
                <c:pt idx="4">
                  <c:v>-11634700</c:v>
                </c:pt>
                <c:pt idx="5">
                  <c:v>-5577480</c:v>
                </c:pt>
                <c:pt idx="6">
                  <c:v>-2637490</c:v>
                </c:pt>
                <c:pt idx="7">
                  <c:v>-1229830</c:v>
                </c:pt>
                <c:pt idx="8">
                  <c:v>-565133</c:v>
                </c:pt>
                <c:pt idx="9" formatCode="General">
                  <c:v>-255679</c:v>
                </c:pt>
                <c:pt idx="10" formatCode="General">
                  <c:v>-113706</c:v>
                </c:pt>
                <c:pt idx="11" formatCode="General">
                  <c:v>-49570.3</c:v>
                </c:pt>
                <c:pt idx="12" formatCode="General">
                  <c:v>-21081.1</c:v>
                </c:pt>
                <c:pt idx="13" formatCode="General">
                  <c:v>-8668.1200000000008</c:v>
                </c:pt>
                <c:pt idx="14" formatCode="General">
                  <c:v>-3386.5</c:v>
                </c:pt>
                <c:pt idx="15" formatCode="General">
                  <c:v>-1209.5899999999999</c:v>
                </c:pt>
                <c:pt idx="16" formatCode="General">
                  <c:v>-353.98200000000003</c:v>
                </c:pt>
                <c:pt idx="17" formatCode="General">
                  <c:v>-43.994900000000001</c:v>
                </c:pt>
                <c:pt idx="18" formatCode="General">
                  <c:v>50.511000000000003</c:v>
                </c:pt>
                <c:pt idx="19" formatCode="General">
                  <c:v>66.101399999999998</c:v>
                </c:pt>
                <c:pt idx="20" formatCode="General">
                  <c:v>56.965899999999998</c:v>
                </c:pt>
                <c:pt idx="21" formatCode="General">
                  <c:v>43.162999999999997</c:v>
                </c:pt>
                <c:pt idx="22" formatCode="General">
                  <c:v>31.1447</c:v>
                </c:pt>
                <c:pt idx="23" formatCode="General">
                  <c:v>22.273599999999998</c:v>
                </c:pt>
                <c:pt idx="24" formatCode="General">
                  <c:v>16.232500000000002</c:v>
                </c:pt>
                <c:pt idx="25" formatCode="General">
                  <c:v>12.313599999999999</c:v>
                </c:pt>
                <c:pt idx="26" formatCode="General">
                  <c:v>9.8535799999999991</c:v>
                </c:pt>
                <c:pt idx="27" formatCode="General">
                  <c:v>8.3447099999999992</c:v>
                </c:pt>
                <c:pt idx="28" formatCode="General">
                  <c:v>7.4322699999999999</c:v>
                </c:pt>
                <c:pt idx="29" formatCode="General">
                  <c:v>6.8818799999999998</c:v>
                </c:pt>
                <c:pt idx="30" formatCode="General">
                  <c:v>6.5449200000000003</c:v>
                </c:pt>
                <c:pt idx="31" formatCode="General">
                  <c:v>6.3305400000000001</c:v>
                </c:pt>
                <c:pt idx="32" formatCode="General">
                  <c:v>6.1851900000000004</c:v>
                </c:pt>
                <c:pt idx="33" formatCode="General">
                  <c:v>6.0785600000000004</c:v>
                </c:pt>
                <c:pt idx="34" formatCode="General">
                  <c:v>5.9941300000000002</c:v>
                </c:pt>
                <c:pt idx="35" formatCode="General">
                  <c:v>5.9232500000000003</c:v>
                </c:pt>
                <c:pt idx="36" formatCode="General">
                  <c:v>5.8614199999999999</c:v>
                </c:pt>
                <c:pt idx="37" formatCode="General">
                  <c:v>5.8062100000000001</c:v>
                </c:pt>
                <c:pt idx="38" formatCode="General">
                  <c:v>5.75617</c:v>
                </c:pt>
                <c:pt idx="39" formatCode="General">
                  <c:v>5.71028</c:v>
                </c:pt>
                <c:pt idx="40" formatCode="General">
                  <c:v>5.6677999999999997</c:v>
                </c:pt>
                <c:pt idx="41" formatCode="General">
                  <c:v>5.6281800000000004</c:v>
                </c:pt>
                <c:pt idx="42" formatCode="General">
                  <c:v>5.5910200000000003</c:v>
                </c:pt>
                <c:pt idx="43" formatCode="General">
                  <c:v>5.5560900000000002</c:v>
                </c:pt>
                <c:pt idx="44" formatCode="General">
                  <c:v>5.5231899999999996</c:v>
                </c:pt>
                <c:pt idx="45" formatCode="General">
                  <c:v>5.4921499999999996</c:v>
                </c:pt>
                <c:pt idx="46" formatCode="General">
                  <c:v>5.4627699999999999</c:v>
                </c:pt>
                <c:pt idx="47" formatCode="General">
                  <c:v>5.4347599999999998</c:v>
                </c:pt>
                <c:pt idx="48" formatCode="General">
                  <c:v>5.4077599999999997</c:v>
                </c:pt>
                <c:pt idx="49" formatCode="General">
                  <c:v>5.3814099999999998</c:v>
                </c:pt>
                <c:pt idx="50" formatCode="General">
                  <c:v>5.3552999999999997</c:v>
                </c:pt>
                <c:pt idx="51" formatCode="General">
                  <c:v>5.32911</c:v>
                </c:pt>
                <c:pt idx="52" formatCode="General">
                  <c:v>5.3025700000000002</c:v>
                </c:pt>
                <c:pt idx="53" formatCode="General">
                  <c:v>5.27555</c:v>
                </c:pt>
                <c:pt idx="54" formatCode="General">
                  <c:v>5.2480200000000004</c:v>
                </c:pt>
                <c:pt idx="55" formatCode="General">
                  <c:v>5.2200499999999996</c:v>
                </c:pt>
                <c:pt idx="56" formatCode="General">
                  <c:v>5.1918199999999999</c:v>
                </c:pt>
                <c:pt idx="57" formatCode="General">
                  <c:v>5.1635499999999999</c:v>
                </c:pt>
                <c:pt idx="58" formatCode="General">
                  <c:v>5.1354899999999999</c:v>
                </c:pt>
                <c:pt idx="59" formatCode="General">
                  <c:v>5.1078900000000003</c:v>
                </c:pt>
                <c:pt idx="60" formatCode="General">
                  <c:v>5.0809499999999996</c:v>
                </c:pt>
                <c:pt idx="61" formatCode="General">
                  <c:v>5.0548200000000003</c:v>
                </c:pt>
                <c:pt idx="62" formatCode="General">
                  <c:v>5.0296000000000003</c:v>
                </c:pt>
                <c:pt idx="63" formatCode="General">
                  <c:v>5.0052899999999996</c:v>
                </c:pt>
                <c:pt idx="64" formatCode="General">
                  <c:v>4.98184</c:v>
                </c:pt>
                <c:pt idx="65" formatCode="General">
                  <c:v>4.9591599999999998</c:v>
                </c:pt>
                <c:pt idx="66" formatCode="General">
                  <c:v>4.9371</c:v>
                </c:pt>
                <c:pt idx="67" formatCode="General">
                  <c:v>4.91547</c:v>
                </c:pt>
                <c:pt idx="68" formatCode="General">
                  <c:v>4.89412</c:v>
                </c:pt>
                <c:pt idx="69" formatCode="General">
                  <c:v>4.8728800000000003</c:v>
                </c:pt>
                <c:pt idx="70" formatCode="General">
                  <c:v>4.8516199999999996</c:v>
                </c:pt>
                <c:pt idx="71" formatCode="General">
                  <c:v>4.8302300000000002</c:v>
                </c:pt>
                <c:pt idx="72" formatCode="General">
                  <c:v>4.8086799999999998</c:v>
                </c:pt>
                <c:pt idx="73" formatCode="General">
                  <c:v>4.7869799999999998</c:v>
                </c:pt>
                <c:pt idx="74" formatCode="General">
                  <c:v>4.76518</c:v>
                </c:pt>
                <c:pt idx="75" formatCode="General">
                  <c:v>4.7433899999999998</c:v>
                </c:pt>
                <c:pt idx="76" formatCode="General">
                  <c:v>4.7217399999999996</c:v>
                </c:pt>
                <c:pt idx="77" formatCode="General">
                  <c:v>4.70038</c:v>
                </c:pt>
                <c:pt idx="78" formatCode="General">
                  <c:v>4.6794599999999997</c:v>
                </c:pt>
                <c:pt idx="79" formatCode="General">
                  <c:v>4.6591100000000001</c:v>
                </c:pt>
                <c:pt idx="80" formatCode="General">
                  <c:v>4.6394000000000002</c:v>
                </c:pt>
                <c:pt idx="81" formatCode="General">
                  <c:v>4.6203500000000002</c:v>
                </c:pt>
                <c:pt idx="82" formatCode="General">
                  <c:v>4.6019100000000002</c:v>
                </c:pt>
                <c:pt idx="83" formatCode="General">
                  <c:v>4.58392</c:v>
                </c:pt>
                <c:pt idx="84" formatCode="General">
                  <c:v>4.5661699999999996</c:v>
                </c:pt>
                <c:pt idx="85" formatCode="General">
                  <c:v>4.5483399999999996</c:v>
                </c:pt>
                <c:pt idx="86" formatCode="General">
                  <c:v>4.5301</c:v>
                </c:pt>
                <c:pt idx="87" formatCode="General">
                  <c:v>4.5111499999999998</c:v>
                </c:pt>
                <c:pt idx="88" formatCode="General">
                  <c:v>4.4912400000000003</c:v>
                </c:pt>
                <c:pt idx="89" formatCode="General">
                  <c:v>4.4703799999999996</c:v>
                </c:pt>
                <c:pt idx="90" formatCode="General">
                  <c:v>4.4488799999999999</c:v>
                </c:pt>
                <c:pt idx="91" formatCode="General">
                  <c:v>4.4276200000000001</c:v>
                </c:pt>
                <c:pt idx="92" formatCode="General">
                  <c:v>4.40822</c:v>
                </c:pt>
                <c:pt idx="93" formatCode="General">
                  <c:v>4.3933900000000001</c:v>
                </c:pt>
                <c:pt idx="94" formatCode="General">
                  <c:v>4.3872299999999997</c:v>
                </c:pt>
                <c:pt idx="95" formatCode="General">
                  <c:v>4.3872299999999997</c:v>
                </c:pt>
                <c:pt idx="96" formatCode="General">
                  <c:v>4.3872299999999997</c:v>
                </c:pt>
                <c:pt idx="97" formatCode="General">
                  <c:v>4.3872299999999997</c:v>
                </c:pt>
                <c:pt idx="98" formatCode="General">
                  <c:v>4.3872299999999997</c:v>
                </c:pt>
                <c:pt idx="99" formatCode="General">
                  <c:v>4.3872299999999997</c:v>
                </c:pt>
                <c:pt idx="100" formatCode="General">
                  <c:v>4.3872299999999997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5-0943-B1C9-D74CCAA7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53584"/>
        <c:axId val="1498249680"/>
      </c:scatterChart>
      <c:valAx>
        <c:axId val="1244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249680"/>
        <c:crosses val="autoZero"/>
        <c:crossBetween val="midCat"/>
      </c:valAx>
      <c:valAx>
        <c:axId val="149824968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120650</xdr:colOff>
      <xdr:row>10</xdr:row>
      <xdr:rowOff>101600</xdr:rowOff>
    </xdr:from>
    <xdr:to>
      <xdr:col>19</xdr:col>
      <xdr:colOff>565150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B413F-60F2-23BD-A8A9-CA38A841E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476250</xdr:colOff>
      <xdr:row>37</xdr:row>
      <xdr:rowOff>63500</xdr:rowOff>
    </xdr:from>
    <xdr:to>
      <xdr:col>17</xdr:col>
      <xdr:colOff>95250</xdr:colOff>
      <xdr:row>50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6800A1-2CFA-BFAD-0E63-DF54A7A04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368300</xdr:colOff>
      <xdr:row>53</xdr:row>
      <xdr:rowOff>127000</xdr:rowOff>
    </xdr:from>
    <xdr:to>
      <xdr:col>16</xdr:col>
      <xdr:colOff>812800</xdr:colOff>
      <xdr:row>67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341997-1727-4E4E-BB10-C8FB10918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565150</xdr:colOff>
      <xdr:row>10</xdr:row>
      <xdr:rowOff>190500</xdr:rowOff>
    </xdr:from>
    <xdr:to>
      <xdr:col>7</xdr:col>
      <xdr:colOff>184150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5F075-F306-B007-DA79-99DD130B5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15</xdr:col>
      <xdr:colOff>444500</xdr:colOff>
      <xdr:row>24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92208-7E54-5A41-9BA4-5D166A65A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647700</xdr:colOff>
      <xdr:row>6</xdr:row>
      <xdr:rowOff>114300</xdr:rowOff>
    </xdr:from>
    <xdr:to>
      <xdr:col>22</xdr:col>
      <xdr:colOff>266700</xdr:colOff>
      <xdr:row>20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0A35FF-0714-F042-86C5-395F1D811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11</xdr:row>
      <xdr:rowOff>0</xdr:rowOff>
    </xdr:from>
    <xdr:to>
      <xdr:col>31</xdr:col>
      <xdr:colOff>444500</xdr:colOff>
      <xdr:row>24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547159-BD5C-7D4C-87BB-7B94A09DC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0</xdr:colOff>
      <xdr:row>12</xdr:row>
      <xdr:rowOff>0</xdr:rowOff>
    </xdr:from>
    <xdr:to>
      <xdr:col>38</xdr:col>
      <xdr:colOff>444500</xdr:colOff>
      <xdr:row>25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BC4778-F432-0E48-A92F-E1A1033A7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0</xdr:colOff>
      <xdr:row>12</xdr:row>
      <xdr:rowOff>0</xdr:rowOff>
    </xdr:from>
    <xdr:to>
      <xdr:col>46</xdr:col>
      <xdr:colOff>444500</xdr:colOff>
      <xdr:row>25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6333ED-BD92-D245-B9CF-0F0E5E0E4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0</xdr:colOff>
      <xdr:row>11</xdr:row>
      <xdr:rowOff>0</xdr:rowOff>
    </xdr:from>
    <xdr:to>
      <xdr:col>54</xdr:col>
      <xdr:colOff>444500</xdr:colOff>
      <xdr:row>24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F8C3B1-25D9-EB4D-9BC7-CE7540D26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3538-0D67-F040-8F33-8819D732EBA5}">
  <dimension ref="B2:S137"/>
  <sheetViews>
    <sheetView topLeftCell="A3" workbookViewId="0">
      <selection activeCell="B18" sqref="B18:J18"/>
    </sheetView>
  </sheetViews>
  <sheetFormatPr baseColWidth="10" defaultRowHeight="16" x14ac:dyDescent="0.2"/>
  <sheetData>
    <row r="2" spans="2:19" x14ac:dyDescent="0.2">
      <c r="F2" t="s">
        <v>14</v>
      </c>
      <c r="G2">
        <v>6.94</v>
      </c>
      <c r="H2">
        <v>39.097999999999999</v>
      </c>
      <c r="I2">
        <v>22.99</v>
      </c>
      <c r="J2">
        <v>35.450000000000003</v>
      </c>
    </row>
    <row r="3" spans="2:19" x14ac:dyDescent="0.2">
      <c r="B3" t="s">
        <v>0</v>
      </c>
      <c r="G3" t="s">
        <v>10</v>
      </c>
      <c r="H3" t="s">
        <v>11</v>
      </c>
      <c r="I3" t="s">
        <v>12</v>
      </c>
      <c r="J3" t="s">
        <v>13</v>
      </c>
    </row>
    <row r="4" spans="2:19" x14ac:dyDescent="0.2">
      <c r="R4" t="s">
        <v>18</v>
      </c>
      <c r="S4" t="s">
        <v>19</v>
      </c>
    </row>
    <row r="5" spans="2:19" x14ac:dyDescent="0.2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15</v>
      </c>
      <c r="L5" t="s">
        <v>16</v>
      </c>
      <c r="M5" t="s">
        <v>21</v>
      </c>
    </row>
    <row r="6" spans="2:19" x14ac:dyDescent="0.2">
      <c r="B6">
        <v>100000</v>
      </c>
      <c r="C6">
        <v>1510.02</v>
      </c>
      <c r="D6">
        <v>-4065.09</v>
      </c>
      <c r="E6">
        <v>40738.6</v>
      </c>
      <c r="F6">
        <v>11.302199999999999</v>
      </c>
      <c r="G6">
        <v>800</v>
      </c>
      <c r="H6">
        <v>0</v>
      </c>
      <c r="I6">
        <v>0</v>
      </c>
      <c r="J6">
        <v>800</v>
      </c>
      <c r="K6">
        <f>G6*G$2+H6*H$2+I6*I$2+J6*J$2</f>
        <v>33912</v>
      </c>
      <c r="L6">
        <f>K6*(1.66054E-24)/(E6)/(1E-24)</f>
        <v>1.3822819753256126</v>
      </c>
      <c r="M6">
        <f>D6+SUM(G6:J6)*1.5*(0.000086173)*C6</f>
        <v>-3752.7949116960003</v>
      </c>
      <c r="Q6">
        <v>1500</v>
      </c>
      <c r="R6" s="1">
        <v>1.2958796517248168</v>
      </c>
      <c r="S6" s="1">
        <v>1.2304999999999999</v>
      </c>
    </row>
    <row r="7" spans="2:19" x14ac:dyDescent="0.2">
      <c r="B7">
        <v>100000</v>
      </c>
      <c r="C7">
        <v>1397.91</v>
      </c>
      <c r="D7">
        <v>-4094.14</v>
      </c>
      <c r="E7">
        <v>39905.300000000003</v>
      </c>
      <c r="F7">
        <v>-7.7556900000000004</v>
      </c>
      <c r="G7">
        <v>800</v>
      </c>
      <c r="H7">
        <v>0</v>
      </c>
      <c r="I7">
        <v>0</v>
      </c>
      <c r="J7">
        <v>800</v>
      </c>
      <c r="K7">
        <f>G7*G$2+H7*H$2+I7*I$2+J7*J$2</f>
        <v>33912</v>
      </c>
      <c r="L7">
        <f>K7*(1.66054E-24)/(E7)/(1E-24)</f>
        <v>1.4111467018165507</v>
      </c>
      <c r="M7">
        <f t="shared" ref="M7:M9" si="0">D7+SUM(G7:J7)*1.5*(0.000086173)*C7</f>
        <v>-3805.0309637679998</v>
      </c>
      <c r="Q7">
        <v>1400</v>
      </c>
      <c r="R7" s="1">
        <v>1.3370693256097848</v>
      </c>
      <c r="S7" s="1">
        <v>1.2738</v>
      </c>
    </row>
    <row r="8" spans="2:19" x14ac:dyDescent="0.2">
      <c r="B8">
        <v>100000</v>
      </c>
      <c r="C8">
        <v>1298.8399999999999</v>
      </c>
      <c r="D8">
        <v>-4120.17</v>
      </c>
      <c r="E8">
        <v>39192</v>
      </c>
      <c r="F8">
        <v>1.81874</v>
      </c>
      <c r="G8">
        <v>800</v>
      </c>
      <c r="H8">
        <v>0</v>
      </c>
      <c r="I8">
        <v>0</v>
      </c>
      <c r="J8">
        <v>800</v>
      </c>
      <c r="K8">
        <f>G8*G$2+H8*H$2+I8*I$2+J8*J$2</f>
        <v>33912</v>
      </c>
      <c r="L8">
        <f>K8*(1.66054E-24)/(E8)/(1E-24)</f>
        <v>1.4368297734231477</v>
      </c>
      <c r="M8">
        <f t="shared" si="0"/>
        <v>-3851.5501456319998</v>
      </c>
      <c r="Q8">
        <v>1300</v>
      </c>
      <c r="R8" s="1">
        <v>1.3854045245553943</v>
      </c>
      <c r="S8" s="1">
        <v>1.3170999999999999</v>
      </c>
    </row>
    <row r="9" spans="2:19" x14ac:dyDescent="0.2">
      <c r="B9">
        <v>100000</v>
      </c>
      <c r="C9">
        <v>1200.08</v>
      </c>
      <c r="D9">
        <v>-4146.71</v>
      </c>
      <c r="E9">
        <v>38480.699999999997</v>
      </c>
      <c r="F9">
        <v>-2.7935300000000001</v>
      </c>
      <c r="G9">
        <v>800</v>
      </c>
      <c r="H9">
        <v>0</v>
      </c>
      <c r="I9">
        <v>0</v>
      </c>
      <c r="J9">
        <v>800</v>
      </c>
      <c r="K9">
        <f>G9*G$2+H9*H$2+I9*I$2+J9*J$2</f>
        <v>33912</v>
      </c>
      <c r="L9">
        <f>K9*(1.66054E-24)/(E9)/(1E-24)</f>
        <v>1.4633889840881273</v>
      </c>
      <c r="M9">
        <f t="shared" si="0"/>
        <v>-3898.5152147839999</v>
      </c>
      <c r="Q9">
        <v>1200</v>
      </c>
      <c r="R9" s="1">
        <v>1.4003834985078594</v>
      </c>
      <c r="S9" s="1">
        <v>1.3603999999999998</v>
      </c>
    </row>
    <row r="11" spans="2:19" x14ac:dyDescent="0.2">
      <c r="F11" t="s">
        <v>20</v>
      </c>
      <c r="G11" cm="1">
        <f t="array" ref="G11:H11">LINEST(E6:E9,C6:C9)</f>
        <v>7.278644390436904</v>
      </c>
      <c r="H11">
        <v>29740.51539439155</v>
      </c>
      <c r="K11" t="s">
        <v>22</v>
      </c>
      <c r="L11" cm="1">
        <f t="array" ref="L11:M11">LINEST(M6:M9,C6:C9)</f>
        <v>0.47003777990481072</v>
      </c>
      <c r="M11">
        <v>-4462.3287515395814</v>
      </c>
    </row>
    <row r="12" spans="2:19" x14ac:dyDescent="0.2">
      <c r="G12" s="2">
        <f>G11/E9</f>
        <v>1.8915051936261307E-4</v>
      </c>
      <c r="L12">
        <f>L11/SUM(G6:I6)*(1.602E-19)*(6.022E+23)</f>
        <v>56.682114399500072</v>
      </c>
    </row>
    <row r="15" spans="2:19" x14ac:dyDescent="0.2">
      <c r="B15" t="s">
        <v>17</v>
      </c>
    </row>
    <row r="16" spans="2:19" x14ac:dyDescent="0.2">
      <c r="K16" t="s">
        <v>15</v>
      </c>
      <c r="L16" t="s">
        <v>16</v>
      </c>
      <c r="M16" t="s">
        <v>21</v>
      </c>
    </row>
    <row r="17" spans="2:13" x14ac:dyDescent="0.2">
      <c r="K17">
        <f>G17*G$2+H17*H$2+I17*I$2+J17*J$2</f>
        <v>0</v>
      </c>
      <c r="L17" t="e">
        <f>K17*(1.66054E-24)/(E17)/(1E-24)</f>
        <v>#DIV/0!</v>
      </c>
      <c r="M17">
        <f>D17+SUM(G17:J17)*1.5*(0.000086173)*C17</f>
        <v>0</v>
      </c>
    </row>
    <row r="18" spans="2:13" x14ac:dyDescent="0.2">
      <c r="B18">
        <v>100000</v>
      </c>
      <c r="C18">
        <v>1402.31</v>
      </c>
      <c r="D18">
        <v>-2311.33</v>
      </c>
      <c r="E18">
        <v>70157.8</v>
      </c>
      <c r="F18">
        <v>-2.0748899999999999</v>
      </c>
      <c r="G18">
        <v>0</v>
      </c>
      <c r="H18">
        <v>800</v>
      </c>
      <c r="I18">
        <v>0</v>
      </c>
      <c r="J18">
        <v>800</v>
      </c>
      <c r="K18">
        <f>G18*G$2+H18*H$2+I18*I$2+J18*J$2</f>
        <v>59638.400000000001</v>
      </c>
      <c r="L18">
        <f>K18*(1.66054E-24)/(E18)/(1E-24)</f>
        <v>1.4115600651103655</v>
      </c>
      <c r="M18">
        <f t="shared" ref="M18:M20" si="1">D18+SUM(G18:J18)*1.5*(0.000086173)*C18</f>
        <v>-2021.3109768879999</v>
      </c>
    </row>
    <row r="19" spans="2:13" x14ac:dyDescent="0.2">
      <c r="B19">
        <v>100000</v>
      </c>
      <c r="C19">
        <v>1300.51</v>
      </c>
      <c r="D19">
        <v>-2342.33</v>
      </c>
      <c r="E19">
        <v>68383.8</v>
      </c>
      <c r="F19">
        <v>-2.3746299999999998</v>
      </c>
      <c r="G19">
        <v>0</v>
      </c>
      <c r="H19">
        <v>800</v>
      </c>
      <c r="I19">
        <v>0</v>
      </c>
      <c r="J19">
        <v>800</v>
      </c>
      <c r="K19">
        <f>G19*G$2+H19*H$2+I19*I$2+J19*J$2</f>
        <v>59638.400000000001</v>
      </c>
      <c r="L19">
        <f>K19*(1.66054E-24)/(E19)/(1E-24)</f>
        <v>1.4481784974803975</v>
      </c>
      <c r="M19">
        <f t="shared" si="1"/>
        <v>-2073.364764248</v>
      </c>
    </row>
    <row r="20" spans="2:13" x14ac:dyDescent="0.2">
      <c r="B20">
        <v>100000</v>
      </c>
      <c r="C20">
        <v>1200.19</v>
      </c>
      <c r="D20">
        <v>-2374.2199999999998</v>
      </c>
      <c r="E20">
        <v>66673</v>
      </c>
      <c r="F20">
        <v>-2.7622</v>
      </c>
      <c r="G20">
        <v>0</v>
      </c>
      <c r="H20">
        <v>800</v>
      </c>
      <c r="I20">
        <v>0</v>
      </c>
      <c r="J20">
        <v>800</v>
      </c>
      <c r="K20">
        <f>G20*G$2+H20*H$2+I20*I$2+J20*J$2</f>
        <v>59638.400000000001</v>
      </c>
      <c r="L20">
        <f>K20*(1.66054E-24)/(E20)/(1E-24)</f>
        <v>1.4853381239182279</v>
      </c>
      <c r="M20">
        <f t="shared" si="1"/>
        <v>-2126.0024651119998</v>
      </c>
    </row>
    <row r="22" spans="2:13" x14ac:dyDescent="0.2">
      <c r="F22" t="s">
        <v>20</v>
      </c>
      <c r="G22" t="e" cm="1">
        <f t="array" ref="G22">LINEST(E17:E20,C17:C20)</f>
        <v>#VALUE!</v>
      </c>
      <c r="K22" t="s">
        <v>22</v>
      </c>
      <c r="L22" t="e" cm="1">
        <f t="array" ref="L22">LINEST(M17:M20,C17:C20)</f>
        <v>#VALUE!</v>
      </c>
    </row>
    <row r="23" spans="2:13" x14ac:dyDescent="0.2">
      <c r="G23" s="2" t="e">
        <f>G22/E20</f>
        <v>#VALUE!</v>
      </c>
      <c r="L23" t="e">
        <f>L22/SUM(G17:I17)*(1.602E-19)*(6.022E+23)</f>
        <v>#VALUE!</v>
      </c>
    </row>
    <row r="26" spans="2:13" x14ac:dyDescent="0.2">
      <c r="B26" t="s">
        <v>37</v>
      </c>
    </row>
    <row r="27" spans="2:13" x14ac:dyDescent="0.2">
      <c r="K27" t="s">
        <v>15</v>
      </c>
      <c r="L27" t="s">
        <v>16</v>
      </c>
      <c r="M27" t="s">
        <v>21</v>
      </c>
    </row>
    <row r="28" spans="2:13" x14ac:dyDescent="0.2">
      <c r="K28">
        <f>G28*G$2+H28*H$2+I28*I$2+J28*J$2</f>
        <v>0</v>
      </c>
      <c r="L28" t="e">
        <f>K28*(1.66054E-24)/(E28)/(1E-24)</f>
        <v>#DIV/0!</v>
      </c>
      <c r="M28">
        <f>D28+SUM(G28:J28)*1.5*(0.000086173)*C28</f>
        <v>0</v>
      </c>
    </row>
    <row r="29" spans="2:13" x14ac:dyDescent="0.2">
      <c r="K29">
        <f>G29*G$2+H29*H$2+I29*I$2+J29*J$2</f>
        <v>0</v>
      </c>
      <c r="L29" t="e">
        <f>K29*(1.66054E-24)/(E29)/(1E-24)</f>
        <v>#DIV/0!</v>
      </c>
      <c r="M29">
        <f t="shared" ref="M29:M31" si="2">D29+SUM(G29:J29)*1.5*(0.000086173)*C29</f>
        <v>0</v>
      </c>
    </row>
    <row r="30" spans="2:13" x14ac:dyDescent="0.2">
      <c r="B30">
        <v>100000</v>
      </c>
      <c r="K30">
        <f>G30*G$2+H30*H$2+I30*I$2+J30*J$2</f>
        <v>0</v>
      </c>
      <c r="L30" t="e">
        <f>K30*(1.66054E-24)/(E30)/(1E-24)</f>
        <v>#DIV/0!</v>
      </c>
      <c r="M30">
        <f t="shared" si="2"/>
        <v>0</v>
      </c>
    </row>
    <row r="31" spans="2:13" x14ac:dyDescent="0.2">
      <c r="B31">
        <v>100000</v>
      </c>
      <c r="K31">
        <f>G31*G$2+H31*H$2+I31*I$2+J31*J$2</f>
        <v>0</v>
      </c>
      <c r="L31" t="e">
        <f>K31*(1.66054E-24)/(E31)/(1E-24)</f>
        <v>#DIV/0!</v>
      </c>
      <c r="M31">
        <f t="shared" si="2"/>
        <v>0</v>
      </c>
    </row>
    <row r="33" spans="2:12" x14ac:dyDescent="0.2">
      <c r="F33" t="s">
        <v>20</v>
      </c>
      <c r="G33" t="e" cm="1">
        <f t="array" ref="G33">LINEST(E28:E31,C28:C31)</f>
        <v>#VALUE!</v>
      </c>
      <c r="K33" t="s">
        <v>22</v>
      </c>
      <c r="L33" t="e" cm="1">
        <f t="array" ref="L33">LINEST(M28:M31,C28:C31)</f>
        <v>#VALUE!</v>
      </c>
    </row>
    <row r="34" spans="2:12" x14ac:dyDescent="0.2">
      <c r="G34" s="2" t="e">
        <f>G33/E31</f>
        <v>#VALUE!</v>
      </c>
      <c r="L34" t="e">
        <f>L33/SUM(G28:I28)*(1.602E-19)*(6.022E+23)</f>
        <v>#VALUE!</v>
      </c>
    </row>
    <row r="38" spans="2:12" x14ac:dyDescent="0.2">
      <c r="B38">
        <v>1000</v>
      </c>
      <c r="C38">
        <v>1731.25</v>
      </c>
      <c r="D38">
        <v>-4023.46</v>
      </c>
      <c r="E38">
        <v>42171.3</v>
      </c>
      <c r="F38">
        <v>608.41300000000001</v>
      </c>
      <c r="G38">
        <v>800</v>
      </c>
      <c r="H38">
        <v>0</v>
      </c>
      <c r="I38">
        <v>0</v>
      </c>
      <c r="J38">
        <v>800</v>
      </c>
    </row>
    <row r="39" spans="2:12" x14ac:dyDescent="0.2">
      <c r="B39">
        <v>2000</v>
      </c>
      <c r="C39">
        <v>1630.47</v>
      </c>
      <c r="D39">
        <v>-4034.92</v>
      </c>
      <c r="E39">
        <v>41644.699999999997</v>
      </c>
      <c r="F39">
        <v>877.24</v>
      </c>
      <c r="G39">
        <v>800</v>
      </c>
      <c r="H39">
        <v>0</v>
      </c>
      <c r="I39">
        <v>0</v>
      </c>
      <c r="J39">
        <v>800</v>
      </c>
    </row>
    <row r="40" spans="2:12" x14ac:dyDescent="0.2">
      <c r="B40">
        <v>3000</v>
      </c>
      <c r="C40">
        <v>1561.27</v>
      </c>
      <c r="D40">
        <v>-4050.83</v>
      </c>
      <c r="E40">
        <v>41157.300000000003</v>
      </c>
      <c r="F40">
        <v>-829.86400000000003</v>
      </c>
      <c r="G40">
        <v>800</v>
      </c>
      <c r="H40">
        <v>0</v>
      </c>
      <c r="I40">
        <v>0</v>
      </c>
      <c r="J40">
        <v>800</v>
      </c>
    </row>
    <row r="41" spans="2:12" x14ac:dyDescent="0.2">
      <c r="B41">
        <v>4000</v>
      </c>
      <c r="C41">
        <v>1498.42</v>
      </c>
      <c r="D41">
        <v>-4061.77</v>
      </c>
      <c r="E41">
        <v>40780.6</v>
      </c>
      <c r="F41">
        <v>409.60599999999999</v>
      </c>
      <c r="G41">
        <v>800</v>
      </c>
      <c r="H41">
        <v>0</v>
      </c>
      <c r="I41">
        <v>0</v>
      </c>
      <c r="J41">
        <v>800</v>
      </c>
    </row>
    <row r="42" spans="2:12" x14ac:dyDescent="0.2">
      <c r="B42">
        <v>5000</v>
      </c>
      <c r="C42">
        <v>1453.67</v>
      </c>
      <c r="D42">
        <v>-4068.51</v>
      </c>
      <c r="E42">
        <v>41058.400000000001</v>
      </c>
      <c r="F42">
        <v>-1732.97</v>
      </c>
      <c r="G42">
        <v>800</v>
      </c>
      <c r="H42">
        <v>0</v>
      </c>
      <c r="I42">
        <v>0</v>
      </c>
      <c r="J42">
        <v>800</v>
      </c>
    </row>
    <row r="43" spans="2:12" x14ac:dyDescent="0.2">
      <c r="B43">
        <v>6000</v>
      </c>
      <c r="C43">
        <v>1472.78</v>
      </c>
      <c r="D43">
        <v>-4075.31</v>
      </c>
      <c r="E43">
        <v>40631.4</v>
      </c>
      <c r="F43">
        <v>-287.94900000000001</v>
      </c>
      <c r="G43">
        <v>800</v>
      </c>
      <c r="H43">
        <v>0</v>
      </c>
      <c r="I43">
        <v>0</v>
      </c>
      <c r="J43">
        <v>800</v>
      </c>
    </row>
    <row r="44" spans="2:12" x14ac:dyDescent="0.2">
      <c r="B44">
        <v>7000</v>
      </c>
      <c r="C44">
        <v>1508.02</v>
      </c>
      <c r="D44">
        <v>-4074.18</v>
      </c>
      <c r="E44">
        <v>40729</v>
      </c>
      <c r="F44">
        <v>-1721.38</v>
      </c>
      <c r="G44">
        <v>800</v>
      </c>
      <c r="H44">
        <v>0</v>
      </c>
      <c r="I44">
        <v>0</v>
      </c>
      <c r="J44">
        <v>800</v>
      </c>
    </row>
    <row r="45" spans="2:12" x14ac:dyDescent="0.2">
      <c r="B45">
        <v>8000</v>
      </c>
      <c r="C45">
        <v>1492.93</v>
      </c>
      <c r="D45">
        <v>-4059.13</v>
      </c>
      <c r="E45">
        <v>40274.6</v>
      </c>
      <c r="F45">
        <v>1456.26</v>
      </c>
      <c r="G45">
        <v>800</v>
      </c>
      <c r="H45">
        <v>0</v>
      </c>
      <c r="I45">
        <v>0</v>
      </c>
      <c r="J45">
        <v>800</v>
      </c>
    </row>
    <row r="46" spans="2:12" x14ac:dyDescent="0.2">
      <c r="B46">
        <v>9000</v>
      </c>
      <c r="C46">
        <v>1529.93</v>
      </c>
      <c r="D46">
        <v>-4065.51</v>
      </c>
      <c r="E46">
        <v>40822.400000000001</v>
      </c>
      <c r="F46">
        <v>1433.99</v>
      </c>
      <c r="G46">
        <v>800</v>
      </c>
      <c r="H46">
        <v>0</v>
      </c>
      <c r="I46">
        <v>0</v>
      </c>
      <c r="J46">
        <v>800</v>
      </c>
    </row>
    <row r="47" spans="2:12" x14ac:dyDescent="0.2">
      <c r="B47">
        <v>10000</v>
      </c>
      <c r="C47">
        <v>1501.56</v>
      </c>
      <c r="D47">
        <v>-4066.39</v>
      </c>
      <c r="E47">
        <v>41020.1</v>
      </c>
      <c r="F47">
        <v>-1292.75</v>
      </c>
      <c r="G47">
        <v>800</v>
      </c>
      <c r="H47">
        <v>0</v>
      </c>
      <c r="I47">
        <v>0</v>
      </c>
      <c r="J47">
        <v>800</v>
      </c>
    </row>
    <row r="48" spans="2:12" x14ac:dyDescent="0.2">
      <c r="B48">
        <v>11000</v>
      </c>
      <c r="C48">
        <v>1483.99</v>
      </c>
      <c r="D48">
        <v>-4069.93</v>
      </c>
      <c r="E48">
        <v>40045.4</v>
      </c>
      <c r="F48">
        <v>2108.96</v>
      </c>
      <c r="G48">
        <v>800</v>
      </c>
      <c r="H48">
        <v>0</v>
      </c>
      <c r="I48">
        <v>0</v>
      </c>
      <c r="J48">
        <v>800</v>
      </c>
    </row>
    <row r="49" spans="2:10" x14ac:dyDescent="0.2">
      <c r="B49">
        <v>12000</v>
      </c>
      <c r="C49">
        <v>1500.86</v>
      </c>
      <c r="D49">
        <v>-4079</v>
      </c>
      <c r="E49">
        <v>40225.300000000003</v>
      </c>
      <c r="F49">
        <v>447.62299999999999</v>
      </c>
      <c r="G49">
        <v>800</v>
      </c>
      <c r="H49">
        <v>0</v>
      </c>
      <c r="I49">
        <v>0</v>
      </c>
      <c r="J49">
        <v>800</v>
      </c>
    </row>
    <row r="50" spans="2:10" x14ac:dyDescent="0.2">
      <c r="B50">
        <v>13000</v>
      </c>
      <c r="C50">
        <v>1465.4</v>
      </c>
      <c r="D50">
        <v>-4070.87</v>
      </c>
      <c r="E50">
        <v>40613.599999999999</v>
      </c>
      <c r="F50">
        <v>-1600.39</v>
      </c>
      <c r="G50">
        <v>800</v>
      </c>
      <c r="H50">
        <v>0</v>
      </c>
      <c r="I50">
        <v>0</v>
      </c>
      <c r="J50">
        <v>800</v>
      </c>
    </row>
    <row r="51" spans="2:10" x14ac:dyDescent="0.2">
      <c r="B51">
        <v>14000</v>
      </c>
      <c r="C51">
        <v>1517.54</v>
      </c>
      <c r="D51">
        <v>-4065.87</v>
      </c>
      <c r="E51">
        <v>40751.599999999999</v>
      </c>
      <c r="F51">
        <v>323.69299999999998</v>
      </c>
      <c r="G51">
        <v>800</v>
      </c>
      <c r="H51">
        <v>0</v>
      </c>
      <c r="I51">
        <v>0</v>
      </c>
      <c r="J51">
        <v>800</v>
      </c>
    </row>
    <row r="52" spans="2:10" x14ac:dyDescent="0.2">
      <c r="B52">
        <v>15000</v>
      </c>
      <c r="C52">
        <v>1538.37</v>
      </c>
      <c r="D52">
        <v>-4063.24</v>
      </c>
      <c r="E52">
        <v>40136</v>
      </c>
      <c r="F52">
        <v>-492.64400000000001</v>
      </c>
      <c r="G52">
        <v>800</v>
      </c>
      <c r="H52">
        <v>0</v>
      </c>
      <c r="I52">
        <v>0</v>
      </c>
      <c r="J52">
        <v>800</v>
      </c>
    </row>
    <row r="53" spans="2:10" x14ac:dyDescent="0.2">
      <c r="B53">
        <v>16000</v>
      </c>
      <c r="C53">
        <v>1499.9</v>
      </c>
      <c r="D53">
        <v>-4065.43</v>
      </c>
      <c r="E53">
        <v>40857.4</v>
      </c>
      <c r="F53">
        <v>-837.16399999999999</v>
      </c>
      <c r="G53">
        <v>800</v>
      </c>
      <c r="H53">
        <v>0</v>
      </c>
      <c r="I53">
        <v>0</v>
      </c>
      <c r="J53">
        <v>800</v>
      </c>
    </row>
    <row r="54" spans="2:10" x14ac:dyDescent="0.2">
      <c r="B54">
        <v>17000</v>
      </c>
      <c r="C54">
        <v>1474.28</v>
      </c>
      <c r="D54">
        <v>-4066.97</v>
      </c>
      <c r="E54">
        <v>40548.300000000003</v>
      </c>
      <c r="F54">
        <v>-1362.26</v>
      </c>
      <c r="G54">
        <v>800</v>
      </c>
      <c r="H54">
        <v>0</v>
      </c>
      <c r="I54">
        <v>0</v>
      </c>
      <c r="J54">
        <v>800</v>
      </c>
    </row>
    <row r="55" spans="2:10" x14ac:dyDescent="0.2">
      <c r="B55">
        <v>18000</v>
      </c>
      <c r="C55">
        <v>1497.6</v>
      </c>
      <c r="D55">
        <v>-4072.21</v>
      </c>
      <c r="E55">
        <v>40563.699999999997</v>
      </c>
      <c r="F55">
        <v>693.077</v>
      </c>
      <c r="G55">
        <v>800</v>
      </c>
      <c r="H55">
        <v>0</v>
      </c>
      <c r="I55">
        <v>0</v>
      </c>
      <c r="J55">
        <v>800</v>
      </c>
    </row>
    <row r="56" spans="2:10" x14ac:dyDescent="0.2">
      <c r="B56">
        <v>19000</v>
      </c>
      <c r="C56">
        <v>1529.19</v>
      </c>
      <c r="D56">
        <v>-4066.14</v>
      </c>
      <c r="E56">
        <v>40753.9</v>
      </c>
      <c r="F56">
        <v>808.59400000000005</v>
      </c>
      <c r="G56">
        <v>800</v>
      </c>
      <c r="H56">
        <v>0</v>
      </c>
      <c r="I56">
        <v>0</v>
      </c>
      <c r="J56">
        <v>800</v>
      </c>
    </row>
    <row r="57" spans="2:10" x14ac:dyDescent="0.2">
      <c r="B57">
        <v>20000</v>
      </c>
      <c r="C57">
        <v>1546.23</v>
      </c>
      <c r="D57">
        <v>-4056.59</v>
      </c>
      <c r="E57">
        <v>40759.300000000003</v>
      </c>
      <c r="F57">
        <v>-1247.1600000000001</v>
      </c>
      <c r="G57">
        <v>800</v>
      </c>
      <c r="H57">
        <v>0</v>
      </c>
      <c r="I57">
        <v>0</v>
      </c>
      <c r="J57">
        <v>800</v>
      </c>
    </row>
    <row r="58" spans="2:10" x14ac:dyDescent="0.2">
      <c r="B58">
        <v>21000</v>
      </c>
      <c r="C58">
        <v>1532.88</v>
      </c>
      <c r="D58">
        <v>-4063.85</v>
      </c>
      <c r="E58">
        <v>40751.300000000003</v>
      </c>
      <c r="F58">
        <v>958.83</v>
      </c>
      <c r="G58">
        <v>800</v>
      </c>
      <c r="H58">
        <v>0</v>
      </c>
      <c r="I58">
        <v>0</v>
      </c>
      <c r="J58">
        <v>800</v>
      </c>
    </row>
    <row r="59" spans="2:10" x14ac:dyDescent="0.2">
      <c r="B59">
        <v>22000</v>
      </c>
      <c r="C59">
        <v>1497.88</v>
      </c>
      <c r="D59">
        <v>-4068.45</v>
      </c>
      <c r="E59">
        <v>40920.400000000001</v>
      </c>
      <c r="F59">
        <v>-1081.81</v>
      </c>
      <c r="G59">
        <v>800</v>
      </c>
      <c r="H59">
        <v>0</v>
      </c>
      <c r="I59">
        <v>0</v>
      </c>
      <c r="J59">
        <v>800</v>
      </c>
    </row>
    <row r="60" spans="2:10" x14ac:dyDescent="0.2">
      <c r="B60">
        <v>23000</v>
      </c>
      <c r="C60">
        <v>1468.98</v>
      </c>
      <c r="D60">
        <v>-4067.71</v>
      </c>
      <c r="E60">
        <v>40512.699999999997</v>
      </c>
      <c r="F60">
        <v>2274.35</v>
      </c>
      <c r="G60">
        <v>800</v>
      </c>
      <c r="H60">
        <v>0</v>
      </c>
      <c r="I60">
        <v>0</v>
      </c>
      <c r="J60">
        <v>800</v>
      </c>
    </row>
    <row r="61" spans="2:10" x14ac:dyDescent="0.2">
      <c r="B61">
        <v>24000</v>
      </c>
      <c r="C61">
        <v>1513.42</v>
      </c>
      <c r="D61">
        <v>-4076.58</v>
      </c>
      <c r="E61">
        <v>40399.300000000003</v>
      </c>
      <c r="F61">
        <v>1742.06</v>
      </c>
      <c r="G61">
        <v>800</v>
      </c>
      <c r="H61">
        <v>0</v>
      </c>
      <c r="I61">
        <v>0</v>
      </c>
      <c r="J61">
        <v>800</v>
      </c>
    </row>
    <row r="62" spans="2:10" x14ac:dyDescent="0.2">
      <c r="B62">
        <v>25000</v>
      </c>
      <c r="C62">
        <v>1514.2</v>
      </c>
      <c r="D62">
        <v>-4065.58</v>
      </c>
      <c r="E62">
        <v>40246.300000000003</v>
      </c>
      <c r="F62">
        <v>2033.53</v>
      </c>
      <c r="G62">
        <v>800</v>
      </c>
      <c r="H62">
        <v>0</v>
      </c>
      <c r="I62">
        <v>0</v>
      </c>
      <c r="J62">
        <v>800</v>
      </c>
    </row>
    <row r="63" spans="2:10" x14ac:dyDescent="0.2">
      <c r="B63">
        <v>26000</v>
      </c>
      <c r="C63">
        <v>1520.62</v>
      </c>
      <c r="D63">
        <v>-4057.72</v>
      </c>
      <c r="E63">
        <v>40852.300000000003</v>
      </c>
      <c r="F63">
        <v>-1009.44</v>
      </c>
      <c r="G63">
        <v>800</v>
      </c>
      <c r="H63">
        <v>0</v>
      </c>
      <c r="I63">
        <v>0</v>
      </c>
      <c r="J63">
        <v>800</v>
      </c>
    </row>
    <row r="64" spans="2:10" x14ac:dyDescent="0.2">
      <c r="B64">
        <v>27000</v>
      </c>
      <c r="C64">
        <v>1524.69</v>
      </c>
      <c r="D64">
        <v>-4065.36</v>
      </c>
      <c r="E64">
        <v>40930.199999999997</v>
      </c>
      <c r="F64">
        <v>-975.08900000000006</v>
      </c>
      <c r="G64">
        <v>800</v>
      </c>
      <c r="H64">
        <v>0</v>
      </c>
      <c r="I64">
        <v>0</v>
      </c>
      <c r="J64">
        <v>800</v>
      </c>
    </row>
    <row r="65" spans="2:10" x14ac:dyDescent="0.2">
      <c r="B65">
        <v>28000</v>
      </c>
      <c r="C65">
        <v>1501.05</v>
      </c>
      <c r="D65">
        <v>-4070.54</v>
      </c>
      <c r="E65">
        <v>40595</v>
      </c>
      <c r="F65">
        <v>2004.32</v>
      </c>
      <c r="G65">
        <v>800</v>
      </c>
      <c r="H65">
        <v>0</v>
      </c>
      <c r="I65">
        <v>0</v>
      </c>
      <c r="J65">
        <v>800</v>
      </c>
    </row>
    <row r="66" spans="2:10" x14ac:dyDescent="0.2">
      <c r="B66">
        <v>29000</v>
      </c>
      <c r="C66">
        <v>1489.86</v>
      </c>
      <c r="D66">
        <v>-4069.64</v>
      </c>
      <c r="E66">
        <v>40357.9</v>
      </c>
      <c r="F66">
        <v>1000.26</v>
      </c>
      <c r="G66">
        <v>800</v>
      </c>
      <c r="H66">
        <v>0</v>
      </c>
      <c r="I66">
        <v>0</v>
      </c>
      <c r="J66">
        <v>800</v>
      </c>
    </row>
    <row r="67" spans="2:10" x14ac:dyDescent="0.2">
      <c r="B67">
        <v>30000</v>
      </c>
      <c r="C67">
        <v>1503.68</v>
      </c>
      <c r="D67">
        <v>-4072.65</v>
      </c>
      <c r="E67">
        <v>40462.800000000003</v>
      </c>
      <c r="F67">
        <v>780.57500000000005</v>
      </c>
      <c r="G67">
        <v>800</v>
      </c>
      <c r="H67">
        <v>0</v>
      </c>
      <c r="I67">
        <v>0</v>
      </c>
      <c r="J67">
        <v>800</v>
      </c>
    </row>
    <row r="68" spans="2:10" x14ac:dyDescent="0.2">
      <c r="B68">
        <v>31000</v>
      </c>
      <c r="C68">
        <v>1492.08</v>
      </c>
      <c r="D68">
        <v>-4069.46</v>
      </c>
      <c r="E68">
        <v>40489.300000000003</v>
      </c>
      <c r="F68">
        <v>1659.9</v>
      </c>
      <c r="G68">
        <v>800</v>
      </c>
      <c r="H68">
        <v>0</v>
      </c>
      <c r="I68">
        <v>0</v>
      </c>
      <c r="J68">
        <v>800</v>
      </c>
    </row>
    <row r="69" spans="2:10" x14ac:dyDescent="0.2">
      <c r="B69">
        <v>32000</v>
      </c>
      <c r="C69">
        <v>1512.77</v>
      </c>
      <c r="D69">
        <v>-4060.98</v>
      </c>
      <c r="E69">
        <v>40938.199999999997</v>
      </c>
      <c r="F69">
        <v>-689.79499999999996</v>
      </c>
      <c r="G69">
        <v>800</v>
      </c>
      <c r="H69">
        <v>0</v>
      </c>
      <c r="I69">
        <v>0</v>
      </c>
      <c r="J69">
        <v>800</v>
      </c>
    </row>
    <row r="70" spans="2:10" x14ac:dyDescent="0.2">
      <c r="B70">
        <v>33000</v>
      </c>
      <c r="C70">
        <v>1560.45</v>
      </c>
      <c r="D70">
        <v>-4060.86</v>
      </c>
      <c r="E70">
        <v>40719.300000000003</v>
      </c>
      <c r="F70">
        <v>1949.47</v>
      </c>
      <c r="G70">
        <v>800</v>
      </c>
      <c r="H70">
        <v>0</v>
      </c>
      <c r="I70">
        <v>0</v>
      </c>
      <c r="J70">
        <v>800</v>
      </c>
    </row>
    <row r="71" spans="2:10" x14ac:dyDescent="0.2">
      <c r="B71">
        <v>34000</v>
      </c>
      <c r="C71">
        <v>1539.61</v>
      </c>
      <c r="D71">
        <v>-4066.93</v>
      </c>
      <c r="E71">
        <v>40364.1</v>
      </c>
      <c r="F71">
        <v>1689.76</v>
      </c>
      <c r="G71">
        <v>800</v>
      </c>
      <c r="H71">
        <v>0</v>
      </c>
      <c r="I71">
        <v>0</v>
      </c>
      <c r="J71">
        <v>800</v>
      </c>
    </row>
    <row r="72" spans="2:10" x14ac:dyDescent="0.2">
      <c r="B72">
        <v>35000</v>
      </c>
      <c r="C72">
        <v>1498.77</v>
      </c>
      <c r="D72">
        <v>-4069.62</v>
      </c>
      <c r="E72">
        <v>40681.300000000003</v>
      </c>
      <c r="F72">
        <v>197.404</v>
      </c>
      <c r="G72">
        <v>800</v>
      </c>
      <c r="H72">
        <v>0</v>
      </c>
      <c r="I72">
        <v>0</v>
      </c>
      <c r="J72">
        <v>800</v>
      </c>
    </row>
    <row r="73" spans="2:10" x14ac:dyDescent="0.2">
      <c r="B73">
        <v>36000</v>
      </c>
      <c r="C73">
        <v>1497.25</v>
      </c>
      <c r="D73">
        <v>-4072.18</v>
      </c>
      <c r="E73">
        <v>40937</v>
      </c>
      <c r="F73">
        <v>73.808499999999995</v>
      </c>
      <c r="G73">
        <v>800</v>
      </c>
      <c r="H73">
        <v>0</v>
      </c>
      <c r="I73">
        <v>0</v>
      </c>
      <c r="J73">
        <v>800</v>
      </c>
    </row>
    <row r="74" spans="2:10" x14ac:dyDescent="0.2">
      <c r="B74">
        <v>37000</v>
      </c>
      <c r="C74">
        <v>1455.51</v>
      </c>
      <c r="D74">
        <v>-4061.92</v>
      </c>
      <c r="E74">
        <v>41044.800000000003</v>
      </c>
      <c r="F74">
        <v>-400.892</v>
      </c>
      <c r="G74">
        <v>800</v>
      </c>
      <c r="H74">
        <v>0</v>
      </c>
      <c r="I74">
        <v>0</v>
      </c>
      <c r="J74">
        <v>800</v>
      </c>
    </row>
    <row r="75" spans="2:10" x14ac:dyDescent="0.2">
      <c r="B75">
        <v>38000</v>
      </c>
      <c r="C75">
        <v>1531.25</v>
      </c>
      <c r="D75">
        <v>-4063.53</v>
      </c>
      <c r="E75">
        <v>41040.9</v>
      </c>
      <c r="F75">
        <v>107.44799999999999</v>
      </c>
      <c r="G75">
        <v>800</v>
      </c>
      <c r="H75">
        <v>0</v>
      </c>
      <c r="I75">
        <v>0</v>
      </c>
      <c r="J75">
        <v>800</v>
      </c>
    </row>
    <row r="76" spans="2:10" x14ac:dyDescent="0.2">
      <c r="B76">
        <v>39000</v>
      </c>
      <c r="C76">
        <v>1544.11</v>
      </c>
      <c r="D76">
        <v>-4060.07</v>
      </c>
      <c r="E76">
        <v>40691.5</v>
      </c>
      <c r="F76">
        <v>1279.81</v>
      </c>
      <c r="G76">
        <v>800</v>
      </c>
      <c r="H76">
        <v>0</v>
      </c>
      <c r="I76">
        <v>0</v>
      </c>
      <c r="J76">
        <v>800</v>
      </c>
    </row>
    <row r="77" spans="2:10" x14ac:dyDescent="0.2">
      <c r="B77">
        <v>40000</v>
      </c>
      <c r="C77">
        <v>1516.57</v>
      </c>
      <c r="D77">
        <v>-4064.02</v>
      </c>
      <c r="E77">
        <v>40980.6</v>
      </c>
      <c r="F77">
        <v>-1381.13</v>
      </c>
      <c r="G77">
        <v>800</v>
      </c>
      <c r="H77">
        <v>0</v>
      </c>
      <c r="I77">
        <v>0</v>
      </c>
      <c r="J77">
        <v>800</v>
      </c>
    </row>
    <row r="78" spans="2:10" x14ac:dyDescent="0.2">
      <c r="B78">
        <v>41000</v>
      </c>
      <c r="C78">
        <v>1493.8</v>
      </c>
      <c r="D78">
        <v>-4066.19</v>
      </c>
      <c r="E78">
        <v>40617.4</v>
      </c>
      <c r="F78">
        <v>-949.70699999999999</v>
      </c>
      <c r="G78">
        <v>800</v>
      </c>
      <c r="H78">
        <v>0</v>
      </c>
      <c r="I78">
        <v>0</v>
      </c>
      <c r="J78">
        <v>800</v>
      </c>
    </row>
    <row r="79" spans="2:10" x14ac:dyDescent="0.2">
      <c r="B79">
        <v>42000</v>
      </c>
      <c r="C79">
        <v>1480.99</v>
      </c>
      <c r="D79">
        <v>-4065.13</v>
      </c>
      <c r="E79">
        <v>40706.5</v>
      </c>
      <c r="F79">
        <v>676.39800000000002</v>
      </c>
      <c r="G79">
        <v>800</v>
      </c>
      <c r="H79">
        <v>0</v>
      </c>
      <c r="I79">
        <v>0</v>
      </c>
      <c r="J79">
        <v>800</v>
      </c>
    </row>
    <row r="80" spans="2:10" x14ac:dyDescent="0.2">
      <c r="B80">
        <v>43000</v>
      </c>
      <c r="C80">
        <v>1493.79</v>
      </c>
      <c r="D80">
        <v>-4066.63</v>
      </c>
      <c r="E80">
        <v>40829.599999999999</v>
      </c>
      <c r="F80">
        <v>811.57100000000003</v>
      </c>
      <c r="G80">
        <v>800</v>
      </c>
      <c r="H80">
        <v>0</v>
      </c>
      <c r="I80">
        <v>0</v>
      </c>
      <c r="J80">
        <v>800</v>
      </c>
    </row>
    <row r="81" spans="2:10" x14ac:dyDescent="0.2">
      <c r="B81">
        <v>44000</v>
      </c>
      <c r="C81">
        <v>1525.82</v>
      </c>
      <c r="D81">
        <v>-4070.82</v>
      </c>
      <c r="E81">
        <v>40731.5</v>
      </c>
      <c r="F81">
        <v>1227.04</v>
      </c>
      <c r="G81">
        <v>800</v>
      </c>
      <c r="H81">
        <v>0</v>
      </c>
      <c r="I81">
        <v>0</v>
      </c>
      <c r="J81">
        <v>800</v>
      </c>
    </row>
    <row r="82" spans="2:10" x14ac:dyDescent="0.2">
      <c r="B82">
        <v>45000</v>
      </c>
      <c r="C82">
        <v>1521.47</v>
      </c>
      <c r="D82">
        <v>-4064.14</v>
      </c>
      <c r="E82">
        <v>40871.9</v>
      </c>
      <c r="F82">
        <v>8.3911899999999999</v>
      </c>
      <c r="G82">
        <v>800</v>
      </c>
      <c r="H82">
        <v>0</v>
      </c>
      <c r="I82">
        <v>0</v>
      </c>
      <c r="J82">
        <v>800</v>
      </c>
    </row>
    <row r="83" spans="2:10" x14ac:dyDescent="0.2">
      <c r="B83">
        <v>46000</v>
      </c>
      <c r="C83">
        <v>1538.65</v>
      </c>
      <c r="D83">
        <v>-4064.91</v>
      </c>
      <c r="E83">
        <v>40708.800000000003</v>
      </c>
      <c r="F83">
        <v>-1376.8</v>
      </c>
      <c r="G83">
        <v>800</v>
      </c>
      <c r="H83">
        <v>0</v>
      </c>
      <c r="I83">
        <v>0</v>
      </c>
      <c r="J83">
        <v>800</v>
      </c>
    </row>
    <row r="84" spans="2:10" x14ac:dyDescent="0.2">
      <c r="B84">
        <v>47000</v>
      </c>
      <c r="C84">
        <v>1499.38</v>
      </c>
      <c r="D84">
        <v>-4068.08</v>
      </c>
      <c r="E84">
        <v>40268.5</v>
      </c>
      <c r="F84">
        <v>1509.66</v>
      </c>
      <c r="G84">
        <v>800</v>
      </c>
      <c r="H84">
        <v>0</v>
      </c>
      <c r="I84">
        <v>0</v>
      </c>
      <c r="J84">
        <v>800</v>
      </c>
    </row>
    <row r="85" spans="2:10" x14ac:dyDescent="0.2">
      <c r="B85">
        <v>48000</v>
      </c>
      <c r="C85">
        <v>1495</v>
      </c>
      <c r="D85">
        <v>-4076.32</v>
      </c>
      <c r="E85">
        <v>40234.199999999997</v>
      </c>
      <c r="F85">
        <v>743.28399999999999</v>
      </c>
      <c r="G85">
        <v>800</v>
      </c>
      <c r="H85">
        <v>0</v>
      </c>
      <c r="I85">
        <v>0</v>
      </c>
      <c r="J85">
        <v>800</v>
      </c>
    </row>
    <row r="86" spans="2:10" x14ac:dyDescent="0.2">
      <c r="B86">
        <v>49000</v>
      </c>
      <c r="C86">
        <v>1456.71</v>
      </c>
      <c r="D86">
        <v>-4067.92</v>
      </c>
      <c r="E86">
        <v>40290.699999999997</v>
      </c>
      <c r="F86">
        <v>1495.31</v>
      </c>
      <c r="G86">
        <v>800</v>
      </c>
      <c r="H86">
        <v>0</v>
      </c>
      <c r="I86">
        <v>0</v>
      </c>
      <c r="J86">
        <v>800</v>
      </c>
    </row>
    <row r="87" spans="2:10" x14ac:dyDescent="0.2">
      <c r="B87">
        <v>50000</v>
      </c>
      <c r="C87">
        <v>1511.65</v>
      </c>
      <c r="D87">
        <v>-4070.71</v>
      </c>
      <c r="E87">
        <v>40641.5</v>
      </c>
      <c r="F87">
        <v>-264.80200000000002</v>
      </c>
      <c r="G87">
        <v>800</v>
      </c>
      <c r="H87">
        <v>0</v>
      </c>
      <c r="I87">
        <v>0</v>
      </c>
      <c r="J87">
        <v>800</v>
      </c>
    </row>
    <row r="88" spans="2:10" x14ac:dyDescent="0.2">
      <c r="B88">
        <v>51000</v>
      </c>
      <c r="C88">
        <v>1535.21</v>
      </c>
      <c r="D88">
        <v>-4062.57</v>
      </c>
      <c r="E88">
        <v>40783.4</v>
      </c>
      <c r="F88">
        <v>735.62099999999998</v>
      </c>
      <c r="G88">
        <v>800</v>
      </c>
      <c r="H88">
        <v>0</v>
      </c>
      <c r="I88">
        <v>0</v>
      </c>
      <c r="J88">
        <v>800</v>
      </c>
    </row>
    <row r="89" spans="2:10" x14ac:dyDescent="0.2">
      <c r="B89">
        <v>52000</v>
      </c>
      <c r="C89">
        <v>1514.84</v>
      </c>
      <c r="D89">
        <v>-4059.24</v>
      </c>
      <c r="E89">
        <v>41047.800000000003</v>
      </c>
      <c r="F89">
        <v>-1673.92</v>
      </c>
      <c r="G89">
        <v>800</v>
      </c>
      <c r="H89">
        <v>0</v>
      </c>
      <c r="I89">
        <v>0</v>
      </c>
      <c r="J89">
        <v>800</v>
      </c>
    </row>
    <row r="90" spans="2:10" x14ac:dyDescent="0.2">
      <c r="B90">
        <v>53000</v>
      </c>
      <c r="C90">
        <v>1513.2</v>
      </c>
      <c r="D90">
        <v>-4066.06</v>
      </c>
      <c r="E90">
        <v>40490.5</v>
      </c>
      <c r="F90">
        <v>644.43799999999999</v>
      </c>
      <c r="G90">
        <v>800</v>
      </c>
      <c r="H90">
        <v>0</v>
      </c>
      <c r="I90">
        <v>0</v>
      </c>
      <c r="J90">
        <v>800</v>
      </c>
    </row>
    <row r="91" spans="2:10" x14ac:dyDescent="0.2">
      <c r="B91">
        <v>54000</v>
      </c>
      <c r="C91">
        <v>1493.93</v>
      </c>
      <c r="D91">
        <v>-4071.03</v>
      </c>
      <c r="E91">
        <v>40300</v>
      </c>
      <c r="F91">
        <v>-1314.01</v>
      </c>
      <c r="G91">
        <v>800</v>
      </c>
      <c r="H91">
        <v>0</v>
      </c>
      <c r="I91">
        <v>0</v>
      </c>
      <c r="J91">
        <v>800</v>
      </c>
    </row>
    <row r="92" spans="2:10" x14ac:dyDescent="0.2">
      <c r="B92">
        <v>55000</v>
      </c>
      <c r="C92">
        <v>1519.41</v>
      </c>
      <c r="D92">
        <v>-4078.1</v>
      </c>
      <c r="E92">
        <v>40453.599999999999</v>
      </c>
      <c r="F92">
        <v>487.42599999999999</v>
      </c>
      <c r="G92">
        <v>800</v>
      </c>
      <c r="H92">
        <v>0</v>
      </c>
      <c r="I92">
        <v>0</v>
      </c>
      <c r="J92">
        <v>800</v>
      </c>
    </row>
    <row r="93" spans="2:10" x14ac:dyDescent="0.2">
      <c r="B93">
        <v>56000</v>
      </c>
      <c r="C93">
        <v>1505.7</v>
      </c>
      <c r="D93">
        <v>-4069.2</v>
      </c>
      <c r="E93">
        <v>40285.4</v>
      </c>
      <c r="F93">
        <v>662.76499999999999</v>
      </c>
      <c r="G93">
        <v>800</v>
      </c>
      <c r="H93">
        <v>0</v>
      </c>
      <c r="I93">
        <v>0</v>
      </c>
      <c r="J93">
        <v>800</v>
      </c>
    </row>
    <row r="94" spans="2:10" x14ac:dyDescent="0.2">
      <c r="B94">
        <v>57000</v>
      </c>
      <c r="C94">
        <v>1504.92</v>
      </c>
      <c r="D94">
        <v>-4052.93</v>
      </c>
      <c r="E94">
        <v>40925.1</v>
      </c>
      <c r="F94">
        <v>-221.625</v>
      </c>
      <c r="G94">
        <v>800</v>
      </c>
      <c r="H94">
        <v>0</v>
      </c>
      <c r="I94">
        <v>0</v>
      </c>
      <c r="J94">
        <v>800</v>
      </c>
    </row>
    <row r="95" spans="2:10" x14ac:dyDescent="0.2">
      <c r="B95">
        <v>58000</v>
      </c>
      <c r="C95">
        <v>1532.39</v>
      </c>
      <c r="D95">
        <v>-4061.48</v>
      </c>
      <c r="E95">
        <v>40813.300000000003</v>
      </c>
      <c r="F95">
        <v>2682.04</v>
      </c>
      <c r="G95">
        <v>800</v>
      </c>
      <c r="H95">
        <v>0</v>
      </c>
      <c r="I95">
        <v>0</v>
      </c>
      <c r="J95">
        <v>800</v>
      </c>
    </row>
    <row r="96" spans="2:10" x14ac:dyDescent="0.2">
      <c r="B96">
        <v>59000</v>
      </c>
      <c r="C96">
        <v>1495.9</v>
      </c>
      <c r="D96">
        <v>-4062.78</v>
      </c>
      <c r="E96">
        <v>40535.699999999997</v>
      </c>
      <c r="F96">
        <v>1993.63</v>
      </c>
      <c r="G96">
        <v>800</v>
      </c>
      <c r="H96">
        <v>0</v>
      </c>
      <c r="I96">
        <v>0</v>
      </c>
      <c r="J96">
        <v>800</v>
      </c>
    </row>
    <row r="97" spans="2:10" x14ac:dyDescent="0.2">
      <c r="B97">
        <v>60000</v>
      </c>
      <c r="C97">
        <v>1509.15</v>
      </c>
      <c r="D97">
        <v>-4073.35</v>
      </c>
      <c r="E97">
        <v>40659</v>
      </c>
      <c r="F97">
        <v>233.29499999999999</v>
      </c>
      <c r="G97">
        <v>800</v>
      </c>
      <c r="H97">
        <v>0</v>
      </c>
      <c r="I97">
        <v>0</v>
      </c>
      <c r="J97">
        <v>800</v>
      </c>
    </row>
    <row r="98" spans="2:10" x14ac:dyDescent="0.2">
      <c r="B98">
        <v>61000</v>
      </c>
      <c r="C98">
        <v>1478.59</v>
      </c>
      <c r="D98">
        <v>-4070.39</v>
      </c>
      <c r="E98">
        <v>40727.199999999997</v>
      </c>
      <c r="F98">
        <v>-1308.5899999999999</v>
      </c>
      <c r="G98">
        <v>800</v>
      </c>
      <c r="H98">
        <v>0</v>
      </c>
      <c r="I98">
        <v>0</v>
      </c>
      <c r="J98">
        <v>800</v>
      </c>
    </row>
    <row r="99" spans="2:10" x14ac:dyDescent="0.2">
      <c r="B99">
        <v>62000</v>
      </c>
      <c r="C99">
        <v>1475.52</v>
      </c>
      <c r="D99">
        <v>-4067.88</v>
      </c>
      <c r="E99">
        <v>40866.6</v>
      </c>
      <c r="F99">
        <v>243.071</v>
      </c>
      <c r="G99">
        <v>800</v>
      </c>
      <c r="H99">
        <v>0</v>
      </c>
      <c r="I99">
        <v>0</v>
      </c>
      <c r="J99">
        <v>800</v>
      </c>
    </row>
    <row r="100" spans="2:10" x14ac:dyDescent="0.2">
      <c r="B100">
        <v>63000</v>
      </c>
      <c r="C100">
        <v>1507.03</v>
      </c>
      <c r="D100">
        <v>-4070.96</v>
      </c>
      <c r="E100">
        <v>40522.6</v>
      </c>
      <c r="F100">
        <v>1964.94</v>
      </c>
      <c r="G100">
        <v>800</v>
      </c>
      <c r="H100">
        <v>0</v>
      </c>
      <c r="I100">
        <v>0</v>
      </c>
      <c r="J100">
        <v>800</v>
      </c>
    </row>
    <row r="101" spans="2:10" x14ac:dyDescent="0.2">
      <c r="B101">
        <v>64000</v>
      </c>
      <c r="C101">
        <v>1520.87</v>
      </c>
      <c r="D101">
        <v>-4072.2</v>
      </c>
      <c r="E101">
        <v>40789.4</v>
      </c>
      <c r="F101">
        <v>-809.16600000000005</v>
      </c>
      <c r="G101">
        <v>800</v>
      </c>
      <c r="H101">
        <v>0</v>
      </c>
      <c r="I101">
        <v>0</v>
      </c>
      <c r="J101">
        <v>800</v>
      </c>
    </row>
    <row r="102" spans="2:10" x14ac:dyDescent="0.2">
      <c r="B102">
        <v>65000</v>
      </c>
      <c r="C102">
        <v>1540.27</v>
      </c>
      <c r="D102">
        <v>-4072.79</v>
      </c>
      <c r="E102">
        <v>40444.9</v>
      </c>
      <c r="F102">
        <v>1070.01</v>
      </c>
      <c r="G102">
        <v>800</v>
      </c>
      <c r="H102">
        <v>0</v>
      </c>
      <c r="I102">
        <v>0</v>
      </c>
      <c r="J102">
        <v>800</v>
      </c>
    </row>
    <row r="103" spans="2:10" x14ac:dyDescent="0.2">
      <c r="B103">
        <v>66000</v>
      </c>
      <c r="C103">
        <v>1500.02</v>
      </c>
      <c r="D103">
        <v>-4062.29</v>
      </c>
      <c r="E103">
        <v>40677.300000000003</v>
      </c>
      <c r="F103">
        <v>463.21300000000002</v>
      </c>
      <c r="G103">
        <v>800</v>
      </c>
      <c r="H103">
        <v>0</v>
      </c>
      <c r="I103">
        <v>0</v>
      </c>
      <c r="J103">
        <v>800</v>
      </c>
    </row>
    <row r="104" spans="2:10" x14ac:dyDescent="0.2">
      <c r="B104">
        <v>67000</v>
      </c>
      <c r="C104">
        <v>1499.69</v>
      </c>
      <c r="D104">
        <v>-4061.54</v>
      </c>
      <c r="E104">
        <v>40897.9</v>
      </c>
      <c r="F104">
        <v>-553.846</v>
      </c>
      <c r="G104">
        <v>800</v>
      </c>
      <c r="H104">
        <v>0</v>
      </c>
      <c r="I104">
        <v>0</v>
      </c>
      <c r="J104">
        <v>800</v>
      </c>
    </row>
    <row r="105" spans="2:10" x14ac:dyDescent="0.2">
      <c r="B105">
        <v>68000</v>
      </c>
      <c r="C105">
        <v>1495.53</v>
      </c>
      <c r="D105">
        <v>-4066.51</v>
      </c>
      <c r="E105">
        <v>40793</v>
      </c>
      <c r="F105">
        <v>659.58399999999995</v>
      </c>
      <c r="G105">
        <v>800</v>
      </c>
      <c r="H105">
        <v>0</v>
      </c>
      <c r="I105">
        <v>0</v>
      </c>
      <c r="J105">
        <v>800</v>
      </c>
    </row>
    <row r="106" spans="2:10" x14ac:dyDescent="0.2">
      <c r="B106">
        <v>69000</v>
      </c>
      <c r="C106">
        <v>1493.13</v>
      </c>
      <c r="D106">
        <v>-4073.32</v>
      </c>
      <c r="E106">
        <v>40093.199999999997</v>
      </c>
      <c r="F106">
        <v>-65.709000000000003</v>
      </c>
      <c r="G106">
        <v>800</v>
      </c>
      <c r="H106">
        <v>0</v>
      </c>
      <c r="I106">
        <v>0</v>
      </c>
      <c r="J106">
        <v>800</v>
      </c>
    </row>
    <row r="107" spans="2:10" x14ac:dyDescent="0.2">
      <c r="B107">
        <v>70000</v>
      </c>
      <c r="C107">
        <v>1484.05</v>
      </c>
      <c r="D107">
        <v>-4079.52</v>
      </c>
      <c r="E107">
        <v>40090.800000000003</v>
      </c>
      <c r="F107">
        <v>413.67500000000001</v>
      </c>
      <c r="G107">
        <v>800</v>
      </c>
      <c r="H107">
        <v>0</v>
      </c>
      <c r="I107">
        <v>0</v>
      </c>
      <c r="J107">
        <v>800</v>
      </c>
    </row>
    <row r="108" spans="2:10" x14ac:dyDescent="0.2">
      <c r="B108">
        <v>71000</v>
      </c>
      <c r="C108">
        <v>1465.76</v>
      </c>
      <c r="D108">
        <v>-4073.7</v>
      </c>
      <c r="E108">
        <v>40630.199999999997</v>
      </c>
      <c r="F108">
        <v>-1637.38</v>
      </c>
      <c r="G108">
        <v>800</v>
      </c>
      <c r="H108">
        <v>0</v>
      </c>
      <c r="I108">
        <v>0</v>
      </c>
      <c r="J108">
        <v>800</v>
      </c>
    </row>
    <row r="109" spans="2:10" x14ac:dyDescent="0.2">
      <c r="B109">
        <v>72000</v>
      </c>
      <c r="C109">
        <v>1515.58</v>
      </c>
      <c r="D109">
        <v>-4065.6</v>
      </c>
      <c r="E109">
        <v>40817.199999999997</v>
      </c>
      <c r="F109">
        <v>1735.29</v>
      </c>
      <c r="G109">
        <v>800</v>
      </c>
      <c r="H109">
        <v>0</v>
      </c>
      <c r="I109">
        <v>0</v>
      </c>
      <c r="J109">
        <v>800</v>
      </c>
    </row>
    <row r="110" spans="2:10" x14ac:dyDescent="0.2">
      <c r="B110">
        <v>73000</v>
      </c>
      <c r="C110">
        <v>1504.42</v>
      </c>
      <c r="D110">
        <v>-4061.03</v>
      </c>
      <c r="E110">
        <v>40925.199999999997</v>
      </c>
      <c r="F110">
        <v>-3558.65</v>
      </c>
      <c r="G110">
        <v>800</v>
      </c>
      <c r="H110">
        <v>0</v>
      </c>
      <c r="I110">
        <v>0</v>
      </c>
      <c r="J110">
        <v>800</v>
      </c>
    </row>
    <row r="111" spans="2:10" x14ac:dyDescent="0.2">
      <c r="B111">
        <v>74000</v>
      </c>
      <c r="C111">
        <v>1488.11</v>
      </c>
      <c r="D111">
        <v>-4066.18</v>
      </c>
      <c r="E111">
        <v>40704.699999999997</v>
      </c>
      <c r="F111">
        <v>-1964.1</v>
      </c>
      <c r="G111">
        <v>800</v>
      </c>
      <c r="H111">
        <v>0</v>
      </c>
      <c r="I111">
        <v>0</v>
      </c>
      <c r="J111">
        <v>800</v>
      </c>
    </row>
    <row r="112" spans="2:10" x14ac:dyDescent="0.2">
      <c r="B112">
        <v>75000</v>
      </c>
      <c r="C112">
        <v>1478.88</v>
      </c>
      <c r="D112">
        <v>-4071.84</v>
      </c>
      <c r="E112">
        <v>40276.5</v>
      </c>
      <c r="F112">
        <v>455.22</v>
      </c>
      <c r="G112">
        <v>800</v>
      </c>
      <c r="H112">
        <v>0</v>
      </c>
      <c r="I112">
        <v>0</v>
      </c>
      <c r="J112">
        <v>800</v>
      </c>
    </row>
    <row r="113" spans="2:10" x14ac:dyDescent="0.2">
      <c r="B113">
        <v>76000</v>
      </c>
      <c r="C113">
        <v>1498.78</v>
      </c>
      <c r="D113">
        <v>-4076.14</v>
      </c>
      <c r="E113">
        <v>40406.300000000003</v>
      </c>
      <c r="F113">
        <v>-453.48899999999998</v>
      </c>
      <c r="G113">
        <v>800</v>
      </c>
      <c r="H113">
        <v>0</v>
      </c>
      <c r="I113">
        <v>0</v>
      </c>
      <c r="J113">
        <v>800</v>
      </c>
    </row>
    <row r="114" spans="2:10" x14ac:dyDescent="0.2">
      <c r="B114">
        <v>77000</v>
      </c>
      <c r="C114">
        <v>1531.63</v>
      </c>
      <c r="D114">
        <v>-4073.12</v>
      </c>
      <c r="E114">
        <v>40662</v>
      </c>
      <c r="F114">
        <v>2433.4899999999998</v>
      </c>
      <c r="G114">
        <v>800</v>
      </c>
      <c r="H114">
        <v>0</v>
      </c>
      <c r="I114">
        <v>0</v>
      </c>
      <c r="J114">
        <v>800</v>
      </c>
    </row>
    <row r="115" spans="2:10" x14ac:dyDescent="0.2">
      <c r="B115">
        <v>78000</v>
      </c>
      <c r="C115">
        <v>1538.44</v>
      </c>
      <c r="D115">
        <v>-4058.31</v>
      </c>
      <c r="E115">
        <v>40976.800000000003</v>
      </c>
      <c r="F115">
        <v>-1037.8</v>
      </c>
      <c r="G115">
        <v>800</v>
      </c>
      <c r="H115">
        <v>0</v>
      </c>
      <c r="I115">
        <v>0</v>
      </c>
      <c r="J115">
        <v>800</v>
      </c>
    </row>
    <row r="116" spans="2:10" x14ac:dyDescent="0.2">
      <c r="B116">
        <v>79000</v>
      </c>
      <c r="C116">
        <v>1532.78</v>
      </c>
      <c r="D116">
        <v>-4063.34</v>
      </c>
      <c r="E116">
        <v>40860.5</v>
      </c>
      <c r="F116">
        <v>-1887.86</v>
      </c>
      <c r="G116">
        <v>800</v>
      </c>
      <c r="H116">
        <v>0</v>
      </c>
      <c r="I116">
        <v>0</v>
      </c>
      <c r="J116">
        <v>800</v>
      </c>
    </row>
    <row r="117" spans="2:10" x14ac:dyDescent="0.2">
      <c r="B117">
        <v>80000</v>
      </c>
      <c r="C117">
        <v>1482.38</v>
      </c>
      <c r="D117">
        <v>-4065.15</v>
      </c>
      <c r="E117">
        <v>40708.300000000003</v>
      </c>
      <c r="F117">
        <v>-1123.3599999999999</v>
      </c>
      <c r="G117">
        <v>800</v>
      </c>
      <c r="H117">
        <v>0</v>
      </c>
      <c r="I117">
        <v>0</v>
      </c>
      <c r="J117">
        <v>800</v>
      </c>
    </row>
    <row r="118" spans="2:10" x14ac:dyDescent="0.2">
      <c r="B118">
        <v>81000</v>
      </c>
      <c r="C118">
        <v>1521.08</v>
      </c>
      <c r="D118">
        <v>-4077.03</v>
      </c>
      <c r="E118">
        <v>40334.800000000003</v>
      </c>
      <c r="F118">
        <v>1121.5899999999999</v>
      </c>
      <c r="G118">
        <v>800</v>
      </c>
      <c r="H118">
        <v>0</v>
      </c>
      <c r="I118">
        <v>0</v>
      </c>
      <c r="J118">
        <v>800</v>
      </c>
    </row>
    <row r="119" spans="2:10" x14ac:dyDescent="0.2">
      <c r="B119">
        <v>82000</v>
      </c>
      <c r="C119">
        <v>1463.41</v>
      </c>
      <c r="D119">
        <v>-4066.63</v>
      </c>
      <c r="E119">
        <v>40718.699999999997</v>
      </c>
      <c r="F119">
        <v>1020.94</v>
      </c>
      <c r="G119">
        <v>800</v>
      </c>
      <c r="H119">
        <v>0</v>
      </c>
      <c r="I119">
        <v>0</v>
      </c>
      <c r="J119">
        <v>800</v>
      </c>
    </row>
    <row r="120" spans="2:10" x14ac:dyDescent="0.2">
      <c r="B120">
        <v>83000</v>
      </c>
      <c r="C120">
        <v>1536.09</v>
      </c>
      <c r="D120">
        <v>-4067.85</v>
      </c>
      <c r="E120">
        <v>40779.800000000003</v>
      </c>
      <c r="F120">
        <v>-778.94899999999996</v>
      </c>
      <c r="G120">
        <v>800</v>
      </c>
      <c r="H120">
        <v>0</v>
      </c>
      <c r="I120">
        <v>0</v>
      </c>
      <c r="J120">
        <v>800</v>
      </c>
    </row>
    <row r="121" spans="2:10" x14ac:dyDescent="0.2">
      <c r="B121">
        <v>84000</v>
      </c>
      <c r="C121">
        <v>1538.77</v>
      </c>
      <c r="D121">
        <v>-4060.23</v>
      </c>
      <c r="E121">
        <v>40880.199999999997</v>
      </c>
      <c r="F121">
        <v>93.884600000000006</v>
      </c>
      <c r="G121">
        <v>800</v>
      </c>
      <c r="H121">
        <v>0</v>
      </c>
      <c r="I121">
        <v>0</v>
      </c>
      <c r="J121">
        <v>800</v>
      </c>
    </row>
    <row r="122" spans="2:10" x14ac:dyDescent="0.2">
      <c r="B122">
        <v>85000</v>
      </c>
      <c r="C122">
        <v>1532.14</v>
      </c>
      <c r="D122">
        <v>-4065.14</v>
      </c>
      <c r="E122">
        <v>40823.4</v>
      </c>
      <c r="F122">
        <v>-163.33600000000001</v>
      </c>
      <c r="G122">
        <v>800</v>
      </c>
      <c r="H122">
        <v>0</v>
      </c>
      <c r="I122">
        <v>0</v>
      </c>
      <c r="J122">
        <v>800</v>
      </c>
    </row>
    <row r="123" spans="2:10" x14ac:dyDescent="0.2">
      <c r="B123">
        <v>86000</v>
      </c>
      <c r="C123">
        <v>1515.84</v>
      </c>
      <c r="D123">
        <v>-4070.81</v>
      </c>
      <c r="E123">
        <v>41005.5</v>
      </c>
      <c r="F123">
        <v>-1509.94</v>
      </c>
      <c r="G123">
        <v>800</v>
      </c>
      <c r="H123">
        <v>0</v>
      </c>
      <c r="I123">
        <v>0</v>
      </c>
      <c r="J123">
        <v>800</v>
      </c>
    </row>
    <row r="124" spans="2:10" x14ac:dyDescent="0.2">
      <c r="B124">
        <v>87000</v>
      </c>
      <c r="C124">
        <v>1522.25</v>
      </c>
      <c r="D124">
        <v>-4074.17</v>
      </c>
      <c r="E124">
        <v>40527.599999999999</v>
      </c>
      <c r="F124">
        <v>-516.45600000000002</v>
      </c>
      <c r="G124">
        <v>800</v>
      </c>
      <c r="H124">
        <v>0</v>
      </c>
      <c r="I124">
        <v>0</v>
      </c>
      <c r="J124">
        <v>800</v>
      </c>
    </row>
    <row r="125" spans="2:10" x14ac:dyDescent="0.2">
      <c r="B125">
        <v>88000</v>
      </c>
      <c r="C125">
        <v>1490.24</v>
      </c>
      <c r="D125">
        <v>-4068.42</v>
      </c>
      <c r="E125">
        <v>40837.800000000003</v>
      </c>
      <c r="F125">
        <v>-1534.09</v>
      </c>
      <c r="G125">
        <v>800</v>
      </c>
      <c r="H125">
        <v>0</v>
      </c>
      <c r="I125">
        <v>0</v>
      </c>
      <c r="J125">
        <v>800</v>
      </c>
    </row>
    <row r="126" spans="2:10" x14ac:dyDescent="0.2">
      <c r="B126">
        <v>89000</v>
      </c>
      <c r="C126">
        <v>1486.64</v>
      </c>
      <c r="D126">
        <v>-4063.8</v>
      </c>
      <c r="E126">
        <v>41050.9</v>
      </c>
      <c r="F126">
        <v>-908.95699999999999</v>
      </c>
      <c r="G126">
        <v>800</v>
      </c>
      <c r="H126">
        <v>0</v>
      </c>
      <c r="I126">
        <v>0</v>
      </c>
      <c r="J126">
        <v>800</v>
      </c>
    </row>
    <row r="127" spans="2:10" x14ac:dyDescent="0.2">
      <c r="B127">
        <v>90000</v>
      </c>
      <c r="C127">
        <v>1536.14</v>
      </c>
      <c r="D127">
        <v>-4057.22</v>
      </c>
      <c r="E127">
        <v>40356.800000000003</v>
      </c>
      <c r="F127">
        <v>-181.399</v>
      </c>
      <c r="G127">
        <v>800</v>
      </c>
      <c r="H127">
        <v>0</v>
      </c>
      <c r="I127">
        <v>0</v>
      </c>
      <c r="J127">
        <v>800</v>
      </c>
    </row>
    <row r="128" spans="2:10" x14ac:dyDescent="0.2">
      <c r="B128">
        <v>91000</v>
      </c>
      <c r="C128">
        <v>1541.6</v>
      </c>
      <c r="D128">
        <v>-4050.71</v>
      </c>
      <c r="E128">
        <v>41263</v>
      </c>
      <c r="F128">
        <v>-705.58699999999999</v>
      </c>
      <c r="G128">
        <v>800</v>
      </c>
      <c r="H128">
        <v>0</v>
      </c>
      <c r="I128">
        <v>0</v>
      </c>
      <c r="J128">
        <v>800</v>
      </c>
    </row>
    <row r="129" spans="2:10" x14ac:dyDescent="0.2">
      <c r="B129">
        <v>92000</v>
      </c>
      <c r="C129">
        <v>1509.84</v>
      </c>
      <c r="D129">
        <v>-4055.41</v>
      </c>
      <c r="E129">
        <v>41627.9</v>
      </c>
      <c r="F129">
        <v>-2615.4499999999998</v>
      </c>
      <c r="G129">
        <v>800</v>
      </c>
      <c r="H129">
        <v>0</v>
      </c>
      <c r="I129">
        <v>0</v>
      </c>
      <c r="J129">
        <v>800</v>
      </c>
    </row>
    <row r="130" spans="2:10" x14ac:dyDescent="0.2">
      <c r="B130">
        <v>93000</v>
      </c>
      <c r="C130">
        <v>1525.86</v>
      </c>
      <c r="D130">
        <v>-4064.06</v>
      </c>
      <c r="E130">
        <v>40765.199999999997</v>
      </c>
      <c r="F130">
        <v>779.98699999999997</v>
      </c>
      <c r="G130">
        <v>800</v>
      </c>
      <c r="H130">
        <v>0</v>
      </c>
      <c r="I130">
        <v>0</v>
      </c>
      <c r="J130">
        <v>800</v>
      </c>
    </row>
    <row r="131" spans="2:10" x14ac:dyDescent="0.2">
      <c r="B131">
        <v>94000</v>
      </c>
      <c r="C131">
        <v>1504.21</v>
      </c>
      <c r="D131">
        <v>-4068.88</v>
      </c>
      <c r="E131">
        <v>40506.800000000003</v>
      </c>
      <c r="F131">
        <v>2528.4499999999998</v>
      </c>
      <c r="G131">
        <v>800</v>
      </c>
      <c r="H131">
        <v>0</v>
      </c>
      <c r="I131">
        <v>0</v>
      </c>
      <c r="J131">
        <v>800</v>
      </c>
    </row>
    <row r="132" spans="2:10" x14ac:dyDescent="0.2">
      <c r="B132">
        <v>95000</v>
      </c>
      <c r="C132">
        <v>1479.27</v>
      </c>
      <c r="D132">
        <v>-4071.79</v>
      </c>
      <c r="E132">
        <v>40650.6</v>
      </c>
      <c r="F132">
        <v>-294.64100000000002</v>
      </c>
      <c r="G132">
        <v>800</v>
      </c>
      <c r="H132">
        <v>0</v>
      </c>
      <c r="I132">
        <v>0</v>
      </c>
      <c r="J132">
        <v>800</v>
      </c>
    </row>
    <row r="133" spans="2:10" x14ac:dyDescent="0.2">
      <c r="B133">
        <v>96000</v>
      </c>
      <c r="C133">
        <v>1487.99</v>
      </c>
      <c r="D133">
        <v>-4071.1</v>
      </c>
      <c r="E133">
        <v>40337.9</v>
      </c>
      <c r="F133">
        <v>1553.69</v>
      </c>
      <c r="G133">
        <v>800</v>
      </c>
      <c r="H133">
        <v>0</v>
      </c>
      <c r="I133">
        <v>0</v>
      </c>
      <c r="J133">
        <v>800</v>
      </c>
    </row>
    <row r="134" spans="2:10" x14ac:dyDescent="0.2">
      <c r="B134">
        <v>97000</v>
      </c>
      <c r="C134">
        <v>1534.32</v>
      </c>
      <c r="D134">
        <v>-4067.09</v>
      </c>
      <c r="E134">
        <v>40183.199999999997</v>
      </c>
      <c r="F134">
        <v>511.375</v>
      </c>
      <c r="G134">
        <v>800</v>
      </c>
      <c r="H134">
        <v>0</v>
      </c>
      <c r="I134">
        <v>0</v>
      </c>
      <c r="J134">
        <v>800</v>
      </c>
    </row>
    <row r="135" spans="2:10" x14ac:dyDescent="0.2">
      <c r="B135">
        <v>98000</v>
      </c>
      <c r="C135">
        <v>1532.79</v>
      </c>
      <c r="D135">
        <v>-4062.71</v>
      </c>
      <c r="E135">
        <v>41225.800000000003</v>
      </c>
      <c r="F135">
        <v>-1766.33</v>
      </c>
      <c r="G135">
        <v>800</v>
      </c>
      <c r="H135">
        <v>0</v>
      </c>
      <c r="I135">
        <v>0</v>
      </c>
      <c r="J135">
        <v>800</v>
      </c>
    </row>
    <row r="136" spans="2:10" x14ac:dyDescent="0.2">
      <c r="B136">
        <v>99000</v>
      </c>
      <c r="C136">
        <v>1518.92</v>
      </c>
      <c r="D136">
        <v>-4062.49</v>
      </c>
      <c r="E136">
        <v>40736.6</v>
      </c>
      <c r="F136">
        <v>-15.168900000000001</v>
      </c>
      <c r="G136">
        <v>800</v>
      </c>
      <c r="H136">
        <v>0</v>
      </c>
      <c r="I136">
        <v>0</v>
      </c>
      <c r="J136">
        <v>800</v>
      </c>
    </row>
    <row r="137" spans="2:10" x14ac:dyDescent="0.2">
      <c r="B137">
        <v>100000</v>
      </c>
      <c r="C137">
        <v>1508.84</v>
      </c>
      <c r="D137">
        <v>-4066.36</v>
      </c>
      <c r="E137">
        <v>40706.9</v>
      </c>
      <c r="F137">
        <v>1924.85</v>
      </c>
      <c r="G137">
        <v>800</v>
      </c>
      <c r="H137">
        <v>0</v>
      </c>
      <c r="I137">
        <v>0</v>
      </c>
      <c r="J137">
        <v>800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D781-84FE-EE4A-B7BB-D978DB04106A}">
  <dimension ref="B2:BD107"/>
  <sheetViews>
    <sheetView tabSelected="1" workbookViewId="0">
      <selection activeCell="H2" sqref="H2"/>
    </sheetView>
  </sheetViews>
  <sheetFormatPr baseColWidth="10" defaultRowHeight="16" x14ac:dyDescent="0.2"/>
  <sheetData>
    <row r="2" spans="2:56" x14ac:dyDescent="0.2">
      <c r="B2" t="s">
        <v>23</v>
      </c>
      <c r="J2" t="s">
        <v>31</v>
      </c>
      <c r="R2" t="s">
        <v>32</v>
      </c>
      <c r="Z2" t="s">
        <v>33</v>
      </c>
      <c r="AH2" t="s">
        <v>34</v>
      </c>
      <c r="AP2" t="s">
        <v>36</v>
      </c>
      <c r="AX2" t="s">
        <v>35</v>
      </c>
    </row>
    <row r="5" spans="2:56" x14ac:dyDescent="0.2"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1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>
        <v>1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>
        <v>1</v>
      </c>
      <c r="AA5" t="s">
        <v>24</v>
      </c>
      <c r="AB5" t="s">
        <v>25</v>
      </c>
      <c r="AC5" t="s">
        <v>26</v>
      </c>
      <c r="AD5" t="s">
        <v>27</v>
      </c>
      <c r="AE5" t="s">
        <v>28</v>
      </c>
      <c r="AF5">
        <v>1</v>
      </c>
      <c r="AI5" t="s">
        <v>24</v>
      </c>
      <c r="AJ5" t="s">
        <v>25</v>
      </c>
      <c r="AK5" t="s">
        <v>26</v>
      </c>
      <c r="AL5" t="s">
        <v>27</v>
      </c>
      <c r="AM5" t="s">
        <v>28</v>
      </c>
      <c r="AN5">
        <v>1</v>
      </c>
      <c r="AQ5" t="s">
        <v>24</v>
      </c>
      <c r="AR5" t="s">
        <v>25</v>
      </c>
      <c r="AS5" t="s">
        <v>26</v>
      </c>
      <c r="AT5" t="s">
        <v>27</v>
      </c>
      <c r="AU5" t="s">
        <v>28</v>
      </c>
      <c r="AV5">
        <v>1</v>
      </c>
      <c r="AY5" t="s">
        <v>24</v>
      </c>
      <c r="AZ5" t="s">
        <v>25</v>
      </c>
      <c r="BA5" t="s">
        <v>26</v>
      </c>
      <c r="BB5" t="s">
        <v>27</v>
      </c>
      <c r="BC5" t="s">
        <v>28</v>
      </c>
      <c r="BD5">
        <v>1</v>
      </c>
    </row>
    <row r="6" spans="2:56" x14ac:dyDescent="0.2">
      <c r="C6" t="s">
        <v>24</v>
      </c>
      <c r="D6" t="s">
        <v>1</v>
      </c>
      <c r="E6" t="s">
        <v>29</v>
      </c>
      <c r="F6" t="s">
        <v>30</v>
      </c>
      <c r="K6" t="s">
        <v>24</v>
      </c>
      <c r="L6" t="s">
        <v>1</v>
      </c>
      <c r="M6" t="s">
        <v>29</v>
      </c>
      <c r="N6" t="s">
        <v>30</v>
      </c>
      <c r="S6" t="s">
        <v>24</v>
      </c>
      <c r="T6" t="s">
        <v>1</v>
      </c>
      <c r="U6" t="s">
        <v>29</v>
      </c>
      <c r="V6" t="s">
        <v>30</v>
      </c>
      <c r="AA6" t="s">
        <v>24</v>
      </c>
      <c r="AB6" t="s">
        <v>1</v>
      </c>
      <c r="AC6" t="s">
        <v>29</v>
      </c>
      <c r="AD6" t="s">
        <v>30</v>
      </c>
      <c r="AI6" t="s">
        <v>24</v>
      </c>
      <c r="AJ6" t="s">
        <v>1</v>
      </c>
      <c r="AK6" t="s">
        <v>29</v>
      </c>
      <c r="AL6" t="s">
        <v>30</v>
      </c>
      <c r="AQ6" t="s">
        <v>24</v>
      </c>
      <c r="AR6" t="s">
        <v>1</v>
      </c>
      <c r="AS6" t="s">
        <v>29</v>
      </c>
      <c r="AT6" t="s">
        <v>30</v>
      </c>
      <c r="AY6" t="s">
        <v>24</v>
      </c>
      <c r="AZ6" t="s">
        <v>1</v>
      </c>
      <c r="BA6" t="s">
        <v>29</v>
      </c>
      <c r="BB6" t="s">
        <v>30</v>
      </c>
    </row>
    <row r="7" spans="2:56" x14ac:dyDescent="0.2">
      <c r="B7">
        <f>3.5*0.1</f>
        <v>0.35000000000000003</v>
      </c>
      <c r="C7">
        <v>0</v>
      </c>
      <c r="D7" s="3">
        <v>38594500</v>
      </c>
      <c r="E7" s="3">
        <v>64847300000</v>
      </c>
      <c r="J7">
        <f>3.5*0.1</f>
        <v>0.35000000000000003</v>
      </c>
      <c r="K7">
        <v>0</v>
      </c>
      <c r="L7" s="3">
        <v>-20480200000</v>
      </c>
      <c r="M7" s="3">
        <v>-35561600000000</v>
      </c>
      <c r="R7">
        <f>3.5*0.1</f>
        <v>0.35000000000000003</v>
      </c>
      <c r="S7">
        <v>0</v>
      </c>
      <c r="T7" s="3">
        <v>-70799900</v>
      </c>
      <c r="U7" s="3">
        <v>-124984000000</v>
      </c>
      <c r="Z7">
        <f>3.5*0.1</f>
        <v>0.35000000000000003</v>
      </c>
      <c r="AA7">
        <v>0</v>
      </c>
      <c r="AB7" s="3">
        <v>83206.2</v>
      </c>
      <c r="AC7" s="3">
        <v>107796000</v>
      </c>
      <c r="AH7">
        <f>3.5*0.1</f>
        <v>0.35000000000000003</v>
      </c>
      <c r="AI7">
        <v>0</v>
      </c>
      <c r="AJ7" s="3">
        <v>-26432.2</v>
      </c>
      <c r="AK7" s="3">
        <v>-82950100</v>
      </c>
      <c r="AP7">
        <f>3.5*0.1</f>
        <v>0.35000000000000003</v>
      </c>
      <c r="AQ7">
        <v>0</v>
      </c>
      <c r="AR7" s="3">
        <v>-1990620000</v>
      </c>
      <c r="AS7" s="3">
        <v>-3123860000000</v>
      </c>
      <c r="AX7">
        <f>3.5*0.1</f>
        <v>0.35000000000000003</v>
      </c>
      <c r="AY7">
        <v>0</v>
      </c>
      <c r="AZ7" s="3">
        <v>-97558700</v>
      </c>
      <c r="BA7" s="3">
        <v>-183278000000</v>
      </c>
    </row>
    <row r="8" spans="2:56" x14ac:dyDescent="0.2">
      <c r="B8">
        <f>B7+0.05</f>
        <v>0.4</v>
      </c>
      <c r="C8">
        <v>1</v>
      </c>
      <c r="D8" s="3">
        <v>38594500</v>
      </c>
      <c r="E8" s="3">
        <v>64847300000</v>
      </c>
      <c r="J8">
        <f>J7+0.05</f>
        <v>0.4</v>
      </c>
      <c r="K8">
        <v>1</v>
      </c>
      <c r="L8" s="3">
        <v>-20480200000</v>
      </c>
      <c r="M8" s="3">
        <v>-35561600000000</v>
      </c>
      <c r="R8">
        <f>R7+0.05</f>
        <v>0.4</v>
      </c>
      <c r="S8">
        <v>1</v>
      </c>
      <c r="T8" s="3">
        <v>-70799900</v>
      </c>
      <c r="U8" s="3">
        <v>-124984000000</v>
      </c>
      <c r="Z8">
        <f>Z7+0.05</f>
        <v>0.4</v>
      </c>
      <c r="AA8">
        <v>1</v>
      </c>
      <c r="AB8" s="3">
        <v>83206.2</v>
      </c>
      <c r="AC8" s="3">
        <v>107796000</v>
      </c>
      <c r="AH8">
        <f>AH7+0.05</f>
        <v>0.4</v>
      </c>
      <c r="AI8">
        <v>1</v>
      </c>
      <c r="AJ8" s="3">
        <v>-26432.2</v>
      </c>
      <c r="AK8" s="3">
        <v>-82950100</v>
      </c>
      <c r="AP8">
        <f>AP7+0.05</f>
        <v>0.4</v>
      </c>
      <c r="AQ8">
        <v>1</v>
      </c>
      <c r="AR8" s="3">
        <v>-1990620000</v>
      </c>
      <c r="AS8" s="3">
        <v>-3123860000000</v>
      </c>
      <c r="AX8">
        <f>AX7+0.05</f>
        <v>0.4</v>
      </c>
      <c r="AY8">
        <v>1</v>
      </c>
      <c r="AZ8" s="3">
        <v>-97558700</v>
      </c>
      <c r="BA8" s="3">
        <v>-183278000000</v>
      </c>
    </row>
    <row r="9" spans="2:56" x14ac:dyDescent="0.2">
      <c r="B9">
        <f t="shared" ref="B9:B72" si="0">B8+0.05</f>
        <v>0.45</v>
      </c>
      <c r="C9">
        <v>2</v>
      </c>
      <c r="D9" s="3">
        <v>20680500</v>
      </c>
      <c r="E9" s="3">
        <v>40657600000</v>
      </c>
      <c r="J9">
        <f t="shared" ref="J9:J72" si="1">J8+0.05</f>
        <v>0.45</v>
      </c>
      <c r="K9">
        <v>2</v>
      </c>
      <c r="L9" s="3">
        <v>-10757300000</v>
      </c>
      <c r="M9" s="3">
        <v>-21794300000000</v>
      </c>
      <c r="R9">
        <f t="shared" ref="R9:R72" si="2">R8+0.05</f>
        <v>0.45</v>
      </c>
      <c r="S9">
        <v>2</v>
      </c>
      <c r="T9" s="3">
        <v>-36782800</v>
      </c>
      <c r="U9" s="3">
        <v>-75818000000</v>
      </c>
      <c r="Z9">
        <f t="shared" ref="Z9:Z72" si="3">Z8+0.05</f>
        <v>0.45</v>
      </c>
      <c r="AA9">
        <v>2</v>
      </c>
      <c r="AB9" s="3">
        <v>51630</v>
      </c>
      <c r="AC9" s="3">
        <v>76999900</v>
      </c>
      <c r="AH9">
        <f t="shared" ref="AH9:AH72" si="4">AH8+0.05</f>
        <v>0.45</v>
      </c>
      <c r="AI9">
        <v>2</v>
      </c>
      <c r="AJ9" s="3">
        <v>-5905.38</v>
      </c>
      <c r="AK9" s="3">
        <v>-39763900</v>
      </c>
      <c r="AP9">
        <f t="shared" ref="AP9:AP72" si="5">AP8+0.05</f>
        <v>0.45</v>
      </c>
      <c r="AQ9">
        <v>2</v>
      </c>
      <c r="AR9" s="3">
        <v>-1113230000</v>
      </c>
      <c r="AS9" s="3">
        <v>-2033200000000</v>
      </c>
      <c r="AX9">
        <f t="shared" ref="AX9:AX72" si="6">AX8+0.05</f>
        <v>0.45</v>
      </c>
      <c r="AY9">
        <v>2</v>
      </c>
      <c r="AZ9" s="3">
        <v>-48648200</v>
      </c>
      <c r="BA9" s="3">
        <v>-106386000000</v>
      </c>
    </row>
    <row r="10" spans="2:56" x14ac:dyDescent="0.2">
      <c r="B10">
        <f t="shared" si="0"/>
        <v>0.5</v>
      </c>
      <c r="C10">
        <v>3</v>
      </c>
      <c r="D10" s="3">
        <v>10915300</v>
      </c>
      <c r="E10" s="3">
        <v>24736300000</v>
      </c>
      <c r="J10">
        <f t="shared" si="1"/>
        <v>0.5</v>
      </c>
      <c r="K10">
        <v>3</v>
      </c>
      <c r="L10" s="3">
        <v>-5573560000</v>
      </c>
      <c r="M10" s="3">
        <v>-12977300000000</v>
      </c>
      <c r="R10">
        <f t="shared" si="2"/>
        <v>0.5</v>
      </c>
      <c r="S10">
        <v>3</v>
      </c>
      <c r="T10" s="3">
        <v>-18835500</v>
      </c>
      <c r="U10" s="3">
        <v>-44660200000</v>
      </c>
      <c r="Z10">
        <f t="shared" si="3"/>
        <v>0.5</v>
      </c>
      <c r="AA10">
        <v>3</v>
      </c>
      <c r="AB10" s="3">
        <v>31931.9</v>
      </c>
      <c r="AC10" s="3">
        <v>53921400</v>
      </c>
      <c r="AH10">
        <f t="shared" si="4"/>
        <v>0.5</v>
      </c>
      <c r="AI10">
        <v>3</v>
      </c>
      <c r="AJ10" s="3">
        <v>2200.09</v>
      </c>
      <c r="AK10" s="3">
        <v>-15829400</v>
      </c>
      <c r="AP10">
        <f t="shared" si="5"/>
        <v>0.5</v>
      </c>
      <c r="AQ10">
        <v>3</v>
      </c>
      <c r="AR10" s="3">
        <v>-615872000</v>
      </c>
      <c r="AS10" s="3">
        <v>-1289220000000</v>
      </c>
      <c r="AX10">
        <f t="shared" si="6"/>
        <v>0.5</v>
      </c>
      <c r="AY10">
        <v>3</v>
      </c>
      <c r="AZ10" s="3">
        <v>-23947600</v>
      </c>
      <c r="BA10" s="3">
        <v>-60008400000</v>
      </c>
    </row>
    <row r="11" spans="2:56" x14ac:dyDescent="0.2">
      <c r="B11">
        <f t="shared" si="0"/>
        <v>0.55000000000000004</v>
      </c>
      <c r="C11">
        <v>4</v>
      </c>
      <c r="D11" s="3">
        <v>5669560</v>
      </c>
      <c r="E11" s="3">
        <v>14640800000</v>
      </c>
      <c r="J11">
        <f t="shared" si="1"/>
        <v>0.55000000000000004</v>
      </c>
      <c r="K11">
        <v>4</v>
      </c>
      <c r="L11" s="3">
        <v>-2846510000</v>
      </c>
      <c r="M11" s="3">
        <v>-7527760000000</v>
      </c>
      <c r="R11">
        <f t="shared" si="2"/>
        <v>0.55000000000000004</v>
      </c>
      <c r="S11">
        <v>4</v>
      </c>
      <c r="T11" s="3">
        <v>-9498140</v>
      </c>
      <c r="U11" s="3">
        <v>-25609200000</v>
      </c>
      <c r="Z11">
        <f t="shared" si="3"/>
        <v>0.55000000000000004</v>
      </c>
      <c r="AA11">
        <v>4</v>
      </c>
      <c r="AB11">
        <v>19691.8</v>
      </c>
      <c r="AC11" s="3">
        <v>37155600</v>
      </c>
      <c r="AH11">
        <f t="shared" si="4"/>
        <v>0.55000000000000004</v>
      </c>
      <c r="AI11">
        <v>4</v>
      </c>
      <c r="AJ11" s="3">
        <v>4654.41</v>
      </c>
      <c r="AK11" s="3">
        <v>-3546380</v>
      </c>
      <c r="AP11">
        <f t="shared" si="5"/>
        <v>0.55000000000000004</v>
      </c>
      <c r="AQ11">
        <v>4</v>
      </c>
      <c r="AR11" s="3">
        <v>-336903000</v>
      </c>
      <c r="AS11" s="3">
        <v>-798705000000</v>
      </c>
      <c r="AX11">
        <f t="shared" si="6"/>
        <v>0.55000000000000004</v>
      </c>
      <c r="AY11">
        <v>4</v>
      </c>
      <c r="AZ11" s="3">
        <v>-11634700</v>
      </c>
      <c r="BA11" s="3">
        <v>-32993800000</v>
      </c>
    </row>
    <row r="12" spans="2:56" x14ac:dyDescent="0.2">
      <c r="B12">
        <f t="shared" si="0"/>
        <v>0.60000000000000009</v>
      </c>
      <c r="C12">
        <v>5</v>
      </c>
      <c r="D12" s="3">
        <v>2894980</v>
      </c>
      <c r="E12" s="3">
        <v>8442300000</v>
      </c>
      <c r="J12">
        <f t="shared" si="1"/>
        <v>0.60000000000000009</v>
      </c>
      <c r="K12">
        <v>5</v>
      </c>
      <c r="L12" s="3">
        <v>-1431880000</v>
      </c>
      <c r="M12" s="3">
        <v>-4260880000000</v>
      </c>
      <c r="R12">
        <f t="shared" si="2"/>
        <v>0.60000000000000009</v>
      </c>
      <c r="S12">
        <v>5</v>
      </c>
      <c r="T12" s="3">
        <v>-4711680</v>
      </c>
      <c r="U12" s="3">
        <v>-14316600000</v>
      </c>
      <c r="Z12">
        <f t="shared" si="3"/>
        <v>0.60000000000000009</v>
      </c>
      <c r="AA12">
        <v>5</v>
      </c>
      <c r="AB12">
        <v>12112.7</v>
      </c>
      <c r="AC12" s="3">
        <v>25263300</v>
      </c>
      <c r="AH12">
        <f t="shared" si="4"/>
        <v>0.60000000000000009</v>
      </c>
      <c r="AI12">
        <v>5</v>
      </c>
      <c r="AJ12" s="3">
        <v>4745.37</v>
      </c>
      <c r="AK12" s="3">
        <v>2089730</v>
      </c>
      <c r="AP12">
        <f t="shared" si="5"/>
        <v>0.60000000000000009</v>
      </c>
      <c r="AQ12">
        <v>5</v>
      </c>
      <c r="AR12" s="3">
        <v>-182141000</v>
      </c>
      <c r="AS12" s="3">
        <v>-484374000000</v>
      </c>
      <c r="AX12">
        <f t="shared" si="6"/>
        <v>0.60000000000000009</v>
      </c>
      <c r="AY12">
        <v>5</v>
      </c>
      <c r="AZ12" s="3">
        <v>-5577480</v>
      </c>
      <c r="BA12" s="3">
        <v>-17720900000</v>
      </c>
    </row>
    <row r="13" spans="2:56" x14ac:dyDescent="0.2">
      <c r="B13">
        <f t="shared" si="0"/>
        <v>0.65000000000000013</v>
      </c>
      <c r="C13">
        <v>6</v>
      </c>
      <c r="D13" s="3">
        <v>1451430</v>
      </c>
      <c r="E13" s="3">
        <v>4746010000</v>
      </c>
      <c r="J13">
        <f t="shared" si="1"/>
        <v>0.65000000000000013</v>
      </c>
      <c r="K13">
        <v>6</v>
      </c>
      <c r="L13" s="3">
        <v>-708823000</v>
      </c>
      <c r="M13" s="3">
        <v>-2355600000000</v>
      </c>
      <c r="R13">
        <f t="shared" si="2"/>
        <v>0.65000000000000013</v>
      </c>
      <c r="S13">
        <v>6</v>
      </c>
      <c r="T13" s="3">
        <v>-2296480</v>
      </c>
      <c r="U13" s="3">
        <v>-7808510000</v>
      </c>
      <c r="Z13">
        <f t="shared" si="3"/>
        <v>0.65000000000000013</v>
      </c>
      <c r="AA13">
        <v>6</v>
      </c>
      <c r="AB13">
        <v>7434.25</v>
      </c>
      <c r="AC13" s="3">
        <v>16986300</v>
      </c>
      <c r="AH13">
        <f t="shared" si="4"/>
        <v>0.65000000000000013</v>
      </c>
      <c r="AI13">
        <v>6</v>
      </c>
      <c r="AJ13" s="3">
        <v>4003.72</v>
      </c>
      <c r="AK13" s="3">
        <v>4162430</v>
      </c>
      <c r="AP13">
        <f t="shared" si="5"/>
        <v>0.65000000000000013</v>
      </c>
      <c r="AQ13">
        <v>6</v>
      </c>
      <c r="AR13" s="3">
        <v>-97266400</v>
      </c>
      <c r="AS13" s="3">
        <v>-287906000000</v>
      </c>
      <c r="AX13">
        <f t="shared" si="6"/>
        <v>0.65000000000000013</v>
      </c>
      <c r="AY13">
        <v>6</v>
      </c>
      <c r="AZ13" s="3">
        <v>-2637490</v>
      </c>
      <c r="BA13" s="3">
        <v>-9312050000</v>
      </c>
    </row>
    <row r="14" spans="2:56" x14ac:dyDescent="0.2">
      <c r="B14">
        <f t="shared" si="0"/>
        <v>0.70000000000000018</v>
      </c>
      <c r="C14">
        <v>7</v>
      </c>
      <c r="D14" s="3">
        <v>713482</v>
      </c>
      <c r="E14" s="3">
        <v>2601450000</v>
      </c>
      <c r="J14">
        <f t="shared" si="1"/>
        <v>0.70000000000000018</v>
      </c>
      <c r="K14">
        <v>7</v>
      </c>
      <c r="L14" s="3">
        <v>-344983000</v>
      </c>
      <c r="M14" s="3">
        <v>-1272530000000</v>
      </c>
      <c r="R14">
        <f t="shared" si="2"/>
        <v>0.70000000000000018</v>
      </c>
      <c r="S14">
        <v>7</v>
      </c>
      <c r="T14" s="3">
        <v>-1098190</v>
      </c>
      <c r="U14" s="3">
        <v>-4155630000</v>
      </c>
      <c r="Z14">
        <f t="shared" si="3"/>
        <v>0.70000000000000018</v>
      </c>
      <c r="AA14">
        <v>7</v>
      </c>
      <c r="AB14">
        <v>4554.1099999999997</v>
      </c>
      <c r="AC14" s="3">
        <v>11313900</v>
      </c>
      <c r="AH14">
        <f t="shared" si="4"/>
        <v>0.70000000000000018</v>
      </c>
      <c r="AI14">
        <v>7</v>
      </c>
      <c r="AJ14" s="3">
        <v>3096.82</v>
      </c>
      <c r="AK14" s="3">
        <v>4469480</v>
      </c>
      <c r="AP14">
        <f t="shared" si="5"/>
        <v>0.70000000000000018</v>
      </c>
      <c r="AQ14">
        <v>7</v>
      </c>
      <c r="AR14" s="3">
        <v>-51275300</v>
      </c>
      <c r="AS14" s="3">
        <v>-167855000000</v>
      </c>
      <c r="AX14">
        <f t="shared" si="6"/>
        <v>0.70000000000000018</v>
      </c>
      <c r="AY14">
        <v>7</v>
      </c>
      <c r="AZ14" s="3">
        <v>-1229830</v>
      </c>
      <c r="BA14" s="3">
        <v>-4792860000</v>
      </c>
    </row>
    <row r="15" spans="2:56" x14ac:dyDescent="0.2">
      <c r="B15">
        <f t="shared" si="0"/>
        <v>0.75000000000000022</v>
      </c>
      <c r="C15">
        <v>8</v>
      </c>
      <c r="D15" s="3">
        <v>343310</v>
      </c>
      <c r="E15" s="3">
        <v>1389780000</v>
      </c>
      <c r="J15">
        <f t="shared" si="1"/>
        <v>0.75000000000000022</v>
      </c>
      <c r="K15">
        <v>8</v>
      </c>
      <c r="L15" s="3">
        <v>-164902000</v>
      </c>
      <c r="M15" s="3">
        <v>-671778000000</v>
      </c>
      <c r="R15">
        <f t="shared" si="2"/>
        <v>0.75000000000000022</v>
      </c>
      <c r="S15">
        <v>8</v>
      </c>
      <c r="T15">
        <v>-514348</v>
      </c>
      <c r="U15" s="3">
        <v>-2157170000</v>
      </c>
      <c r="Z15">
        <f t="shared" si="3"/>
        <v>0.75000000000000022</v>
      </c>
      <c r="AA15">
        <v>8</v>
      </c>
      <c r="AB15">
        <v>2785.08</v>
      </c>
      <c r="AC15" s="3">
        <v>7475520</v>
      </c>
      <c r="AH15">
        <f t="shared" si="4"/>
        <v>0.75000000000000022</v>
      </c>
      <c r="AI15">
        <v>8</v>
      </c>
      <c r="AJ15" s="3">
        <v>2282.4899999999998</v>
      </c>
      <c r="AK15" s="3">
        <v>4004430</v>
      </c>
      <c r="AP15">
        <f t="shared" si="5"/>
        <v>0.75000000000000022</v>
      </c>
      <c r="AQ15">
        <v>8</v>
      </c>
      <c r="AR15" s="3">
        <v>-26666100</v>
      </c>
      <c r="AS15" s="3">
        <v>-96032500000</v>
      </c>
      <c r="AX15">
        <f t="shared" si="6"/>
        <v>0.75000000000000022</v>
      </c>
      <c r="AY15">
        <v>8</v>
      </c>
      <c r="AZ15" s="3">
        <v>-565133</v>
      </c>
      <c r="BA15" s="3">
        <v>-2418080000</v>
      </c>
    </row>
    <row r="16" spans="2:56" x14ac:dyDescent="0.2">
      <c r="B16">
        <f t="shared" si="0"/>
        <v>0.80000000000000027</v>
      </c>
      <c r="C16">
        <v>9</v>
      </c>
      <c r="D16" s="3">
        <v>161378</v>
      </c>
      <c r="E16" s="3">
        <v>723010000</v>
      </c>
      <c r="J16">
        <f t="shared" si="1"/>
        <v>0.80000000000000027</v>
      </c>
      <c r="K16">
        <v>9</v>
      </c>
      <c r="L16" s="3">
        <v>-77322900</v>
      </c>
      <c r="M16" s="3">
        <v>-346464000000</v>
      </c>
      <c r="R16">
        <f t="shared" si="2"/>
        <v>0.80000000000000027</v>
      </c>
      <c r="S16">
        <v>9</v>
      </c>
      <c r="T16">
        <v>-235427</v>
      </c>
      <c r="U16" s="3">
        <v>-1091260000</v>
      </c>
      <c r="Z16">
        <f t="shared" si="3"/>
        <v>0.80000000000000027</v>
      </c>
      <c r="AA16">
        <v>9</v>
      </c>
      <c r="AB16">
        <v>1700.61</v>
      </c>
      <c r="AC16" s="3">
        <v>4905540</v>
      </c>
      <c r="AH16">
        <f t="shared" si="4"/>
        <v>0.80000000000000027</v>
      </c>
      <c r="AI16">
        <v>9</v>
      </c>
      <c r="AJ16" s="3">
        <v>1634.42</v>
      </c>
      <c r="AK16" s="3">
        <v>3283870</v>
      </c>
      <c r="AP16">
        <f t="shared" si="5"/>
        <v>0.80000000000000027</v>
      </c>
      <c r="AQ16">
        <v>9</v>
      </c>
      <c r="AR16" s="3">
        <v>-13671000</v>
      </c>
      <c r="AS16" s="3">
        <v>-53922800000</v>
      </c>
      <c r="AX16">
        <f t="shared" si="6"/>
        <v>0.80000000000000027</v>
      </c>
      <c r="AY16">
        <v>9</v>
      </c>
      <c r="AZ16">
        <v>-255679</v>
      </c>
      <c r="BA16" s="3">
        <v>-1196350000</v>
      </c>
    </row>
    <row r="17" spans="2:53" x14ac:dyDescent="0.2">
      <c r="B17">
        <f t="shared" si="0"/>
        <v>0.85000000000000031</v>
      </c>
      <c r="C17">
        <v>10</v>
      </c>
      <c r="D17" s="3">
        <v>73931.7</v>
      </c>
      <c r="E17" s="3">
        <v>365770000</v>
      </c>
      <c r="J17">
        <f t="shared" si="1"/>
        <v>0.85000000000000031</v>
      </c>
      <c r="K17">
        <v>10</v>
      </c>
      <c r="L17" s="3">
        <v>-35519200</v>
      </c>
      <c r="M17" s="3">
        <v>-174470000000</v>
      </c>
      <c r="R17">
        <f t="shared" si="2"/>
        <v>0.85000000000000031</v>
      </c>
      <c r="S17">
        <v>10</v>
      </c>
      <c r="T17">
        <v>-105013</v>
      </c>
      <c r="U17" s="3">
        <v>-537218000</v>
      </c>
      <c r="Z17">
        <f t="shared" si="3"/>
        <v>0.85000000000000031</v>
      </c>
      <c r="AA17">
        <v>10</v>
      </c>
      <c r="AB17">
        <v>1036.8800000000001</v>
      </c>
      <c r="AC17" s="3">
        <v>3199950</v>
      </c>
      <c r="AH17">
        <f t="shared" si="4"/>
        <v>0.85000000000000031</v>
      </c>
      <c r="AI17">
        <v>10</v>
      </c>
      <c r="AJ17" s="3">
        <v>1150.58</v>
      </c>
      <c r="AK17" s="3">
        <v>2554970</v>
      </c>
      <c r="AP17">
        <f t="shared" si="5"/>
        <v>0.85000000000000031</v>
      </c>
      <c r="AQ17">
        <v>10</v>
      </c>
      <c r="AR17" s="3">
        <v>-6903530</v>
      </c>
      <c r="AS17" s="3">
        <v>-29714400000</v>
      </c>
      <c r="AX17">
        <f t="shared" si="6"/>
        <v>0.85000000000000031</v>
      </c>
      <c r="AY17">
        <v>10</v>
      </c>
      <c r="AZ17">
        <v>-113706</v>
      </c>
      <c r="BA17" s="3">
        <v>-580469000</v>
      </c>
    </row>
    <row r="18" spans="2:53" x14ac:dyDescent="0.2">
      <c r="B18">
        <f t="shared" si="0"/>
        <v>0.90000000000000036</v>
      </c>
      <c r="C18">
        <v>11</v>
      </c>
      <c r="D18" s="3">
        <v>32916.699999999997</v>
      </c>
      <c r="E18" s="3">
        <v>179597000</v>
      </c>
      <c r="J18">
        <f t="shared" si="1"/>
        <v>0.90000000000000036</v>
      </c>
      <c r="K18">
        <v>11</v>
      </c>
      <c r="L18" s="3">
        <v>-15960000</v>
      </c>
      <c r="M18" s="3">
        <v>-85714000000</v>
      </c>
      <c r="R18">
        <f t="shared" si="2"/>
        <v>0.90000000000000036</v>
      </c>
      <c r="S18">
        <v>11</v>
      </c>
      <c r="T18">
        <v>-45472.7</v>
      </c>
      <c r="U18" s="3">
        <v>-256815000</v>
      </c>
      <c r="Z18">
        <f t="shared" si="3"/>
        <v>0.90000000000000036</v>
      </c>
      <c r="AA18">
        <v>11</v>
      </c>
      <c r="AB18">
        <v>631.23400000000004</v>
      </c>
      <c r="AC18" s="3">
        <v>2076410</v>
      </c>
      <c r="AH18">
        <f t="shared" si="4"/>
        <v>0.90000000000000036</v>
      </c>
      <c r="AI18">
        <v>11</v>
      </c>
      <c r="AJ18" s="3">
        <v>803.11800000000005</v>
      </c>
      <c r="AK18" s="3">
        <v>1920140</v>
      </c>
      <c r="AP18">
        <f t="shared" si="5"/>
        <v>0.90000000000000036</v>
      </c>
      <c r="AQ18">
        <v>11</v>
      </c>
      <c r="AR18" s="3">
        <v>-3430620</v>
      </c>
      <c r="AS18" s="3">
        <v>-16065100000</v>
      </c>
      <c r="AX18">
        <f t="shared" si="6"/>
        <v>0.90000000000000036</v>
      </c>
      <c r="AY18">
        <v>11</v>
      </c>
      <c r="AZ18">
        <v>-49570.3</v>
      </c>
      <c r="BA18" s="3">
        <v>-276053000</v>
      </c>
    </row>
    <row r="19" spans="2:53" x14ac:dyDescent="0.2">
      <c r="B19">
        <f t="shared" si="0"/>
        <v>0.9500000000000004</v>
      </c>
      <c r="C19">
        <v>12</v>
      </c>
      <c r="D19" s="3">
        <v>14195</v>
      </c>
      <c r="E19" s="3">
        <v>85367100</v>
      </c>
      <c r="J19">
        <f t="shared" si="1"/>
        <v>0.9500000000000004</v>
      </c>
      <c r="K19">
        <v>12</v>
      </c>
      <c r="L19" s="3">
        <v>-7002540</v>
      </c>
      <c r="M19" s="3">
        <v>-41035500000</v>
      </c>
      <c r="R19">
        <f t="shared" si="2"/>
        <v>0.9500000000000004</v>
      </c>
      <c r="S19">
        <v>12</v>
      </c>
      <c r="T19">
        <v>-19008.900000000001</v>
      </c>
      <c r="U19" s="3">
        <v>-118850000</v>
      </c>
      <c r="Z19">
        <f t="shared" si="3"/>
        <v>0.9500000000000004</v>
      </c>
      <c r="AA19">
        <v>12</v>
      </c>
      <c r="AB19">
        <v>383.64699999999999</v>
      </c>
      <c r="AC19" s="3">
        <v>1340950</v>
      </c>
      <c r="AH19">
        <f t="shared" si="4"/>
        <v>0.9500000000000004</v>
      </c>
      <c r="AI19">
        <v>12</v>
      </c>
      <c r="AJ19">
        <v>559.88300000000004</v>
      </c>
      <c r="AK19" s="3">
        <v>1408740</v>
      </c>
      <c r="AP19">
        <f t="shared" si="5"/>
        <v>0.9500000000000004</v>
      </c>
      <c r="AQ19">
        <v>12</v>
      </c>
      <c r="AR19" s="3">
        <v>-1675840</v>
      </c>
      <c r="AS19" s="3">
        <v>-8517560000</v>
      </c>
      <c r="AX19">
        <f t="shared" si="6"/>
        <v>0.9500000000000004</v>
      </c>
      <c r="AY19">
        <v>12</v>
      </c>
      <c r="AZ19">
        <v>-21081.1</v>
      </c>
      <c r="BA19" s="3">
        <v>-128489000</v>
      </c>
    </row>
    <row r="20" spans="2:53" x14ac:dyDescent="0.2">
      <c r="B20">
        <f t="shared" si="0"/>
        <v>1.0000000000000004</v>
      </c>
      <c r="C20">
        <v>13</v>
      </c>
      <c r="D20" s="3">
        <v>5906.01</v>
      </c>
      <c r="E20" s="3">
        <v>39147800</v>
      </c>
      <c r="J20">
        <f t="shared" si="1"/>
        <v>1.0000000000000004</v>
      </c>
      <c r="K20">
        <v>13</v>
      </c>
      <c r="L20" s="3">
        <v>-2994030</v>
      </c>
      <c r="M20" s="3">
        <v>-19117100000</v>
      </c>
      <c r="R20">
        <f t="shared" si="2"/>
        <v>1.0000000000000004</v>
      </c>
      <c r="S20">
        <v>13</v>
      </c>
      <c r="T20">
        <v>-7604.6</v>
      </c>
      <c r="U20" s="3">
        <v>-53002300</v>
      </c>
      <c r="Z20">
        <f t="shared" si="3"/>
        <v>1.0000000000000004</v>
      </c>
      <c r="AA20">
        <v>13</v>
      </c>
      <c r="AB20">
        <v>232.72900000000001</v>
      </c>
      <c r="AC20">
        <v>862154</v>
      </c>
      <c r="AH20">
        <f t="shared" si="4"/>
        <v>1.0000000000000004</v>
      </c>
      <c r="AI20">
        <v>13</v>
      </c>
      <c r="AJ20">
        <v>392.50400000000002</v>
      </c>
      <c r="AK20" s="3">
        <v>1016390</v>
      </c>
      <c r="AP20">
        <f t="shared" si="5"/>
        <v>1.0000000000000004</v>
      </c>
      <c r="AQ20">
        <v>13</v>
      </c>
      <c r="AR20" s="3">
        <v>-803711</v>
      </c>
      <c r="AS20" s="3">
        <v>-4425550000</v>
      </c>
      <c r="AX20">
        <f t="shared" si="6"/>
        <v>1.0000000000000004</v>
      </c>
      <c r="AY20">
        <v>13</v>
      </c>
      <c r="AZ20">
        <v>-8668.1200000000008</v>
      </c>
      <c r="BA20" s="3">
        <v>-58356900</v>
      </c>
    </row>
    <row r="21" spans="2:53" x14ac:dyDescent="0.2">
      <c r="B21">
        <f t="shared" si="0"/>
        <v>1.0500000000000005</v>
      </c>
      <c r="C21">
        <v>14</v>
      </c>
      <c r="D21" s="3">
        <v>2360.88</v>
      </c>
      <c r="E21" s="3">
        <v>17244600</v>
      </c>
      <c r="J21">
        <f t="shared" si="1"/>
        <v>1.0500000000000005</v>
      </c>
      <c r="K21">
        <v>14</v>
      </c>
      <c r="L21" s="3">
        <v>-1244520</v>
      </c>
      <c r="M21" s="3">
        <v>-8650870000</v>
      </c>
      <c r="R21">
        <f t="shared" si="2"/>
        <v>1.0500000000000005</v>
      </c>
      <c r="S21">
        <v>14</v>
      </c>
      <c r="T21">
        <v>-2867.22</v>
      </c>
      <c r="U21" s="3">
        <v>-22617200</v>
      </c>
      <c r="Z21">
        <f t="shared" si="3"/>
        <v>1.0500000000000005</v>
      </c>
      <c r="AA21">
        <v>14</v>
      </c>
      <c r="AB21">
        <v>140.86500000000001</v>
      </c>
      <c r="AC21">
        <v>551972</v>
      </c>
      <c r="AH21">
        <f t="shared" si="4"/>
        <v>1.0500000000000005</v>
      </c>
      <c r="AI21">
        <v>14</v>
      </c>
      <c r="AJ21">
        <v>278.57100000000003</v>
      </c>
      <c r="AK21" s="3">
        <v>725560</v>
      </c>
      <c r="AP21">
        <f t="shared" si="5"/>
        <v>1.0500000000000005</v>
      </c>
      <c r="AQ21">
        <v>14</v>
      </c>
      <c r="AR21" s="3">
        <v>-377832</v>
      </c>
      <c r="AS21" s="3">
        <v>-2251330000</v>
      </c>
      <c r="AX21">
        <f t="shared" si="6"/>
        <v>1.0500000000000005</v>
      </c>
      <c r="AY21">
        <v>14</v>
      </c>
      <c r="AZ21">
        <v>-3386.5</v>
      </c>
      <c r="BA21" s="3">
        <v>-25712300</v>
      </c>
    </row>
    <row r="22" spans="2:53" x14ac:dyDescent="0.2">
      <c r="B22">
        <f t="shared" si="0"/>
        <v>1.1000000000000005</v>
      </c>
      <c r="C22">
        <v>15</v>
      </c>
      <c r="D22" s="3">
        <v>903.66600000000005</v>
      </c>
      <c r="E22" s="3">
        <v>7257130</v>
      </c>
      <c r="J22">
        <f t="shared" si="1"/>
        <v>1.1000000000000005</v>
      </c>
      <c r="K22">
        <v>15</v>
      </c>
      <c r="L22">
        <v>-501492</v>
      </c>
      <c r="M22" s="3">
        <v>-3794120000</v>
      </c>
      <c r="R22">
        <f t="shared" si="2"/>
        <v>1.1000000000000005</v>
      </c>
      <c r="S22">
        <v>15</v>
      </c>
      <c r="T22">
        <v>-987.35900000000004</v>
      </c>
      <c r="U22" s="3">
        <v>-9126110</v>
      </c>
      <c r="Z22">
        <f t="shared" si="3"/>
        <v>1.1000000000000005</v>
      </c>
      <c r="AA22">
        <v>15</v>
      </c>
      <c r="AB22">
        <v>85.033100000000005</v>
      </c>
      <c r="AC22">
        <v>351941</v>
      </c>
      <c r="AH22">
        <f t="shared" si="4"/>
        <v>1.1000000000000005</v>
      </c>
      <c r="AI22">
        <v>15</v>
      </c>
      <c r="AJ22">
        <v>201.417</v>
      </c>
      <c r="AK22" s="3">
        <v>515638</v>
      </c>
      <c r="AP22">
        <f t="shared" si="5"/>
        <v>1.1000000000000005</v>
      </c>
      <c r="AQ22">
        <v>15</v>
      </c>
      <c r="AR22">
        <v>-173774</v>
      </c>
      <c r="AS22" s="3">
        <v>-1119960000</v>
      </c>
      <c r="AX22">
        <f t="shared" si="6"/>
        <v>1.1000000000000005</v>
      </c>
      <c r="AY22">
        <v>15</v>
      </c>
      <c r="AZ22">
        <v>-1209.5899999999999</v>
      </c>
      <c r="BA22" s="3">
        <v>-10866800</v>
      </c>
    </row>
    <row r="23" spans="2:53" x14ac:dyDescent="0.2">
      <c r="B23">
        <f t="shared" si="0"/>
        <v>1.1500000000000006</v>
      </c>
      <c r="C23">
        <v>16</v>
      </c>
      <c r="D23" s="3">
        <v>331.45</v>
      </c>
      <c r="E23" s="3">
        <v>2899540</v>
      </c>
      <c r="J23">
        <f t="shared" si="1"/>
        <v>1.1500000000000006</v>
      </c>
      <c r="K23">
        <v>16</v>
      </c>
      <c r="L23">
        <v>-195228</v>
      </c>
      <c r="M23" s="3">
        <v>-1608360000</v>
      </c>
      <c r="R23">
        <f t="shared" si="2"/>
        <v>1.1500000000000006</v>
      </c>
      <c r="S23">
        <v>16</v>
      </c>
      <c r="T23">
        <v>-285.79899999999998</v>
      </c>
      <c r="U23" s="3">
        <v>-3405140</v>
      </c>
      <c r="Z23">
        <f t="shared" si="3"/>
        <v>1.1500000000000006</v>
      </c>
      <c r="AA23">
        <v>16</v>
      </c>
      <c r="AB23">
        <v>51.154699999999998</v>
      </c>
      <c r="AC23">
        <v>223527</v>
      </c>
      <c r="AH23">
        <f t="shared" si="4"/>
        <v>1.1500000000000006</v>
      </c>
      <c r="AI23">
        <v>16</v>
      </c>
      <c r="AJ23">
        <v>149.10900000000001</v>
      </c>
      <c r="AK23" s="3">
        <v>367415</v>
      </c>
      <c r="AP23">
        <f t="shared" si="5"/>
        <v>1.1500000000000006</v>
      </c>
      <c r="AQ23">
        <v>16</v>
      </c>
      <c r="AR23">
        <v>-77992.2</v>
      </c>
      <c r="AS23" s="3">
        <v>-543957000</v>
      </c>
      <c r="AX23">
        <f t="shared" si="6"/>
        <v>1.1500000000000006</v>
      </c>
      <c r="AY23">
        <v>16</v>
      </c>
      <c r="AZ23">
        <v>-353.98200000000003</v>
      </c>
      <c r="BA23" s="3">
        <v>-4303500</v>
      </c>
    </row>
    <row r="24" spans="2:53" x14ac:dyDescent="0.2">
      <c r="B24">
        <f t="shared" si="0"/>
        <v>1.2000000000000006</v>
      </c>
      <c r="C24">
        <v>17</v>
      </c>
      <c r="D24" s="3">
        <v>118.131</v>
      </c>
      <c r="E24" s="3">
        <v>1094130</v>
      </c>
      <c r="J24">
        <f t="shared" si="1"/>
        <v>1.2000000000000006</v>
      </c>
      <c r="K24">
        <v>17</v>
      </c>
      <c r="L24">
        <v>-73107.399999999994</v>
      </c>
      <c r="M24" s="3">
        <v>-656736000</v>
      </c>
      <c r="R24">
        <f t="shared" si="2"/>
        <v>1.2000000000000006</v>
      </c>
      <c r="S24">
        <v>17</v>
      </c>
      <c r="T24">
        <v>-47.149000000000001</v>
      </c>
      <c r="U24" s="3">
        <v>-1116520</v>
      </c>
      <c r="Z24">
        <f t="shared" si="3"/>
        <v>1.2000000000000006</v>
      </c>
      <c r="AA24">
        <v>17</v>
      </c>
      <c r="AB24">
        <v>30.6296</v>
      </c>
      <c r="AC24">
        <v>141475</v>
      </c>
      <c r="AH24">
        <f t="shared" si="4"/>
        <v>1.2000000000000006</v>
      </c>
      <c r="AI24">
        <v>17</v>
      </c>
      <c r="AJ24">
        <v>113.33799999999999</v>
      </c>
      <c r="AK24" s="3">
        <v>264717</v>
      </c>
      <c r="AP24">
        <f t="shared" si="5"/>
        <v>1.2000000000000006</v>
      </c>
      <c r="AQ24">
        <v>17</v>
      </c>
      <c r="AR24">
        <v>-34039.199999999997</v>
      </c>
      <c r="AS24" s="3">
        <v>-257387000</v>
      </c>
      <c r="AX24">
        <f t="shared" si="6"/>
        <v>1.2000000000000006</v>
      </c>
      <c r="AY24">
        <v>17</v>
      </c>
      <c r="AZ24">
        <v>-43.994900000000001</v>
      </c>
      <c r="BA24" s="3">
        <v>-1509740</v>
      </c>
    </row>
    <row r="25" spans="2:53" x14ac:dyDescent="0.2">
      <c r="B25">
        <f t="shared" si="0"/>
        <v>1.2500000000000007</v>
      </c>
      <c r="C25">
        <v>18</v>
      </c>
      <c r="D25" s="3">
        <v>42.8566</v>
      </c>
      <c r="E25" s="3">
        <v>391106</v>
      </c>
      <c r="J25">
        <f t="shared" si="1"/>
        <v>1.2500000000000007</v>
      </c>
      <c r="K25">
        <v>18</v>
      </c>
      <c r="L25">
        <v>-26186.2</v>
      </c>
      <c r="M25" s="3">
        <v>-257185000</v>
      </c>
      <c r="R25">
        <f t="shared" si="2"/>
        <v>1.2500000000000007</v>
      </c>
      <c r="S25">
        <v>18</v>
      </c>
      <c r="T25">
        <v>21.125699999999998</v>
      </c>
      <c r="U25">
        <v>-272406</v>
      </c>
      <c r="Z25">
        <f t="shared" si="3"/>
        <v>1.2500000000000007</v>
      </c>
      <c r="AA25">
        <v>18</v>
      </c>
      <c r="AB25">
        <v>18.208600000000001</v>
      </c>
      <c r="AC25">
        <v>89312.8</v>
      </c>
      <c r="AH25">
        <f t="shared" si="4"/>
        <v>1.2500000000000007</v>
      </c>
      <c r="AI25">
        <v>18</v>
      </c>
      <c r="AJ25">
        <v>88.444999999999993</v>
      </c>
      <c r="AK25" s="3">
        <v>194680</v>
      </c>
      <c r="AP25">
        <f t="shared" si="5"/>
        <v>1.2500000000000007</v>
      </c>
      <c r="AQ25">
        <v>18</v>
      </c>
      <c r="AR25">
        <v>-14373.2</v>
      </c>
      <c r="AS25" s="3">
        <v>-118297000</v>
      </c>
      <c r="AX25">
        <f t="shared" si="6"/>
        <v>1.2500000000000007</v>
      </c>
      <c r="AY25">
        <v>18</v>
      </c>
      <c r="AZ25">
        <v>50.511000000000003</v>
      </c>
      <c r="BA25" s="3">
        <v>-387287</v>
      </c>
    </row>
    <row r="26" spans="2:53" x14ac:dyDescent="0.2">
      <c r="B26">
        <f t="shared" si="0"/>
        <v>1.3000000000000007</v>
      </c>
      <c r="C26">
        <v>19</v>
      </c>
      <c r="D26" s="3">
        <v>17.3858</v>
      </c>
      <c r="E26" s="3">
        <v>137197</v>
      </c>
      <c r="J26">
        <f t="shared" si="1"/>
        <v>1.3000000000000007</v>
      </c>
      <c r="K26">
        <v>19</v>
      </c>
      <c r="L26">
        <v>-8900.9599999999991</v>
      </c>
      <c r="M26" s="3">
        <v>-96046200</v>
      </c>
      <c r="R26">
        <f t="shared" si="2"/>
        <v>1.3000000000000007</v>
      </c>
      <c r="S26">
        <v>19</v>
      </c>
      <c r="T26">
        <v>32.603499999999997</v>
      </c>
      <c r="U26">
        <v>255.565</v>
      </c>
      <c r="Z26">
        <f t="shared" si="3"/>
        <v>1.3000000000000007</v>
      </c>
      <c r="AA26">
        <v>19</v>
      </c>
      <c r="AB26">
        <v>10.6921</v>
      </c>
      <c r="AC26">
        <v>56338.9</v>
      </c>
      <c r="AH26">
        <f t="shared" si="4"/>
        <v>1.3000000000000007</v>
      </c>
      <c r="AI26">
        <v>19</v>
      </c>
      <c r="AJ26">
        <v>70.651499999999999</v>
      </c>
      <c r="AK26" s="3">
        <v>147462</v>
      </c>
      <c r="AP26">
        <f t="shared" si="5"/>
        <v>1.3000000000000007</v>
      </c>
      <c r="AQ26">
        <v>19</v>
      </c>
      <c r="AR26">
        <v>-5824.93</v>
      </c>
      <c r="AS26" s="3">
        <v>-52583000</v>
      </c>
      <c r="AX26">
        <f t="shared" si="6"/>
        <v>1.3000000000000007</v>
      </c>
      <c r="AY26">
        <v>19</v>
      </c>
      <c r="AZ26">
        <v>66.101399999999998</v>
      </c>
      <c r="BA26">
        <v>19190.599999999999</v>
      </c>
    </row>
    <row r="27" spans="2:53" x14ac:dyDescent="0.2">
      <c r="B27">
        <f t="shared" si="0"/>
        <v>1.3500000000000008</v>
      </c>
      <c r="C27">
        <v>20</v>
      </c>
      <c r="D27" s="3">
        <v>8.5629299999999997</v>
      </c>
      <c r="E27" s="3">
        <v>53243</v>
      </c>
      <c r="J27">
        <f t="shared" si="1"/>
        <v>1.3500000000000008</v>
      </c>
      <c r="K27">
        <v>20</v>
      </c>
      <c r="L27">
        <v>-2835.42</v>
      </c>
      <c r="M27" s="3">
        <v>-33942000</v>
      </c>
      <c r="R27">
        <f t="shared" si="2"/>
        <v>1.3500000000000008</v>
      </c>
      <c r="S27">
        <v>20</v>
      </c>
      <c r="T27">
        <v>28.366599999999998</v>
      </c>
      <c r="U27">
        <v>65723.7</v>
      </c>
      <c r="Z27">
        <f t="shared" si="3"/>
        <v>1.3500000000000008</v>
      </c>
      <c r="AA27">
        <v>20</v>
      </c>
      <c r="AB27">
        <v>6.1334400000000002</v>
      </c>
      <c r="AC27">
        <v>35625</v>
      </c>
      <c r="AH27">
        <f t="shared" si="4"/>
        <v>1.3500000000000008</v>
      </c>
      <c r="AI27">
        <v>20</v>
      </c>
      <c r="AJ27">
        <v>57.485700000000001</v>
      </c>
      <c r="AK27" s="3">
        <v>115756</v>
      </c>
      <c r="AP27">
        <f t="shared" si="5"/>
        <v>1.3500000000000008</v>
      </c>
      <c r="AQ27">
        <v>20</v>
      </c>
      <c r="AR27">
        <v>-2234.41</v>
      </c>
      <c r="AS27" s="3">
        <v>-22454300</v>
      </c>
      <c r="AX27">
        <f t="shared" si="6"/>
        <v>1.3500000000000008</v>
      </c>
      <c r="AY27">
        <v>20</v>
      </c>
      <c r="AZ27">
        <v>56.965899999999998</v>
      </c>
      <c r="BA27">
        <v>134243</v>
      </c>
    </row>
    <row r="28" spans="2:53" x14ac:dyDescent="0.2">
      <c r="B28">
        <f t="shared" si="0"/>
        <v>1.4000000000000008</v>
      </c>
      <c r="C28">
        <v>21</v>
      </c>
      <c r="D28" s="3">
        <v>4.8803000000000001</v>
      </c>
      <c r="E28" s="3">
        <v>27592.400000000001</v>
      </c>
      <c r="J28">
        <f t="shared" si="1"/>
        <v>1.4000000000000008</v>
      </c>
      <c r="K28">
        <v>21</v>
      </c>
      <c r="L28">
        <v>-826.24099999999999</v>
      </c>
      <c r="M28" s="3">
        <v>-11222500</v>
      </c>
      <c r="R28">
        <f t="shared" si="2"/>
        <v>1.4000000000000008</v>
      </c>
      <c r="S28">
        <v>21</v>
      </c>
      <c r="T28">
        <v>21.729299999999999</v>
      </c>
      <c r="U28">
        <v>66205.2</v>
      </c>
      <c r="Z28">
        <f t="shared" si="3"/>
        <v>1.4000000000000008</v>
      </c>
      <c r="AA28">
        <v>21</v>
      </c>
      <c r="AB28">
        <v>3.3514400000000002</v>
      </c>
      <c r="AC28">
        <v>22701.8</v>
      </c>
      <c r="AH28">
        <f t="shared" si="4"/>
        <v>1.4000000000000008</v>
      </c>
      <c r="AI28">
        <v>21</v>
      </c>
      <c r="AJ28">
        <v>47.362699999999997</v>
      </c>
      <c r="AK28" s="3">
        <v>94283.4</v>
      </c>
      <c r="AP28">
        <f t="shared" si="5"/>
        <v>1.4000000000000008</v>
      </c>
      <c r="AQ28">
        <v>21</v>
      </c>
      <c r="AR28">
        <v>-789.27200000000005</v>
      </c>
      <c r="AS28" s="3">
        <v>-9109350</v>
      </c>
      <c r="AX28">
        <f t="shared" si="6"/>
        <v>1.4000000000000008</v>
      </c>
      <c r="AY28">
        <v>21</v>
      </c>
      <c r="AZ28">
        <v>43.162999999999997</v>
      </c>
      <c r="BA28">
        <v>140764</v>
      </c>
    </row>
    <row r="29" spans="2:53" x14ac:dyDescent="0.2">
      <c r="B29">
        <f t="shared" si="0"/>
        <v>1.4500000000000008</v>
      </c>
      <c r="C29">
        <v>22</v>
      </c>
      <c r="D29" s="3">
        <v>2.7469299999999999</v>
      </c>
      <c r="E29" s="3">
        <v>19361.599999999999</v>
      </c>
      <c r="J29">
        <f t="shared" si="1"/>
        <v>1.4500000000000008</v>
      </c>
      <c r="K29">
        <v>22</v>
      </c>
      <c r="L29">
        <v>-206.63200000000001</v>
      </c>
      <c r="M29" s="3">
        <v>-3406490</v>
      </c>
      <c r="R29">
        <f t="shared" si="2"/>
        <v>1.4500000000000008</v>
      </c>
      <c r="S29">
        <v>22</v>
      </c>
      <c r="T29">
        <v>16.169599999999999</v>
      </c>
      <c r="U29">
        <v>52163.199999999997</v>
      </c>
      <c r="Z29">
        <f t="shared" si="3"/>
        <v>1.4500000000000008</v>
      </c>
      <c r="AA29">
        <v>22</v>
      </c>
      <c r="AB29">
        <v>1.6320699999999999</v>
      </c>
      <c r="AC29">
        <v>14697.6</v>
      </c>
      <c r="AH29">
        <f t="shared" si="4"/>
        <v>1.4500000000000008</v>
      </c>
      <c r="AI29">
        <v>22</v>
      </c>
      <c r="AJ29">
        <v>39.287199999999999</v>
      </c>
      <c r="AK29">
        <v>79343.899999999994</v>
      </c>
      <c r="AP29">
        <f t="shared" si="5"/>
        <v>1.4500000000000008</v>
      </c>
      <c r="AQ29">
        <v>22</v>
      </c>
      <c r="AR29">
        <v>-239.97900000000001</v>
      </c>
      <c r="AS29" s="3">
        <v>-3438020</v>
      </c>
      <c r="AX29">
        <f t="shared" si="6"/>
        <v>1.4500000000000008</v>
      </c>
      <c r="AY29">
        <v>22</v>
      </c>
      <c r="AZ29">
        <v>31.1447</v>
      </c>
      <c r="BA29">
        <v>114076</v>
      </c>
    </row>
    <row r="30" spans="2:53" x14ac:dyDescent="0.2">
      <c r="B30">
        <f t="shared" si="0"/>
        <v>1.5000000000000009</v>
      </c>
      <c r="C30">
        <v>23</v>
      </c>
      <c r="D30" s="3">
        <v>1.1917599999999999</v>
      </c>
      <c r="E30" s="3">
        <v>15394.5</v>
      </c>
      <c r="J30">
        <f t="shared" si="1"/>
        <v>1.5000000000000009</v>
      </c>
      <c r="K30">
        <v>23</v>
      </c>
      <c r="L30">
        <v>-33.128300000000003</v>
      </c>
      <c r="M30">
        <v>-912296</v>
      </c>
      <c r="R30">
        <f t="shared" si="2"/>
        <v>1.5000000000000009</v>
      </c>
      <c r="S30">
        <v>23</v>
      </c>
      <c r="T30">
        <v>12.091100000000001</v>
      </c>
      <c r="U30">
        <v>38785</v>
      </c>
      <c r="Z30">
        <f t="shared" si="3"/>
        <v>1.5000000000000009</v>
      </c>
      <c r="AA30">
        <v>23</v>
      </c>
      <c r="AB30">
        <v>0.54569900000000005</v>
      </c>
      <c r="AC30">
        <v>9775.2900000000009</v>
      </c>
      <c r="AH30">
        <f t="shared" si="4"/>
        <v>1.5000000000000009</v>
      </c>
      <c r="AI30">
        <v>23</v>
      </c>
      <c r="AJ30">
        <v>32.646599999999999</v>
      </c>
      <c r="AK30">
        <v>68428.7</v>
      </c>
      <c r="AP30">
        <f t="shared" si="5"/>
        <v>1.5000000000000009</v>
      </c>
      <c r="AQ30">
        <v>23</v>
      </c>
      <c r="AR30">
        <v>-48.463799999999999</v>
      </c>
      <c r="AS30" s="3">
        <v>-1151970</v>
      </c>
      <c r="AX30">
        <f t="shared" si="6"/>
        <v>1.5000000000000009</v>
      </c>
      <c r="AY30">
        <v>23</v>
      </c>
      <c r="AZ30">
        <v>22.273599999999998</v>
      </c>
      <c r="BA30">
        <v>82940.3</v>
      </c>
    </row>
    <row r="31" spans="2:53" x14ac:dyDescent="0.2">
      <c r="B31">
        <f t="shared" si="0"/>
        <v>1.5500000000000009</v>
      </c>
      <c r="C31">
        <v>24</v>
      </c>
      <c r="D31" s="3">
        <v>-1.20997E-2</v>
      </c>
      <c r="E31" s="3">
        <v>12300.8</v>
      </c>
      <c r="J31">
        <f t="shared" si="1"/>
        <v>1.5500000000000009</v>
      </c>
      <c r="K31">
        <v>24</v>
      </c>
      <c r="L31">
        <v>8.3907399999999992</v>
      </c>
      <c r="M31">
        <v>-190195</v>
      </c>
      <c r="R31">
        <f t="shared" si="2"/>
        <v>1.5500000000000009</v>
      </c>
      <c r="S31">
        <v>24</v>
      </c>
      <c r="T31">
        <v>9.1608499999999999</v>
      </c>
      <c r="U31">
        <v>29058.799999999999</v>
      </c>
      <c r="Z31">
        <f t="shared" si="3"/>
        <v>1.5500000000000009</v>
      </c>
      <c r="AA31">
        <v>24</v>
      </c>
      <c r="AB31">
        <v>-0.164633</v>
      </c>
      <c r="AC31">
        <v>6766.91</v>
      </c>
      <c r="AH31">
        <f t="shared" si="4"/>
        <v>1.5500000000000009</v>
      </c>
      <c r="AI31">
        <v>24</v>
      </c>
      <c r="AJ31">
        <v>27.068899999999999</v>
      </c>
      <c r="AK31">
        <v>59909</v>
      </c>
      <c r="AP31">
        <f t="shared" si="5"/>
        <v>1.5500000000000009</v>
      </c>
      <c r="AQ31">
        <v>24</v>
      </c>
      <c r="AR31">
        <v>8.4970599999999994</v>
      </c>
      <c r="AS31">
        <v>-296598</v>
      </c>
      <c r="AX31">
        <f t="shared" si="6"/>
        <v>1.5500000000000009</v>
      </c>
      <c r="AY31">
        <v>24</v>
      </c>
      <c r="AZ31">
        <v>16.232500000000002</v>
      </c>
      <c r="BA31">
        <v>56740.4</v>
      </c>
    </row>
    <row r="32" spans="2:53" x14ac:dyDescent="0.2">
      <c r="B32">
        <f t="shared" si="0"/>
        <v>1.600000000000001</v>
      </c>
      <c r="C32">
        <v>25</v>
      </c>
      <c r="D32" s="3">
        <v>-0.931504</v>
      </c>
      <c r="E32" s="3">
        <v>9578.64</v>
      </c>
      <c r="J32">
        <f t="shared" si="1"/>
        <v>1.600000000000001</v>
      </c>
      <c r="K32">
        <v>25</v>
      </c>
      <c r="L32">
        <v>14.9679</v>
      </c>
      <c r="M32">
        <v>-8566.09</v>
      </c>
      <c r="R32">
        <f t="shared" si="2"/>
        <v>1.600000000000001</v>
      </c>
      <c r="S32">
        <v>25</v>
      </c>
      <c r="T32">
        <v>7.0065</v>
      </c>
      <c r="U32">
        <v>22492.2</v>
      </c>
      <c r="Z32">
        <f t="shared" si="3"/>
        <v>1.600000000000001</v>
      </c>
      <c r="AA32">
        <v>25</v>
      </c>
      <c r="AB32">
        <v>-0.65156999999999998</v>
      </c>
      <c r="AC32">
        <v>4935.28</v>
      </c>
      <c r="AH32">
        <f t="shared" si="4"/>
        <v>1.600000000000001</v>
      </c>
      <c r="AI32">
        <v>25</v>
      </c>
      <c r="AJ32">
        <v>22.328099999999999</v>
      </c>
      <c r="AK32">
        <v>52785.8</v>
      </c>
      <c r="AP32">
        <f t="shared" si="5"/>
        <v>1.600000000000001</v>
      </c>
      <c r="AQ32">
        <v>25</v>
      </c>
      <c r="AR32">
        <v>19.273399999999999</v>
      </c>
      <c r="AS32">
        <v>-13481.3</v>
      </c>
      <c r="AX32">
        <f t="shared" si="6"/>
        <v>1.600000000000001</v>
      </c>
      <c r="AY32">
        <v>25</v>
      </c>
      <c r="AZ32">
        <v>12.313599999999999</v>
      </c>
      <c r="BA32">
        <v>37298.6</v>
      </c>
    </row>
    <row r="33" spans="2:53" x14ac:dyDescent="0.2">
      <c r="B33">
        <f t="shared" si="0"/>
        <v>1.650000000000001</v>
      </c>
      <c r="C33">
        <v>26</v>
      </c>
      <c r="D33" s="3">
        <v>-1.6171</v>
      </c>
      <c r="E33" s="3">
        <v>7302.23</v>
      </c>
      <c r="J33">
        <f t="shared" si="1"/>
        <v>1.650000000000001</v>
      </c>
      <c r="K33">
        <v>26</v>
      </c>
      <c r="L33">
        <v>13.8048</v>
      </c>
      <c r="M33">
        <v>26611.8</v>
      </c>
      <c r="R33">
        <f t="shared" si="2"/>
        <v>1.650000000000001</v>
      </c>
      <c r="S33">
        <v>26</v>
      </c>
      <c r="T33">
        <v>5.3638500000000002</v>
      </c>
      <c r="U33">
        <v>18036.7</v>
      </c>
      <c r="Z33">
        <f t="shared" si="3"/>
        <v>1.650000000000001</v>
      </c>
      <c r="AA33">
        <v>26</v>
      </c>
      <c r="AB33">
        <v>-1.00512</v>
      </c>
      <c r="AC33">
        <v>3819.67</v>
      </c>
      <c r="AH33">
        <f t="shared" si="4"/>
        <v>1.650000000000001</v>
      </c>
      <c r="AI33">
        <v>26</v>
      </c>
      <c r="AJ33">
        <v>18.282399999999999</v>
      </c>
      <c r="AK33">
        <v>46494.3</v>
      </c>
      <c r="AP33">
        <f t="shared" si="5"/>
        <v>1.650000000000001</v>
      </c>
      <c r="AQ33">
        <v>26</v>
      </c>
      <c r="AR33">
        <v>16.690999999999999</v>
      </c>
      <c r="AS33">
        <v>57859.5</v>
      </c>
      <c r="AX33">
        <f t="shared" si="6"/>
        <v>1.650000000000001</v>
      </c>
      <c r="AY33">
        <v>26</v>
      </c>
      <c r="AZ33">
        <v>9.8535799999999991</v>
      </c>
      <c r="BA33">
        <v>23834.400000000001</v>
      </c>
    </row>
    <row r="34" spans="2:53" x14ac:dyDescent="0.2">
      <c r="B34">
        <f t="shared" si="0"/>
        <v>1.7000000000000011</v>
      </c>
      <c r="C34">
        <v>27</v>
      </c>
      <c r="D34" s="3">
        <v>-2.12093</v>
      </c>
      <c r="E34" s="3">
        <v>5514.29</v>
      </c>
      <c r="J34">
        <f t="shared" si="1"/>
        <v>1.7000000000000011</v>
      </c>
      <c r="K34">
        <v>27</v>
      </c>
      <c r="L34">
        <v>11.5421</v>
      </c>
      <c r="M34">
        <v>28653</v>
      </c>
      <c r="R34">
        <f t="shared" si="2"/>
        <v>1.7000000000000011</v>
      </c>
      <c r="S34">
        <v>27</v>
      </c>
      <c r="T34">
        <v>4.0691100000000002</v>
      </c>
      <c r="U34">
        <v>14866.1</v>
      </c>
      <c r="Z34">
        <f t="shared" si="3"/>
        <v>1.7000000000000011</v>
      </c>
      <c r="AA34">
        <v>27</v>
      </c>
      <c r="AB34">
        <v>-1.2780100000000001</v>
      </c>
      <c r="AC34">
        <v>3135.73</v>
      </c>
      <c r="AH34">
        <f t="shared" si="4"/>
        <v>1.7000000000000011</v>
      </c>
      <c r="AI34">
        <v>27</v>
      </c>
      <c r="AJ34">
        <v>14.835800000000001</v>
      </c>
      <c r="AK34">
        <v>40753.599999999999</v>
      </c>
      <c r="AP34">
        <f t="shared" si="5"/>
        <v>1.7000000000000011</v>
      </c>
      <c r="AQ34">
        <v>27</v>
      </c>
      <c r="AR34">
        <v>11.802899999999999</v>
      </c>
      <c r="AS34">
        <v>60327.8</v>
      </c>
      <c r="AX34">
        <f t="shared" si="6"/>
        <v>1.7000000000000011</v>
      </c>
      <c r="AY34">
        <v>27</v>
      </c>
      <c r="AZ34">
        <v>8.3447099999999992</v>
      </c>
      <c r="BA34">
        <v>14936.5</v>
      </c>
    </row>
    <row r="35" spans="2:53" x14ac:dyDescent="0.2">
      <c r="B35">
        <f t="shared" si="0"/>
        <v>1.7500000000000011</v>
      </c>
      <c r="C35">
        <v>28</v>
      </c>
      <c r="D35" s="3">
        <v>-2.4896699999999998</v>
      </c>
      <c r="E35" s="3">
        <v>4159.58</v>
      </c>
      <c r="J35">
        <f t="shared" si="1"/>
        <v>1.7500000000000011</v>
      </c>
      <c r="K35">
        <v>28</v>
      </c>
      <c r="L35">
        <v>9.4594000000000005</v>
      </c>
      <c r="M35">
        <v>25495.1</v>
      </c>
      <c r="R35">
        <f t="shared" si="2"/>
        <v>1.7500000000000011</v>
      </c>
      <c r="S35">
        <v>28</v>
      </c>
      <c r="T35">
        <v>3.0244900000000001</v>
      </c>
      <c r="U35">
        <v>12461.5</v>
      </c>
      <c r="Z35">
        <f t="shared" si="3"/>
        <v>1.7500000000000011</v>
      </c>
      <c r="AA35">
        <v>28</v>
      </c>
      <c r="AB35">
        <v>-1.50101</v>
      </c>
      <c r="AC35">
        <v>2710.63</v>
      </c>
      <c r="AH35">
        <f t="shared" si="4"/>
        <v>1.7500000000000011</v>
      </c>
      <c r="AI35">
        <v>28</v>
      </c>
      <c r="AJ35">
        <v>11.915100000000001</v>
      </c>
      <c r="AK35">
        <v>35455.199999999997</v>
      </c>
      <c r="AP35">
        <f t="shared" si="5"/>
        <v>1.7500000000000011</v>
      </c>
      <c r="AQ35">
        <v>28</v>
      </c>
      <c r="AR35">
        <v>7.68865</v>
      </c>
      <c r="AS35">
        <v>46104.7</v>
      </c>
      <c r="AX35">
        <f t="shared" si="6"/>
        <v>1.7500000000000011</v>
      </c>
      <c r="AY35">
        <v>28</v>
      </c>
      <c r="AZ35">
        <v>7.4322699999999999</v>
      </c>
      <c r="BA35">
        <v>9271.7199999999993</v>
      </c>
    </row>
    <row r="36" spans="2:53" x14ac:dyDescent="0.2">
      <c r="B36">
        <f t="shared" si="0"/>
        <v>1.8000000000000012</v>
      </c>
      <c r="C36">
        <v>29</v>
      </c>
      <c r="D36" s="3">
        <v>-2.75983</v>
      </c>
      <c r="E36" s="3">
        <v>3137.73</v>
      </c>
      <c r="J36">
        <f t="shared" si="1"/>
        <v>1.8000000000000012</v>
      </c>
      <c r="K36">
        <v>29</v>
      </c>
      <c r="L36">
        <v>7.6789199999999997</v>
      </c>
      <c r="M36">
        <v>22398.3</v>
      </c>
      <c r="R36">
        <f t="shared" si="2"/>
        <v>1.8000000000000012</v>
      </c>
      <c r="S36">
        <v>29</v>
      </c>
      <c r="T36">
        <v>2.1704500000000002</v>
      </c>
      <c r="U36">
        <v>10528.3</v>
      </c>
      <c r="Z36">
        <f t="shared" si="3"/>
        <v>1.8000000000000012</v>
      </c>
      <c r="AA36">
        <v>29</v>
      </c>
      <c r="AB36">
        <v>-1.69215</v>
      </c>
      <c r="AC36">
        <v>2441.31</v>
      </c>
      <c r="AH36">
        <f t="shared" si="4"/>
        <v>1.8000000000000012</v>
      </c>
      <c r="AI36">
        <v>29</v>
      </c>
      <c r="AJ36">
        <v>9.4580699999999993</v>
      </c>
      <c r="AK36">
        <v>30582.799999999999</v>
      </c>
      <c r="AP36">
        <f t="shared" si="5"/>
        <v>1.8000000000000012</v>
      </c>
      <c r="AQ36">
        <v>29</v>
      </c>
      <c r="AR36">
        <v>4.8048900000000003</v>
      </c>
      <c r="AS36">
        <v>31775.3</v>
      </c>
      <c r="AX36">
        <f t="shared" si="6"/>
        <v>1.8000000000000012</v>
      </c>
      <c r="AY36">
        <v>29</v>
      </c>
      <c r="AZ36">
        <v>6.8818799999999998</v>
      </c>
      <c r="BA36">
        <v>5783.61</v>
      </c>
    </row>
    <row r="37" spans="2:53" x14ac:dyDescent="0.2">
      <c r="B37">
        <f t="shared" si="0"/>
        <v>1.8500000000000012</v>
      </c>
      <c r="C37">
        <v>30</v>
      </c>
      <c r="D37">
        <v>-2.9573999999999998</v>
      </c>
      <c r="E37" s="3">
        <v>2350.38</v>
      </c>
      <c r="J37">
        <f t="shared" si="1"/>
        <v>1.8500000000000012</v>
      </c>
      <c r="K37">
        <v>30</v>
      </c>
      <c r="L37">
        <v>6.1542599999999998</v>
      </c>
      <c r="M37">
        <v>19789.8</v>
      </c>
      <c r="R37">
        <f t="shared" si="2"/>
        <v>1.8500000000000012</v>
      </c>
      <c r="S37">
        <v>30</v>
      </c>
      <c r="T37">
        <v>1.46848</v>
      </c>
      <c r="U37">
        <v>8906.33</v>
      </c>
      <c r="Z37">
        <f t="shared" si="3"/>
        <v>1.8500000000000012</v>
      </c>
      <c r="AA37">
        <v>30</v>
      </c>
      <c r="AB37">
        <v>-1.86212</v>
      </c>
      <c r="AC37">
        <v>2267.5100000000002</v>
      </c>
      <c r="AH37">
        <f t="shared" si="4"/>
        <v>1.8500000000000012</v>
      </c>
      <c r="AI37">
        <v>30</v>
      </c>
      <c r="AJ37">
        <v>7.4068800000000001</v>
      </c>
      <c r="AK37">
        <v>26158.9</v>
      </c>
      <c r="AP37">
        <f t="shared" si="5"/>
        <v>1.8500000000000012</v>
      </c>
      <c r="AQ37">
        <v>30</v>
      </c>
      <c r="AR37">
        <v>2.91221</v>
      </c>
      <c r="AS37">
        <v>21133.3</v>
      </c>
      <c r="AX37">
        <f t="shared" si="6"/>
        <v>1.8500000000000012</v>
      </c>
      <c r="AY37">
        <v>30</v>
      </c>
      <c r="AZ37">
        <v>6.5449200000000003</v>
      </c>
      <c r="BA37">
        <v>3702.31</v>
      </c>
    </row>
    <row r="38" spans="2:53" x14ac:dyDescent="0.2">
      <c r="B38">
        <f t="shared" si="0"/>
        <v>1.9000000000000012</v>
      </c>
      <c r="C38">
        <v>31</v>
      </c>
      <c r="D38">
        <v>-3.10006</v>
      </c>
      <c r="E38" s="3">
        <v>1722.04</v>
      </c>
      <c r="J38">
        <f t="shared" si="1"/>
        <v>1.9000000000000012</v>
      </c>
      <c r="K38">
        <v>31</v>
      </c>
      <c r="L38">
        <v>4.8433999999999999</v>
      </c>
      <c r="M38">
        <v>17484.3</v>
      </c>
      <c r="R38">
        <f t="shared" si="2"/>
        <v>1.9000000000000012</v>
      </c>
      <c r="S38">
        <v>31</v>
      </c>
      <c r="T38">
        <v>0.89166900000000004</v>
      </c>
      <c r="U38">
        <v>7509.36</v>
      </c>
      <c r="Z38">
        <f t="shared" si="3"/>
        <v>1.9000000000000012</v>
      </c>
      <c r="AA38">
        <v>31</v>
      </c>
      <c r="AB38">
        <v>-2.0174799999999999</v>
      </c>
      <c r="AC38">
        <v>2154.63</v>
      </c>
      <c r="AH38">
        <f t="shared" si="4"/>
        <v>1.9000000000000012</v>
      </c>
      <c r="AI38">
        <v>31</v>
      </c>
      <c r="AJ38">
        <v>5.7067600000000001</v>
      </c>
      <c r="AK38">
        <v>22211.3</v>
      </c>
      <c r="AP38">
        <f t="shared" si="5"/>
        <v>1.9000000000000012</v>
      </c>
      <c r="AQ38">
        <v>31</v>
      </c>
      <c r="AR38">
        <v>1.6917</v>
      </c>
      <c r="AS38">
        <v>14024.3</v>
      </c>
      <c r="AX38">
        <f t="shared" si="6"/>
        <v>1.9000000000000012</v>
      </c>
      <c r="AY38">
        <v>31</v>
      </c>
      <c r="AZ38">
        <v>6.3305400000000001</v>
      </c>
      <c r="BA38">
        <v>2495.3200000000002</v>
      </c>
    </row>
    <row r="39" spans="2:53" x14ac:dyDescent="0.2">
      <c r="B39">
        <f t="shared" si="0"/>
        <v>1.9500000000000013</v>
      </c>
      <c r="C39">
        <v>32</v>
      </c>
      <c r="D39">
        <v>-3.1998099999999998</v>
      </c>
      <c r="E39" s="3">
        <v>1202.55</v>
      </c>
      <c r="J39">
        <f t="shared" si="1"/>
        <v>1.9500000000000013</v>
      </c>
      <c r="K39">
        <v>32</v>
      </c>
      <c r="L39">
        <v>3.7185000000000001</v>
      </c>
      <c r="M39">
        <v>15373.5</v>
      </c>
      <c r="R39">
        <f t="shared" si="2"/>
        <v>1.9500000000000013</v>
      </c>
      <c r="S39">
        <v>32</v>
      </c>
      <c r="T39">
        <v>0.41971399999999998</v>
      </c>
      <c r="U39">
        <v>6289.45</v>
      </c>
      <c r="Z39">
        <f t="shared" si="3"/>
        <v>1.9500000000000013</v>
      </c>
      <c r="AA39">
        <v>32</v>
      </c>
      <c r="AB39">
        <v>-2.1624599999999998</v>
      </c>
      <c r="AC39">
        <v>2082.89</v>
      </c>
      <c r="AH39">
        <f t="shared" si="4"/>
        <v>1.9500000000000013</v>
      </c>
      <c r="AI39">
        <v>32</v>
      </c>
      <c r="AJ39">
        <v>4.3057400000000001</v>
      </c>
      <c r="AK39">
        <v>18754.7</v>
      </c>
      <c r="AP39">
        <f t="shared" si="5"/>
        <v>1.9500000000000013</v>
      </c>
      <c r="AQ39">
        <v>32</v>
      </c>
      <c r="AR39">
        <v>0.89812099999999995</v>
      </c>
      <c r="AS39">
        <v>9465.07</v>
      </c>
      <c r="AX39">
        <f t="shared" si="6"/>
        <v>1.9500000000000013</v>
      </c>
      <c r="AY39">
        <v>32</v>
      </c>
      <c r="AZ39">
        <v>6.1851900000000004</v>
      </c>
      <c r="BA39">
        <v>1809.58</v>
      </c>
    </row>
    <row r="40" spans="2:53" x14ac:dyDescent="0.2">
      <c r="B40">
        <f t="shared" si="0"/>
        <v>2.0000000000000013</v>
      </c>
      <c r="C40">
        <v>33</v>
      </c>
      <c r="D40">
        <v>-3.2650299999999999</v>
      </c>
      <c r="E40" s="3">
        <v>761.55799999999999</v>
      </c>
      <c r="J40">
        <f t="shared" si="1"/>
        <v>2.0000000000000013</v>
      </c>
      <c r="K40">
        <v>33</v>
      </c>
      <c r="L40">
        <v>2.7581799999999999</v>
      </c>
      <c r="M40">
        <v>13425.9</v>
      </c>
      <c r="R40">
        <f t="shared" si="2"/>
        <v>2.0000000000000013</v>
      </c>
      <c r="S40">
        <v>33</v>
      </c>
      <c r="T40">
        <v>3.6373599999999999E-2</v>
      </c>
      <c r="U40">
        <v>5217.99</v>
      </c>
      <c r="Z40">
        <f t="shared" si="3"/>
        <v>2.0000000000000013</v>
      </c>
      <c r="AA40">
        <v>33</v>
      </c>
      <c r="AB40">
        <v>-2.2999100000000001</v>
      </c>
      <c r="AC40">
        <v>2040.63</v>
      </c>
      <c r="AH40">
        <f t="shared" si="4"/>
        <v>2.0000000000000013</v>
      </c>
      <c r="AI40">
        <v>33</v>
      </c>
      <c r="AJ40">
        <v>3.1555499999999999</v>
      </c>
      <c r="AK40">
        <v>15784.2</v>
      </c>
      <c r="AP40">
        <f t="shared" si="5"/>
        <v>2.0000000000000013</v>
      </c>
      <c r="AQ40">
        <v>33</v>
      </c>
      <c r="AR40">
        <v>0.36995699999999998</v>
      </c>
      <c r="AS40">
        <v>6569.99</v>
      </c>
      <c r="AX40">
        <f t="shared" si="6"/>
        <v>2.0000000000000013</v>
      </c>
      <c r="AY40">
        <v>33</v>
      </c>
      <c r="AZ40">
        <v>6.0785600000000004</v>
      </c>
      <c r="BA40">
        <v>1420.8</v>
      </c>
    </row>
    <row r="41" spans="2:53" x14ac:dyDescent="0.2">
      <c r="B41">
        <f t="shared" si="0"/>
        <v>2.0500000000000012</v>
      </c>
      <c r="C41">
        <v>34</v>
      </c>
      <c r="D41">
        <v>-3.3019500000000002</v>
      </c>
      <c r="E41" s="3">
        <v>381.43700000000001</v>
      </c>
      <c r="J41">
        <f t="shared" si="1"/>
        <v>2.0500000000000012</v>
      </c>
      <c r="K41">
        <v>34</v>
      </c>
      <c r="L41">
        <v>1.9437599999999999</v>
      </c>
      <c r="M41">
        <v>11635.8</v>
      </c>
      <c r="R41">
        <f t="shared" si="2"/>
        <v>2.0500000000000012</v>
      </c>
      <c r="S41">
        <v>34</v>
      </c>
      <c r="T41">
        <v>-0.27184900000000001</v>
      </c>
      <c r="U41">
        <v>4276.07</v>
      </c>
      <c r="Z41">
        <f t="shared" si="3"/>
        <v>2.0500000000000012</v>
      </c>
      <c r="AA41">
        <v>34</v>
      </c>
      <c r="AB41">
        <v>-2.43187</v>
      </c>
      <c r="AC41">
        <v>2020.36</v>
      </c>
      <c r="AH41">
        <f t="shared" si="4"/>
        <v>2.0500000000000012</v>
      </c>
      <c r="AI41">
        <v>34</v>
      </c>
      <c r="AJ41">
        <v>2.21258</v>
      </c>
      <c r="AK41">
        <v>13275.1</v>
      </c>
      <c r="AP41">
        <f t="shared" si="5"/>
        <v>2.0500000000000012</v>
      </c>
      <c r="AQ41">
        <v>34</v>
      </c>
      <c r="AR41">
        <v>6.8884000000000003E-3</v>
      </c>
      <c r="AS41">
        <v>4722.87</v>
      </c>
      <c r="AX41">
        <f t="shared" si="6"/>
        <v>2.0500000000000012</v>
      </c>
      <c r="AY41">
        <v>34</v>
      </c>
      <c r="AZ41">
        <v>5.9941300000000002</v>
      </c>
      <c r="BA41">
        <v>1193.47</v>
      </c>
    </row>
    <row r="42" spans="2:53" x14ac:dyDescent="0.2">
      <c r="B42">
        <f t="shared" si="0"/>
        <v>2.100000000000001</v>
      </c>
      <c r="C42">
        <v>35</v>
      </c>
      <c r="D42">
        <v>-3.31549</v>
      </c>
      <c r="E42" s="3">
        <v>51.645800000000001</v>
      </c>
      <c r="J42">
        <f t="shared" si="1"/>
        <v>2.100000000000001</v>
      </c>
      <c r="K42">
        <v>35</v>
      </c>
      <c r="L42">
        <v>1.25806</v>
      </c>
      <c r="M42">
        <v>10002.6</v>
      </c>
      <c r="R42">
        <f t="shared" si="2"/>
        <v>2.100000000000001</v>
      </c>
      <c r="S42">
        <v>35</v>
      </c>
      <c r="T42">
        <v>-0.51641999999999999</v>
      </c>
      <c r="U42">
        <v>3449.59</v>
      </c>
      <c r="Z42">
        <f t="shared" si="3"/>
        <v>2.100000000000001</v>
      </c>
      <c r="AA42">
        <v>35</v>
      </c>
      <c r="AB42">
        <v>-2.5598399999999999</v>
      </c>
      <c r="AC42">
        <v>2016.47</v>
      </c>
      <c r="AH42">
        <f t="shared" si="4"/>
        <v>2.100000000000001</v>
      </c>
      <c r="AI42">
        <v>35</v>
      </c>
      <c r="AJ42">
        <v>1.4385300000000001</v>
      </c>
      <c r="AK42">
        <v>11187</v>
      </c>
      <c r="AP42">
        <f t="shared" si="5"/>
        <v>2.100000000000001</v>
      </c>
      <c r="AQ42">
        <v>35</v>
      </c>
      <c r="AR42">
        <v>-0.25240800000000002</v>
      </c>
      <c r="AS42">
        <v>3533.46</v>
      </c>
      <c r="AX42">
        <f t="shared" si="6"/>
        <v>2.100000000000001</v>
      </c>
      <c r="AY42">
        <v>35</v>
      </c>
      <c r="AZ42">
        <v>5.9232500000000003</v>
      </c>
      <c r="BA42">
        <v>1050.6099999999999</v>
      </c>
    </row>
    <row r="43" spans="2:53" x14ac:dyDescent="0.2">
      <c r="B43">
        <f t="shared" si="0"/>
        <v>2.1500000000000008</v>
      </c>
      <c r="C43">
        <v>36</v>
      </c>
      <c r="D43">
        <v>-3.3096399999999999</v>
      </c>
      <c r="E43" s="3">
        <v>-234.91</v>
      </c>
      <c r="J43">
        <f t="shared" si="1"/>
        <v>2.1500000000000008</v>
      </c>
      <c r="K43">
        <v>36</v>
      </c>
      <c r="L43">
        <v>0.68516299999999997</v>
      </c>
      <c r="M43">
        <v>8525.68</v>
      </c>
      <c r="R43">
        <f t="shared" si="2"/>
        <v>2.1500000000000008</v>
      </c>
      <c r="S43">
        <v>36</v>
      </c>
      <c r="T43">
        <v>-0.70718400000000003</v>
      </c>
      <c r="U43">
        <v>2726.86</v>
      </c>
      <c r="Z43">
        <f t="shared" si="3"/>
        <v>2.1500000000000008</v>
      </c>
      <c r="AA43">
        <v>36</v>
      </c>
      <c r="AB43">
        <v>-2.68486</v>
      </c>
      <c r="AC43">
        <v>2024.13</v>
      </c>
      <c r="AH43">
        <f t="shared" si="4"/>
        <v>2.1500000000000008</v>
      </c>
      <c r="AI43">
        <v>36</v>
      </c>
      <c r="AJ43">
        <v>0.80069299999999999</v>
      </c>
      <c r="AK43">
        <v>9469.6299999999992</v>
      </c>
      <c r="AP43">
        <f t="shared" si="5"/>
        <v>2.1500000000000008</v>
      </c>
      <c r="AQ43">
        <v>36</v>
      </c>
      <c r="AR43">
        <v>-0.445662</v>
      </c>
      <c r="AS43">
        <v>2762.07</v>
      </c>
      <c r="AX43">
        <f t="shared" si="6"/>
        <v>2.1500000000000008</v>
      </c>
      <c r="AY43">
        <v>36</v>
      </c>
      <c r="AZ43">
        <v>5.8614199999999999</v>
      </c>
      <c r="BA43">
        <v>951.78499999999997</v>
      </c>
    </row>
    <row r="44" spans="2:53" x14ac:dyDescent="0.2">
      <c r="B44">
        <f t="shared" si="0"/>
        <v>2.2000000000000006</v>
      </c>
      <c r="C44">
        <v>37</v>
      </c>
      <c r="D44">
        <v>-3.2877700000000001</v>
      </c>
      <c r="E44" s="3">
        <v>-483.81599999999997</v>
      </c>
      <c r="J44">
        <f t="shared" si="1"/>
        <v>2.2000000000000006</v>
      </c>
      <c r="K44">
        <v>37</v>
      </c>
      <c r="L44">
        <v>0.210372</v>
      </c>
      <c r="M44">
        <v>7203.12</v>
      </c>
      <c r="R44">
        <f t="shared" si="2"/>
        <v>2.2000000000000006</v>
      </c>
      <c r="S44">
        <v>37</v>
      </c>
      <c r="T44">
        <v>-0.85262899999999997</v>
      </c>
      <c r="U44">
        <v>2097.5</v>
      </c>
      <c r="Z44">
        <f t="shared" si="3"/>
        <v>2.2000000000000006</v>
      </c>
      <c r="AA44">
        <v>37</v>
      </c>
      <c r="AB44">
        <v>-2.8076400000000001</v>
      </c>
      <c r="AC44">
        <v>2038.83</v>
      </c>
      <c r="AH44">
        <f t="shared" si="4"/>
        <v>2.2000000000000006</v>
      </c>
      <c r="AI44">
        <v>37</v>
      </c>
      <c r="AJ44">
        <v>0.27189000000000002</v>
      </c>
      <c r="AK44">
        <v>8068.65</v>
      </c>
      <c r="AP44">
        <f t="shared" si="5"/>
        <v>2.2000000000000006</v>
      </c>
      <c r="AQ44">
        <v>37</v>
      </c>
      <c r="AR44">
        <v>-0.59644799999999998</v>
      </c>
      <c r="AS44">
        <v>2260.71</v>
      </c>
      <c r="AX44">
        <f t="shared" si="6"/>
        <v>2.2000000000000006</v>
      </c>
      <c r="AY44">
        <v>37</v>
      </c>
      <c r="AZ44">
        <v>5.8062100000000001</v>
      </c>
      <c r="BA44">
        <v>877.51300000000003</v>
      </c>
    </row>
    <row r="45" spans="2:53" x14ac:dyDescent="0.2">
      <c r="B45">
        <f t="shared" si="0"/>
        <v>2.2500000000000004</v>
      </c>
      <c r="C45">
        <v>38</v>
      </c>
      <c r="D45">
        <v>-3.2526899999999999</v>
      </c>
      <c r="E45">
        <v>-699.99199999999996</v>
      </c>
      <c r="J45">
        <f t="shared" si="1"/>
        <v>2.2500000000000004</v>
      </c>
      <c r="K45">
        <v>38</v>
      </c>
      <c r="L45">
        <v>-0.17982699999999999</v>
      </c>
      <c r="M45">
        <v>6030.44</v>
      </c>
      <c r="R45">
        <f t="shared" si="2"/>
        <v>2.2500000000000004</v>
      </c>
      <c r="S45">
        <v>38</v>
      </c>
      <c r="T45">
        <v>-0.96006800000000003</v>
      </c>
      <c r="U45">
        <v>1551.88</v>
      </c>
      <c r="Z45">
        <f t="shared" si="3"/>
        <v>2.2500000000000004</v>
      </c>
      <c r="AA45">
        <v>38</v>
      </c>
      <c r="AB45">
        <v>-2.9285600000000001</v>
      </c>
      <c r="AC45">
        <v>2056.3000000000002</v>
      </c>
      <c r="AH45">
        <f t="shared" si="4"/>
        <v>2.2500000000000004</v>
      </c>
      <c r="AI45">
        <v>38</v>
      </c>
      <c r="AJ45">
        <v>-0.16999900000000001</v>
      </c>
      <c r="AK45">
        <v>6930.55</v>
      </c>
      <c r="AP45">
        <f t="shared" si="5"/>
        <v>2.2500000000000004</v>
      </c>
      <c r="AQ45">
        <v>38</v>
      </c>
      <c r="AR45">
        <v>-0.71971099999999999</v>
      </c>
      <c r="AS45">
        <v>1935.71</v>
      </c>
      <c r="AX45">
        <f t="shared" si="6"/>
        <v>2.2500000000000004</v>
      </c>
      <c r="AY45">
        <v>38</v>
      </c>
      <c r="AZ45">
        <v>5.75617</v>
      </c>
      <c r="BA45">
        <v>819.02200000000005</v>
      </c>
    </row>
    <row r="46" spans="2:53" x14ac:dyDescent="0.2">
      <c r="B46">
        <f t="shared" si="0"/>
        <v>2.3000000000000003</v>
      </c>
      <c r="C46">
        <v>39</v>
      </c>
      <c r="D46">
        <v>-3.20675</v>
      </c>
      <c r="E46">
        <v>-887.928</v>
      </c>
      <c r="J46">
        <f t="shared" si="1"/>
        <v>2.3000000000000003</v>
      </c>
      <c r="K46">
        <v>39</v>
      </c>
      <c r="L46">
        <v>-0.49769000000000002</v>
      </c>
      <c r="M46">
        <v>5000.16</v>
      </c>
      <c r="R46">
        <f t="shared" si="2"/>
        <v>2.3000000000000003</v>
      </c>
      <c r="S46">
        <v>39</v>
      </c>
      <c r="T46">
        <v>-1.0357799999999999</v>
      </c>
      <c r="U46">
        <v>1080.99</v>
      </c>
      <c r="Z46">
        <f t="shared" si="3"/>
        <v>2.3000000000000003</v>
      </c>
      <c r="AA46">
        <v>39</v>
      </c>
      <c r="AB46">
        <v>-3.0477599999999998</v>
      </c>
      <c r="AC46">
        <v>2072.63</v>
      </c>
      <c r="AH46">
        <f t="shared" si="4"/>
        <v>2.3000000000000003</v>
      </c>
      <c r="AI46">
        <v>39</v>
      </c>
      <c r="AJ46">
        <v>-0.54261599999999999</v>
      </c>
      <c r="AK46">
        <v>6006.14</v>
      </c>
      <c r="AP46">
        <f t="shared" si="5"/>
        <v>2.3000000000000003</v>
      </c>
      <c r="AQ46">
        <v>39</v>
      </c>
      <c r="AR46">
        <v>-0.82499400000000001</v>
      </c>
      <c r="AS46">
        <v>1726.13</v>
      </c>
      <c r="AX46">
        <f t="shared" si="6"/>
        <v>2.3000000000000003</v>
      </c>
      <c r="AY46">
        <v>39</v>
      </c>
      <c r="AZ46">
        <v>5.71028</v>
      </c>
      <c r="BA46">
        <v>772.05100000000004</v>
      </c>
    </row>
    <row r="47" spans="2:53" x14ac:dyDescent="0.2">
      <c r="B47">
        <f t="shared" si="0"/>
        <v>2.35</v>
      </c>
      <c r="C47">
        <v>40</v>
      </c>
      <c r="D47">
        <v>-3.1518999999999999</v>
      </c>
      <c r="E47">
        <v>-1051.67</v>
      </c>
      <c r="J47">
        <f t="shared" si="1"/>
        <v>2.35</v>
      </c>
      <c r="K47">
        <v>40</v>
      </c>
      <c r="L47">
        <v>-0.75416000000000005</v>
      </c>
      <c r="M47">
        <v>4101.9799999999996</v>
      </c>
      <c r="R47">
        <f t="shared" si="2"/>
        <v>2.35</v>
      </c>
      <c r="S47">
        <v>40</v>
      </c>
      <c r="T47">
        <v>-1.08514</v>
      </c>
      <c r="U47">
        <v>676.33199999999999</v>
      </c>
      <c r="Z47">
        <f t="shared" si="3"/>
        <v>2.35</v>
      </c>
      <c r="AA47">
        <v>40</v>
      </c>
      <c r="AB47">
        <v>-3.1651500000000001</v>
      </c>
      <c r="AC47">
        <v>2084.4499999999998</v>
      </c>
      <c r="AH47">
        <f t="shared" si="4"/>
        <v>2.35</v>
      </c>
      <c r="AI47">
        <v>40</v>
      </c>
      <c r="AJ47">
        <v>-0.85983799999999999</v>
      </c>
      <c r="AK47">
        <v>5252.69</v>
      </c>
      <c r="AP47">
        <f t="shared" si="5"/>
        <v>2.35</v>
      </c>
      <c r="AQ47">
        <v>40</v>
      </c>
      <c r="AR47">
        <v>-0.91839099999999996</v>
      </c>
      <c r="AS47">
        <v>1591.51</v>
      </c>
      <c r="AX47">
        <f t="shared" si="6"/>
        <v>2.35</v>
      </c>
      <c r="AY47">
        <v>40</v>
      </c>
      <c r="AZ47">
        <v>5.6677999999999997</v>
      </c>
      <c r="BA47">
        <v>733.72199999999998</v>
      </c>
    </row>
    <row r="48" spans="2:53" x14ac:dyDescent="0.2">
      <c r="B48">
        <f t="shared" si="0"/>
        <v>2.4</v>
      </c>
      <c r="C48">
        <v>41</v>
      </c>
      <c r="D48">
        <v>-3.0897700000000001</v>
      </c>
      <c r="E48">
        <v>-1194.7</v>
      </c>
      <c r="J48">
        <f t="shared" si="1"/>
        <v>2.4</v>
      </c>
      <c r="K48">
        <v>41</v>
      </c>
      <c r="L48">
        <v>-0.958847</v>
      </c>
      <c r="M48">
        <v>3323.63</v>
      </c>
      <c r="R48">
        <f t="shared" si="2"/>
        <v>2.4</v>
      </c>
      <c r="S48">
        <v>41</v>
      </c>
      <c r="T48">
        <v>-1.11273</v>
      </c>
      <c r="U48">
        <v>329.99599999999998</v>
      </c>
      <c r="Z48">
        <f t="shared" si="3"/>
        <v>2.4</v>
      </c>
      <c r="AA48">
        <v>41</v>
      </c>
      <c r="AB48">
        <v>-3.2804799999999998</v>
      </c>
      <c r="AC48">
        <v>2089.0700000000002</v>
      </c>
      <c r="AH48">
        <f t="shared" si="4"/>
        <v>2.4</v>
      </c>
      <c r="AI48">
        <v>41</v>
      </c>
      <c r="AJ48">
        <v>-1.1324799999999999</v>
      </c>
      <c r="AK48">
        <v>4634.68</v>
      </c>
      <c r="AP48">
        <f t="shared" si="5"/>
        <v>2.4</v>
      </c>
      <c r="AQ48">
        <v>41</v>
      </c>
      <c r="AR48">
        <v>-1.00376</v>
      </c>
      <c r="AS48">
        <v>1504.88</v>
      </c>
      <c r="AX48">
        <f t="shared" si="6"/>
        <v>2.4</v>
      </c>
      <c r="AY48">
        <v>41</v>
      </c>
      <c r="AZ48">
        <v>5.6281800000000004</v>
      </c>
      <c r="BA48">
        <v>701.43</v>
      </c>
    </row>
    <row r="49" spans="2:53" x14ac:dyDescent="0.2">
      <c r="B49">
        <f t="shared" si="0"/>
        <v>2.4499999999999997</v>
      </c>
      <c r="C49">
        <v>42</v>
      </c>
      <c r="D49">
        <v>-3.0217000000000001</v>
      </c>
      <c r="E49">
        <v>-1319.94</v>
      </c>
      <c r="J49">
        <f t="shared" si="1"/>
        <v>2.4499999999999997</v>
      </c>
      <c r="K49">
        <v>42</v>
      </c>
      <c r="L49">
        <v>-1.1200600000000001</v>
      </c>
      <c r="M49">
        <v>2651.93</v>
      </c>
      <c r="R49">
        <f t="shared" si="2"/>
        <v>2.4499999999999997</v>
      </c>
      <c r="S49">
        <v>42</v>
      </c>
      <c r="T49">
        <v>-1.1224000000000001</v>
      </c>
      <c r="U49">
        <v>34.683100000000003</v>
      </c>
      <c r="Z49">
        <f t="shared" si="3"/>
        <v>2.4499999999999997</v>
      </c>
      <c r="AA49">
        <v>42</v>
      </c>
      <c r="AB49">
        <v>-3.3933900000000001</v>
      </c>
      <c r="AC49">
        <v>2084.59</v>
      </c>
      <c r="AH49">
        <f t="shared" si="4"/>
        <v>2.4499999999999997</v>
      </c>
      <c r="AI49">
        <v>42</v>
      </c>
      <c r="AJ49">
        <v>-1.36896</v>
      </c>
      <c r="AK49">
        <v>4123.72</v>
      </c>
      <c r="AP49">
        <f t="shared" si="5"/>
        <v>2.4499999999999997</v>
      </c>
      <c r="AQ49">
        <v>42</v>
      </c>
      <c r="AR49">
        <v>-1.0835300000000001</v>
      </c>
      <c r="AS49">
        <v>1448.36</v>
      </c>
      <c r="AX49">
        <f t="shared" si="6"/>
        <v>2.4499999999999997</v>
      </c>
      <c r="AY49">
        <v>42</v>
      </c>
      <c r="AZ49">
        <v>5.5910200000000003</v>
      </c>
      <c r="BA49">
        <v>672.86099999999999</v>
      </c>
    </row>
    <row r="50" spans="2:53" x14ac:dyDescent="0.2">
      <c r="B50">
        <f t="shared" si="0"/>
        <v>2.4999999999999996</v>
      </c>
      <c r="C50">
        <v>43</v>
      </c>
      <c r="D50">
        <v>-2.94882</v>
      </c>
      <c r="E50">
        <v>-1429.62</v>
      </c>
      <c r="J50">
        <f t="shared" si="1"/>
        <v>2.4999999999999996</v>
      </c>
      <c r="K50">
        <v>43</v>
      </c>
      <c r="L50">
        <v>-1.2448900000000001</v>
      </c>
      <c r="M50">
        <v>2073.66</v>
      </c>
      <c r="R50">
        <f t="shared" si="2"/>
        <v>2.4999999999999996</v>
      </c>
      <c r="S50">
        <v>43</v>
      </c>
      <c r="T50">
        <v>-1.1174299999999999</v>
      </c>
      <c r="U50">
        <v>-216.25899999999999</v>
      </c>
      <c r="Z50">
        <f t="shared" si="3"/>
        <v>2.4999999999999996</v>
      </c>
      <c r="AA50">
        <v>43</v>
      </c>
      <c r="AB50">
        <v>-3.5034800000000001</v>
      </c>
      <c r="AC50">
        <v>2069.9</v>
      </c>
      <c r="AH50">
        <f t="shared" si="4"/>
        <v>2.4999999999999996</v>
      </c>
      <c r="AI50">
        <v>43</v>
      </c>
      <c r="AJ50">
        <v>-1.57582</v>
      </c>
      <c r="AK50">
        <v>3697.72</v>
      </c>
      <c r="AP50">
        <f t="shared" si="5"/>
        <v>2.4999999999999996</v>
      </c>
      <c r="AQ50">
        <v>43</v>
      </c>
      <c r="AR50">
        <v>-1.1591800000000001</v>
      </c>
      <c r="AS50">
        <v>1410.29</v>
      </c>
      <c r="AX50">
        <f t="shared" si="6"/>
        <v>2.4999999999999996</v>
      </c>
      <c r="AY50">
        <v>43</v>
      </c>
      <c r="AZ50">
        <v>5.5560900000000002</v>
      </c>
      <c r="BA50">
        <v>646.41800000000001</v>
      </c>
    </row>
    <row r="51" spans="2:53" x14ac:dyDescent="0.2">
      <c r="B51">
        <f t="shared" si="0"/>
        <v>2.5499999999999994</v>
      </c>
      <c r="C51">
        <v>44</v>
      </c>
      <c r="D51">
        <v>-2.87209</v>
      </c>
      <c r="E51">
        <v>-1525.44</v>
      </c>
      <c r="J51">
        <f t="shared" si="1"/>
        <v>2.5499999999999994</v>
      </c>
      <c r="K51">
        <v>44</v>
      </c>
      <c r="L51">
        <v>-1.3393200000000001</v>
      </c>
      <c r="M51">
        <v>1576.32</v>
      </c>
      <c r="R51">
        <f t="shared" si="2"/>
        <v>2.5499999999999994</v>
      </c>
      <c r="S51">
        <v>44</v>
      </c>
      <c r="T51">
        <v>-1.10056</v>
      </c>
      <c r="U51">
        <v>-428.81</v>
      </c>
      <c r="Z51">
        <f t="shared" si="3"/>
        <v>2.5499999999999994</v>
      </c>
      <c r="AA51">
        <v>44</v>
      </c>
      <c r="AB51">
        <v>-3.6103000000000001</v>
      </c>
      <c r="AC51">
        <v>2044.65</v>
      </c>
      <c r="AH51">
        <f t="shared" si="4"/>
        <v>2.5499999999999994</v>
      </c>
      <c r="AI51">
        <v>44</v>
      </c>
      <c r="AJ51">
        <v>-1.7582100000000001</v>
      </c>
      <c r="AK51">
        <v>3339.83</v>
      </c>
      <c r="AP51">
        <f t="shared" si="5"/>
        <v>2.5499999999999994</v>
      </c>
      <c r="AQ51">
        <v>44</v>
      </c>
      <c r="AR51">
        <v>-1.2316400000000001</v>
      </c>
      <c r="AS51">
        <v>1383.15</v>
      </c>
      <c r="AX51">
        <f t="shared" si="6"/>
        <v>2.5499999999999994</v>
      </c>
      <c r="AY51">
        <v>44</v>
      </c>
      <c r="AZ51">
        <v>5.5231899999999996</v>
      </c>
      <c r="BA51">
        <v>621.56700000000001</v>
      </c>
    </row>
    <row r="52" spans="2:53" x14ac:dyDescent="0.2">
      <c r="B52">
        <f t="shared" si="0"/>
        <v>2.5999999999999992</v>
      </c>
      <c r="C52">
        <v>45</v>
      </c>
      <c r="D52">
        <v>-2.7923300000000002</v>
      </c>
      <c r="E52">
        <v>-1608.52</v>
      </c>
      <c r="J52">
        <f t="shared" si="1"/>
        <v>2.5999999999999992</v>
      </c>
      <c r="K52">
        <v>45</v>
      </c>
      <c r="L52">
        <v>-1.4084000000000001</v>
      </c>
      <c r="M52">
        <v>1148.45</v>
      </c>
      <c r="R52">
        <f t="shared" si="2"/>
        <v>2.5999999999999992</v>
      </c>
      <c r="S52">
        <v>45</v>
      </c>
      <c r="T52">
        <v>-1.07406</v>
      </c>
      <c r="U52">
        <v>-608.27700000000004</v>
      </c>
      <c r="Z52">
        <f t="shared" si="3"/>
        <v>2.5999999999999992</v>
      </c>
      <c r="AA52">
        <v>45</v>
      </c>
      <c r="AB52">
        <v>-3.71346</v>
      </c>
      <c r="AC52">
        <v>2009.17</v>
      </c>
      <c r="AH52">
        <f t="shared" si="4"/>
        <v>2.5999999999999992</v>
      </c>
      <c r="AI52">
        <v>45</v>
      </c>
      <c r="AJ52">
        <v>-1.9202399999999999</v>
      </c>
      <c r="AK52">
        <v>3037.27</v>
      </c>
      <c r="AP52">
        <f t="shared" si="5"/>
        <v>2.5999999999999992</v>
      </c>
      <c r="AQ52">
        <v>45</v>
      </c>
      <c r="AR52">
        <v>-1.30145</v>
      </c>
      <c r="AS52">
        <v>1362.09</v>
      </c>
      <c r="AX52">
        <f t="shared" si="6"/>
        <v>2.5999999999999992</v>
      </c>
      <c r="AY52">
        <v>45</v>
      </c>
      <c r="AZ52">
        <v>5.4921499999999996</v>
      </c>
      <c r="BA52">
        <v>598.89099999999996</v>
      </c>
    </row>
    <row r="53" spans="2:53" x14ac:dyDescent="0.2">
      <c r="B53">
        <f t="shared" si="0"/>
        <v>2.649999999999999</v>
      </c>
      <c r="C53">
        <v>46</v>
      </c>
      <c r="D53">
        <v>-2.71027</v>
      </c>
      <c r="E53">
        <v>-1679.6</v>
      </c>
      <c r="J53">
        <f t="shared" si="1"/>
        <v>2.649999999999999</v>
      </c>
      <c r="K53">
        <v>46</v>
      </c>
      <c r="L53">
        <v>-1.4562999999999999</v>
      </c>
      <c r="M53">
        <v>779.89800000000002</v>
      </c>
      <c r="R53">
        <f t="shared" si="2"/>
        <v>2.649999999999999</v>
      </c>
      <c r="S53">
        <v>46</v>
      </c>
      <c r="T53">
        <v>-1.03986</v>
      </c>
      <c r="U53">
        <v>-759.30700000000002</v>
      </c>
      <c r="Z53">
        <f t="shared" si="3"/>
        <v>2.649999999999999</v>
      </c>
      <c r="AA53">
        <v>46</v>
      </c>
      <c r="AB53">
        <v>-3.8126099999999998</v>
      </c>
      <c r="AC53">
        <v>1964.25</v>
      </c>
      <c r="AH53">
        <f t="shared" si="4"/>
        <v>2.649999999999999</v>
      </c>
      <c r="AI53">
        <v>46</v>
      </c>
      <c r="AJ53">
        <v>-2.0651899999999999</v>
      </c>
      <c r="AK53">
        <v>2780.23</v>
      </c>
      <c r="AP53">
        <f t="shared" si="5"/>
        <v>2.649999999999999</v>
      </c>
      <c r="AQ53">
        <v>46</v>
      </c>
      <c r="AR53">
        <v>-1.36894</v>
      </c>
      <c r="AS53">
        <v>1343.98</v>
      </c>
      <c r="AX53">
        <f t="shared" si="6"/>
        <v>2.649999999999999</v>
      </c>
      <c r="AY53">
        <v>46</v>
      </c>
      <c r="AZ53">
        <v>5.4627699999999999</v>
      </c>
      <c r="BA53">
        <v>579.81200000000001</v>
      </c>
    </row>
    <row r="54" spans="2:53" x14ac:dyDescent="0.2">
      <c r="B54">
        <f t="shared" si="0"/>
        <v>2.6999999999999988</v>
      </c>
      <c r="C54">
        <v>47</v>
      </c>
      <c r="D54">
        <v>-2.6265800000000001</v>
      </c>
      <c r="E54">
        <v>-1739.11</v>
      </c>
      <c r="J54">
        <f t="shared" si="1"/>
        <v>2.6999999999999988</v>
      </c>
      <c r="K54">
        <v>47</v>
      </c>
      <c r="L54">
        <v>-1.48651</v>
      </c>
      <c r="M54">
        <v>461.85399999999998</v>
      </c>
      <c r="R54">
        <f t="shared" si="2"/>
        <v>2.6999999999999988</v>
      </c>
      <c r="S54">
        <v>47</v>
      </c>
      <c r="T54">
        <v>-0.99951900000000005</v>
      </c>
      <c r="U54">
        <v>-885.91300000000001</v>
      </c>
      <c r="Z54">
        <f t="shared" si="3"/>
        <v>2.6999999999999988</v>
      </c>
      <c r="AA54">
        <v>47</v>
      </c>
      <c r="AB54">
        <v>-3.9074599999999999</v>
      </c>
      <c r="AC54">
        <v>1911.09</v>
      </c>
      <c r="AH54">
        <f t="shared" si="4"/>
        <v>2.6999999999999988</v>
      </c>
      <c r="AI54">
        <v>47</v>
      </c>
      <c r="AJ54">
        <v>-2.1957499999999999</v>
      </c>
      <c r="AK54">
        <v>2561.0100000000002</v>
      </c>
      <c r="AP54">
        <f t="shared" si="5"/>
        <v>2.6999999999999988</v>
      </c>
      <c r="AQ54">
        <v>47</v>
      </c>
      <c r="AR54">
        <v>-1.4342900000000001</v>
      </c>
      <c r="AS54">
        <v>1326.7</v>
      </c>
      <c r="AX54">
        <f t="shared" si="6"/>
        <v>2.6999999999999988</v>
      </c>
      <c r="AY54">
        <v>47</v>
      </c>
      <c r="AZ54">
        <v>5.4347599999999998</v>
      </c>
      <c r="BA54">
        <v>566.09199999999998</v>
      </c>
    </row>
    <row r="55" spans="2:53" x14ac:dyDescent="0.2">
      <c r="B55">
        <f t="shared" si="0"/>
        <v>2.7499999999999987</v>
      </c>
      <c r="C55">
        <v>48</v>
      </c>
      <c r="D55">
        <v>-2.5418699999999999</v>
      </c>
      <c r="E55">
        <v>-1787.28</v>
      </c>
      <c r="J55">
        <f t="shared" si="1"/>
        <v>2.7499999999999987</v>
      </c>
      <c r="K55">
        <v>48</v>
      </c>
      <c r="L55">
        <v>-1.5019499999999999</v>
      </c>
      <c r="M55">
        <v>186.858</v>
      </c>
      <c r="R55">
        <f t="shared" si="2"/>
        <v>2.7499999999999987</v>
      </c>
      <c r="S55">
        <v>48</v>
      </c>
      <c r="T55">
        <v>-0.95437099999999997</v>
      </c>
      <c r="U55">
        <v>-991.52</v>
      </c>
      <c r="Z55">
        <f t="shared" si="3"/>
        <v>2.7499999999999987</v>
      </c>
      <c r="AA55">
        <v>48</v>
      </c>
      <c r="AB55">
        <v>-3.9978199999999999</v>
      </c>
      <c r="AC55">
        <v>1851.07</v>
      </c>
      <c r="AH55">
        <f t="shared" si="4"/>
        <v>2.7499999999999987</v>
      </c>
      <c r="AI55">
        <v>48</v>
      </c>
      <c r="AJ55">
        <v>-2.31413</v>
      </c>
      <c r="AK55">
        <v>2373.3200000000002</v>
      </c>
      <c r="AP55">
        <f t="shared" si="5"/>
        <v>2.7499999999999987</v>
      </c>
      <c r="AQ55">
        <v>48</v>
      </c>
      <c r="AR55">
        <v>-1.4975700000000001</v>
      </c>
      <c r="AS55">
        <v>1308.81</v>
      </c>
      <c r="AX55">
        <f t="shared" si="6"/>
        <v>2.7499999999999987</v>
      </c>
      <c r="AY55">
        <v>48</v>
      </c>
      <c r="AZ55">
        <v>5.4077599999999997</v>
      </c>
      <c r="BA55">
        <v>559.28</v>
      </c>
    </row>
    <row r="56" spans="2:53" x14ac:dyDescent="0.2">
      <c r="B56">
        <f t="shared" si="0"/>
        <v>2.7999999999999985</v>
      </c>
      <c r="C56">
        <v>49</v>
      </c>
      <c r="D56">
        <v>-2.4567100000000002</v>
      </c>
      <c r="E56">
        <v>-1824.31</v>
      </c>
      <c r="J56">
        <f t="shared" si="1"/>
        <v>2.7999999999999985</v>
      </c>
      <c r="K56">
        <v>49</v>
      </c>
      <c r="L56">
        <v>-1.5050300000000001</v>
      </c>
      <c r="M56">
        <v>-51.2729</v>
      </c>
      <c r="R56">
        <f t="shared" si="2"/>
        <v>2.7999999999999985</v>
      </c>
      <c r="S56">
        <v>49</v>
      </c>
      <c r="T56">
        <v>-0.90551000000000004</v>
      </c>
      <c r="U56">
        <v>-1079.02</v>
      </c>
      <c r="Z56">
        <f t="shared" si="3"/>
        <v>2.7999999999999985</v>
      </c>
      <c r="AA56">
        <v>49</v>
      </c>
      <c r="AB56">
        <v>-4.0835600000000003</v>
      </c>
      <c r="AC56">
        <v>1785.64</v>
      </c>
      <c r="AH56">
        <f t="shared" si="4"/>
        <v>2.7999999999999985</v>
      </c>
      <c r="AI56">
        <v>49</v>
      </c>
      <c r="AJ56">
        <v>-2.42211</v>
      </c>
      <c r="AK56">
        <v>2211.89</v>
      </c>
      <c r="AP56">
        <f t="shared" si="5"/>
        <v>2.7999999999999985</v>
      </c>
      <c r="AQ56">
        <v>49</v>
      </c>
      <c r="AR56">
        <v>-1.5588200000000001</v>
      </c>
      <c r="AS56">
        <v>1289.26</v>
      </c>
      <c r="AX56">
        <f t="shared" si="6"/>
        <v>2.7999999999999985</v>
      </c>
      <c r="AY56">
        <v>49</v>
      </c>
      <c r="AZ56">
        <v>5.3814099999999998</v>
      </c>
      <c r="BA56">
        <v>560.24800000000005</v>
      </c>
    </row>
    <row r="57" spans="2:53" x14ac:dyDescent="0.2">
      <c r="B57">
        <f t="shared" si="0"/>
        <v>2.8499999999999983</v>
      </c>
      <c r="C57">
        <v>50</v>
      </c>
      <c r="D57">
        <v>-2.3716200000000001</v>
      </c>
      <c r="E57">
        <v>-1850.42</v>
      </c>
      <c r="J57">
        <f t="shared" si="1"/>
        <v>2.8499999999999983</v>
      </c>
      <c r="K57">
        <v>50</v>
      </c>
      <c r="L57">
        <v>-1.4977799999999999</v>
      </c>
      <c r="M57">
        <v>-257.54700000000003</v>
      </c>
      <c r="R57">
        <f t="shared" si="2"/>
        <v>2.8499999999999983</v>
      </c>
      <c r="S57">
        <v>50</v>
      </c>
      <c r="T57">
        <v>-0.85384899999999997</v>
      </c>
      <c r="U57">
        <v>-1150.83</v>
      </c>
      <c r="Z57">
        <f t="shared" si="3"/>
        <v>2.8499999999999983</v>
      </c>
      <c r="AA57">
        <v>50</v>
      </c>
      <c r="AB57">
        <v>-4.1646299999999998</v>
      </c>
      <c r="AC57">
        <v>1716.21</v>
      </c>
      <c r="AH57">
        <f t="shared" si="4"/>
        <v>2.8499999999999983</v>
      </c>
      <c r="AI57">
        <v>50</v>
      </c>
      <c r="AJ57">
        <v>-2.5211999999999999</v>
      </c>
      <c r="AK57">
        <v>2072.14</v>
      </c>
      <c r="AP57">
        <f t="shared" si="5"/>
        <v>2.8499999999999983</v>
      </c>
      <c r="AQ57">
        <v>50</v>
      </c>
      <c r="AR57">
        <v>-1.6180000000000001</v>
      </c>
      <c r="AS57">
        <v>1267.3499999999999</v>
      </c>
      <c r="AX57">
        <f t="shared" si="6"/>
        <v>2.8499999999999983</v>
      </c>
      <c r="AY57">
        <v>50</v>
      </c>
      <c r="AZ57">
        <v>5.3552999999999997</v>
      </c>
      <c r="BA57">
        <v>568.91700000000003</v>
      </c>
    </row>
    <row r="58" spans="2:53" x14ac:dyDescent="0.2">
      <c r="B58">
        <f t="shared" si="0"/>
        <v>2.8999999999999981</v>
      </c>
      <c r="C58">
        <v>51</v>
      </c>
      <c r="D58">
        <v>-2.2870900000000001</v>
      </c>
      <c r="E58">
        <v>-1865.92</v>
      </c>
      <c r="J58">
        <f t="shared" si="1"/>
        <v>2.8999999999999981</v>
      </c>
      <c r="K58">
        <v>51</v>
      </c>
      <c r="L58">
        <v>-1.48193</v>
      </c>
      <c r="M58">
        <v>-435.93900000000002</v>
      </c>
      <c r="R58">
        <f t="shared" si="2"/>
        <v>2.8999999999999981</v>
      </c>
      <c r="S58">
        <v>51</v>
      </c>
      <c r="T58">
        <v>-0.80015400000000003</v>
      </c>
      <c r="U58">
        <v>-1208.98</v>
      </c>
      <c r="Z58">
        <f t="shared" si="3"/>
        <v>2.8999999999999981</v>
      </c>
      <c r="AA58">
        <v>51</v>
      </c>
      <c r="AB58">
        <v>-4.2410399999999999</v>
      </c>
      <c r="AC58">
        <v>1644.09</v>
      </c>
      <c r="AH58">
        <f t="shared" si="4"/>
        <v>2.8999999999999981</v>
      </c>
      <c r="AI58">
        <v>51</v>
      </c>
      <c r="AJ58">
        <v>-2.6126</v>
      </c>
      <c r="AK58">
        <v>1950.1</v>
      </c>
      <c r="AP58">
        <f t="shared" si="5"/>
        <v>2.8999999999999981</v>
      </c>
      <c r="AQ58">
        <v>51</v>
      </c>
      <c r="AR58">
        <v>-1.6750799999999999</v>
      </c>
      <c r="AS58">
        <v>1242.6199999999999</v>
      </c>
      <c r="AX58">
        <f t="shared" si="6"/>
        <v>2.8999999999999981</v>
      </c>
      <c r="AY58">
        <v>51</v>
      </c>
      <c r="AZ58">
        <v>5.32911</v>
      </c>
      <c r="BA58">
        <v>584.21900000000005</v>
      </c>
    </row>
    <row r="59" spans="2:53" x14ac:dyDescent="0.2">
      <c r="B59">
        <f t="shared" si="0"/>
        <v>2.949999999999998</v>
      </c>
      <c r="C59">
        <v>52</v>
      </c>
      <c r="D59">
        <v>-2.20356</v>
      </c>
      <c r="E59">
        <v>-1871.34</v>
      </c>
      <c r="J59">
        <f t="shared" si="1"/>
        <v>2.949999999999998</v>
      </c>
      <c r="K59">
        <v>52</v>
      </c>
      <c r="L59">
        <v>-1.4589399999999999</v>
      </c>
      <c r="M59">
        <v>-589.56299999999999</v>
      </c>
      <c r="R59">
        <f t="shared" si="2"/>
        <v>2.949999999999998</v>
      </c>
      <c r="S59">
        <v>52</v>
      </c>
      <c r="T59">
        <v>-0.74506700000000003</v>
      </c>
      <c r="U59">
        <v>-1255.17</v>
      </c>
      <c r="Z59">
        <f t="shared" si="3"/>
        <v>2.949999999999998</v>
      </c>
      <c r="AA59">
        <v>52</v>
      </c>
      <c r="AB59">
        <v>-4.3128599999999997</v>
      </c>
      <c r="AC59">
        <v>1570.4</v>
      </c>
      <c r="AH59">
        <f t="shared" si="4"/>
        <v>2.949999999999998</v>
      </c>
      <c r="AI59">
        <v>52</v>
      </c>
      <c r="AJ59">
        <v>-2.6972800000000001</v>
      </c>
      <c r="AK59">
        <v>1842.34</v>
      </c>
      <c r="AP59">
        <f t="shared" si="5"/>
        <v>2.949999999999998</v>
      </c>
      <c r="AQ59">
        <v>52</v>
      </c>
      <c r="AR59">
        <v>-1.7299899999999999</v>
      </c>
      <c r="AS59">
        <v>1214.8499999999999</v>
      </c>
      <c r="AX59">
        <f t="shared" si="6"/>
        <v>2.949999999999998</v>
      </c>
      <c r="AY59">
        <v>52</v>
      </c>
      <c r="AZ59">
        <v>5.3025700000000002</v>
      </c>
      <c r="BA59">
        <v>604.25400000000002</v>
      </c>
    </row>
    <row r="60" spans="2:53" x14ac:dyDescent="0.2">
      <c r="B60">
        <f t="shared" si="0"/>
        <v>2.9999999999999978</v>
      </c>
      <c r="C60">
        <v>53</v>
      </c>
      <c r="D60">
        <v>-2.1214300000000001</v>
      </c>
      <c r="E60">
        <v>-1867.37</v>
      </c>
      <c r="J60">
        <f t="shared" si="1"/>
        <v>2.9999999999999978</v>
      </c>
      <c r="K60">
        <v>53</v>
      </c>
      <c r="L60">
        <v>-1.4300999999999999</v>
      </c>
      <c r="M60">
        <v>-720.86400000000003</v>
      </c>
      <c r="R60">
        <f t="shared" si="2"/>
        <v>2.9999999999999978</v>
      </c>
      <c r="S60">
        <v>53</v>
      </c>
      <c r="T60">
        <v>-0.68912799999999996</v>
      </c>
      <c r="U60">
        <v>-1290.8399999999999</v>
      </c>
      <c r="Z60">
        <f t="shared" si="3"/>
        <v>2.9999999999999978</v>
      </c>
      <c r="AA60">
        <v>53</v>
      </c>
      <c r="AB60">
        <v>-4.3801899999999998</v>
      </c>
      <c r="AC60">
        <v>1496.09</v>
      </c>
      <c r="AH60">
        <f t="shared" si="4"/>
        <v>2.9999999999999978</v>
      </c>
      <c r="AI60">
        <v>53</v>
      </c>
      <c r="AJ60">
        <v>-2.7760400000000001</v>
      </c>
      <c r="AK60">
        <v>1745.97</v>
      </c>
      <c r="AP60">
        <f t="shared" si="5"/>
        <v>2.9999999999999978</v>
      </c>
      <c r="AQ60">
        <v>53</v>
      </c>
      <c r="AR60">
        <v>-1.78268</v>
      </c>
      <c r="AS60">
        <v>1184.02</v>
      </c>
      <c r="AX60">
        <f t="shared" si="6"/>
        <v>2.9999999999999978</v>
      </c>
      <c r="AY60">
        <v>53</v>
      </c>
      <c r="AZ60">
        <v>5.27555</v>
      </c>
      <c r="BA60">
        <v>626.59199999999998</v>
      </c>
    </row>
    <row r="61" spans="2:53" x14ac:dyDescent="0.2">
      <c r="B61">
        <f t="shared" si="0"/>
        <v>3.0499999999999976</v>
      </c>
      <c r="C61">
        <v>54</v>
      </c>
      <c r="D61">
        <v>-2.0410400000000002</v>
      </c>
      <c r="E61">
        <v>-1854.93</v>
      </c>
      <c r="J61">
        <f t="shared" si="1"/>
        <v>3.0499999999999976</v>
      </c>
      <c r="K61">
        <v>54</v>
      </c>
      <c r="L61">
        <v>-1.3965099999999999</v>
      </c>
      <c r="M61">
        <v>-831.82399999999996</v>
      </c>
      <c r="R61">
        <f t="shared" si="2"/>
        <v>3.0499999999999976</v>
      </c>
      <c r="S61">
        <v>54</v>
      </c>
      <c r="T61">
        <v>-0.63279300000000005</v>
      </c>
      <c r="U61">
        <v>-1317.26</v>
      </c>
      <c r="Z61">
        <f t="shared" si="3"/>
        <v>3.0499999999999976</v>
      </c>
      <c r="AA61">
        <v>54</v>
      </c>
      <c r="AB61">
        <v>-4.4431900000000004</v>
      </c>
      <c r="AC61">
        <v>1421.89</v>
      </c>
      <c r="AH61">
        <f t="shared" si="4"/>
        <v>3.0499999999999976</v>
      </c>
      <c r="AI61">
        <v>54</v>
      </c>
      <c r="AJ61">
        <v>-2.8495200000000001</v>
      </c>
      <c r="AK61">
        <v>1658.64</v>
      </c>
      <c r="AP61">
        <f t="shared" si="5"/>
        <v>3.0499999999999976</v>
      </c>
      <c r="AQ61">
        <v>54</v>
      </c>
      <c r="AR61">
        <v>-1.8330900000000001</v>
      </c>
      <c r="AS61">
        <v>1150.31</v>
      </c>
      <c r="AX61">
        <f t="shared" si="6"/>
        <v>3.0499999999999976</v>
      </c>
      <c r="AY61">
        <v>54</v>
      </c>
      <c r="AZ61">
        <v>5.2480200000000004</v>
      </c>
      <c r="BA61">
        <v>648.64099999999996</v>
      </c>
    </row>
    <row r="62" spans="2:53" x14ac:dyDescent="0.2">
      <c r="B62">
        <f t="shared" si="0"/>
        <v>3.0999999999999974</v>
      </c>
      <c r="C62">
        <v>55</v>
      </c>
      <c r="D62">
        <v>-1.9626699999999999</v>
      </c>
      <c r="E62">
        <v>-1835.11</v>
      </c>
      <c r="J62">
        <f t="shared" si="1"/>
        <v>3.0999999999999974</v>
      </c>
      <c r="K62">
        <v>55</v>
      </c>
      <c r="L62">
        <v>-1.35917</v>
      </c>
      <c r="M62">
        <v>-924.15700000000004</v>
      </c>
      <c r="R62">
        <f t="shared" si="2"/>
        <v>3.0999999999999974</v>
      </c>
      <c r="S62">
        <v>55</v>
      </c>
      <c r="T62">
        <v>-0.57644200000000001</v>
      </c>
      <c r="U62">
        <v>-1335.55</v>
      </c>
      <c r="Z62">
        <f t="shared" si="3"/>
        <v>3.0999999999999974</v>
      </c>
      <c r="AA62">
        <v>55</v>
      </c>
      <c r="AB62">
        <v>-4.5020100000000003</v>
      </c>
      <c r="AC62">
        <v>1348.4</v>
      </c>
      <c r="AH62">
        <f t="shared" si="4"/>
        <v>3.0999999999999974</v>
      </c>
      <c r="AI62">
        <v>55</v>
      </c>
      <c r="AJ62">
        <v>-2.9182299999999999</v>
      </c>
      <c r="AK62">
        <v>1578.56</v>
      </c>
      <c r="AP62">
        <f t="shared" si="5"/>
        <v>3.0999999999999974</v>
      </c>
      <c r="AQ62">
        <v>55</v>
      </c>
      <c r="AR62">
        <v>-1.88117</v>
      </c>
      <c r="AS62">
        <v>1114</v>
      </c>
      <c r="AX62">
        <f t="shared" si="6"/>
        <v>3.0999999999999974</v>
      </c>
      <c r="AY62">
        <v>55</v>
      </c>
      <c r="AZ62">
        <v>5.2200499999999996</v>
      </c>
      <c r="BA62">
        <v>668</v>
      </c>
    </row>
    <row r="63" spans="2:53" x14ac:dyDescent="0.2">
      <c r="B63">
        <f t="shared" si="0"/>
        <v>3.1499999999999972</v>
      </c>
      <c r="C63">
        <v>56</v>
      </c>
      <c r="D63">
        <v>-1.8865400000000001</v>
      </c>
      <c r="E63">
        <v>-1809.16</v>
      </c>
      <c r="J63">
        <f t="shared" si="1"/>
        <v>3.1499999999999972</v>
      </c>
      <c r="K63">
        <v>56</v>
      </c>
      <c r="L63">
        <v>-1.31894</v>
      </c>
      <c r="M63">
        <v>-999.476</v>
      </c>
      <c r="R63">
        <f t="shared" si="2"/>
        <v>3.1499999999999972</v>
      </c>
      <c r="S63">
        <v>56</v>
      </c>
      <c r="T63">
        <v>-0.52039500000000005</v>
      </c>
      <c r="U63">
        <v>-1346.77</v>
      </c>
      <c r="Z63">
        <f t="shared" si="3"/>
        <v>3.1499999999999972</v>
      </c>
      <c r="AA63">
        <v>56</v>
      </c>
      <c r="AB63">
        <v>-4.5568299999999997</v>
      </c>
      <c r="AC63">
        <v>1276.02</v>
      </c>
      <c r="AH63">
        <f t="shared" si="4"/>
        <v>3.1499999999999972</v>
      </c>
      <c r="AI63">
        <v>56</v>
      </c>
      <c r="AJ63">
        <v>-2.9826100000000002</v>
      </c>
      <c r="AK63">
        <v>1504.48</v>
      </c>
      <c r="AP63">
        <f t="shared" si="5"/>
        <v>3.1499999999999972</v>
      </c>
      <c r="AQ63">
        <v>56</v>
      </c>
      <c r="AR63">
        <v>-1.9269099999999999</v>
      </c>
      <c r="AS63">
        <v>1075.53</v>
      </c>
      <c r="AX63">
        <f t="shared" si="6"/>
        <v>3.1499999999999972</v>
      </c>
      <c r="AY63">
        <v>56</v>
      </c>
      <c r="AZ63">
        <v>5.1918199999999999</v>
      </c>
      <c r="BA63">
        <v>682.755</v>
      </c>
    </row>
    <row r="64" spans="2:53" x14ac:dyDescent="0.2">
      <c r="B64">
        <f t="shared" si="0"/>
        <v>3.1999999999999971</v>
      </c>
      <c r="C64">
        <v>57</v>
      </c>
      <c r="D64">
        <v>-1.8127899999999999</v>
      </c>
      <c r="E64">
        <v>-1778.42</v>
      </c>
      <c r="J64">
        <f t="shared" si="1"/>
        <v>3.1999999999999971</v>
      </c>
      <c r="K64">
        <v>57</v>
      </c>
      <c r="L64">
        <v>-1.27658</v>
      </c>
      <c r="M64">
        <v>-1059.4100000000001</v>
      </c>
      <c r="R64">
        <f t="shared" si="2"/>
        <v>3.1999999999999971</v>
      </c>
      <c r="S64">
        <v>57</v>
      </c>
      <c r="T64">
        <v>-0.46491199999999999</v>
      </c>
      <c r="U64">
        <v>-1351.9</v>
      </c>
      <c r="Z64">
        <f t="shared" si="3"/>
        <v>3.1999999999999971</v>
      </c>
      <c r="AA64">
        <v>57</v>
      </c>
      <c r="AB64">
        <v>-4.6078200000000002</v>
      </c>
      <c r="AC64">
        <v>1205.08</v>
      </c>
      <c r="AH64">
        <f t="shared" si="4"/>
        <v>3.1999999999999971</v>
      </c>
      <c r="AI64">
        <v>57</v>
      </c>
      <c r="AJ64">
        <v>-3.0430199999999998</v>
      </c>
      <c r="AK64">
        <v>1435.59</v>
      </c>
      <c r="AP64">
        <f t="shared" si="5"/>
        <v>3.1999999999999971</v>
      </c>
      <c r="AQ64">
        <v>57</v>
      </c>
      <c r="AR64">
        <v>-1.97031</v>
      </c>
      <c r="AS64">
        <v>1035.4000000000001</v>
      </c>
      <c r="AX64">
        <f t="shared" si="6"/>
        <v>3.1999999999999971</v>
      </c>
      <c r="AY64">
        <v>57</v>
      </c>
      <c r="AZ64">
        <v>5.1635499999999999</v>
      </c>
      <c r="BA64">
        <v>691.66600000000005</v>
      </c>
    </row>
    <row r="65" spans="2:53" x14ac:dyDescent="0.2">
      <c r="B65">
        <f t="shared" si="0"/>
        <v>3.2499999999999969</v>
      </c>
      <c r="C65">
        <v>58</v>
      </c>
      <c r="D65">
        <v>-1.74152</v>
      </c>
      <c r="E65">
        <v>-1744.27</v>
      </c>
      <c r="J65">
        <f t="shared" si="1"/>
        <v>3.2499999999999969</v>
      </c>
      <c r="K65">
        <v>58</v>
      </c>
      <c r="L65">
        <v>-1.2327399999999999</v>
      </c>
      <c r="M65">
        <v>-1105.7</v>
      </c>
      <c r="R65">
        <f t="shared" si="2"/>
        <v>3.2499999999999969</v>
      </c>
      <c r="S65">
        <v>58</v>
      </c>
      <c r="T65">
        <v>-0.41020099999999998</v>
      </c>
      <c r="U65">
        <v>-1351.93</v>
      </c>
      <c r="Z65">
        <f t="shared" si="3"/>
        <v>3.2499999999999969</v>
      </c>
      <c r="AA65">
        <v>58</v>
      </c>
      <c r="AB65">
        <v>-4.65517</v>
      </c>
      <c r="AC65">
        <v>1135.79</v>
      </c>
      <c r="AH65">
        <f t="shared" si="4"/>
        <v>3.2499999999999969</v>
      </c>
      <c r="AI65">
        <v>58</v>
      </c>
      <c r="AJ65">
        <v>-3.09979</v>
      </c>
      <c r="AK65">
        <v>1371.52</v>
      </c>
      <c r="AP65">
        <f t="shared" si="5"/>
        <v>3.2499999999999969</v>
      </c>
      <c r="AQ65">
        <v>58</v>
      </c>
      <c r="AR65">
        <v>-2.0113699999999999</v>
      </c>
      <c r="AS65">
        <v>994.16399999999999</v>
      </c>
      <c r="AX65">
        <f t="shared" si="6"/>
        <v>3.2499999999999969</v>
      </c>
      <c r="AY65">
        <v>58</v>
      </c>
      <c r="AZ65">
        <v>5.1354899999999999</v>
      </c>
      <c r="BA65">
        <v>694.25800000000004</v>
      </c>
    </row>
    <row r="66" spans="2:53" x14ac:dyDescent="0.2">
      <c r="B66">
        <f t="shared" si="0"/>
        <v>3.2999999999999967</v>
      </c>
      <c r="C66">
        <v>59</v>
      </c>
      <c r="D66">
        <v>-1.67276</v>
      </c>
      <c r="E66">
        <v>-1708.03</v>
      </c>
      <c r="J66">
        <f t="shared" si="1"/>
        <v>3.2999999999999967</v>
      </c>
      <c r="K66">
        <v>59</v>
      </c>
      <c r="L66">
        <v>-1.18798</v>
      </c>
      <c r="M66">
        <v>-1140.18</v>
      </c>
      <c r="R66">
        <f t="shared" si="2"/>
        <v>3.2999999999999967</v>
      </c>
      <c r="S66">
        <v>59</v>
      </c>
      <c r="T66">
        <v>-0.35642400000000002</v>
      </c>
      <c r="U66">
        <v>-1347.78</v>
      </c>
      <c r="Z66">
        <f t="shared" si="3"/>
        <v>3.2999999999999967</v>
      </c>
      <c r="AA66">
        <v>59</v>
      </c>
      <c r="AB66">
        <v>-4.6990600000000002</v>
      </c>
      <c r="AC66">
        <v>1068.33</v>
      </c>
      <c r="AH66">
        <f t="shared" si="4"/>
        <v>3.2999999999999967</v>
      </c>
      <c r="AI66">
        <v>59</v>
      </c>
      <c r="AJ66">
        <v>-3.1532300000000002</v>
      </c>
      <c r="AK66">
        <v>1312.19</v>
      </c>
      <c r="AP66">
        <f t="shared" si="5"/>
        <v>3.2999999999999967</v>
      </c>
      <c r="AQ66">
        <v>59</v>
      </c>
      <c r="AR66">
        <v>-2.0501399999999999</v>
      </c>
      <c r="AS66">
        <v>952.44</v>
      </c>
      <c r="AX66">
        <f t="shared" si="6"/>
        <v>3.2999999999999967</v>
      </c>
      <c r="AY66">
        <v>59</v>
      </c>
      <c r="AZ66">
        <v>5.1078900000000003</v>
      </c>
      <c r="BA66">
        <v>690.80100000000004</v>
      </c>
    </row>
    <row r="67" spans="2:53" x14ac:dyDescent="0.2">
      <c r="B67">
        <f t="shared" si="0"/>
        <v>3.3499999999999965</v>
      </c>
      <c r="C67">
        <v>60</v>
      </c>
      <c r="D67">
        <v>-1.60649</v>
      </c>
      <c r="E67">
        <v>-1670.92</v>
      </c>
      <c r="J67">
        <f t="shared" si="1"/>
        <v>3.3499999999999965</v>
      </c>
      <c r="K67">
        <v>60</v>
      </c>
      <c r="L67">
        <v>-1.1427499999999999</v>
      </c>
      <c r="M67">
        <v>-1164.76</v>
      </c>
      <c r="R67">
        <f t="shared" si="2"/>
        <v>3.3499999999999965</v>
      </c>
      <c r="S67">
        <v>60</v>
      </c>
      <c r="T67">
        <v>-0.30369600000000002</v>
      </c>
      <c r="U67">
        <v>-1340.37</v>
      </c>
      <c r="Z67">
        <f t="shared" si="3"/>
        <v>3.3499999999999965</v>
      </c>
      <c r="AA67">
        <v>60</v>
      </c>
      <c r="AB67">
        <v>-4.7396799999999999</v>
      </c>
      <c r="AC67">
        <v>1002.82</v>
      </c>
      <c r="AH67">
        <f t="shared" si="4"/>
        <v>3.3499999999999965</v>
      </c>
      <c r="AI67">
        <v>60</v>
      </c>
      <c r="AJ67">
        <v>-3.2036099999999998</v>
      </c>
      <c r="AK67">
        <v>1257.72</v>
      </c>
      <c r="AP67">
        <f t="shared" si="5"/>
        <v>3.3499999999999965</v>
      </c>
      <c r="AQ67">
        <v>60</v>
      </c>
      <c r="AR67">
        <v>-2.0866799999999999</v>
      </c>
      <c r="AS67">
        <v>910.846</v>
      </c>
      <c r="AX67">
        <f t="shared" si="6"/>
        <v>3.3499999999999965</v>
      </c>
      <c r="AY67">
        <v>60</v>
      </c>
      <c r="AZ67">
        <v>5.0809499999999996</v>
      </c>
      <c r="BA67">
        <v>682.20899999999995</v>
      </c>
    </row>
    <row r="68" spans="2:53" x14ac:dyDescent="0.2">
      <c r="B68">
        <f t="shared" si="0"/>
        <v>3.3999999999999964</v>
      </c>
      <c r="C68">
        <v>61</v>
      </c>
      <c r="D68">
        <v>-1.5426500000000001</v>
      </c>
      <c r="E68">
        <v>-1634.01</v>
      </c>
      <c r="J68">
        <f t="shared" si="1"/>
        <v>3.3999999999999964</v>
      </c>
      <c r="K68">
        <v>61</v>
      </c>
      <c r="L68">
        <v>-1.09741</v>
      </c>
      <c r="M68">
        <v>-1181.4000000000001</v>
      </c>
      <c r="R68">
        <f t="shared" si="2"/>
        <v>3.3999999999999964</v>
      </c>
      <c r="S68">
        <v>61</v>
      </c>
      <c r="T68">
        <v>-0.25209700000000002</v>
      </c>
      <c r="U68">
        <v>-1330.57</v>
      </c>
      <c r="Z68">
        <f t="shared" si="3"/>
        <v>3.3999999999999964</v>
      </c>
      <c r="AA68">
        <v>61</v>
      </c>
      <c r="AB68">
        <v>-4.77719</v>
      </c>
      <c r="AC68">
        <v>939.38699999999994</v>
      </c>
      <c r="AH68">
        <f t="shared" si="4"/>
        <v>3.3999999999999964</v>
      </c>
      <c r="AI68">
        <v>61</v>
      </c>
      <c r="AJ68">
        <v>-3.2512300000000001</v>
      </c>
      <c r="AK68">
        <v>1208.3499999999999</v>
      </c>
      <c r="AP68">
        <f t="shared" si="5"/>
        <v>3.3999999999999964</v>
      </c>
      <c r="AQ68">
        <v>61</v>
      </c>
      <c r="AR68">
        <v>-2.1210800000000001</v>
      </c>
      <c r="AS68">
        <v>870.00599999999997</v>
      </c>
      <c r="AX68">
        <f t="shared" si="6"/>
        <v>3.3999999999999964</v>
      </c>
      <c r="AY68">
        <v>61</v>
      </c>
      <c r="AZ68">
        <v>5.0548200000000003</v>
      </c>
      <c r="BA68">
        <v>669.88499999999999</v>
      </c>
    </row>
    <row r="69" spans="2:53" x14ac:dyDescent="0.2">
      <c r="B69">
        <f t="shared" si="0"/>
        <v>3.4499999999999962</v>
      </c>
      <c r="C69">
        <v>62</v>
      </c>
      <c r="D69">
        <v>-1.4811399999999999</v>
      </c>
      <c r="E69">
        <v>-1598.12</v>
      </c>
      <c r="J69">
        <f t="shared" si="1"/>
        <v>3.4499999999999962</v>
      </c>
      <c r="K69">
        <v>62</v>
      </c>
      <c r="L69">
        <v>-1.05223</v>
      </c>
      <c r="M69">
        <v>-1191.99</v>
      </c>
      <c r="R69">
        <f t="shared" si="2"/>
        <v>3.4499999999999962</v>
      </c>
      <c r="S69">
        <v>62</v>
      </c>
      <c r="T69">
        <v>-0.20166799999999999</v>
      </c>
      <c r="U69">
        <v>-1319.16</v>
      </c>
      <c r="Z69">
        <f t="shared" si="3"/>
        <v>3.4499999999999962</v>
      </c>
      <c r="AA69">
        <v>62</v>
      </c>
      <c r="AB69">
        <v>-4.8117700000000001</v>
      </c>
      <c r="AC69">
        <v>878.14800000000002</v>
      </c>
      <c r="AH69">
        <f t="shared" si="4"/>
        <v>3.4499999999999962</v>
      </c>
      <c r="AI69">
        <v>62</v>
      </c>
      <c r="AJ69">
        <v>-3.29637</v>
      </c>
      <c r="AK69">
        <v>1164.32</v>
      </c>
      <c r="AP69">
        <f t="shared" si="5"/>
        <v>3.4499999999999962</v>
      </c>
      <c r="AQ69">
        <v>62</v>
      </c>
      <c r="AR69">
        <v>-2.1534300000000002</v>
      </c>
      <c r="AS69">
        <v>830.51700000000005</v>
      </c>
      <c r="AX69">
        <f t="shared" si="6"/>
        <v>3.4499999999999962</v>
      </c>
      <c r="AY69">
        <v>62</v>
      </c>
      <c r="AZ69">
        <v>5.0296000000000003</v>
      </c>
      <c r="BA69">
        <v>655.529</v>
      </c>
    </row>
    <row r="70" spans="2:53" x14ac:dyDescent="0.2">
      <c r="B70">
        <f t="shared" si="0"/>
        <v>3.499999999999996</v>
      </c>
      <c r="C70">
        <v>63</v>
      </c>
      <c r="D70">
        <v>-1.4218599999999999</v>
      </c>
      <c r="E70">
        <v>-1563.82</v>
      </c>
      <c r="J70">
        <f t="shared" si="1"/>
        <v>3.499999999999996</v>
      </c>
      <c r="K70">
        <v>63</v>
      </c>
      <c r="L70">
        <v>-1.0074000000000001</v>
      </c>
      <c r="M70">
        <v>-1198.3</v>
      </c>
      <c r="R70">
        <f t="shared" si="2"/>
        <v>3.499999999999996</v>
      </c>
      <c r="S70">
        <v>63</v>
      </c>
      <c r="T70">
        <v>-0.152422</v>
      </c>
      <c r="U70">
        <v>-1306.8499999999999</v>
      </c>
      <c r="Z70">
        <f t="shared" si="3"/>
        <v>3.499999999999996</v>
      </c>
      <c r="AA70">
        <v>63</v>
      </c>
      <c r="AB70">
        <v>-4.8436000000000003</v>
      </c>
      <c r="AC70">
        <v>819.23199999999997</v>
      </c>
      <c r="AH70">
        <f t="shared" si="4"/>
        <v>3.499999999999996</v>
      </c>
      <c r="AI70">
        <v>63</v>
      </c>
      <c r="AJ70">
        <v>-3.3393000000000002</v>
      </c>
      <c r="AK70">
        <v>1125.81</v>
      </c>
      <c r="AP70">
        <f t="shared" si="5"/>
        <v>3.499999999999996</v>
      </c>
      <c r="AQ70">
        <v>63</v>
      </c>
      <c r="AR70">
        <v>-2.1838700000000002</v>
      </c>
      <c r="AS70">
        <v>792.93100000000004</v>
      </c>
      <c r="AX70">
        <f t="shared" si="6"/>
        <v>3.499999999999996</v>
      </c>
      <c r="AY70">
        <v>63</v>
      </c>
      <c r="AZ70">
        <v>5.0052899999999996</v>
      </c>
      <c r="BA70">
        <v>640.93600000000004</v>
      </c>
    </row>
    <row r="71" spans="2:53" x14ac:dyDescent="0.2">
      <c r="B71">
        <f t="shared" si="0"/>
        <v>3.5499999999999958</v>
      </c>
      <c r="C71">
        <v>64</v>
      </c>
      <c r="D71">
        <v>-1.3646499999999999</v>
      </c>
      <c r="E71">
        <v>-1531.41</v>
      </c>
      <c r="J71">
        <f t="shared" si="1"/>
        <v>3.5499999999999958</v>
      </c>
      <c r="K71">
        <v>64</v>
      </c>
      <c r="L71">
        <v>-0.963028</v>
      </c>
      <c r="M71">
        <v>-1201.93</v>
      </c>
      <c r="R71">
        <f t="shared" si="2"/>
        <v>3.5499999999999958</v>
      </c>
      <c r="S71">
        <v>64</v>
      </c>
      <c r="T71">
        <v>-0.104348</v>
      </c>
      <c r="U71">
        <v>-1294.22</v>
      </c>
      <c r="Z71">
        <f t="shared" si="3"/>
        <v>3.5499999999999958</v>
      </c>
      <c r="AA71">
        <v>64</v>
      </c>
      <c r="AB71">
        <v>-4.8728300000000004</v>
      </c>
      <c r="AC71">
        <v>762.77499999999998</v>
      </c>
      <c r="AH71">
        <f t="shared" si="4"/>
        <v>3.5499999999999958</v>
      </c>
      <c r="AI71">
        <v>64</v>
      </c>
      <c r="AJ71">
        <v>-3.38029</v>
      </c>
      <c r="AK71">
        <v>1092.83</v>
      </c>
      <c r="AP71">
        <f t="shared" si="5"/>
        <v>3.5499999999999958</v>
      </c>
      <c r="AQ71">
        <v>64</v>
      </c>
      <c r="AR71">
        <v>-2.2125300000000001</v>
      </c>
      <c r="AS71">
        <v>757.72400000000005</v>
      </c>
      <c r="AX71">
        <f t="shared" si="6"/>
        <v>3.5499999999999958</v>
      </c>
      <c r="AY71">
        <v>64</v>
      </c>
      <c r="AZ71">
        <v>4.98184</v>
      </c>
      <c r="BA71">
        <v>627.81200000000001</v>
      </c>
    </row>
    <row r="72" spans="2:53" x14ac:dyDescent="0.2">
      <c r="B72">
        <f t="shared" si="0"/>
        <v>3.5999999999999956</v>
      </c>
      <c r="C72">
        <v>65</v>
      </c>
      <c r="D72">
        <v>-1.30941</v>
      </c>
      <c r="E72">
        <v>-1500.86</v>
      </c>
      <c r="J72">
        <f t="shared" si="1"/>
        <v>3.5999999999999956</v>
      </c>
      <c r="K72">
        <v>65</v>
      </c>
      <c r="L72">
        <v>-0.91918500000000003</v>
      </c>
      <c r="M72">
        <v>-1204.26</v>
      </c>
      <c r="R72">
        <f t="shared" si="2"/>
        <v>3.5999999999999956</v>
      </c>
      <c r="S72">
        <v>65</v>
      </c>
      <c r="T72">
        <v>-5.7414399999999997E-2</v>
      </c>
      <c r="U72">
        <v>-1281.7</v>
      </c>
      <c r="Z72">
        <f t="shared" si="3"/>
        <v>3.5999999999999956</v>
      </c>
      <c r="AA72">
        <v>65</v>
      </c>
      <c r="AB72">
        <v>-4.8996399999999998</v>
      </c>
      <c r="AC72">
        <v>708.92899999999997</v>
      </c>
      <c r="AH72">
        <f t="shared" si="4"/>
        <v>3.5999999999999956</v>
      </c>
      <c r="AI72">
        <v>65</v>
      </c>
      <c r="AJ72">
        <v>-3.4196</v>
      </c>
      <c r="AK72">
        <v>1065.23</v>
      </c>
      <c r="AP72">
        <f t="shared" si="5"/>
        <v>3.5999999999999956</v>
      </c>
      <c r="AQ72">
        <v>65</v>
      </c>
      <c r="AR72">
        <v>-2.2395399999999999</v>
      </c>
      <c r="AS72">
        <v>725.27200000000005</v>
      </c>
      <c r="AX72">
        <f t="shared" si="6"/>
        <v>3.5999999999999956</v>
      </c>
      <c r="AY72">
        <v>65</v>
      </c>
      <c r="AZ72">
        <v>4.9591599999999998</v>
      </c>
      <c r="BA72">
        <v>617.60199999999998</v>
      </c>
    </row>
    <row r="73" spans="2:53" x14ac:dyDescent="0.2">
      <c r="B73">
        <f t="shared" ref="B73:B107" si="7">B72+0.05</f>
        <v>3.6499999999999955</v>
      </c>
      <c r="C73">
        <v>66</v>
      </c>
      <c r="D73">
        <v>-1.256</v>
      </c>
      <c r="E73">
        <v>-1471.92</v>
      </c>
      <c r="J73">
        <f t="shared" ref="J73:J107" si="8">J72+0.05</f>
        <v>3.6499999999999955</v>
      </c>
      <c r="K73">
        <v>66</v>
      </c>
      <c r="L73">
        <v>-0.87587700000000002</v>
      </c>
      <c r="M73">
        <v>-1206.4100000000001</v>
      </c>
      <c r="R73">
        <f t="shared" ref="R73:R107" si="9">R72+0.05</f>
        <v>3.6499999999999955</v>
      </c>
      <c r="S73">
        <v>66</v>
      </c>
      <c r="T73">
        <v>-1.1580500000000001E-2</v>
      </c>
      <c r="U73">
        <v>-1269.5899999999999</v>
      </c>
      <c r="Z73">
        <f t="shared" ref="Z73:Z107" si="10">Z72+0.05</f>
        <v>3.6499999999999955</v>
      </c>
      <c r="AA73">
        <v>66</v>
      </c>
      <c r="AB73">
        <v>-4.9241900000000003</v>
      </c>
      <c r="AC73">
        <v>657.85599999999999</v>
      </c>
      <c r="AH73">
        <f t="shared" ref="AH73:AH107" si="11">AH72+0.05</f>
        <v>3.6499999999999955</v>
      </c>
      <c r="AI73">
        <v>66</v>
      </c>
      <c r="AJ73">
        <v>-3.4574500000000001</v>
      </c>
      <c r="AK73">
        <v>1042.6600000000001</v>
      </c>
      <c r="AP73">
        <f t="shared" ref="AP73:AP107" si="12">AP72+0.05</f>
        <v>3.6499999999999955</v>
      </c>
      <c r="AQ73">
        <v>66</v>
      </c>
      <c r="AR73">
        <v>-2.2650600000000001</v>
      </c>
      <c r="AS73">
        <v>695.82500000000005</v>
      </c>
      <c r="AX73">
        <f t="shared" ref="AX73:AX107" si="13">AX72+0.05</f>
        <v>3.6499999999999955</v>
      </c>
      <c r="AY73">
        <v>66</v>
      </c>
      <c r="AZ73">
        <v>4.9371</v>
      </c>
      <c r="BA73">
        <v>611.36900000000003</v>
      </c>
    </row>
    <row r="74" spans="2:53" x14ac:dyDescent="0.2">
      <c r="B74">
        <f t="shared" si="7"/>
        <v>3.6999999999999953</v>
      </c>
      <c r="C74">
        <v>67</v>
      </c>
      <c r="D74">
        <v>-1.20434</v>
      </c>
      <c r="E74">
        <v>-1444.06</v>
      </c>
      <c r="J74">
        <f t="shared" si="8"/>
        <v>3.6999999999999953</v>
      </c>
      <c r="K74">
        <v>67</v>
      </c>
      <c r="L74">
        <v>-0.83308099999999996</v>
      </c>
      <c r="M74">
        <v>-1209.25</v>
      </c>
      <c r="R74">
        <f t="shared" si="9"/>
        <v>3.6999999999999953</v>
      </c>
      <c r="S74">
        <v>67</v>
      </c>
      <c r="T74">
        <v>3.3200500000000001E-2</v>
      </c>
      <c r="U74">
        <v>-1257.96</v>
      </c>
      <c r="Z74">
        <f t="shared" si="10"/>
        <v>3.6999999999999953</v>
      </c>
      <c r="AA74">
        <v>67</v>
      </c>
      <c r="AB74">
        <v>-4.9466400000000004</v>
      </c>
      <c r="AC74">
        <v>609.72699999999998</v>
      </c>
      <c r="AH74">
        <f t="shared" si="11"/>
        <v>3.6999999999999953</v>
      </c>
      <c r="AI74">
        <v>67</v>
      </c>
      <c r="AJ74">
        <v>-3.4940699999999998</v>
      </c>
      <c r="AK74">
        <v>1024.53</v>
      </c>
      <c r="AP74">
        <f t="shared" si="12"/>
        <v>3.6999999999999953</v>
      </c>
      <c r="AQ74">
        <v>67</v>
      </c>
      <c r="AR74">
        <v>-2.2892399999999999</v>
      </c>
      <c r="AS74">
        <v>669.48</v>
      </c>
      <c r="AX74">
        <f t="shared" si="13"/>
        <v>3.6999999999999953</v>
      </c>
      <c r="AY74">
        <v>67</v>
      </c>
      <c r="AZ74">
        <v>4.91547</v>
      </c>
      <c r="BA74">
        <v>609.70899999999995</v>
      </c>
    </row>
    <row r="75" spans="2:53" x14ac:dyDescent="0.2">
      <c r="B75">
        <f t="shared" si="7"/>
        <v>3.7499999999999951</v>
      </c>
      <c r="C75">
        <v>68</v>
      </c>
      <c r="D75">
        <v>-1.15435</v>
      </c>
      <c r="E75">
        <v>-1416.55</v>
      </c>
      <c r="J75">
        <f t="shared" si="8"/>
        <v>3.7499999999999951</v>
      </c>
      <c r="K75">
        <v>68</v>
      </c>
      <c r="L75">
        <v>-0.79074599999999995</v>
      </c>
      <c r="M75">
        <v>-1213.3599999999999</v>
      </c>
      <c r="R75">
        <f t="shared" si="9"/>
        <v>3.7499999999999951</v>
      </c>
      <c r="S75">
        <v>68</v>
      </c>
      <c r="T75">
        <v>7.6973600000000003E-2</v>
      </c>
      <c r="U75">
        <v>-1246.75</v>
      </c>
      <c r="Z75">
        <f t="shared" si="10"/>
        <v>3.7499999999999951</v>
      </c>
      <c r="AA75">
        <v>68</v>
      </c>
      <c r="AB75">
        <v>-4.9671599999999998</v>
      </c>
      <c r="AC75">
        <v>564.71500000000003</v>
      </c>
      <c r="AH75">
        <f t="shared" si="11"/>
        <v>3.7499999999999951</v>
      </c>
      <c r="AI75">
        <v>68</v>
      </c>
      <c r="AJ75">
        <v>-3.5296099999999999</v>
      </c>
      <c r="AK75">
        <v>1010.06</v>
      </c>
      <c r="AP75">
        <f t="shared" si="12"/>
        <v>3.7499999999999951</v>
      </c>
      <c r="AQ75">
        <v>68</v>
      </c>
      <c r="AR75">
        <v>-2.31223</v>
      </c>
      <c r="AS75">
        <v>646.17499999999995</v>
      </c>
      <c r="AX75">
        <f t="shared" si="13"/>
        <v>3.7499999999999951</v>
      </c>
      <c r="AY75">
        <v>68</v>
      </c>
      <c r="AZ75">
        <v>4.89412</v>
      </c>
      <c r="BA75">
        <v>612.70600000000002</v>
      </c>
    </row>
    <row r="76" spans="2:53" x14ac:dyDescent="0.2">
      <c r="B76">
        <f t="shared" si="7"/>
        <v>3.7999999999999949</v>
      </c>
      <c r="C76">
        <v>69</v>
      </c>
      <c r="D76">
        <v>-1.10598</v>
      </c>
      <c r="E76">
        <v>-1388.54</v>
      </c>
      <c r="J76">
        <f t="shared" si="8"/>
        <v>3.7999999999999949</v>
      </c>
      <c r="K76">
        <v>69</v>
      </c>
      <c r="L76">
        <v>-0.74881200000000003</v>
      </c>
      <c r="M76">
        <v>-1219.02</v>
      </c>
      <c r="R76">
        <f t="shared" si="9"/>
        <v>3.7999999999999949</v>
      </c>
      <c r="S76">
        <v>69</v>
      </c>
      <c r="T76">
        <v>0.11977599999999999</v>
      </c>
      <c r="U76">
        <v>-1235.69</v>
      </c>
      <c r="Z76">
        <f t="shared" si="10"/>
        <v>3.7999999999999949</v>
      </c>
      <c r="AA76">
        <v>69</v>
      </c>
      <c r="AB76">
        <v>-4.9859</v>
      </c>
      <c r="AC76">
        <v>522.98800000000006</v>
      </c>
      <c r="AH76">
        <f t="shared" si="11"/>
        <v>3.7999999999999949</v>
      </c>
      <c r="AI76">
        <v>69</v>
      </c>
      <c r="AJ76">
        <v>-3.5642399999999999</v>
      </c>
      <c r="AK76">
        <v>998.30399999999997</v>
      </c>
      <c r="AP76">
        <f t="shared" si="12"/>
        <v>3.7999999999999949</v>
      </c>
      <c r="AQ76">
        <v>69</v>
      </c>
      <c r="AR76">
        <v>-2.3341500000000002</v>
      </c>
      <c r="AS76">
        <v>625.67600000000004</v>
      </c>
      <c r="AX76">
        <f t="shared" si="13"/>
        <v>3.7999999999999949</v>
      </c>
      <c r="AY76">
        <v>69</v>
      </c>
      <c r="AZ76">
        <v>4.8728800000000003</v>
      </c>
      <c r="BA76">
        <v>619.94500000000005</v>
      </c>
    </row>
    <row r="77" spans="2:53" x14ac:dyDescent="0.2">
      <c r="B77">
        <f t="shared" si="7"/>
        <v>3.8499999999999948</v>
      </c>
      <c r="C77">
        <v>70</v>
      </c>
      <c r="D77">
        <v>-1.0592200000000001</v>
      </c>
      <c r="E77">
        <v>-1359.09</v>
      </c>
      <c r="J77">
        <f t="shared" si="8"/>
        <v>3.8499999999999948</v>
      </c>
      <c r="K77">
        <v>70</v>
      </c>
      <c r="L77">
        <v>-0.70721500000000004</v>
      </c>
      <c r="M77">
        <v>-1226.21</v>
      </c>
      <c r="R77">
        <f t="shared" si="9"/>
        <v>3.8499999999999948</v>
      </c>
      <c r="S77">
        <v>70</v>
      </c>
      <c r="T77">
        <v>0.161632</v>
      </c>
      <c r="U77">
        <v>-1224.3599999999999</v>
      </c>
      <c r="Z77">
        <f t="shared" si="10"/>
        <v>3.8499999999999948</v>
      </c>
      <c r="AA77">
        <v>70</v>
      </c>
      <c r="AB77">
        <v>-5.0030400000000004</v>
      </c>
      <c r="AC77">
        <v>484.70100000000002</v>
      </c>
      <c r="AH77">
        <f t="shared" si="11"/>
        <v>3.8499999999999948</v>
      </c>
      <c r="AI77">
        <v>70</v>
      </c>
      <c r="AJ77">
        <v>-3.5980300000000001</v>
      </c>
      <c r="AK77">
        <v>988.19</v>
      </c>
      <c r="AP77">
        <f t="shared" si="12"/>
        <v>3.8499999999999948</v>
      </c>
      <c r="AQ77">
        <v>70</v>
      </c>
      <c r="AR77">
        <v>-2.3551299999999999</v>
      </c>
      <c r="AS77">
        <v>607.58799999999997</v>
      </c>
      <c r="AX77">
        <f t="shared" si="13"/>
        <v>3.8499999999999948</v>
      </c>
      <c r="AY77">
        <v>70</v>
      </c>
      <c r="AZ77">
        <v>4.8516199999999996</v>
      </c>
      <c r="BA77">
        <v>630.55999999999995</v>
      </c>
    </row>
    <row r="78" spans="2:53" x14ac:dyDescent="0.2">
      <c r="B78">
        <f t="shared" si="7"/>
        <v>3.8999999999999946</v>
      </c>
      <c r="C78">
        <v>71</v>
      </c>
      <c r="D78">
        <v>-1.0141100000000001</v>
      </c>
      <c r="E78">
        <v>-1327.29</v>
      </c>
      <c r="J78">
        <f t="shared" si="8"/>
        <v>3.8999999999999946</v>
      </c>
      <c r="K78">
        <v>71</v>
      </c>
      <c r="L78">
        <v>-0.66589799999999999</v>
      </c>
      <c r="M78">
        <v>-1234.55</v>
      </c>
      <c r="R78">
        <f t="shared" si="9"/>
        <v>3.8999999999999946</v>
      </c>
      <c r="S78">
        <v>71</v>
      </c>
      <c r="T78">
        <v>0.20254900000000001</v>
      </c>
      <c r="U78">
        <v>-1212.23</v>
      </c>
      <c r="Z78">
        <f t="shared" si="10"/>
        <v>3.8999999999999946</v>
      </c>
      <c r="AA78">
        <v>71</v>
      </c>
      <c r="AB78">
        <v>-5.0187299999999997</v>
      </c>
      <c r="AC78">
        <v>449.98200000000003</v>
      </c>
      <c r="AH78">
        <f t="shared" si="11"/>
        <v>3.8999999999999946</v>
      </c>
      <c r="AI78">
        <v>71</v>
      </c>
      <c r="AJ78">
        <v>-3.6310600000000002</v>
      </c>
      <c r="AK78">
        <v>978.56700000000001</v>
      </c>
      <c r="AP78">
        <f t="shared" si="12"/>
        <v>3.8999999999999946</v>
      </c>
      <c r="AQ78">
        <v>71</v>
      </c>
      <c r="AR78">
        <v>-2.3752599999999999</v>
      </c>
      <c r="AS78">
        <v>591.375</v>
      </c>
      <c r="AX78">
        <f t="shared" si="13"/>
        <v>3.8999999999999946</v>
      </c>
      <c r="AY78">
        <v>71</v>
      </c>
      <c r="AZ78">
        <v>4.8302300000000002</v>
      </c>
      <c r="BA78">
        <v>643.31799999999998</v>
      </c>
    </row>
    <row r="79" spans="2:53" x14ac:dyDescent="0.2">
      <c r="B79">
        <f t="shared" si="7"/>
        <v>3.9499999999999944</v>
      </c>
      <c r="C79">
        <v>72</v>
      </c>
      <c r="D79">
        <v>-0.97067800000000004</v>
      </c>
      <c r="E79">
        <v>-1292.3</v>
      </c>
      <c r="J79">
        <f t="shared" si="8"/>
        <v>3.9499999999999944</v>
      </c>
      <c r="K79">
        <v>72</v>
      </c>
      <c r="L79">
        <v>-0.62482899999999997</v>
      </c>
      <c r="M79">
        <v>-1243.31</v>
      </c>
      <c r="R79">
        <f t="shared" si="9"/>
        <v>3.9499999999999944</v>
      </c>
      <c r="S79">
        <v>72</v>
      </c>
      <c r="T79">
        <v>0.24251400000000001</v>
      </c>
      <c r="U79">
        <v>-1198.67</v>
      </c>
      <c r="Z79">
        <f t="shared" si="10"/>
        <v>3.9499999999999944</v>
      </c>
      <c r="AA79">
        <v>72</v>
      </c>
      <c r="AB79">
        <v>-5.0331200000000003</v>
      </c>
      <c r="AC79">
        <v>418.92399999999998</v>
      </c>
      <c r="AH79">
        <f t="shared" si="11"/>
        <v>3.9499999999999944</v>
      </c>
      <c r="AI79">
        <v>72</v>
      </c>
      <c r="AJ79">
        <v>-3.6633300000000002</v>
      </c>
      <c r="AK79">
        <v>968.28700000000003</v>
      </c>
      <c r="AP79">
        <f t="shared" si="12"/>
        <v>3.9499999999999944</v>
      </c>
      <c r="AQ79">
        <v>72</v>
      </c>
      <c r="AR79">
        <v>-2.3946100000000001</v>
      </c>
      <c r="AS79">
        <v>576.39499999999998</v>
      </c>
      <c r="AX79">
        <f t="shared" si="13"/>
        <v>3.9499999999999944</v>
      </c>
      <c r="AY79">
        <v>72</v>
      </c>
      <c r="AZ79">
        <v>4.8086799999999998</v>
      </c>
      <c r="BA79">
        <v>656.74099999999999</v>
      </c>
    </row>
    <row r="80" spans="2:53" x14ac:dyDescent="0.2">
      <c r="B80">
        <f t="shared" si="7"/>
        <v>3.9999999999999942</v>
      </c>
      <c r="C80">
        <v>73</v>
      </c>
      <c r="D80">
        <v>-0.92900899999999997</v>
      </c>
      <c r="E80">
        <v>-1253.48</v>
      </c>
      <c r="J80">
        <f t="shared" si="8"/>
        <v>3.9999999999999942</v>
      </c>
      <c r="K80">
        <v>73</v>
      </c>
      <c r="L80">
        <v>-0.58400399999999997</v>
      </c>
      <c r="M80">
        <v>-1251.43</v>
      </c>
      <c r="R80">
        <f t="shared" si="9"/>
        <v>3.9999999999999942</v>
      </c>
      <c r="S80">
        <v>73</v>
      </c>
      <c r="T80">
        <v>0.28149400000000002</v>
      </c>
      <c r="U80">
        <v>-1183.05</v>
      </c>
      <c r="Z80">
        <f t="shared" si="10"/>
        <v>3.9999999999999942</v>
      </c>
      <c r="AA80">
        <v>73</v>
      </c>
      <c r="AB80">
        <v>-5.0463699999999996</v>
      </c>
      <c r="AC80">
        <v>391.56400000000002</v>
      </c>
      <c r="AH80">
        <f t="shared" si="11"/>
        <v>3.9999999999999942</v>
      </c>
      <c r="AI80">
        <v>73</v>
      </c>
      <c r="AJ80">
        <v>-3.6948300000000001</v>
      </c>
      <c r="AK80">
        <v>956.274</v>
      </c>
      <c r="AP80">
        <f t="shared" si="12"/>
        <v>3.9999999999999942</v>
      </c>
      <c r="AQ80">
        <v>73</v>
      </c>
      <c r="AR80">
        <v>-2.4132400000000001</v>
      </c>
      <c r="AS80">
        <v>561.94200000000001</v>
      </c>
      <c r="AX80">
        <f t="shared" si="13"/>
        <v>3.9999999999999942</v>
      </c>
      <c r="AY80">
        <v>73</v>
      </c>
      <c r="AZ80">
        <v>4.7869799999999998</v>
      </c>
      <c r="BA80">
        <v>669.24699999999996</v>
      </c>
    </row>
    <row r="81" spans="2:53" x14ac:dyDescent="0.2">
      <c r="B81">
        <f t="shared" si="7"/>
        <v>4.0499999999999945</v>
      </c>
      <c r="C81">
        <v>74</v>
      </c>
      <c r="D81">
        <v>-0.889185</v>
      </c>
      <c r="E81">
        <v>-1210.45</v>
      </c>
      <c r="J81">
        <f t="shared" si="8"/>
        <v>4.0499999999999945</v>
      </c>
      <c r="K81">
        <v>74</v>
      </c>
      <c r="L81">
        <v>-0.543458</v>
      </c>
      <c r="M81">
        <v>-1257.54</v>
      </c>
      <c r="R81">
        <f t="shared" si="9"/>
        <v>4.0499999999999945</v>
      </c>
      <c r="S81">
        <v>74</v>
      </c>
      <c r="T81">
        <v>0.31943700000000003</v>
      </c>
      <c r="U81">
        <v>-1164.81</v>
      </c>
      <c r="Z81">
        <f t="shared" si="10"/>
        <v>4.0499999999999945</v>
      </c>
      <c r="AA81">
        <v>74</v>
      </c>
      <c r="AB81">
        <v>-5.05863</v>
      </c>
      <c r="AC81">
        <v>367.86900000000003</v>
      </c>
      <c r="AH81">
        <f t="shared" si="11"/>
        <v>4.0499999999999945</v>
      </c>
      <c r="AI81">
        <v>74</v>
      </c>
      <c r="AJ81">
        <v>-3.7254999999999998</v>
      </c>
      <c r="AK81">
        <v>941.61500000000001</v>
      </c>
      <c r="AP81">
        <f t="shared" si="12"/>
        <v>4.0499999999999945</v>
      </c>
      <c r="AQ81">
        <v>74</v>
      </c>
      <c r="AR81">
        <v>-2.4311600000000002</v>
      </c>
      <c r="AS81">
        <v>547.30999999999995</v>
      </c>
      <c r="AX81">
        <f t="shared" si="13"/>
        <v>4.0499999999999945</v>
      </c>
      <c r="AY81">
        <v>74</v>
      </c>
      <c r="AZ81">
        <v>4.76518</v>
      </c>
      <c r="BA81">
        <v>679.30799999999999</v>
      </c>
    </row>
    <row r="82" spans="2:53" x14ac:dyDescent="0.2">
      <c r="B82">
        <f t="shared" si="7"/>
        <v>4.0999999999999943</v>
      </c>
      <c r="C82">
        <v>75</v>
      </c>
      <c r="D82">
        <v>-0.85129600000000005</v>
      </c>
      <c r="E82">
        <v>-1163.2</v>
      </c>
      <c r="J82">
        <f t="shared" si="8"/>
        <v>4.0999999999999943</v>
      </c>
      <c r="K82">
        <v>75</v>
      </c>
      <c r="L82">
        <v>-0.50327200000000005</v>
      </c>
      <c r="M82">
        <v>-1260.1500000000001</v>
      </c>
      <c r="R82">
        <f t="shared" si="9"/>
        <v>4.0999999999999943</v>
      </c>
      <c r="S82">
        <v>75</v>
      </c>
      <c r="T82">
        <v>0.35627999999999999</v>
      </c>
      <c r="U82">
        <v>-1143.52</v>
      </c>
      <c r="Z82">
        <f t="shared" si="10"/>
        <v>4.0999999999999943</v>
      </c>
      <c r="AA82">
        <v>75</v>
      </c>
      <c r="AB82">
        <v>-5.0700399999999997</v>
      </c>
      <c r="AC82">
        <v>347.72</v>
      </c>
      <c r="AH82">
        <f t="shared" si="11"/>
        <v>4.0999999999999943</v>
      </c>
      <c r="AI82">
        <v>75</v>
      </c>
      <c r="AJ82">
        <v>-3.7552699999999999</v>
      </c>
      <c r="AK82">
        <v>923.64300000000003</v>
      </c>
      <c r="AP82">
        <f t="shared" si="12"/>
        <v>4.0999999999999943</v>
      </c>
      <c r="AQ82">
        <v>75</v>
      </c>
      <c r="AR82">
        <v>-2.4483799999999998</v>
      </c>
      <c r="AS82">
        <v>531.85799999999995</v>
      </c>
      <c r="AX82">
        <f t="shared" si="13"/>
        <v>4.0999999999999943</v>
      </c>
      <c r="AY82">
        <v>75</v>
      </c>
      <c r="AZ82">
        <v>4.7433899999999998</v>
      </c>
      <c r="BA82">
        <v>685.61300000000006</v>
      </c>
    </row>
    <row r="83" spans="2:53" x14ac:dyDescent="0.2">
      <c r="B83">
        <f t="shared" si="7"/>
        <v>4.1499999999999941</v>
      </c>
      <c r="C83">
        <v>76</v>
      </c>
      <c r="D83">
        <v>-0.81542400000000004</v>
      </c>
      <c r="E83">
        <v>-1112.1300000000001</v>
      </c>
      <c r="J83">
        <f t="shared" si="8"/>
        <v>4.1499999999999941</v>
      </c>
      <c r="K83">
        <v>76</v>
      </c>
      <c r="L83">
        <v>-0.46357300000000001</v>
      </c>
      <c r="M83">
        <v>-1257.74</v>
      </c>
      <c r="R83">
        <f t="shared" si="9"/>
        <v>4.1499999999999941</v>
      </c>
      <c r="S83">
        <v>76</v>
      </c>
      <c r="T83">
        <v>0.39194899999999999</v>
      </c>
      <c r="U83">
        <v>-1119.03</v>
      </c>
      <c r="Z83">
        <f t="shared" si="10"/>
        <v>4.1499999999999941</v>
      </c>
      <c r="AA83">
        <v>76</v>
      </c>
      <c r="AB83">
        <v>-5.08073</v>
      </c>
      <c r="AC83">
        <v>330.89100000000002</v>
      </c>
      <c r="AH83">
        <f t="shared" si="11"/>
        <v>4.1499999999999941</v>
      </c>
      <c r="AI83">
        <v>76</v>
      </c>
      <c r="AJ83">
        <v>-3.7840600000000002</v>
      </c>
      <c r="AK83">
        <v>902.03</v>
      </c>
      <c r="AP83">
        <f t="shared" si="12"/>
        <v>4.1499999999999941</v>
      </c>
      <c r="AQ83">
        <v>76</v>
      </c>
      <c r="AR83">
        <v>-2.46489</v>
      </c>
      <c r="AS83">
        <v>515.08299999999997</v>
      </c>
      <c r="AX83">
        <f t="shared" si="13"/>
        <v>4.1499999999999941</v>
      </c>
      <c r="AY83">
        <v>76</v>
      </c>
      <c r="AZ83">
        <v>4.7217399999999996</v>
      </c>
      <c r="BA83">
        <v>687.22900000000004</v>
      </c>
    </row>
    <row r="84" spans="2:53" x14ac:dyDescent="0.2">
      <c r="B84">
        <f t="shared" si="7"/>
        <v>4.199999999999994</v>
      </c>
      <c r="C84">
        <v>77</v>
      </c>
      <c r="D84">
        <v>-0.78162600000000004</v>
      </c>
      <c r="E84">
        <v>-1058.1199999999999</v>
      </c>
      <c r="J84">
        <f t="shared" si="8"/>
        <v>4.199999999999994</v>
      </c>
      <c r="K84">
        <v>77</v>
      </c>
      <c r="L84">
        <v>-0.42452400000000001</v>
      </c>
      <c r="M84">
        <v>-1249.1199999999999</v>
      </c>
      <c r="R84">
        <f t="shared" si="9"/>
        <v>4.199999999999994</v>
      </c>
      <c r="S84">
        <v>77</v>
      </c>
      <c r="T84">
        <v>0.426375</v>
      </c>
      <c r="U84">
        <v>-1091.5</v>
      </c>
      <c r="Z84">
        <f t="shared" si="10"/>
        <v>4.199999999999994</v>
      </c>
      <c r="AA84">
        <v>77</v>
      </c>
      <c r="AB84">
        <v>-5.0908100000000003</v>
      </c>
      <c r="AC84">
        <v>317.03899999999999</v>
      </c>
      <c r="AH84">
        <f t="shared" si="11"/>
        <v>4.199999999999994</v>
      </c>
      <c r="AI84">
        <v>77</v>
      </c>
      <c r="AJ84">
        <v>-3.81176</v>
      </c>
      <c r="AK84">
        <v>876.86</v>
      </c>
      <c r="AP84">
        <f t="shared" si="12"/>
        <v>4.199999999999994</v>
      </c>
      <c r="AQ84">
        <v>77</v>
      </c>
      <c r="AR84">
        <v>-2.4806499999999998</v>
      </c>
      <c r="AS84">
        <v>496.697</v>
      </c>
      <c r="AX84">
        <f t="shared" si="13"/>
        <v>4.199999999999994</v>
      </c>
      <c r="AY84">
        <v>77</v>
      </c>
      <c r="AZ84">
        <v>4.70038</v>
      </c>
      <c r="BA84">
        <v>683.74699999999996</v>
      </c>
    </row>
    <row r="85" spans="2:53" x14ac:dyDescent="0.2">
      <c r="B85">
        <f t="shared" si="7"/>
        <v>4.2499999999999938</v>
      </c>
      <c r="C85">
        <v>78</v>
      </c>
      <c r="D85">
        <v>-0.74992099999999995</v>
      </c>
      <c r="E85">
        <v>-1002.6</v>
      </c>
      <c r="J85">
        <f t="shared" si="8"/>
        <v>4.2499999999999938</v>
      </c>
      <c r="K85">
        <v>78</v>
      </c>
      <c r="L85">
        <v>-0.38631300000000002</v>
      </c>
      <c r="M85">
        <v>-1233.6199999999999</v>
      </c>
      <c r="R85">
        <f t="shared" si="9"/>
        <v>4.2499999999999938</v>
      </c>
      <c r="S85">
        <v>78</v>
      </c>
      <c r="T85">
        <v>0.45950200000000002</v>
      </c>
      <c r="U85">
        <v>-1061.53</v>
      </c>
      <c r="Z85">
        <f t="shared" si="10"/>
        <v>4.2499999999999938</v>
      </c>
      <c r="AA85">
        <v>78</v>
      </c>
      <c r="AB85">
        <v>-5.10039</v>
      </c>
      <c r="AC85">
        <v>305.69</v>
      </c>
      <c r="AH85">
        <f t="shared" si="11"/>
        <v>4.2499999999999938</v>
      </c>
      <c r="AI85">
        <v>78</v>
      </c>
      <c r="AJ85">
        <v>-3.83832</v>
      </c>
      <c r="AK85">
        <v>848.697</v>
      </c>
      <c r="AP85">
        <f t="shared" si="12"/>
        <v>4.2499999999999938</v>
      </c>
      <c r="AQ85">
        <v>78</v>
      </c>
      <c r="AR85">
        <v>-2.4956299999999998</v>
      </c>
      <c r="AS85">
        <v>476.697</v>
      </c>
      <c r="AX85">
        <f t="shared" si="13"/>
        <v>4.2499999999999938</v>
      </c>
      <c r="AY85">
        <v>78</v>
      </c>
      <c r="AZ85">
        <v>4.6794599999999997</v>
      </c>
      <c r="BA85">
        <v>675.39599999999996</v>
      </c>
    </row>
    <row r="86" spans="2:53" x14ac:dyDescent="0.2">
      <c r="B86">
        <f t="shared" si="7"/>
        <v>4.2999999999999936</v>
      </c>
      <c r="C86">
        <v>79</v>
      </c>
      <c r="D86" s="3">
        <v>-0.72028000000000003</v>
      </c>
      <c r="E86">
        <v>-947.49</v>
      </c>
      <c r="J86">
        <f t="shared" si="8"/>
        <v>4.2999999999999936</v>
      </c>
      <c r="K86">
        <v>79</v>
      </c>
      <c r="L86">
        <v>-0.34912799999999999</v>
      </c>
      <c r="M86">
        <v>-1211.44</v>
      </c>
      <c r="R86">
        <f t="shared" si="9"/>
        <v>4.2999999999999936</v>
      </c>
      <c r="S86">
        <v>79</v>
      </c>
      <c r="T86">
        <v>0.49130200000000002</v>
      </c>
      <c r="U86">
        <v>-1030.17</v>
      </c>
      <c r="Z86">
        <f t="shared" si="10"/>
        <v>4.2999999999999936</v>
      </c>
      <c r="AA86">
        <v>79</v>
      </c>
      <c r="AB86">
        <v>-5.1095300000000003</v>
      </c>
      <c r="AC86">
        <v>296.238</v>
      </c>
      <c r="AH86">
        <f t="shared" si="11"/>
        <v>4.2999999999999936</v>
      </c>
      <c r="AI86">
        <v>79</v>
      </c>
      <c r="AJ86">
        <v>-3.8636699999999999</v>
      </c>
      <c r="AK86">
        <v>818.61</v>
      </c>
      <c r="AP86">
        <f t="shared" si="12"/>
        <v>4.2999999999999936</v>
      </c>
      <c r="AQ86">
        <v>79</v>
      </c>
      <c r="AR86">
        <v>-2.5097999999999998</v>
      </c>
      <c r="AS86">
        <v>455.423</v>
      </c>
      <c r="AX86">
        <f t="shared" si="13"/>
        <v>4.2999999999999936</v>
      </c>
      <c r="AY86">
        <v>79</v>
      </c>
      <c r="AZ86">
        <v>4.6591100000000001</v>
      </c>
      <c r="BA86">
        <v>663.12300000000005</v>
      </c>
    </row>
    <row r="87" spans="2:53" x14ac:dyDescent="0.2">
      <c r="B87">
        <f t="shared" si="7"/>
        <v>4.3499999999999934</v>
      </c>
      <c r="C87">
        <v>80</v>
      </c>
      <c r="D87">
        <v>-0.69260500000000003</v>
      </c>
      <c r="E87">
        <v>-895.17100000000005</v>
      </c>
      <c r="J87">
        <f t="shared" si="8"/>
        <v>4.3499999999999934</v>
      </c>
      <c r="K87">
        <v>80</v>
      </c>
      <c r="L87">
        <v>-0.31313000000000002</v>
      </c>
      <c r="M87">
        <v>-1183.8800000000001</v>
      </c>
      <c r="R87">
        <f t="shared" si="9"/>
        <v>4.3499999999999934</v>
      </c>
      <c r="S87">
        <v>80</v>
      </c>
      <c r="T87">
        <v>0.52178400000000003</v>
      </c>
      <c r="U87">
        <v>-998.94100000000003</v>
      </c>
      <c r="Z87">
        <f t="shared" si="10"/>
        <v>4.3499999999999934</v>
      </c>
      <c r="AA87">
        <v>80</v>
      </c>
      <c r="AB87">
        <v>-5.1183100000000001</v>
      </c>
      <c r="AC87">
        <v>287.94299999999998</v>
      </c>
      <c r="AH87">
        <f t="shared" si="11"/>
        <v>4.3499999999999934</v>
      </c>
      <c r="AI87">
        <v>80</v>
      </c>
      <c r="AJ87">
        <v>-3.88781</v>
      </c>
      <c r="AK87">
        <v>788.16499999999996</v>
      </c>
      <c r="AP87">
        <f t="shared" si="12"/>
        <v>4.3499999999999934</v>
      </c>
      <c r="AQ87">
        <v>80</v>
      </c>
      <c r="AR87">
        <v>-2.5231599999999998</v>
      </c>
      <c r="AS87">
        <v>433.59199999999998</v>
      </c>
      <c r="AX87">
        <f t="shared" si="13"/>
        <v>4.3499999999999934</v>
      </c>
      <c r="AY87">
        <v>80</v>
      </c>
      <c r="AZ87">
        <v>4.6394000000000002</v>
      </c>
      <c r="BA87">
        <v>648.61099999999999</v>
      </c>
    </row>
    <row r="88" spans="2:53" x14ac:dyDescent="0.2">
      <c r="B88">
        <f t="shared" si="7"/>
        <v>4.3999999999999932</v>
      </c>
      <c r="C88">
        <v>81</v>
      </c>
      <c r="D88">
        <v>-0.66672900000000002</v>
      </c>
      <c r="E88">
        <v>-848.37199999999996</v>
      </c>
      <c r="J88">
        <f t="shared" si="8"/>
        <v>4.3999999999999932</v>
      </c>
      <c r="K88">
        <v>81</v>
      </c>
      <c r="L88">
        <v>-0.27841700000000003</v>
      </c>
      <c r="M88">
        <v>-1153.45</v>
      </c>
      <c r="R88">
        <f t="shared" si="9"/>
        <v>4.3999999999999932</v>
      </c>
      <c r="S88">
        <v>81</v>
      </c>
      <c r="T88">
        <v>0.55101299999999998</v>
      </c>
      <c r="U88">
        <v>-969.78</v>
      </c>
      <c r="Z88">
        <f t="shared" si="10"/>
        <v>4.3999999999999932</v>
      </c>
      <c r="AA88">
        <v>81</v>
      </c>
      <c r="AB88">
        <v>-5.1267399999999999</v>
      </c>
      <c r="AC88">
        <v>279.95100000000002</v>
      </c>
      <c r="AH88">
        <f t="shared" si="11"/>
        <v>4.3999999999999932</v>
      </c>
      <c r="AI88">
        <v>81</v>
      </c>
      <c r="AJ88">
        <v>-3.9107799999999999</v>
      </c>
      <c r="AK88">
        <v>759.36400000000003</v>
      </c>
      <c r="AP88">
        <f t="shared" si="12"/>
        <v>4.3999999999999932</v>
      </c>
      <c r="AQ88">
        <v>81</v>
      </c>
      <c r="AR88">
        <v>-2.5357099999999999</v>
      </c>
      <c r="AS88">
        <v>412.30399999999997</v>
      </c>
      <c r="AX88">
        <f t="shared" si="13"/>
        <v>4.3999999999999932</v>
      </c>
      <c r="AY88">
        <v>81</v>
      </c>
      <c r="AZ88">
        <v>4.6203500000000002</v>
      </c>
      <c r="BA88">
        <v>634.21699999999998</v>
      </c>
    </row>
    <row r="89" spans="2:53" x14ac:dyDescent="0.2">
      <c r="B89">
        <f t="shared" si="7"/>
        <v>4.4499999999999931</v>
      </c>
      <c r="C89">
        <v>82</v>
      </c>
      <c r="D89">
        <v>-0.64240799999999998</v>
      </c>
      <c r="E89">
        <v>-809.96900000000005</v>
      </c>
      <c r="J89">
        <f t="shared" si="8"/>
        <v>4.4499999999999931</v>
      </c>
      <c r="K89">
        <v>82</v>
      </c>
      <c r="L89">
        <v>-0.24499199999999999</v>
      </c>
      <c r="M89">
        <v>-1123.8699999999999</v>
      </c>
      <c r="R89">
        <f t="shared" si="9"/>
        <v>4.4499999999999931</v>
      </c>
      <c r="S89">
        <v>82</v>
      </c>
      <c r="T89">
        <v>0.57910799999999996</v>
      </c>
      <c r="U89">
        <v>-944.91499999999996</v>
      </c>
      <c r="Z89">
        <f t="shared" si="10"/>
        <v>4.4499999999999931</v>
      </c>
      <c r="AA89">
        <v>82</v>
      </c>
      <c r="AB89">
        <v>-5.1348399999999996</v>
      </c>
      <c r="AC89">
        <v>271.31400000000002</v>
      </c>
      <c r="AH89">
        <f t="shared" si="11"/>
        <v>4.4499999999999931</v>
      </c>
      <c r="AI89">
        <v>82</v>
      </c>
      <c r="AJ89">
        <v>-3.9327000000000001</v>
      </c>
      <c r="AK89">
        <v>734.50800000000004</v>
      </c>
      <c r="AP89">
        <f t="shared" si="12"/>
        <v>4.4499999999999931</v>
      </c>
      <c r="AQ89">
        <v>82</v>
      </c>
      <c r="AR89">
        <v>-2.5475300000000001</v>
      </c>
      <c r="AS89">
        <v>392.99900000000002</v>
      </c>
      <c r="AX89">
        <f t="shared" si="13"/>
        <v>4.4499999999999931</v>
      </c>
      <c r="AY89">
        <v>82</v>
      </c>
      <c r="AZ89">
        <v>4.6019100000000002</v>
      </c>
      <c r="BA89">
        <v>622.822</v>
      </c>
    </row>
    <row r="90" spans="2:53" x14ac:dyDescent="0.2">
      <c r="B90">
        <f t="shared" si="7"/>
        <v>4.4999999999999929</v>
      </c>
      <c r="C90">
        <v>83</v>
      </c>
      <c r="D90">
        <v>-0.61931999999999998</v>
      </c>
      <c r="E90">
        <v>-782.70500000000004</v>
      </c>
      <c r="J90">
        <f t="shared" si="8"/>
        <v>4.4999999999999929</v>
      </c>
      <c r="K90">
        <v>83</v>
      </c>
      <c r="L90">
        <v>-0.21273500000000001</v>
      </c>
      <c r="M90">
        <v>-1099.81</v>
      </c>
      <c r="R90">
        <f t="shared" si="9"/>
        <v>4.4999999999999929</v>
      </c>
      <c r="S90">
        <v>83</v>
      </c>
      <c r="T90">
        <v>0.60625499999999999</v>
      </c>
      <c r="U90">
        <v>-926.64499999999998</v>
      </c>
      <c r="Z90">
        <f t="shared" si="10"/>
        <v>4.4999999999999929</v>
      </c>
      <c r="AA90">
        <v>83</v>
      </c>
      <c r="AB90">
        <v>-5.1425700000000001</v>
      </c>
      <c r="AC90">
        <v>261.029</v>
      </c>
      <c r="AH90">
        <f t="shared" si="11"/>
        <v>4.4999999999999929</v>
      </c>
      <c r="AI90">
        <v>83</v>
      </c>
      <c r="AJ90">
        <v>-3.9537300000000002</v>
      </c>
      <c r="AK90">
        <v>715.97900000000004</v>
      </c>
      <c r="AP90">
        <f t="shared" si="12"/>
        <v>4.4999999999999929</v>
      </c>
      <c r="AQ90">
        <v>83</v>
      </c>
      <c r="AR90">
        <v>-2.5587</v>
      </c>
      <c r="AS90">
        <v>377.351</v>
      </c>
      <c r="AX90">
        <f t="shared" si="13"/>
        <v>4.4999999999999929</v>
      </c>
      <c r="AY90">
        <v>83</v>
      </c>
      <c r="AZ90">
        <v>4.58392</v>
      </c>
      <c r="BA90">
        <v>617.56200000000001</v>
      </c>
    </row>
    <row r="91" spans="2:53" x14ac:dyDescent="0.2">
      <c r="B91">
        <f t="shared" si="7"/>
        <v>4.5499999999999927</v>
      </c>
      <c r="C91">
        <v>84</v>
      </c>
      <c r="D91">
        <v>-0.59708600000000001</v>
      </c>
      <c r="E91">
        <v>-768.803</v>
      </c>
      <c r="J91">
        <f t="shared" si="8"/>
        <v>4.5499999999999927</v>
      </c>
      <c r="K91">
        <v>84</v>
      </c>
      <c r="L91">
        <v>-0.18138899999999999</v>
      </c>
      <c r="M91">
        <v>-1086.47</v>
      </c>
      <c r="R91">
        <f t="shared" si="9"/>
        <v>4.5499999999999927</v>
      </c>
      <c r="S91">
        <v>84</v>
      </c>
      <c r="T91">
        <v>0.63269299999999995</v>
      </c>
      <c r="U91">
        <v>-917.024</v>
      </c>
      <c r="Z91">
        <f t="shared" si="10"/>
        <v>4.5499999999999927</v>
      </c>
      <c r="AA91">
        <v>84</v>
      </c>
      <c r="AB91">
        <v>-5.1498799999999996</v>
      </c>
      <c r="AC91">
        <v>248.09399999999999</v>
      </c>
      <c r="AH91">
        <f t="shared" si="11"/>
        <v>4.5499999999999927</v>
      </c>
      <c r="AI91">
        <v>84</v>
      </c>
      <c r="AJ91">
        <v>-3.9741200000000001</v>
      </c>
      <c r="AK91">
        <v>705.92399999999998</v>
      </c>
      <c r="AP91">
        <f t="shared" si="12"/>
        <v>4.5499999999999927</v>
      </c>
      <c r="AQ91">
        <v>84</v>
      </c>
      <c r="AR91">
        <v>-2.5693700000000002</v>
      </c>
      <c r="AS91">
        <v>367.089</v>
      </c>
      <c r="AX91">
        <f t="shared" si="13"/>
        <v>4.5499999999999927</v>
      </c>
      <c r="AY91">
        <v>84</v>
      </c>
      <c r="AZ91">
        <v>4.5661699999999996</v>
      </c>
      <c r="BA91">
        <v>621.42600000000004</v>
      </c>
    </row>
    <row r="92" spans="2:53" x14ac:dyDescent="0.2">
      <c r="B92">
        <f t="shared" si="7"/>
        <v>4.5999999999999925</v>
      </c>
      <c r="C92">
        <v>85</v>
      </c>
      <c r="D92">
        <v>-0.57528800000000002</v>
      </c>
      <c r="E92">
        <v>-769.47500000000002</v>
      </c>
      <c r="J92">
        <f t="shared" si="8"/>
        <v>4.5999999999999925</v>
      </c>
      <c r="K92">
        <v>85</v>
      </c>
      <c r="L92">
        <v>-0.150557</v>
      </c>
      <c r="M92">
        <v>-1088.81</v>
      </c>
      <c r="R92">
        <f t="shared" si="9"/>
        <v>4.5999999999999925</v>
      </c>
      <c r="S92">
        <v>85</v>
      </c>
      <c r="T92">
        <v>0.65870499999999998</v>
      </c>
      <c r="U92">
        <v>-917.404</v>
      </c>
      <c r="Z92">
        <f t="shared" si="10"/>
        <v>4.5999999999999925</v>
      </c>
      <c r="AA92">
        <v>85</v>
      </c>
      <c r="AB92">
        <v>-5.1566999999999998</v>
      </c>
      <c r="AC92">
        <v>231.583</v>
      </c>
      <c r="AH92">
        <f t="shared" si="11"/>
        <v>4.5999999999999925</v>
      </c>
      <c r="AI92">
        <v>85</v>
      </c>
      <c r="AJ92">
        <v>-3.9941300000000002</v>
      </c>
      <c r="AK92">
        <v>705.822</v>
      </c>
      <c r="AP92">
        <f t="shared" si="12"/>
        <v>4.5999999999999925</v>
      </c>
      <c r="AQ92">
        <v>85</v>
      </c>
      <c r="AR92">
        <v>-2.5797300000000001</v>
      </c>
      <c r="AS92">
        <v>363.72199999999998</v>
      </c>
      <c r="AX92">
        <f t="shared" si="13"/>
        <v>4.5999999999999925</v>
      </c>
      <c r="AY92">
        <v>85</v>
      </c>
      <c r="AZ92">
        <v>4.5483399999999996</v>
      </c>
      <c r="BA92">
        <v>636.69799999999998</v>
      </c>
    </row>
    <row r="93" spans="2:53" x14ac:dyDescent="0.2">
      <c r="B93">
        <f t="shared" si="7"/>
        <v>4.6499999999999924</v>
      </c>
      <c r="C93">
        <v>86</v>
      </c>
      <c r="D93">
        <v>-0.55350699999999997</v>
      </c>
      <c r="E93">
        <v>-784.29300000000001</v>
      </c>
      <c r="J93">
        <f t="shared" si="8"/>
        <v>4.6499999999999924</v>
      </c>
      <c r="K93">
        <v>86</v>
      </c>
      <c r="L93">
        <v>-0.119729</v>
      </c>
      <c r="M93">
        <v>-1110.5899999999999</v>
      </c>
      <c r="R93">
        <f t="shared" si="9"/>
        <v>4.6499999999999924</v>
      </c>
      <c r="S93">
        <v>86</v>
      </c>
      <c r="T93">
        <v>0.68458699999999995</v>
      </c>
      <c r="U93">
        <v>-927.81399999999996</v>
      </c>
      <c r="Z93">
        <f t="shared" si="10"/>
        <v>4.6499999999999924</v>
      </c>
      <c r="AA93">
        <v>86</v>
      </c>
      <c r="AB93">
        <v>-5.1629199999999997</v>
      </c>
      <c r="AC93">
        <v>210.74100000000001</v>
      </c>
      <c r="AH93">
        <f t="shared" si="11"/>
        <v>4.6499999999999924</v>
      </c>
      <c r="AI93">
        <v>86</v>
      </c>
      <c r="AJ93">
        <v>-4.0140700000000002</v>
      </c>
      <c r="AK93">
        <v>715.91800000000001</v>
      </c>
      <c r="AP93">
        <f t="shared" si="12"/>
        <v>4.6499999999999924</v>
      </c>
      <c r="AQ93">
        <v>86</v>
      </c>
      <c r="AR93">
        <v>-2.5899800000000002</v>
      </c>
      <c r="AS93">
        <v>368.15100000000001</v>
      </c>
      <c r="AX93">
        <f t="shared" si="13"/>
        <v>4.6499999999999924</v>
      </c>
      <c r="AY93">
        <v>86</v>
      </c>
      <c r="AZ93">
        <v>4.5301</v>
      </c>
      <c r="BA93">
        <v>664.23099999999999</v>
      </c>
    </row>
    <row r="94" spans="2:53" x14ac:dyDescent="0.2">
      <c r="B94">
        <f t="shared" si="7"/>
        <v>4.6999999999999922</v>
      </c>
      <c r="C94">
        <v>87</v>
      </c>
      <c r="D94">
        <v>-0.53138300000000005</v>
      </c>
      <c r="E94">
        <v>-810.42100000000005</v>
      </c>
      <c r="J94">
        <f t="shared" si="8"/>
        <v>4.6999999999999922</v>
      </c>
      <c r="K94">
        <v>87</v>
      </c>
      <c r="L94">
        <v>-8.8344199999999998E-2</v>
      </c>
      <c r="M94">
        <v>-1152.8699999999999</v>
      </c>
      <c r="R94">
        <f t="shared" si="9"/>
        <v>4.6999999999999922</v>
      </c>
      <c r="S94">
        <v>87</v>
      </c>
      <c r="T94">
        <v>0.71059600000000001</v>
      </c>
      <c r="U94">
        <v>-946.14</v>
      </c>
      <c r="Z94">
        <f t="shared" si="10"/>
        <v>4.6999999999999922</v>
      </c>
      <c r="AA94">
        <v>87</v>
      </c>
      <c r="AB94">
        <v>-5.1684299999999999</v>
      </c>
      <c r="AC94">
        <v>185.11600000000001</v>
      </c>
      <c r="AH94">
        <f t="shared" si="11"/>
        <v>4.6999999999999922</v>
      </c>
      <c r="AI94">
        <v>87</v>
      </c>
      <c r="AJ94">
        <v>-4.0341899999999997</v>
      </c>
      <c r="AK94">
        <v>734.48800000000006</v>
      </c>
      <c r="AP94">
        <f t="shared" si="12"/>
        <v>4.6999999999999922</v>
      </c>
      <c r="AQ94">
        <v>87</v>
      </c>
      <c r="AR94">
        <v>-2.6003599999999998</v>
      </c>
      <c r="AS94">
        <v>380.14499999999998</v>
      </c>
      <c r="AX94">
        <f t="shared" si="13"/>
        <v>4.6999999999999922</v>
      </c>
      <c r="AY94">
        <v>87</v>
      </c>
      <c r="AZ94">
        <v>4.5111499999999998</v>
      </c>
      <c r="BA94">
        <v>702.529</v>
      </c>
    </row>
    <row r="95" spans="2:53" x14ac:dyDescent="0.2">
      <c r="B95">
        <f t="shared" si="7"/>
        <v>4.749999999999992</v>
      </c>
      <c r="C95">
        <v>88</v>
      </c>
      <c r="D95">
        <v>-0.50868899999999995</v>
      </c>
      <c r="E95">
        <v>-841.64400000000001</v>
      </c>
      <c r="J95">
        <f t="shared" si="8"/>
        <v>4.749999999999992</v>
      </c>
      <c r="K95">
        <v>88</v>
      </c>
      <c r="L95">
        <v>-5.58875E-2</v>
      </c>
      <c r="M95">
        <v>-1211.8699999999999</v>
      </c>
      <c r="R95">
        <f t="shared" si="9"/>
        <v>4.749999999999992</v>
      </c>
      <c r="S95">
        <v>88</v>
      </c>
      <c r="T95">
        <v>0.73688200000000004</v>
      </c>
      <c r="U95">
        <v>-967.01099999999997</v>
      </c>
      <c r="Z95">
        <f t="shared" si="10"/>
        <v>4.749999999999992</v>
      </c>
      <c r="AA95">
        <v>88</v>
      </c>
      <c r="AB95">
        <v>-5.1731100000000003</v>
      </c>
      <c r="AC95">
        <v>154.71899999999999</v>
      </c>
      <c r="AH95">
        <f t="shared" si="11"/>
        <v>4.749999999999992</v>
      </c>
      <c r="AI95">
        <v>88</v>
      </c>
      <c r="AJ95">
        <v>-4.0546800000000003</v>
      </c>
      <c r="AK95">
        <v>756.91700000000003</v>
      </c>
      <c r="AP95">
        <f t="shared" si="12"/>
        <v>4.749999999999992</v>
      </c>
      <c r="AQ95">
        <v>88</v>
      </c>
      <c r="AR95">
        <v>-2.61103</v>
      </c>
      <c r="AS95">
        <v>397.65</v>
      </c>
      <c r="AX95">
        <f t="shared" si="13"/>
        <v>4.749999999999992</v>
      </c>
      <c r="AY95">
        <v>88</v>
      </c>
      <c r="AZ95">
        <v>4.4912400000000003</v>
      </c>
      <c r="BA95">
        <v>746.61900000000003</v>
      </c>
    </row>
    <row r="96" spans="2:53" x14ac:dyDescent="0.2">
      <c r="B96">
        <f t="shared" si="7"/>
        <v>4.7999999999999918</v>
      </c>
      <c r="C96">
        <v>89</v>
      </c>
      <c r="D96">
        <v>-0.485433</v>
      </c>
      <c r="E96">
        <v>-867.17100000000005</v>
      </c>
      <c r="J96">
        <f t="shared" si="8"/>
        <v>4.7999999999999918</v>
      </c>
      <c r="K96">
        <v>89</v>
      </c>
      <c r="L96">
        <v>-2.2065299999999999E-2</v>
      </c>
      <c r="M96">
        <v>-1275.74</v>
      </c>
      <c r="R96">
        <f t="shared" si="9"/>
        <v>4.7999999999999918</v>
      </c>
      <c r="S96">
        <v>89</v>
      </c>
      <c r="T96">
        <v>0.76338399999999995</v>
      </c>
      <c r="U96">
        <v>-980.35699999999997</v>
      </c>
      <c r="Z96">
        <f t="shared" si="10"/>
        <v>4.7999999999999918</v>
      </c>
      <c r="AA96">
        <v>89</v>
      </c>
      <c r="AB96">
        <v>-5.1768599999999996</v>
      </c>
      <c r="AC96">
        <v>120.247</v>
      </c>
      <c r="AH96">
        <f t="shared" si="11"/>
        <v>4.7999999999999918</v>
      </c>
      <c r="AI96">
        <v>89</v>
      </c>
      <c r="AJ96">
        <v>-4.07552</v>
      </c>
      <c r="AK96">
        <v>774.53800000000001</v>
      </c>
      <c r="AP96">
        <f t="shared" si="12"/>
        <v>4.7999999999999918</v>
      </c>
      <c r="AQ96">
        <v>89</v>
      </c>
      <c r="AR96">
        <v>-2.6221000000000001</v>
      </c>
      <c r="AS96">
        <v>415.904</v>
      </c>
      <c r="AX96">
        <f t="shared" si="13"/>
        <v>4.7999999999999918</v>
      </c>
      <c r="AY96">
        <v>89</v>
      </c>
      <c r="AZ96">
        <v>4.4703799999999996</v>
      </c>
      <c r="BA96">
        <v>786.673</v>
      </c>
    </row>
    <row r="97" spans="2:53" x14ac:dyDescent="0.2">
      <c r="B97">
        <f t="shared" si="7"/>
        <v>4.8499999999999917</v>
      </c>
      <c r="C97">
        <v>90</v>
      </c>
      <c r="D97">
        <v>-0.46199000000000001</v>
      </c>
      <c r="E97">
        <v>-870.13900000000001</v>
      </c>
      <c r="J97">
        <f t="shared" si="8"/>
        <v>4.8499999999999917</v>
      </c>
      <c r="K97">
        <v>90</v>
      </c>
      <c r="L97">
        <v>1.2929400000000001E-2</v>
      </c>
      <c r="M97">
        <v>-1319.86</v>
      </c>
      <c r="R97">
        <f t="shared" si="9"/>
        <v>4.8499999999999917</v>
      </c>
      <c r="S97">
        <v>90</v>
      </c>
      <c r="T97">
        <v>0.78969</v>
      </c>
      <c r="U97">
        <v>-969.55499999999995</v>
      </c>
      <c r="Z97">
        <f t="shared" si="10"/>
        <v>4.8499999999999917</v>
      </c>
      <c r="AA97">
        <v>90</v>
      </c>
      <c r="AB97">
        <v>-5.1795999999999998</v>
      </c>
      <c r="AC97">
        <v>83.347300000000004</v>
      </c>
      <c r="AH97">
        <f t="shared" si="11"/>
        <v>4.8499999999999917</v>
      </c>
      <c r="AI97">
        <v>90</v>
      </c>
      <c r="AJ97">
        <v>-4.0964</v>
      </c>
      <c r="AK97">
        <v>773.20399999999995</v>
      </c>
      <c r="AP97">
        <f t="shared" si="12"/>
        <v>4.8499999999999917</v>
      </c>
      <c r="AQ97">
        <v>90</v>
      </c>
      <c r="AR97">
        <v>-2.6334599999999999</v>
      </c>
      <c r="AS97">
        <v>426.31599999999997</v>
      </c>
      <c r="AX97">
        <f t="shared" si="13"/>
        <v>4.8499999999999917</v>
      </c>
      <c r="AY97">
        <v>90</v>
      </c>
      <c r="AZ97">
        <v>4.4488799999999999</v>
      </c>
      <c r="BA97">
        <v>806.34799999999996</v>
      </c>
    </row>
    <row r="98" spans="2:53" x14ac:dyDescent="0.2">
      <c r="B98">
        <f t="shared" si="7"/>
        <v>4.8999999999999915</v>
      </c>
      <c r="C98">
        <v>91</v>
      </c>
      <c r="D98">
        <v>-0.439276</v>
      </c>
      <c r="E98">
        <v>-825.80100000000004</v>
      </c>
      <c r="J98">
        <f t="shared" si="8"/>
        <v>4.8999999999999915</v>
      </c>
      <c r="K98">
        <v>91</v>
      </c>
      <c r="L98">
        <v>4.8014399999999999E-2</v>
      </c>
      <c r="M98">
        <v>-1300.3399999999999</v>
      </c>
      <c r="R98">
        <f t="shared" si="9"/>
        <v>4.8999999999999915</v>
      </c>
      <c r="S98">
        <v>91</v>
      </c>
      <c r="T98">
        <v>0.81484500000000004</v>
      </c>
      <c r="U98">
        <v>-909.20399999999995</v>
      </c>
      <c r="Z98">
        <f t="shared" si="10"/>
        <v>4.8999999999999915</v>
      </c>
      <c r="AA98">
        <v>91</v>
      </c>
      <c r="AB98">
        <v>-5.18133</v>
      </c>
      <c r="AC98">
        <v>46.973300000000002</v>
      </c>
      <c r="AH98">
        <f t="shared" si="11"/>
        <v>4.8999999999999915</v>
      </c>
      <c r="AI98">
        <v>91</v>
      </c>
      <c r="AJ98">
        <v>-4.1165500000000002</v>
      </c>
      <c r="AK98">
        <v>731.55700000000002</v>
      </c>
      <c r="AP98">
        <f t="shared" si="12"/>
        <v>4.8999999999999915</v>
      </c>
      <c r="AQ98">
        <v>91</v>
      </c>
      <c r="AR98">
        <v>-2.64472</v>
      </c>
      <c r="AS98">
        <v>415.08100000000002</v>
      </c>
      <c r="AX98">
        <f t="shared" si="13"/>
        <v>4.8999999999999915</v>
      </c>
      <c r="AY98">
        <v>91</v>
      </c>
      <c r="AZ98">
        <v>4.4276200000000001</v>
      </c>
      <c r="BA98">
        <v>780.76300000000003</v>
      </c>
    </row>
    <row r="99" spans="2:53" x14ac:dyDescent="0.2">
      <c r="B99">
        <f t="shared" si="7"/>
        <v>4.9499999999999913</v>
      </c>
      <c r="C99">
        <v>92</v>
      </c>
      <c r="D99">
        <v>-0.41895300000000002</v>
      </c>
      <c r="E99">
        <v>-699.428</v>
      </c>
      <c r="J99">
        <f t="shared" si="8"/>
        <v>4.9499999999999913</v>
      </c>
      <c r="K99">
        <v>92</v>
      </c>
      <c r="L99">
        <v>8.0648999999999998E-2</v>
      </c>
      <c r="M99">
        <v>-1146.5899999999999</v>
      </c>
      <c r="R99">
        <f t="shared" si="9"/>
        <v>4.9499999999999913</v>
      </c>
      <c r="S99">
        <v>92</v>
      </c>
      <c r="T99">
        <v>0.837113</v>
      </c>
      <c r="U99">
        <v>-762.74400000000003</v>
      </c>
      <c r="Z99">
        <f t="shared" si="10"/>
        <v>4.9499999999999913</v>
      </c>
      <c r="AA99">
        <v>92</v>
      </c>
      <c r="AB99">
        <v>-5.1821400000000004</v>
      </c>
      <c r="AC99">
        <v>15.8185</v>
      </c>
      <c r="AH99">
        <f t="shared" si="11"/>
        <v>4.9499999999999913</v>
      </c>
      <c r="AI99">
        <v>92</v>
      </c>
      <c r="AJ99">
        <v>-4.1345400000000003</v>
      </c>
      <c r="AK99">
        <v>619.02099999999996</v>
      </c>
      <c r="AP99">
        <f t="shared" si="12"/>
        <v>4.9499999999999913</v>
      </c>
      <c r="AQ99">
        <v>92</v>
      </c>
      <c r="AR99">
        <v>-2.6550799999999999</v>
      </c>
      <c r="AS99">
        <v>361.54</v>
      </c>
      <c r="AX99">
        <f t="shared" si="13"/>
        <v>4.9499999999999913</v>
      </c>
      <c r="AY99">
        <v>92</v>
      </c>
      <c r="AZ99">
        <v>4.40822</v>
      </c>
      <c r="BA99">
        <v>674.03700000000003</v>
      </c>
    </row>
    <row r="100" spans="2:53" x14ac:dyDescent="0.2">
      <c r="B100">
        <f t="shared" si="7"/>
        <v>4.9999999999999911</v>
      </c>
      <c r="C100">
        <v>93</v>
      </c>
      <c r="D100">
        <v>-0.40369300000000002</v>
      </c>
      <c r="E100">
        <v>-444.22899999999998</v>
      </c>
      <c r="J100">
        <f t="shared" si="8"/>
        <v>4.9999999999999911</v>
      </c>
      <c r="K100">
        <v>93</v>
      </c>
      <c r="L100">
        <v>0.106118</v>
      </c>
      <c r="M100">
        <v>-756.12900000000002</v>
      </c>
      <c r="R100">
        <f t="shared" si="9"/>
        <v>4.9999999999999911</v>
      </c>
      <c r="S100">
        <v>93</v>
      </c>
      <c r="T100">
        <v>0.85369099999999998</v>
      </c>
      <c r="U100">
        <v>-480.56200000000001</v>
      </c>
      <c r="Z100">
        <f t="shared" si="10"/>
        <v>4.9999999999999911</v>
      </c>
      <c r="AA100">
        <v>93</v>
      </c>
      <c r="AB100">
        <v>-5.1822699999999999</v>
      </c>
      <c r="AC100">
        <v>-3.1429900000000002</v>
      </c>
      <c r="AH100">
        <f t="shared" si="11"/>
        <v>4.9999999999999911</v>
      </c>
      <c r="AI100">
        <v>93</v>
      </c>
      <c r="AJ100">
        <v>-4.1480600000000001</v>
      </c>
      <c r="AK100">
        <v>393.63</v>
      </c>
      <c r="AP100">
        <f t="shared" si="12"/>
        <v>4.9999999999999911</v>
      </c>
      <c r="AQ100">
        <v>93</v>
      </c>
      <c r="AR100">
        <v>-2.6630699999999998</v>
      </c>
      <c r="AS100">
        <v>236.381</v>
      </c>
      <c r="AX100">
        <f t="shared" si="13"/>
        <v>4.9999999999999911</v>
      </c>
      <c r="AY100">
        <v>93</v>
      </c>
      <c r="AZ100">
        <v>4.3933900000000001</v>
      </c>
      <c r="BA100">
        <v>436.28899999999999</v>
      </c>
    </row>
    <row r="101" spans="2:53" x14ac:dyDescent="0.2">
      <c r="B101">
        <f t="shared" si="7"/>
        <v>5.0499999999999909</v>
      </c>
      <c r="C101">
        <v>94</v>
      </c>
      <c r="D101">
        <v>-0.39746799999999999</v>
      </c>
      <c r="E101" s="3">
        <v>-1.7973099999999999E-10</v>
      </c>
      <c r="J101">
        <f t="shared" si="8"/>
        <v>5.0499999999999909</v>
      </c>
      <c r="K101">
        <v>94</v>
      </c>
      <c r="L101">
        <v>0.116828</v>
      </c>
      <c r="M101" s="3">
        <v>-3.1445900000000001E-10</v>
      </c>
      <c r="R101">
        <f t="shared" si="9"/>
        <v>5.0499999999999909</v>
      </c>
      <c r="S101">
        <v>94</v>
      </c>
      <c r="T101">
        <v>0.86040700000000003</v>
      </c>
      <c r="U101" s="3">
        <v>-1.92879E-10</v>
      </c>
      <c r="Z101">
        <f t="shared" si="10"/>
        <v>5.0499999999999909</v>
      </c>
      <c r="AA101">
        <v>94</v>
      </c>
      <c r="AB101">
        <v>-5.1821700000000002</v>
      </c>
      <c r="AC101" s="3">
        <v>-5.8785E-12</v>
      </c>
      <c r="AH101">
        <f t="shared" si="11"/>
        <v>5.0499999999999909</v>
      </c>
      <c r="AI101">
        <v>94</v>
      </c>
      <c r="AJ101">
        <v>-4.1535799999999998</v>
      </c>
      <c r="AK101" s="3">
        <v>1.59826E-10</v>
      </c>
      <c r="AP101">
        <f t="shared" si="12"/>
        <v>5.0499999999999909</v>
      </c>
      <c r="AQ101">
        <v>94</v>
      </c>
      <c r="AR101">
        <v>-2.66642</v>
      </c>
      <c r="AS101" s="3">
        <v>9.8473199999999996E-11</v>
      </c>
      <c r="AX101">
        <f t="shared" si="13"/>
        <v>5.0499999999999909</v>
      </c>
      <c r="AY101">
        <v>94</v>
      </c>
      <c r="AZ101">
        <v>4.3872299999999997</v>
      </c>
      <c r="BA101" s="3">
        <v>1.80112E-10</v>
      </c>
    </row>
    <row r="102" spans="2:53" x14ac:dyDescent="0.2">
      <c r="B102">
        <f t="shared" si="7"/>
        <v>5.0999999999999908</v>
      </c>
      <c r="C102">
        <v>95</v>
      </c>
      <c r="D102">
        <v>-0.39746799999999999</v>
      </c>
      <c r="E102">
        <v>0</v>
      </c>
      <c r="J102">
        <f t="shared" si="8"/>
        <v>5.0999999999999908</v>
      </c>
      <c r="K102">
        <v>95</v>
      </c>
      <c r="L102">
        <v>0.116828</v>
      </c>
      <c r="M102">
        <v>0</v>
      </c>
      <c r="R102">
        <f t="shared" si="9"/>
        <v>5.0999999999999908</v>
      </c>
      <c r="S102">
        <v>95</v>
      </c>
      <c r="T102">
        <v>0.86040700000000003</v>
      </c>
      <c r="U102">
        <v>0</v>
      </c>
      <c r="Z102">
        <f t="shared" si="10"/>
        <v>5.0999999999999908</v>
      </c>
      <c r="AA102">
        <v>95</v>
      </c>
      <c r="AB102">
        <v>-5.1821700000000002</v>
      </c>
      <c r="AC102">
        <v>0</v>
      </c>
      <c r="AH102">
        <f t="shared" si="11"/>
        <v>5.0999999999999908</v>
      </c>
      <c r="AI102">
        <v>95</v>
      </c>
      <c r="AJ102">
        <v>-4.1535799999999998</v>
      </c>
      <c r="AK102">
        <v>0</v>
      </c>
      <c r="AP102">
        <f t="shared" si="12"/>
        <v>5.0999999999999908</v>
      </c>
      <c r="AQ102">
        <v>95</v>
      </c>
      <c r="AR102">
        <v>-2.66642</v>
      </c>
      <c r="AS102">
        <v>0</v>
      </c>
      <c r="AX102">
        <f t="shared" si="13"/>
        <v>5.0999999999999908</v>
      </c>
      <c r="AY102">
        <v>95</v>
      </c>
      <c r="AZ102">
        <v>4.3872299999999997</v>
      </c>
      <c r="BA102">
        <v>0</v>
      </c>
    </row>
    <row r="103" spans="2:53" x14ac:dyDescent="0.2">
      <c r="B103">
        <f t="shared" si="7"/>
        <v>5.1499999999999906</v>
      </c>
      <c r="C103">
        <v>96</v>
      </c>
      <c r="D103">
        <v>-0.39746799999999999</v>
      </c>
      <c r="E103">
        <v>0</v>
      </c>
      <c r="J103">
        <f t="shared" si="8"/>
        <v>5.1499999999999906</v>
      </c>
      <c r="K103">
        <v>96</v>
      </c>
      <c r="L103">
        <v>0.116828</v>
      </c>
      <c r="M103">
        <v>0</v>
      </c>
      <c r="R103">
        <f t="shared" si="9"/>
        <v>5.1499999999999906</v>
      </c>
      <c r="S103">
        <v>96</v>
      </c>
      <c r="T103">
        <v>0.86040700000000003</v>
      </c>
      <c r="U103">
        <v>0</v>
      </c>
      <c r="Z103">
        <f t="shared" si="10"/>
        <v>5.1499999999999906</v>
      </c>
      <c r="AA103">
        <v>96</v>
      </c>
      <c r="AB103">
        <v>-5.1821700000000002</v>
      </c>
      <c r="AC103">
        <v>0</v>
      </c>
      <c r="AH103">
        <f t="shared" si="11"/>
        <v>5.1499999999999906</v>
      </c>
      <c r="AI103">
        <v>96</v>
      </c>
      <c r="AJ103">
        <v>-4.1535799999999998</v>
      </c>
      <c r="AK103">
        <v>0</v>
      </c>
      <c r="AP103">
        <f t="shared" si="12"/>
        <v>5.1499999999999906</v>
      </c>
      <c r="AQ103">
        <v>96</v>
      </c>
      <c r="AR103">
        <v>-2.66642</v>
      </c>
      <c r="AS103">
        <v>0</v>
      </c>
      <c r="AX103">
        <f t="shared" si="13"/>
        <v>5.1499999999999906</v>
      </c>
      <c r="AY103">
        <v>96</v>
      </c>
      <c r="AZ103">
        <v>4.3872299999999997</v>
      </c>
      <c r="BA103">
        <v>0</v>
      </c>
    </row>
    <row r="104" spans="2:53" x14ac:dyDescent="0.2">
      <c r="B104">
        <f t="shared" si="7"/>
        <v>5.1999999999999904</v>
      </c>
      <c r="C104">
        <v>97</v>
      </c>
      <c r="D104">
        <v>-0.39746799999999999</v>
      </c>
      <c r="E104">
        <v>0</v>
      </c>
      <c r="J104">
        <f t="shared" si="8"/>
        <v>5.1999999999999904</v>
      </c>
      <c r="K104">
        <v>97</v>
      </c>
      <c r="L104">
        <v>0.116828</v>
      </c>
      <c r="M104">
        <v>0</v>
      </c>
      <c r="R104">
        <f t="shared" si="9"/>
        <v>5.1999999999999904</v>
      </c>
      <c r="S104">
        <v>97</v>
      </c>
      <c r="T104">
        <v>0.86040700000000003</v>
      </c>
      <c r="U104">
        <v>0</v>
      </c>
      <c r="Z104">
        <f t="shared" si="10"/>
        <v>5.1999999999999904</v>
      </c>
      <c r="AA104">
        <v>97</v>
      </c>
      <c r="AB104">
        <v>-5.1821700000000002</v>
      </c>
      <c r="AC104">
        <v>0</v>
      </c>
      <c r="AH104">
        <f t="shared" si="11"/>
        <v>5.1999999999999904</v>
      </c>
      <c r="AI104">
        <v>97</v>
      </c>
      <c r="AJ104">
        <v>-4.1535799999999998</v>
      </c>
      <c r="AK104">
        <v>0</v>
      </c>
      <c r="AP104">
        <f t="shared" si="12"/>
        <v>5.1999999999999904</v>
      </c>
      <c r="AQ104">
        <v>97</v>
      </c>
      <c r="AR104">
        <v>-2.66642</v>
      </c>
      <c r="AS104">
        <v>0</v>
      </c>
      <c r="AX104">
        <f t="shared" si="13"/>
        <v>5.1999999999999904</v>
      </c>
      <c r="AY104">
        <v>97</v>
      </c>
      <c r="AZ104">
        <v>4.3872299999999997</v>
      </c>
      <c r="BA104">
        <v>0</v>
      </c>
    </row>
    <row r="105" spans="2:53" x14ac:dyDescent="0.2">
      <c r="B105">
        <f t="shared" si="7"/>
        <v>5.2499999999999902</v>
      </c>
      <c r="C105">
        <v>98</v>
      </c>
      <c r="D105">
        <v>-0.39746799999999999</v>
      </c>
      <c r="E105">
        <v>0</v>
      </c>
      <c r="J105">
        <f t="shared" si="8"/>
        <v>5.2499999999999902</v>
      </c>
      <c r="K105">
        <v>98</v>
      </c>
      <c r="L105">
        <v>0.116828</v>
      </c>
      <c r="M105">
        <v>0</v>
      </c>
      <c r="R105">
        <f t="shared" si="9"/>
        <v>5.2499999999999902</v>
      </c>
      <c r="S105">
        <v>98</v>
      </c>
      <c r="T105">
        <v>0.86040700000000003</v>
      </c>
      <c r="U105">
        <v>0</v>
      </c>
      <c r="Z105">
        <f t="shared" si="10"/>
        <v>5.2499999999999902</v>
      </c>
      <c r="AA105">
        <v>98</v>
      </c>
      <c r="AB105">
        <v>-5.1821700000000002</v>
      </c>
      <c r="AC105">
        <v>0</v>
      </c>
      <c r="AH105">
        <f t="shared" si="11"/>
        <v>5.2499999999999902</v>
      </c>
      <c r="AI105">
        <v>98</v>
      </c>
      <c r="AJ105">
        <v>-4.1535799999999998</v>
      </c>
      <c r="AK105">
        <v>0</v>
      </c>
      <c r="AP105">
        <f t="shared" si="12"/>
        <v>5.2499999999999902</v>
      </c>
      <c r="AQ105">
        <v>98</v>
      </c>
      <c r="AR105">
        <v>-2.66642</v>
      </c>
      <c r="AS105">
        <v>0</v>
      </c>
      <c r="AX105">
        <f t="shared" si="13"/>
        <v>5.2499999999999902</v>
      </c>
      <c r="AY105">
        <v>98</v>
      </c>
      <c r="AZ105">
        <v>4.3872299999999997</v>
      </c>
      <c r="BA105">
        <v>0</v>
      </c>
    </row>
    <row r="106" spans="2:53" x14ac:dyDescent="0.2">
      <c r="B106">
        <f t="shared" si="7"/>
        <v>5.2999999999999901</v>
      </c>
      <c r="C106">
        <v>99</v>
      </c>
      <c r="D106">
        <v>-0.39746799999999999</v>
      </c>
      <c r="E106">
        <v>0</v>
      </c>
      <c r="J106">
        <f t="shared" si="8"/>
        <v>5.2999999999999901</v>
      </c>
      <c r="K106">
        <v>99</v>
      </c>
      <c r="L106">
        <v>0.116828</v>
      </c>
      <c r="M106">
        <v>0</v>
      </c>
      <c r="R106">
        <f t="shared" si="9"/>
        <v>5.2999999999999901</v>
      </c>
      <c r="S106">
        <v>99</v>
      </c>
      <c r="T106">
        <v>0.86040700000000003</v>
      </c>
      <c r="U106">
        <v>0</v>
      </c>
      <c r="Z106">
        <f t="shared" si="10"/>
        <v>5.2999999999999901</v>
      </c>
      <c r="AA106">
        <v>99</v>
      </c>
      <c r="AB106">
        <v>-5.1821700000000002</v>
      </c>
      <c r="AC106">
        <v>0</v>
      </c>
      <c r="AH106">
        <f t="shared" si="11"/>
        <v>5.2999999999999901</v>
      </c>
      <c r="AI106">
        <v>99</v>
      </c>
      <c r="AJ106">
        <v>-4.1535799999999998</v>
      </c>
      <c r="AK106">
        <v>0</v>
      </c>
      <c r="AP106">
        <f t="shared" si="12"/>
        <v>5.2999999999999901</v>
      </c>
      <c r="AQ106">
        <v>99</v>
      </c>
      <c r="AR106">
        <v>-2.66642</v>
      </c>
      <c r="AS106">
        <v>0</v>
      </c>
      <c r="AX106">
        <f t="shared" si="13"/>
        <v>5.2999999999999901</v>
      </c>
      <c r="AY106">
        <v>99</v>
      </c>
      <c r="AZ106">
        <v>4.3872299999999997</v>
      </c>
      <c r="BA106">
        <v>0</v>
      </c>
    </row>
    <row r="107" spans="2:53" x14ac:dyDescent="0.2">
      <c r="B107">
        <f t="shared" si="7"/>
        <v>5.3499999999999899</v>
      </c>
      <c r="C107">
        <v>100</v>
      </c>
      <c r="D107">
        <v>-0.39746799999999999</v>
      </c>
      <c r="E107">
        <v>0</v>
      </c>
      <c r="J107">
        <f t="shared" si="8"/>
        <v>5.3499999999999899</v>
      </c>
      <c r="K107">
        <v>100</v>
      </c>
      <c r="L107">
        <v>0.116828</v>
      </c>
      <c r="M107">
        <v>0</v>
      </c>
      <c r="R107">
        <f t="shared" si="9"/>
        <v>5.3499999999999899</v>
      </c>
      <c r="S107">
        <v>100</v>
      </c>
      <c r="T107">
        <v>0.86040700000000003</v>
      </c>
      <c r="U107">
        <v>0</v>
      </c>
      <c r="Z107">
        <f t="shared" si="10"/>
        <v>5.3499999999999899</v>
      </c>
      <c r="AA107">
        <v>100</v>
      </c>
      <c r="AB107">
        <v>-5.1821700000000002</v>
      </c>
      <c r="AC107">
        <v>0</v>
      </c>
      <c r="AH107">
        <f t="shared" si="11"/>
        <v>5.3499999999999899</v>
      </c>
      <c r="AI107">
        <v>100</v>
      </c>
      <c r="AJ107">
        <v>-4.1535799999999998</v>
      </c>
      <c r="AK107">
        <v>0</v>
      </c>
      <c r="AP107">
        <f t="shared" si="12"/>
        <v>5.3499999999999899</v>
      </c>
      <c r="AQ107">
        <v>100</v>
      </c>
      <c r="AR107">
        <v>-2.66642</v>
      </c>
      <c r="AS107">
        <v>0</v>
      </c>
      <c r="AX107">
        <f t="shared" si="13"/>
        <v>5.3499999999999899</v>
      </c>
      <c r="AY107">
        <v>100</v>
      </c>
      <c r="AZ107">
        <v>4.3872299999999997</v>
      </c>
      <c r="BA10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LiKNaCl MTP 14B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Beeler</cp:lastModifiedBy>
  <dcterms:created xsi:type="dcterms:W3CDTF">2025-10-01T16:07:13Z</dcterms:created>
  <dcterms:modified xsi:type="dcterms:W3CDTF">2025-10-23T21:28:29Z</dcterms:modified>
</cp:coreProperties>
</file>