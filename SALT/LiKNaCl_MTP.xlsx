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75AE38EB-A1EE-CC47-B82C-83B09DC309F1}" xr6:coauthVersionLast="47" xr6:coauthVersionMax="47" xr10:uidLastSave="{00000000-0000-0000-0000-000000000000}"/>
  <bookViews>
    <workbookView xWindow="3860" yWindow="5220" windowWidth="27640" windowHeight="16020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dimer EvsR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6" l="1"/>
  <c r="N20" i="6"/>
  <c r="O20" i="6"/>
  <c r="A20" i="6"/>
  <c r="B20" i="6"/>
  <c r="C20" i="6"/>
  <c r="N19" i="6"/>
  <c r="M19" i="6"/>
  <c r="A14" i="6"/>
  <c r="B14" i="6"/>
  <c r="C14" i="6"/>
  <c r="M14" i="6"/>
  <c r="N14" i="6"/>
  <c r="O14" i="6"/>
  <c r="B15" i="5"/>
  <c r="B16" i="5"/>
  <c r="B17" i="5"/>
  <c r="A9" i="6" l="1"/>
  <c r="A10" i="6"/>
  <c r="A11" i="6"/>
  <c r="A12" i="6"/>
  <c r="A13" i="6"/>
  <c r="A15" i="6"/>
  <c r="A16" i="6"/>
  <c r="A17" i="6"/>
  <c r="A18" i="6"/>
  <c r="A19" i="6"/>
  <c r="A8" i="6"/>
  <c r="K17" i="1"/>
  <c r="L17" i="1"/>
  <c r="R6" i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 s="1"/>
  <c r="O17" i="6"/>
  <c r="M17" i="6"/>
  <c r="N17" i="6" s="1"/>
  <c r="O16" i="6"/>
  <c r="M16" i="6"/>
  <c r="N16" i="6" s="1"/>
  <c r="O15" i="6"/>
  <c r="M15" i="6"/>
  <c r="N15" i="6" s="1"/>
  <c r="C15" i="6"/>
  <c r="O13" i="6"/>
  <c r="M13" i="6"/>
  <c r="N13" i="6" s="1"/>
  <c r="C13" i="6"/>
  <c r="O12" i="6"/>
  <c r="M12" i="6"/>
  <c r="N12" i="6" s="1"/>
  <c r="C12" i="6"/>
  <c r="O11" i="6"/>
  <c r="M11" i="6"/>
  <c r="N11" i="6" s="1"/>
  <c r="C11" i="6"/>
  <c r="O10" i="6"/>
  <c r="M10" i="6"/>
  <c r="N10" i="6" s="1"/>
  <c r="C10" i="6"/>
  <c r="O9" i="6"/>
  <c r="M9" i="6"/>
  <c r="N9" i="6" s="1"/>
  <c r="C9" i="6"/>
  <c r="O8" i="6"/>
  <c r="M8" i="6"/>
  <c r="N8" i="6" s="1"/>
  <c r="B9" i="4" l="1"/>
  <c r="B10" i="4"/>
  <c r="B11" i="4"/>
  <c r="B12" i="4"/>
  <c r="B13" i="4"/>
  <c r="B14" i="4"/>
  <c r="B15" i="4"/>
  <c r="B16" i="4"/>
  <c r="B17" i="4"/>
  <c r="B18" i="4"/>
  <c r="B8" i="4"/>
  <c r="B10" i="5"/>
  <c r="B11" i="5"/>
  <c r="B12" i="5"/>
  <c r="B13" i="5"/>
  <c r="B14" i="5"/>
  <c r="B18" i="5"/>
  <c r="B9" i="5"/>
  <c r="B8" i="5"/>
  <c r="N18" i="5"/>
  <c r="L18" i="5"/>
  <c r="M18" i="5" s="1"/>
  <c r="N17" i="5"/>
  <c r="L17" i="5"/>
  <c r="M17" i="5" s="1"/>
  <c r="N16" i="5"/>
  <c r="L16" i="5"/>
  <c r="M16" i="5" s="1"/>
  <c r="N15" i="5"/>
  <c r="L15" i="5"/>
  <c r="M15" i="5" s="1"/>
  <c r="N14" i="5"/>
  <c r="L14" i="5"/>
  <c r="M14" i="5" s="1"/>
  <c r="N13" i="5"/>
  <c r="L13" i="5"/>
  <c r="M13" i="5" s="1"/>
  <c r="N12" i="5"/>
  <c r="L12" i="5"/>
  <c r="M12" i="5" s="1"/>
  <c r="N11" i="5"/>
  <c r="L11" i="5"/>
  <c r="M11" i="5" s="1"/>
  <c r="N10" i="5"/>
  <c r="L10" i="5"/>
  <c r="M10" i="5" s="1"/>
  <c r="N9" i="5"/>
  <c r="L9" i="5"/>
  <c r="M9" i="5" s="1"/>
  <c r="N8" i="5"/>
  <c r="L8" i="5"/>
  <c r="M8" i="5" s="1"/>
  <c r="N18" i="4"/>
  <c r="L18" i="4"/>
  <c r="M18" i="4" s="1"/>
  <c r="N17" i="4"/>
  <c r="L17" i="4"/>
  <c r="M17" i="4" s="1"/>
  <c r="N16" i="4"/>
  <c r="L16" i="4"/>
  <c r="M16" i="4" s="1"/>
  <c r="N15" i="4"/>
  <c r="L15" i="4"/>
  <c r="M15" i="4" s="1"/>
  <c r="N14" i="4"/>
  <c r="L14" i="4"/>
  <c r="M14" i="4" s="1"/>
  <c r="N13" i="4"/>
  <c r="L13" i="4"/>
  <c r="M13" i="4" s="1"/>
  <c r="N12" i="4"/>
  <c r="L12" i="4"/>
  <c r="M12" i="4" s="1"/>
  <c r="N11" i="4"/>
  <c r="L11" i="4"/>
  <c r="M11" i="4" s="1"/>
  <c r="N10" i="4"/>
  <c r="L10" i="4"/>
  <c r="M10" i="4" s="1"/>
  <c r="N9" i="4"/>
  <c r="L9" i="4"/>
  <c r="M9" i="4" s="1"/>
  <c r="N8" i="4"/>
  <c r="L8" i="4"/>
  <c r="M8" i="4" s="1"/>
  <c r="B9" i="3"/>
  <c r="B10" i="3"/>
  <c r="B11" i="3"/>
  <c r="B12" i="3"/>
  <c r="B13" i="3"/>
  <c r="BV11" i="2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N18" i="3"/>
  <c r="L18" i="3"/>
  <c r="M18" i="3" s="1"/>
  <c r="B15" i="3"/>
  <c r="B16" i="3"/>
  <c r="B17" i="3"/>
  <c r="B18" i="3"/>
  <c r="B14" i="3"/>
  <c r="B8" i="3"/>
  <c r="L9" i="3"/>
  <c r="M9" i="3" s="1"/>
  <c r="N9" i="3" l="1"/>
  <c r="L10" i="3"/>
  <c r="M10" i="3"/>
  <c r="N10" i="3"/>
  <c r="L11" i="3"/>
  <c r="N11" i="3"/>
  <c r="L12" i="3"/>
  <c r="M12" i="3" s="1"/>
  <c r="N12" i="3"/>
  <c r="L13" i="3"/>
  <c r="M13" i="3" s="1"/>
  <c r="N13" i="3"/>
  <c r="L14" i="3"/>
  <c r="M14" i="3" s="1"/>
  <c r="N14" i="3"/>
  <c r="L15" i="3"/>
  <c r="M15" i="3" s="1"/>
  <c r="N15" i="3"/>
  <c r="L16" i="3"/>
  <c r="M16" i="3" s="1"/>
  <c r="N16" i="3"/>
  <c r="L17" i="3"/>
  <c r="M17" i="3" s="1"/>
  <c r="N17" i="3"/>
  <c r="N8" i="3"/>
  <c r="L8" i="3"/>
  <c r="M8" i="3" s="1"/>
  <c r="M11" i="3" l="1"/>
  <c r="O34" i="1"/>
  <c r="O12" i="1"/>
  <c r="Q7" i="1" l="1"/>
  <c r="Q8" i="1"/>
  <c r="Q9" i="1"/>
  <c r="Q6" i="1"/>
  <c r="Q29" i="1"/>
  <c r="Q30" i="1"/>
  <c r="Q31" i="1"/>
  <c r="Q28" i="1"/>
  <c r="Q18" i="1"/>
  <c r="Q19" i="1"/>
  <c r="Q20" i="1"/>
  <c r="Q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R20" i="1" s="1"/>
  <c r="M20" i="1"/>
  <c r="M19" i="1"/>
  <c r="K19" i="1"/>
  <c r="L19" i="1" s="1"/>
  <c r="M18" i="1"/>
  <c r="K18" i="1"/>
  <c r="L18" i="1" s="1"/>
  <c r="M17" i="1"/>
  <c r="R28" i="1" l="1"/>
  <c r="S28" i="1"/>
  <c r="S17" i="1"/>
  <c r="R17" i="1"/>
  <c r="S18" i="1"/>
  <c r="R18" i="1"/>
  <c r="R19" i="1"/>
  <c r="S19" i="1"/>
  <c r="S20" i="1"/>
  <c r="S31" i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M7" i="1"/>
  <c r="M8" i="1"/>
  <c r="M9" i="1"/>
  <c r="L11" i="1" s="1" a="1"/>
  <c r="L11" i="1" s="1"/>
  <c r="L12" i="1" s="1"/>
  <c r="K8" i="1"/>
  <c r="L8" i="1" s="1"/>
  <c r="K6" i="1"/>
  <c r="L6" i="1" s="1"/>
  <c r="K7" i="1"/>
  <c r="L7" i="1" s="1"/>
  <c r="R7" i="1" l="1"/>
  <c r="S7" i="1"/>
  <c r="S6" i="1"/>
  <c r="R8" i="1"/>
  <c r="S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<sst xmlns="http://schemas.openxmlformats.org/spreadsheetml/2006/main" count="273" uniqueCount="50">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</sst>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1497.08</c:v>
                </c:pt>
                <c:pt idx="1">
                  <c:v>1405.33</c:v>
                </c:pt>
                <c:pt idx="2">
                  <c:v>1294.93</c:v>
                </c:pt>
                <c:pt idx="3">
                  <c:v>1203.24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1.3941294025608777</c:v>
                </c:pt>
                <c:pt idx="1">
                  <c:v>1.4119109430669674</c:v>
                </c:pt>
                <c:pt idx="2">
                  <c:v>1.444414497437555</c:v>
                </c:pt>
                <c:pt idx="3">
                  <c:v>1.4615506845475239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'LiCl-KCl'!$B$8:$B$19</c:f>
              <c:numCache>
                <c:formatCode>General</c:formatCode>
                <c:ptCount val="1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'LiCl-KCl'!$M$8:$M$19</c:f>
              <c:numCache>
                <c:formatCode>General</c:formatCode>
                <c:ptCount val="12"/>
                <c:pt idx="0">
                  <c:v>1.2764380037491472</c:v>
                </c:pt>
                <c:pt idx="1">
                  <c:v>1.2872426512553892</c:v>
                </c:pt>
                <c:pt idx="2">
                  <c:v>1.2763848141634719</c:v>
                </c:pt>
                <c:pt idx="3">
                  <c:v>1.2811473248971423</c:v>
                </c:pt>
                <c:pt idx="4">
                  <c:v>1.2587847941512909</c:v>
                </c:pt>
                <c:pt idx="5">
                  <c:v>1.2492756681362054</c:v>
                </c:pt>
                <c:pt idx="6">
                  <c:v>1.2432362325103663</c:v>
                </c:pt>
                <c:pt idx="7">
                  <c:v>1.2187786187840777</c:v>
                </c:pt>
                <c:pt idx="8">
                  <c:v>1.2191534246557627</c:v>
                </c:pt>
                <c:pt idx="9">
                  <c:v>1.2008249287868573</c:v>
                </c:pt>
                <c:pt idx="10">
                  <c:v>1.1896401206554605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'LiCl-KCl'!$J$26:$J$125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'LiCl-KCl'!$M$26:$M$125</c:f>
              <c:numCache>
                <c:formatCode>General</c:formatCode>
                <c:ptCount val="100"/>
                <c:pt idx="0">
                  <c:v>67799.8</c:v>
                </c:pt>
                <c:pt idx="1">
                  <c:v>71820.7</c:v>
                </c:pt>
                <c:pt idx="2">
                  <c:v>74082.399999999994</c:v>
                </c:pt>
                <c:pt idx="3">
                  <c:v>73863.100000000006</c:v>
                </c:pt>
                <c:pt idx="4">
                  <c:v>74886.2</c:v>
                </c:pt>
                <c:pt idx="5">
                  <c:v>73479.3</c:v>
                </c:pt>
                <c:pt idx="6">
                  <c:v>73949.7</c:v>
                </c:pt>
                <c:pt idx="7">
                  <c:v>73808.5</c:v>
                </c:pt>
                <c:pt idx="8">
                  <c:v>73924.7</c:v>
                </c:pt>
                <c:pt idx="9">
                  <c:v>74263.5</c:v>
                </c:pt>
                <c:pt idx="10">
                  <c:v>73694.2</c:v>
                </c:pt>
                <c:pt idx="11">
                  <c:v>74237.7</c:v>
                </c:pt>
                <c:pt idx="12">
                  <c:v>74186.399999999994</c:v>
                </c:pt>
                <c:pt idx="13">
                  <c:v>75056.899999999994</c:v>
                </c:pt>
                <c:pt idx="14">
                  <c:v>75458.7</c:v>
                </c:pt>
                <c:pt idx="15">
                  <c:v>74189.8</c:v>
                </c:pt>
                <c:pt idx="16">
                  <c:v>71914.399999999994</c:v>
                </c:pt>
                <c:pt idx="17">
                  <c:v>73533.5</c:v>
                </c:pt>
                <c:pt idx="18">
                  <c:v>72929.8</c:v>
                </c:pt>
                <c:pt idx="19">
                  <c:v>72920.899999999994</c:v>
                </c:pt>
                <c:pt idx="20">
                  <c:v>72449.100000000006</c:v>
                </c:pt>
                <c:pt idx="21">
                  <c:v>74054.8</c:v>
                </c:pt>
                <c:pt idx="22">
                  <c:v>73781.899999999994</c:v>
                </c:pt>
                <c:pt idx="23">
                  <c:v>73480.600000000006</c:v>
                </c:pt>
                <c:pt idx="24">
                  <c:v>73708.7</c:v>
                </c:pt>
                <c:pt idx="25">
                  <c:v>75806.399999999994</c:v>
                </c:pt>
                <c:pt idx="26">
                  <c:v>73951.199999999997</c:v>
                </c:pt>
                <c:pt idx="27">
                  <c:v>72590.2</c:v>
                </c:pt>
                <c:pt idx="28">
                  <c:v>74321.8</c:v>
                </c:pt>
                <c:pt idx="29">
                  <c:v>73479.100000000006</c:v>
                </c:pt>
                <c:pt idx="30">
                  <c:v>74635.8</c:v>
                </c:pt>
                <c:pt idx="31">
                  <c:v>73564.899999999994</c:v>
                </c:pt>
                <c:pt idx="32">
                  <c:v>76345.7</c:v>
                </c:pt>
                <c:pt idx="33">
                  <c:v>77371.5</c:v>
                </c:pt>
                <c:pt idx="34">
                  <c:v>75906.399999999994</c:v>
                </c:pt>
                <c:pt idx="35">
                  <c:v>76418.7</c:v>
                </c:pt>
                <c:pt idx="36">
                  <c:v>75596</c:v>
                </c:pt>
                <c:pt idx="37">
                  <c:v>75802.399999999994</c:v>
                </c:pt>
                <c:pt idx="38">
                  <c:v>75251.600000000006</c:v>
                </c:pt>
                <c:pt idx="39">
                  <c:v>74226</c:v>
                </c:pt>
                <c:pt idx="40">
                  <c:v>73309.5</c:v>
                </c:pt>
                <c:pt idx="41">
                  <c:v>74751.399999999994</c:v>
                </c:pt>
                <c:pt idx="42">
                  <c:v>74193.899999999994</c:v>
                </c:pt>
                <c:pt idx="43">
                  <c:v>74202.5</c:v>
                </c:pt>
                <c:pt idx="44">
                  <c:v>74580</c:v>
                </c:pt>
                <c:pt idx="45">
                  <c:v>75031.3</c:v>
                </c:pt>
                <c:pt idx="46">
                  <c:v>74328.399999999994</c:v>
                </c:pt>
                <c:pt idx="47">
                  <c:v>72939.100000000006</c:v>
                </c:pt>
                <c:pt idx="48">
                  <c:v>74350.3</c:v>
                </c:pt>
                <c:pt idx="49">
                  <c:v>74402.8</c:v>
                </c:pt>
                <c:pt idx="50">
                  <c:v>75890.7</c:v>
                </c:pt>
                <c:pt idx="51">
                  <c:v>74664.5</c:v>
                </c:pt>
                <c:pt idx="52">
                  <c:v>73425</c:v>
                </c:pt>
                <c:pt idx="53">
                  <c:v>75122.100000000006</c:v>
                </c:pt>
                <c:pt idx="54">
                  <c:v>74001.2</c:v>
                </c:pt>
                <c:pt idx="55">
                  <c:v>73089</c:v>
                </c:pt>
                <c:pt idx="56">
                  <c:v>75187.100000000006</c:v>
                </c:pt>
                <c:pt idx="57">
                  <c:v>74658.3</c:v>
                </c:pt>
                <c:pt idx="58">
                  <c:v>72827.399999999994</c:v>
                </c:pt>
                <c:pt idx="59">
                  <c:v>74630.3</c:v>
                </c:pt>
                <c:pt idx="60">
                  <c:v>74029.399999999994</c:v>
                </c:pt>
                <c:pt idx="61">
                  <c:v>74760.899999999994</c:v>
                </c:pt>
                <c:pt idx="62">
                  <c:v>76626.2</c:v>
                </c:pt>
                <c:pt idx="63">
                  <c:v>75775.100000000006</c:v>
                </c:pt>
                <c:pt idx="64">
                  <c:v>75908</c:v>
                </c:pt>
                <c:pt idx="65">
                  <c:v>74789</c:v>
                </c:pt>
                <c:pt idx="66">
                  <c:v>74544.5</c:v>
                </c:pt>
                <c:pt idx="67">
                  <c:v>74447.3</c:v>
                </c:pt>
                <c:pt idx="68">
                  <c:v>74427.5</c:v>
                </c:pt>
                <c:pt idx="69">
                  <c:v>74702.399999999994</c:v>
                </c:pt>
                <c:pt idx="70">
                  <c:v>73853.2</c:v>
                </c:pt>
                <c:pt idx="71">
                  <c:v>75086.2</c:v>
                </c:pt>
                <c:pt idx="72">
                  <c:v>75023.399999999994</c:v>
                </c:pt>
                <c:pt idx="73">
                  <c:v>74864.800000000003</c:v>
                </c:pt>
                <c:pt idx="74">
                  <c:v>72474.899999999994</c:v>
                </c:pt>
                <c:pt idx="75">
                  <c:v>74205.100000000006</c:v>
                </c:pt>
                <c:pt idx="76">
                  <c:v>74981.899999999994</c:v>
                </c:pt>
                <c:pt idx="77">
                  <c:v>76311.600000000006</c:v>
                </c:pt>
                <c:pt idx="78">
                  <c:v>75433</c:v>
                </c:pt>
                <c:pt idx="79">
                  <c:v>74768.2</c:v>
                </c:pt>
                <c:pt idx="80">
                  <c:v>74911.5</c:v>
                </c:pt>
                <c:pt idx="81">
                  <c:v>72063.399999999994</c:v>
                </c:pt>
                <c:pt idx="82">
                  <c:v>73841.899999999994</c:v>
                </c:pt>
                <c:pt idx="83">
                  <c:v>73710.600000000006</c:v>
                </c:pt>
                <c:pt idx="84">
                  <c:v>73586.899999999994</c:v>
                </c:pt>
                <c:pt idx="85">
                  <c:v>75611.3</c:v>
                </c:pt>
                <c:pt idx="86">
                  <c:v>75513.600000000006</c:v>
                </c:pt>
                <c:pt idx="87">
                  <c:v>74973.399999999994</c:v>
                </c:pt>
                <c:pt idx="88">
                  <c:v>73794.3</c:v>
                </c:pt>
                <c:pt idx="89">
                  <c:v>73010.600000000006</c:v>
                </c:pt>
                <c:pt idx="90">
                  <c:v>72312.7</c:v>
                </c:pt>
                <c:pt idx="91">
                  <c:v>74763.399999999994</c:v>
                </c:pt>
                <c:pt idx="92">
                  <c:v>73945.399999999994</c:v>
                </c:pt>
                <c:pt idx="93">
                  <c:v>74383.899999999994</c:v>
                </c:pt>
                <c:pt idx="94">
                  <c:v>75600.2</c:v>
                </c:pt>
                <c:pt idx="95">
                  <c:v>76962.399999999994</c:v>
                </c:pt>
                <c:pt idx="96" formatCode="0.00E+00">
                  <c:v>75430</c:v>
                </c:pt>
                <c:pt idx="97" formatCode="0.00E+00">
                  <c:v>73980.899999999994</c:v>
                </c:pt>
                <c:pt idx="98" formatCode="0.00E+00">
                  <c:v>72166.600000000006</c:v>
                </c:pt>
                <c:pt idx="99" formatCode="0.00E+00">
                  <c:v>73322.8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'LiCl-KCl'!$J$26:$J$125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'LiCl-KCl'!$L$26:$L$125</c:f>
              <c:numCache>
                <c:formatCode>General</c:formatCode>
                <c:ptCount val="100"/>
                <c:pt idx="0">
                  <c:v>-2648.92</c:v>
                </c:pt>
                <c:pt idx="1">
                  <c:v>-2622.5</c:v>
                </c:pt>
                <c:pt idx="2">
                  <c:v>-2604.0700000000002</c:v>
                </c:pt>
                <c:pt idx="3">
                  <c:v>-2608.65</c:v>
                </c:pt>
                <c:pt idx="4">
                  <c:v>-2606.2600000000002</c:v>
                </c:pt>
                <c:pt idx="5">
                  <c:v>-2620.88</c:v>
                </c:pt>
                <c:pt idx="6">
                  <c:v>-2605.9699999999998</c:v>
                </c:pt>
                <c:pt idx="7">
                  <c:v>-2617.94</c:v>
                </c:pt>
                <c:pt idx="8">
                  <c:v>-2601.67</c:v>
                </c:pt>
                <c:pt idx="9">
                  <c:v>-2608.9699999999998</c:v>
                </c:pt>
                <c:pt idx="10">
                  <c:v>-2611.77</c:v>
                </c:pt>
                <c:pt idx="11">
                  <c:v>-2617.5500000000002</c:v>
                </c:pt>
                <c:pt idx="12">
                  <c:v>-2609.46</c:v>
                </c:pt>
                <c:pt idx="13">
                  <c:v>-2601.58</c:v>
                </c:pt>
                <c:pt idx="14">
                  <c:v>-2609.84</c:v>
                </c:pt>
                <c:pt idx="15">
                  <c:v>-2618.7800000000002</c:v>
                </c:pt>
                <c:pt idx="16">
                  <c:v>-2632.08</c:v>
                </c:pt>
                <c:pt idx="17">
                  <c:v>-2608.0300000000002</c:v>
                </c:pt>
                <c:pt idx="18">
                  <c:v>-2621.67</c:v>
                </c:pt>
                <c:pt idx="19">
                  <c:v>-2612.39</c:v>
                </c:pt>
                <c:pt idx="20">
                  <c:v>-2624.98</c:v>
                </c:pt>
                <c:pt idx="21">
                  <c:v>-2609.69</c:v>
                </c:pt>
                <c:pt idx="22">
                  <c:v>-2602.83</c:v>
                </c:pt>
                <c:pt idx="23">
                  <c:v>-2605.4499999999998</c:v>
                </c:pt>
                <c:pt idx="24">
                  <c:v>-2614.96</c:v>
                </c:pt>
                <c:pt idx="25">
                  <c:v>-2594.4499999999998</c:v>
                </c:pt>
                <c:pt idx="26">
                  <c:v>-2614.6999999999998</c:v>
                </c:pt>
                <c:pt idx="27">
                  <c:v>-2620.48</c:v>
                </c:pt>
                <c:pt idx="28">
                  <c:v>-2606.91</c:v>
                </c:pt>
                <c:pt idx="29">
                  <c:v>-2605.2399999999998</c:v>
                </c:pt>
                <c:pt idx="30">
                  <c:v>-2600.88</c:v>
                </c:pt>
                <c:pt idx="31">
                  <c:v>-2618.85</c:v>
                </c:pt>
                <c:pt idx="32">
                  <c:v>-2597.39</c:v>
                </c:pt>
                <c:pt idx="33">
                  <c:v>-2586.5100000000002</c:v>
                </c:pt>
                <c:pt idx="34">
                  <c:v>-2598.44</c:v>
                </c:pt>
                <c:pt idx="35">
                  <c:v>-2596.81</c:v>
                </c:pt>
                <c:pt idx="36">
                  <c:v>-2599.7199999999998</c:v>
                </c:pt>
                <c:pt idx="37">
                  <c:v>-2595.4899999999998</c:v>
                </c:pt>
                <c:pt idx="38">
                  <c:v>-2598.98</c:v>
                </c:pt>
                <c:pt idx="39">
                  <c:v>-2617.42</c:v>
                </c:pt>
                <c:pt idx="40">
                  <c:v>-2615.4699999999998</c:v>
                </c:pt>
                <c:pt idx="41">
                  <c:v>-2608.13</c:v>
                </c:pt>
                <c:pt idx="42">
                  <c:v>-2607.1799999999998</c:v>
                </c:pt>
                <c:pt idx="43">
                  <c:v>-2607.37</c:v>
                </c:pt>
                <c:pt idx="44">
                  <c:v>-2609</c:v>
                </c:pt>
                <c:pt idx="45">
                  <c:v>-2602.62</c:v>
                </c:pt>
                <c:pt idx="46">
                  <c:v>-2609.2800000000002</c:v>
                </c:pt>
                <c:pt idx="47">
                  <c:v>-2604.9</c:v>
                </c:pt>
                <c:pt idx="48">
                  <c:v>-2597.0100000000002</c:v>
                </c:pt>
                <c:pt idx="49">
                  <c:v>-2608.87</c:v>
                </c:pt>
                <c:pt idx="50">
                  <c:v>-2599.65</c:v>
                </c:pt>
                <c:pt idx="51">
                  <c:v>-2616.0300000000002</c:v>
                </c:pt>
                <c:pt idx="52">
                  <c:v>-2604.5300000000002</c:v>
                </c:pt>
                <c:pt idx="53">
                  <c:v>-2609.5</c:v>
                </c:pt>
                <c:pt idx="54">
                  <c:v>-2611.8000000000002</c:v>
                </c:pt>
                <c:pt idx="55">
                  <c:v>-2614.7800000000002</c:v>
                </c:pt>
                <c:pt idx="56">
                  <c:v>-2604.3200000000002</c:v>
                </c:pt>
                <c:pt idx="57">
                  <c:v>-2599.27</c:v>
                </c:pt>
                <c:pt idx="58">
                  <c:v>-2621.15</c:v>
                </c:pt>
                <c:pt idx="59">
                  <c:v>-2601.56</c:v>
                </c:pt>
                <c:pt idx="60">
                  <c:v>-2614.79</c:v>
                </c:pt>
                <c:pt idx="61">
                  <c:v>-2604.77</c:v>
                </c:pt>
                <c:pt idx="62">
                  <c:v>-2598.9299999999998</c:v>
                </c:pt>
                <c:pt idx="63">
                  <c:v>-2604.0500000000002</c:v>
                </c:pt>
                <c:pt idx="64">
                  <c:v>-2597.31</c:v>
                </c:pt>
                <c:pt idx="65">
                  <c:v>-2607.09</c:v>
                </c:pt>
                <c:pt idx="66">
                  <c:v>-2609.2199999999998</c:v>
                </c:pt>
                <c:pt idx="67">
                  <c:v>-2598.39</c:v>
                </c:pt>
                <c:pt idx="68">
                  <c:v>-2599.42</c:v>
                </c:pt>
                <c:pt idx="69">
                  <c:v>-2607</c:v>
                </c:pt>
                <c:pt idx="70">
                  <c:v>-2606.65</c:v>
                </c:pt>
                <c:pt idx="71">
                  <c:v>-2611.04</c:v>
                </c:pt>
                <c:pt idx="72">
                  <c:v>-2611.02</c:v>
                </c:pt>
                <c:pt idx="73">
                  <c:v>-2615.5100000000002</c:v>
                </c:pt>
                <c:pt idx="74">
                  <c:v>-2624.73</c:v>
                </c:pt>
                <c:pt idx="75">
                  <c:v>-2602.19</c:v>
                </c:pt>
                <c:pt idx="76">
                  <c:v>-2608.0100000000002</c:v>
                </c:pt>
                <c:pt idx="77">
                  <c:v>-2603.44</c:v>
                </c:pt>
                <c:pt idx="78">
                  <c:v>-2604.39</c:v>
                </c:pt>
                <c:pt idx="79">
                  <c:v>-2600.0100000000002</c:v>
                </c:pt>
                <c:pt idx="80">
                  <c:v>-2618.19</c:v>
                </c:pt>
                <c:pt idx="81">
                  <c:v>-2617.25</c:v>
                </c:pt>
                <c:pt idx="82">
                  <c:v>-2618.46</c:v>
                </c:pt>
                <c:pt idx="83">
                  <c:v>-2608.58</c:v>
                </c:pt>
                <c:pt idx="84">
                  <c:v>-2607.87</c:v>
                </c:pt>
                <c:pt idx="85">
                  <c:v>-2607.62</c:v>
                </c:pt>
                <c:pt idx="86">
                  <c:v>-2597.9899999999998</c:v>
                </c:pt>
                <c:pt idx="87">
                  <c:v>-2606.41</c:v>
                </c:pt>
                <c:pt idx="88">
                  <c:v>-2617.19</c:v>
                </c:pt>
                <c:pt idx="89">
                  <c:v>-2616.8200000000002</c:v>
                </c:pt>
                <c:pt idx="90">
                  <c:v>-2608.6999999999998</c:v>
                </c:pt>
                <c:pt idx="91">
                  <c:v>-2603.08</c:v>
                </c:pt>
                <c:pt idx="92">
                  <c:v>-2610.2199999999998</c:v>
                </c:pt>
                <c:pt idx="93">
                  <c:v>-2608.7199999999998</c:v>
                </c:pt>
                <c:pt idx="94">
                  <c:v>-2583.5700000000002</c:v>
                </c:pt>
                <c:pt idx="95">
                  <c:v>-2598.2600000000002</c:v>
                </c:pt>
                <c:pt idx="96">
                  <c:v>-2603.12</c:v>
                </c:pt>
                <c:pt idx="97">
                  <c:v>-2613.77</c:v>
                </c:pt>
                <c:pt idx="98">
                  <c:v>-2617.83</c:v>
                </c:pt>
                <c:pt idx="99">
                  <c:v>-2608.0500000000002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'LiCl-NaCl'!$K$29:$K$228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'LiCl-NaCl'!$N$29:$N$228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'LiCl-NaCl'!$K$29:$K$228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'LiCl-NaCl'!$M$29:$M$228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'LiCl-NaCl'!$B$8:$B$18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'LiCl-NaCl'!$M$8:$M$18</c:f>
              <c:numCache>
                <c:formatCode>General</c:formatCode>
                <c:ptCount val="11"/>
                <c:pt idx="0">
                  <c:v>1.391679723207335</c:v>
                </c:pt>
                <c:pt idx="1">
                  <c:v>1.3983009625161797</c:v>
                </c:pt>
                <c:pt idx="2">
                  <c:v>1.4076100662251656</c:v>
                </c:pt>
                <c:pt idx="3">
                  <c:v>1.4207370176786045</c:v>
                </c:pt>
                <c:pt idx="4">
                  <c:v>1.4264920001671997</c:v>
                </c:pt>
                <c:pt idx="5">
                  <c:v>1.4345300287236296</c:v>
                </c:pt>
                <c:pt idx="6">
                  <c:v>1.4325404002943647</c:v>
                </c:pt>
                <c:pt idx="7">
                  <c:v>1.4424274809160305</c:v>
                </c:pt>
                <c:pt idx="8">
                  <c:v>1.4418083078192858</c:v>
                </c:pt>
                <c:pt idx="9">
                  <c:v>1.4462850855399139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'KCl-NaCl'!$B$8:$B$18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'KCl-NaCl'!$M$8:$M$18</c:f>
              <c:numCache>
                <c:formatCode>General</c:formatCode>
                <c:ptCount val="11"/>
                <c:pt idx="0">
                  <c:v>1.3481419848321696</c:v>
                </c:pt>
                <c:pt idx="1">
                  <c:v>1.3651813834175428</c:v>
                </c:pt>
                <c:pt idx="2">
                  <c:v>1.3761291570419816</c:v>
                </c:pt>
                <c:pt idx="3">
                  <c:v>1.3892712546345327</c:v>
                </c:pt>
                <c:pt idx="4">
                  <c:v>1.3948582082375525</c:v>
                </c:pt>
                <c:pt idx="5">
                  <c:v>1.4031986371622374</c:v>
                </c:pt>
                <c:pt idx="6">
                  <c:v>1.4111064039108212</c:v>
                </c:pt>
                <c:pt idx="7">
                  <c:v>1.4278544725082263</c:v>
                </c:pt>
                <c:pt idx="8">
                  <c:v>1.4269853946866891</c:v>
                </c:pt>
                <c:pt idx="9">
                  <c:v>1.4363596551875635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3460150</c:v>
                </c:pt>
                <c:pt idx="1">
                  <c:v>3460150</c:v>
                </c:pt>
                <c:pt idx="2">
                  <c:v>1775710</c:v>
                </c:pt>
                <c:pt idx="3">
                  <c:v>899778</c:v>
                </c:pt>
                <c:pt idx="4">
                  <c:v>450058</c:v>
                </c:pt>
                <c:pt idx="5">
                  <c:v>222164</c:v>
                </c:pt>
                <c:pt idx="6">
                  <c:v>108213</c:v>
                </c:pt>
                <c:pt idx="7">
                  <c:v>52005.2</c:v>
                </c:pt>
                <c:pt idx="8">
                  <c:v>24659.5</c:v>
                </c:pt>
                <c:pt idx="9">
                  <c:v>11539.4</c:v>
                </c:pt>
                <c:pt idx="10">
                  <c:v>5331.72</c:v>
                </c:pt>
                <c:pt idx="11">
                  <c:v>2435.15</c:v>
                </c:pt>
                <c:pt idx="12">
                  <c:v>1101.8599999999999</c:v>
                </c:pt>
                <c:pt idx="13">
                  <c:v>496.10300000000001</c:v>
                </c:pt>
                <c:pt idx="14">
                  <c:v>224.083</c:v>
                </c:pt>
                <c:pt idx="15">
                  <c:v>102.997</c:v>
                </c:pt>
                <c:pt idx="16">
                  <c:v>49.226599999999998</c:v>
                </c:pt>
                <c:pt idx="17">
                  <c:v>25.0916</c:v>
                </c:pt>
                <c:pt idx="18">
                  <c:v>13.8682</c:v>
                </c:pt>
                <c:pt idx="19">
                  <c:v>8.2490100000000002</c:v>
                </c:pt>
                <c:pt idx="20">
                  <c:v>5.0910700000000002</c:v>
                </c:pt>
                <c:pt idx="21">
                  <c:v>3.0626199999999999</c:v>
                </c:pt>
                <c:pt idx="22">
                  <c:v>1.6045199999999999</c:v>
                </c:pt>
                <c:pt idx="23">
                  <c:v>0.48006799999999999</c:v>
                </c:pt>
                <c:pt idx="24">
                  <c:v>-0.41614299999999999</c:v>
                </c:pt>
                <c:pt idx="25">
                  <c:v>-1.13727</c:v>
                </c:pt>
                <c:pt idx="26">
                  <c:v>-1.7157899999999999</c:v>
                </c:pt>
                <c:pt idx="27">
                  <c:v>-2.1754600000000002</c:v>
                </c:pt>
                <c:pt idx="28">
                  <c:v>-2.5356900000000002</c:v>
                </c:pt>
                <c:pt idx="29">
                  <c:v>-2.8129900000000001</c:v>
                </c:pt>
                <c:pt idx="30" formatCode="General">
                  <c:v>-3.0214799999999999</c:v>
                </c:pt>
                <c:pt idx="31" formatCode="General">
                  <c:v>-3.1731799999999999</c:v>
                </c:pt>
                <c:pt idx="32" formatCode="General">
                  <c:v>-3.2782499999999999</c:v>
                </c:pt>
                <c:pt idx="33" formatCode="General">
                  <c:v>-3.3451599999999999</c:v>
                </c:pt>
                <c:pt idx="34" formatCode="General">
                  <c:v>-3.3809900000000002</c:v>
                </c:pt>
                <c:pt idx="35" formatCode="General">
                  <c:v>-3.3915500000000001</c:v>
                </c:pt>
                <c:pt idx="36" formatCode="General">
                  <c:v>-3.3816700000000002</c:v>
                </c:pt>
                <c:pt idx="37" formatCode="General">
                  <c:v>-3.35527</c:v>
                </c:pt>
                <c:pt idx="38" formatCode="General">
                  <c:v>-3.3155899999999998</c:v>
                </c:pt>
                <c:pt idx="39" formatCode="General">
                  <c:v>-3.2652700000000001</c:v>
                </c:pt>
                <c:pt idx="40" formatCode="General">
                  <c:v>-3.2064599999999999</c:v>
                </c:pt>
                <c:pt idx="41" formatCode="General">
                  <c:v>-3.14093</c:v>
                </c:pt>
                <c:pt idx="42" formatCode="General">
                  <c:v>-3.0701299999999998</c:v>
                </c:pt>
                <c:pt idx="43" formatCode="General">
                  <c:v>-2.99526</c:v>
                </c:pt>
                <c:pt idx="44" formatCode="General">
                  <c:v>-2.9173200000000001</c:v>
                </c:pt>
                <c:pt idx="45" formatCode="General">
                  <c:v>-2.8371499999999998</c:v>
                </c:pt>
                <c:pt idx="46" formatCode="General">
                  <c:v>-2.75549</c:v>
                </c:pt>
                <c:pt idx="47" formatCode="General">
                  <c:v>-2.6729400000000001</c:v>
                </c:pt>
                <c:pt idx="48" formatCode="General">
                  <c:v>-2.5900500000000002</c:v>
                </c:pt>
                <c:pt idx="49" formatCode="General">
                  <c:v>-2.5072999999999999</c:v>
                </c:pt>
                <c:pt idx="50" formatCode="General">
                  <c:v>-2.4251</c:v>
                </c:pt>
                <c:pt idx="51" formatCode="General">
                  <c:v>-2.3438400000000001</c:v>
                </c:pt>
                <c:pt idx="52" formatCode="General">
                  <c:v>-2.2638199999999999</c:v>
                </c:pt>
                <c:pt idx="53" formatCode="General">
                  <c:v>-2.18533</c:v>
                </c:pt>
                <c:pt idx="54" formatCode="General">
                  <c:v>-2.1086200000000002</c:v>
                </c:pt>
                <c:pt idx="55" formatCode="General">
                  <c:v>-2.0338599999999998</c:v>
                </c:pt>
                <c:pt idx="56" formatCode="General">
                  <c:v>-1.9612099999999999</c:v>
                </c:pt>
                <c:pt idx="57" formatCode="General">
                  <c:v>-1.8907799999999999</c:v>
                </c:pt>
                <c:pt idx="58" formatCode="General">
                  <c:v>-1.8226199999999999</c:v>
                </c:pt>
                <c:pt idx="59" formatCode="General">
                  <c:v>-1.75678</c:v>
                </c:pt>
                <c:pt idx="60" formatCode="General">
                  <c:v>-1.6932400000000001</c:v>
                </c:pt>
                <c:pt idx="61" formatCode="General">
                  <c:v>-1.63195</c:v>
                </c:pt>
                <c:pt idx="62" formatCode="General">
                  <c:v>-1.5728599999999999</c:v>
                </c:pt>
                <c:pt idx="63" formatCode="General">
                  <c:v>-1.5158799999999999</c:v>
                </c:pt>
                <c:pt idx="64" formatCode="General">
                  <c:v>-1.4609099999999999</c:v>
                </c:pt>
                <c:pt idx="65" formatCode="General">
                  <c:v>-1.40785</c:v>
                </c:pt>
                <c:pt idx="66" formatCode="General">
                  <c:v>-1.35659</c:v>
                </c:pt>
                <c:pt idx="67" formatCode="General">
                  <c:v>-1.3070600000000001</c:v>
                </c:pt>
                <c:pt idx="68" formatCode="General">
                  <c:v>-1.2591600000000001</c:v>
                </c:pt>
                <c:pt idx="69" formatCode="General">
                  <c:v>-1.21285</c:v>
                </c:pt>
                <c:pt idx="70" formatCode="General">
                  <c:v>-1.1680999999999999</c:v>
                </c:pt>
                <c:pt idx="71" formatCode="General">
                  <c:v>-1.1249100000000001</c:v>
                </c:pt>
                <c:pt idx="72" formatCode="General">
                  <c:v>-1.08331</c:v>
                </c:pt>
                <c:pt idx="73" formatCode="General">
                  <c:v>-1.0433399999999999</c:v>
                </c:pt>
                <c:pt idx="74" formatCode="General">
                  <c:v>-1.00509</c:v>
                </c:pt>
                <c:pt idx="75" formatCode="General">
                  <c:v>-0.96862499999999996</c:v>
                </c:pt>
                <c:pt idx="76" formatCode="General">
                  <c:v>-0.93404200000000004</c:v>
                </c:pt>
                <c:pt idx="77" formatCode="General">
                  <c:v>-0.90141099999999996</c:v>
                </c:pt>
                <c:pt idx="78" formatCode="General">
                  <c:v>-0.87077599999999999</c:v>
                </c:pt>
                <c:pt idx="79">
                  <c:v>-0.84214100000000003</c:v>
                </c:pt>
                <c:pt idx="80" formatCode="General">
                  <c:v>-0.81545400000000001</c:v>
                </c:pt>
                <c:pt idx="81" formatCode="General">
                  <c:v>-0.79059500000000005</c:v>
                </c:pt>
                <c:pt idx="82" formatCode="General">
                  <c:v>-0.76737200000000005</c:v>
                </c:pt>
                <c:pt idx="83" formatCode="General">
                  <c:v>-0.74551500000000004</c:v>
                </c:pt>
                <c:pt idx="84" formatCode="General">
                  <c:v>-0.72468600000000005</c:v>
                </c:pt>
                <c:pt idx="85" formatCode="General">
                  <c:v>-0.70450100000000004</c:v>
                </c:pt>
                <c:pt idx="86" formatCode="General">
                  <c:v>-0.68455600000000005</c:v>
                </c:pt>
                <c:pt idx="87" formatCode="General">
                  <c:v>-0.66448600000000002</c:v>
                </c:pt>
                <c:pt idx="88" formatCode="General">
                  <c:v>-0.64402700000000002</c:v>
                </c:pt>
                <c:pt idx="89" formatCode="General">
                  <c:v>-0.62312000000000001</c:v>
                </c:pt>
                <c:pt idx="90" formatCode="General">
                  <c:v>-0.60203899999999999</c:v>
                </c:pt>
                <c:pt idx="91" formatCode="General">
                  <c:v>-0.58155500000000004</c:v>
                </c:pt>
                <c:pt idx="92" formatCode="General">
                  <c:v>-0.56314799999999998</c:v>
                </c:pt>
                <c:pt idx="93" formatCode="General">
                  <c:v>-0.549257</c:v>
                </c:pt>
                <c:pt idx="94" formatCode="General">
                  <c:v>-0.54356499999999996</c:v>
                </c:pt>
                <c:pt idx="95" formatCode="General">
                  <c:v>-0.54356499999999996</c:v>
                </c:pt>
                <c:pt idx="96" formatCode="General">
                  <c:v>-0.54356499999999996</c:v>
                </c:pt>
                <c:pt idx="97" formatCode="General">
                  <c:v>-0.54356499999999996</c:v>
                </c:pt>
                <c:pt idx="98" formatCode="General">
                  <c:v>-0.54356499999999996</c:v>
                </c:pt>
                <c:pt idx="99" formatCode="General">
                  <c:v>-0.54356499999999996</c:v>
                </c:pt>
                <c:pt idx="100" formatCode="General">
                  <c:v>-0.54356499999999996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10847100000</c:v>
                </c:pt>
                <c:pt idx="1">
                  <c:v>10847100000</c:v>
                </c:pt>
                <c:pt idx="2">
                  <c:v>5637900000</c:v>
                </c:pt>
                <c:pt idx="3">
                  <c:v>2889600000</c:v>
                </c:pt>
                <c:pt idx="4">
                  <c:v>1459410000</c:v>
                </c:pt>
                <c:pt idx="5">
                  <c:v>725820000</c:v>
                </c:pt>
                <c:pt idx="6">
                  <c:v>355184000</c:v>
                </c:pt>
                <c:pt idx="7">
                  <c:v>170881000</c:v>
                </c:pt>
                <c:pt idx="8">
                  <c:v>80753700</c:v>
                </c:pt>
                <c:pt idx="9">
                  <c:v>37449900</c:v>
                </c:pt>
                <c:pt idx="10">
                  <c:v>17026200</c:v>
                </c:pt>
                <c:pt idx="11">
                  <c:v>7580410</c:v>
                </c:pt>
                <c:pt idx="12">
                  <c:v>3301200</c:v>
                </c:pt>
                <c:pt idx="13">
                  <c:v>1404490</c:v>
                </c:pt>
                <c:pt idx="14">
                  <c:v>582975</c:v>
                </c:pt>
                <c:pt idx="15" formatCode="General">
                  <c:v>235743</c:v>
                </c:pt>
                <c:pt idx="16" formatCode="General">
                  <c:v>92724.6</c:v>
                </c:pt>
                <c:pt idx="17" formatCode="General">
                  <c:v>35411.699999999997</c:v>
                </c:pt>
                <c:pt idx="18" formatCode="General">
                  <c:v>13105.4</c:v>
                </c:pt>
                <c:pt idx="19" formatCode="General">
                  <c:v>4691.3100000000004</c:v>
                </c:pt>
                <c:pt idx="20" formatCode="General">
                  <c:v>1623.31</c:v>
                </c:pt>
                <c:pt idx="21" formatCode="General">
                  <c:v>545.60299999999995</c:v>
                </c:pt>
                <c:pt idx="22" formatCode="General">
                  <c:v>182.43600000000001</c:v>
                </c:pt>
                <c:pt idx="23" formatCode="General">
                  <c:v>65.449399999999997</c:v>
                </c:pt>
                <c:pt idx="24" formatCode="General">
                  <c:v>29.225100000000001</c:v>
                </c:pt>
                <c:pt idx="25" formatCode="General">
                  <c:v>17.9072</c:v>
                </c:pt>
                <c:pt idx="26" formatCode="General">
                  <c:v>13.6731</c:v>
                </c:pt>
                <c:pt idx="27" formatCode="General">
                  <c:v>11.273199999999999</c:v>
                </c:pt>
                <c:pt idx="28" formatCode="General">
                  <c:v>9.3516399999999997</c:v>
                </c:pt>
                <c:pt idx="29" formatCode="General">
                  <c:v>7.6409000000000002</c:v>
                </c:pt>
                <c:pt idx="30" formatCode="General">
                  <c:v>6.1210599999999999</c:v>
                </c:pt>
                <c:pt idx="31" formatCode="General">
                  <c:v>4.7995599999999996</c:v>
                </c:pt>
                <c:pt idx="32" formatCode="General">
                  <c:v>3.6701999999999999</c:v>
                </c:pt>
                <c:pt idx="33" formatCode="General">
                  <c:v>2.7151800000000001</c:v>
                </c:pt>
                <c:pt idx="34" formatCode="General">
                  <c:v>1.91249</c:v>
                </c:pt>
                <c:pt idx="35" formatCode="General">
                  <c:v>1.2405999999999999</c:v>
                </c:pt>
                <c:pt idx="36" formatCode="General">
                  <c:v>0.68042800000000003</c:v>
                </c:pt>
                <c:pt idx="37" formatCode="General">
                  <c:v>0.21560599999999999</c:v>
                </c:pt>
                <c:pt idx="38" formatCode="General">
                  <c:v>-0.167772</c:v>
                </c:pt>
                <c:pt idx="39" formatCode="General">
                  <c:v>-0.48160399999999998</c:v>
                </c:pt>
                <c:pt idx="40" formatCode="General">
                  <c:v>-0.73614900000000005</c:v>
                </c:pt>
                <c:pt idx="41" formatCode="General">
                  <c:v>-0.94030000000000002</c:v>
                </c:pt>
                <c:pt idx="42" formatCode="General">
                  <c:v>-1.1017699999999999</c:v>
                </c:pt>
                <c:pt idx="43" formatCode="General">
                  <c:v>-1.2272400000000001</c:v>
                </c:pt>
                <c:pt idx="44" formatCode="General">
                  <c:v>-1.3224499999999999</c:v>
                </c:pt>
                <c:pt idx="45" formatCode="General">
                  <c:v>-1.39232</c:v>
                </c:pt>
                <c:pt idx="46" formatCode="General">
                  <c:v>-1.4410000000000001</c:v>
                </c:pt>
                <c:pt idx="47" formatCode="General">
                  <c:v>-1.4720299999999999</c:v>
                </c:pt>
                <c:pt idx="48" formatCode="General">
                  <c:v>-1.4883299999999999</c:v>
                </c:pt>
                <c:pt idx="49" formatCode="General">
                  <c:v>-1.4923900000000001</c:v>
                </c:pt>
                <c:pt idx="50" formatCode="General">
                  <c:v>-1.48628</c:v>
                </c:pt>
                <c:pt idx="51" formatCode="General">
                  <c:v>-1.47173</c:v>
                </c:pt>
                <c:pt idx="52" formatCode="General">
                  <c:v>-1.4502299999999999</c:v>
                </c:pt>
                <c:pt idx="53" formatCode="General">
                  <c:v>-1.42303</c:v>
                </c:pt>
                <c:pt idx="54" formatCode="General">
                  <c:v>-1.3912100000000001</c:v>
                </c:pt>
                <c:pt idx="55" formatCode="General">
                  <c:v>-1.3556900000000001</c:v>
                </c:pt>
                <c:pt idx="56" formatCode="General">
                  <c:v>-1.3172900000000001</c:v>
                </c:pt>
                <c:pt idx="57" formatCode="General">
                  <c:v>-1.27671</c:v>
                </c:pt>
                <c:pt idx="58" formatCode="General">
                  <c:v>-1.2345299999999999</c:v>
                </c:pt>
                <c:pt idx="59" formatCode="General">
                  <c:v>-1.1912799999999999</c:v>
                </c:pt>
                <c:pt idx="60" formatCode="General">
                  <c:v>-1.14737</c:v>
                </c:pt>
                <c:pt idx="61" formatCode="General">
                  <c:v>-1.10317</c:v>
                </c:pt>
                <c:pt idx="62" formatCode="General">
                  <c:v>-1.0589500000000001</c:v>
                </c:pt>
                <c:pt idx="63" formatCode="General">
                  <c:v>-1.01492</c:v>
                </c:pt>
                <c:pt idx="64" formatCode="General">
                  <c:v>-0.97123599999999999</c:v>
                </c:pt>
                <c:pt idx="65" formatCode="General">
                  <c:v>-0.92799399999999999</c:v>
                </c:pt>
                <c:pt idx="66" formatCode="General">
                  <c:v>-0.885243</c:v>
                </c:pt>
                <c:pt idx="67" formatCode="General">
                  <c:v>-0.84299299999999999</c:v>
                </c:pt>
                <c:pt idx="68" formatCode="General">
                  <c:v>-0.80122400000000005</c:v>
                </c:pt>
                <c:pt idx="69" formatCode="General">
                  <c:v>-0.75989799999999996</c:v>
                </c:pt>
                <c:pt idx="70" formatCode="General">
                  <c:v>-0.71896899999999997</c:v>
                </c:pt>
                <c:pt idx="71" formatCode="General">
                  <c:v>-0.67839499999999997</c:v>
                </c:pt>
                <c:pt idx="72" formatCode="General">
                  <c:v>-0.63814800000000005</c:v>
                </c:pt>
                <c:pt idx="73" formatCode="General">
                  <c:v>-0.59822900000000001</c:v>
                </c:pt>
                <c:pt idx="74" formatCode="General">
                  <c:v>-0.55867299999999998</c:v>
                </c:pt>
                <c:pt idx="75" formatCode="General">
                  <c:v>-0.51955499999999999</c:v>
                </c:pt>
                <c:pt idx="76" formatCode="General">
                  <c:v>-0.480985</c:v>
                </c:pt>
                <c:pt idx="77" formatCode="General">
                  <c:v>-0.443108</c:v>
                </c:pt>
                <c:pt idx="78" formatCode="General">
                  <c:v>-0.40608100000000003</c:v>
                </c:pt>
                <c:pt idx="79" formatCode="General">
                  <c:v>-0.37005900000000003</c:v>
                </c:pt>
                <c:pt idx="80" formatCode="General">
                  <c:v>-0.33516800000000002</c:v>
                </c:pt>
                <c:pt idx="81" formatCode="General">
                  <c:v>-0.30147499999999999</c:v>
                </c:pt>
                <c:pt idx="82" formatCode="General">
                  <c:v>-0.26896399999999998</c:v>
                </c:pt>
                <c:pt idx="83" formatCode="General">
                  <c:v>-0.237513</c:v>
                </c:pt>
                <c:pt idx="84" formatCode="General">
                  <c:v>-0.20688300000000001</c:v>
                </c:pt>
                <c:pt idx="85" formatCode="General">
                  <c:v>-0.17671899999999999</c:v>
                </c:pt>
                <c:pt idx="86" formatCode="General">
                  <c:v>-0.14657500000000001</c:v>
                </c:pt>
                <c:pt idx="87" formatCode="General">
                  <c:v>-0.115962</c:v>
                </c:pt>
                <c:pt idx="88" formatCode="General">
                  <c:v>-8.4439799999999995E-2</c:v>
                </c:pt>
                <c:pt idx="89" formatCode="General">
                  <c:v>-5.1777299999999998E-2</c:v>
                </c:pt>
                <c:pt idx="90" formatCode="General">
                  <c:v>-1.8193399999999998E-2</c:v>
                </c:pt>
                <c:pt idx="91" formatCode="General">
                  <c:v>1.52655E-2</c:v>
                </c:pt>
                <c:pt idx="92" formatCode="General">
                  <c:v>4.6199900000000002E-2</c:v>
                </c:pt>
                <c:pt idx="93" formatCode="General">
                  <c:v>7.0203100000000004E-2</c:v>
                </c:pt>
                <c:pt idx="94" formatCode="General">
                  <c:v>8.0244399999999994E-2</c:v>
                </c:pt>
                <c:pt idx="95" formatCode="General">
                  <c:v>8.0244399999999994E-2</c:v>
                </c:pt>
                <c:pt idx="96" formatCode="General">
                  <c:v>8.0244399999999994E-2</c:v>
                </c:pt>
                <c:pt idx="97" formatCode="General">
                  <c:v>8.0244399999999994E-2</c:v>
                </c:pt>
                <c:pt idx="98" formatCode="General">
                  <c:v>8.0244399999999994E-2</c:v>
                </c:pt>
                <c:pt idx="99" formatCode="General">
                  <c:v>8.0244399999999994E-2</c:v>
                </c:pt>
                <c:pt idx="100" formatCode="General">
                  <c:v>8.0244399999999994E-2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164869000</c:v>
                </c:pt>
                <c:pt idx="1">
                  <c:v>164869000</c:v>
                </c:pt>
                <c:pt idx="2">
                  <c:v>84850800</c:v>
                </c:pt>
                <c:pt idx="3">
                  <c:v>43067500</c:v>
                </c:pt>
                <c:pt idx="4">
                  <c:v>21547700</c:v>
                </c:pt>
                <c:pt idx="5">
                  <c:v>10621600</c:v>
                </c:pt>
                <c:pt idx="6">
                  <c:v>5155900</c:v>
                </c:pt>
                <c:pt idx="7">
                  <c:v>2463410</c:v>
                </c:pt>
                <c:pt idx="8">
                  <c:v>1157960</c:v>
                </c:pt>
                <c:pt idx="9" formatCode="General">
                  <c:v>535302</c:v>
                </c:pt>
                <c:pt idx="10" formatCode="General">
                  <c:v>243275</c:v>
                </c:pt>
                <c:pt idx="11" formatCode="General">
                  <c:v>108658</c:v>
                </c:pt>
                <c:pt idx="12" formatCode="General">
                  <c:v>47685.8</c:v>
                </c:pt>
                <c:pt idx="13" formatCode="General">
                  <c:v>20560.3</c:v>
                </c:pt>
                <c:pt idx="14" formatCode="General">
                  <c:v>8710.1</c:v>
                </c:pt>
                <c:pt idx="15" formatCode="General">
                  <c:v>3627.76</c:v>
                </c:pt>
                <c:pt idx="16" formatCode="General">
                  <c:v>1488.47</c:v>
                </c:pt>
                <c:pt idx="17" formatCode="General">
                  <c:v>604.88699999999994</c:v>
                </c:pt>
                <c:pt idx="18" formatCode="General">
                  <c:v>246.72399999999999</c:v>
                </c:pt>
                <c:pt idx="19" formatCode="General">
                  <c:v>103.98</c:v>
                </c:pt>
                <c:pt idx="20" formatCode="General">
                  <c:v>47.6631</c:v>
                </c:pt>
                <c:pt idx="21" formatCode="General">
                  <c:v>25.233499999999999</c:v>
                </c:pt>
                <c:pt idx="22" formatCode="General">
                  <c:v>15.7918</c:v>
                </c:pt>
                <c:pt idx="23" formatCode="General">
                  <c:v>11.2517</c:v>
                </c:pt>
                <c:pt idx="24" formatCode="General">
                  <c:v>8.5863999999999994</c:v>
                </c:pt>
                <c:pt idx="25" formatCode="General">
                  <c:v>6.7036899999999999</c:v>
                </c:pt>
                <c:pt idx="26" formatCode="General">
                  <c:v>5.2210099999999997</c:v>
                </c:pt>
                <c:pt idx="27" formatCode="General">
                  <c:v>4.0015400000000003</c:v>
                </c:pt>
                <c:pt idx="28" formatCode="General">
                  <c:v>2.9876200000000002</c:v>
                </c:pt>
                <c:pt idx="29" formatCode="General">
                  <c:v>2.1454399999999998</c:v>
                </c:pt>
                <c:pt idx="30" formatCode="General">
                  <c:v>1.4489099999999999</c:v>
                </c:pt>
                <c:pt idx="31" formatCode="General">
                  <c:v>0.87582700000000002</c:v>
                </c:pt>
                <c:pt idx="32" formatCode="General">
                  <c:v>0.407142</c:v>
                </c:pt>
                <c:pt idx="33" formatCode="General">
                  <c:v>2.6735399999999999E-2</c:v>
                </c:pt>
                <c:pt idx="34" formatCode="General">
                  <c:v>-0.27897</c:v>
                </c:pt>
                <c:pt idx="35" formatCode="General">
                  <c:v>-0.52143899999999999</c:v>
                </c:pt>
                <c:pt idx="36" formatCode="General">
                  <c:v>-0.71042000000000005</c:v>
                </c:pt>
                <c:pt idx="37" formatCode="General">
                  <c:v>-0.85427399999999998</c:v>
                </c:pt>
                <c:pt idx="38" formatCode="General">
                  <c:v>-0.96019299999999996</c:v>
                </c:pt>
                <c:pt idx="39" formatCode="General">
                  <c:v>-1.0343800000000001</c:v>
                </c:pt>
                <c:pt idx="40" formatCode="General">
                  <c:v>-1.0821499999999999</c:v>
                </c:pt>
                <c:pt idx="41" formatCode="General">
                  <c:v>-1.10808</c:v>
                </c:pt>
                <c:pt idx="42" formatCode="General">
                  <c:v>-1.1160300000000001</c:v>
                </c:pt>
                <c:pt idx="43" formatCode="General">
                  <c:v>-1.1092900000000001</c:v>
                </c:pt>
                <c:pt idx="44" formatCode="General">
                  <c:v>-1.0906</c:v>
                </c:pt>
                <c:pt idx="45" formatCode="General">
                  <c:v>-1.06226</c:v>
                </c:pt>
                <c:pt idx="46" formatCode="General">
                  <c:v>-1.0261800000000001</c:v>
                </c:pt>
                <c:pt idx="47" formatCode="General">
                  <c:v>-0.98395900000000003</c:v>
                </c:pt>
                <c:pt idx="48" formatCode="General">
                  <c:v>-0.93690399999999996</c:v>
                </c:pt>
                <c:pt idx="49" formatCode="General">
                  <c:v>-0.88610800000000001</c:v>
                </c:pt>
                <c:pt idx="50" formatCode="General">
                  <c:v>-0.83247499999999997</c:v>
                </c:pt>
                <c:pt idx="51" formatCode="General">
                  <c:v>-0.77676199999999995</c:v>
                </c:pt>
                <c:pt idx="52" formatCode="General">
                  <c:v>-0.71960199999999996</c:v>
                </c:pt>
                <c:pt idx="53" formatCode="General">
                  <c:v>-0.66152500000000003</c:v>
                </c:pt>
                <c:pt idx="54" formatCode="General">
                  <c:v>-0.60298099999999999</c:v>
                </c:pt>
                <c:pt idx="55" formatCode="General">
                  <c:v>-0.54434499999999997</c:v>
                </c:pt>
                <c:pt idx="56" formatCode="General">
                  <c:v>-0.48593399999999998</c:v>
                </c:pt>
                <c:pt idx="57" formatCode="General">
                  <c:v>-0.428008</c:v>
                </c:pt>
                <c:pt idx="58" formatCode="General">
                  <c:v>-0.37077900000000003</c:v>
                </c:pt>
                <c:pt idx="59" formatCode="General">
                  <c:v>-0.314417</c:v>
                </c:pt>
                <c:pt idx="60" formatCode="General">
                  <c:v>-0.259048</c:v>
                </c:pt>
                <c:pt idx="61" formatCode="General">
                  <c:v>-0.204762</c:v>
                </c:pt>
                <c:pt idx="62" formatCode="General">
                  <c:v>-0.151617</c:v>
                </c:pt>
                <c:pt idx="63" formatCode="General">
                  <c:v>-9.9638699999999997E-2</c:v>
                </c:pt>
                <c:pt idx="64" formatCode="General">
                  <c:v>-4.88298E-2</c:v>
                </c:pt>
                <c:pt idx="65" formatCode="General">
                  <c:v>8.2806399999999999E-4</c:v>
                </c:pt>
                <c:pt idx="66" formatCode="General">
                  <c:v>4.93684E-2</c:v>
                </c:pt>
                <c:pt idx="67" formatCode="General">
                  <c:v>9.6834000000000003E-2</c:v>
                </c:pt>
                <c:pt idx="68" formatCode="General">
                  <c:v>0.14327100000000001</c:v>
                </c:pt>
                <c:pt idx="69" formatCode="General">
                  <c:v>0.188724</c:v>
                </c:pt>
                <c:pt idx="70" formatCode="General">
                  <c:v>0.23322699999999999</c:v>
                </c:pt>
                <c:pt idx="71" formatCode="General">
                  <c:v>0.27680199999999999</c:v>
                </c:pt>
                <c:pt idx="72" formatCode="General">
                  <c:v>0.31945299999999999</c:v>
                </c:pt>
                <c:pt idx="73" formatCode="General">
                  <c:v>0.36116199999999998</c:v>
                </c:pt>
                <c:pt idx="74" formatCode="General">
                  <c:v>0.40188800000000002</c:v>
                </c:pt>
                <c:pt idx="75" formatCode="General">
                  <c:v>0.44157299999999999</c:v>
                </c:pt>
                <c:pt idx="76" formatCode="General">
                  <c:v>0.48014000000000001</c:v>
                </c:pt>
                <c:pt idx="77" formatCode="General">
                  <c:v>0.51750700000000005</c:v>
                </c:pt>
                <c:pt idx="78" formatCode="General">
                  <c:v>0.553593</c:v>
                </c:pt>
                <c:pt idx="79" formatCode="General">
                  <c:v>0.588337</c:v>
                </c:pt>
                <c:pt idx="80" formatCode="General">
                  <c:v>0.62170800000000004</c:v>
                </c:pt>
                <c:pt idx="81" formatCode="General">
                  <c:v>0.65372200000000003</c:v>
                </c:pt>
                <c:pt idx="82" formatCode="General">
                  <c:v>0.68445699999999998</c:v>
                </c:pt>
                <c:pt idx="83" formatCode="General">
                  <c:v>0.71405600000000002</c:v>
                </c:pt>
                <c:pt idx="84" formatCode="General">
                  <c:v>0.74273</c:v>
                </c:pt>
                <c:pt idx="85" formatCode="General">
                  <c:v>0.77074699999999996</c:v>
                </c:pt>
                <c:pt idx="86" formatCode="General">
                  <c:v>0.79840100000000003</c:v>
                </c:pt>
                <c:pt idx="87" formatCode="General">
                  <c:v>0.82596899999999995</c:v>
                </c:pt>
                <c:pt idx="88" formatCode="General">
                  <c:v>0.853634</c:v>
                </c:pt>
                <c:pt idx="89" formatCode="General">
                  <c:v>0.88137699999999997</c:v>
                </c:pt>
                <c:pt idx="90" formatCode="General">
                  <c:v>0.90882499999999999</c:v>
                </c:pt>
                <c:pt idx="91" formatCode="General">
                  <c:v>0.93504399999999999</c:v>
                </c:pt>
                <c:pt idx="92" formatCode="General">
                  <c:v>0.95826900000000004</c:v>
                </c:pt>
                <c:pt idx="93" formatCode="General">
                  <c:v>0.97558900000000004</c:v>
                </c:pt>
                <c:pt idx="94" formatCode="General">
                  <c:v>0.98261900000000002</c:v>
                </c:pt>
                <c:pt idx="95" formatCode="General">
                  <c:v>0.98261900000000002</c:v>
                </c:pt>
                <c:pt idx="96" formatCode="General">
                  <c:v>0.98261900000000002</c:v>
                </c:pt>
                <c:pt idx="97" formatCode="General">
                  <c:v>0.98261900000000002</c:v>
                </c:pt>
                <c:pt idx="98" formatCode="General">
                  <c:v>0.98261900000000002</c:v>
                </c:pt>
                <c:pt idx="99" formatCode="General">
                  <c:v>0.98261900000000002</c:v>
                </c:pt>
                <c:pt idx="100" formatCode="General">
                  <c:v>0.98261900000000002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-1013690</c:v>
                </c:pt>
                <c:pt idx="1">
                  <c:v>-1013690</c:v>
                </c:pt>
                <c:pt idx="2">
                  <c:v>-580766</c:v>
                </c:pt>
                <c:pt idx="3">
                  <c:v>-329484</c:v>
                </c:pt>
                <c:pt idx="4" formatCode="General">
                  <c:v>-185064</c:v>
                </c:pt>
                <c:pt idx="5" formatCode="General">
                  <c:v>-102893</c:v>
                </c:pt>
                <c:pt idx="6" formatCode="General">
                  <c:v>-56617.5</c:v>
                </c:pt>
                <c:pt idx="7" formatCode="General">
                  <c:v>-30828.1</c:v>
                </c:pt>
                <c:pt idx="8" formatCode="General">
                  <c:v>-16607.599999999999</c:v>
                </c:pt>
                <c:pt idx="9" formatCode="General">
                  <c:v>-8850.06</c:v>
                </c:pt>
                <c:pt idx="10" formatCode="General">
                  <c:v>-4663.95</c:v>
                </c:pt>
                <c:pt idx="11" formatCode="General">
                  <c:v>-2429.66</c:v>
                </c:pt>
                <c:pt idx="12" formatCode="General">
                  <c:v>-1250.26</c:v>
                </c:pt>
                <c:pt idx="13" formatCode="General">
                  <c:v>-634.65499999999997</c:v>
                </c:pt>
                <c:pt idx="14" formatCode="General">
                  <c:v>-317.04399999999998</c:v>
                </c:pt>
                <c:pt idx="15" formatCode="General">
                  <c:v>-155.19200000000001</c:v>
                </c:pt>
                <c:pt idx="16" formatCode="General">
                  <c:v>-73.854500000000002</c:v>
                </c:pt>
                <c:pt idx="17" formatCode="General">
                  <c:v>-33.6706</c:v>
                </c:pt>
                <c:pt idx="18" formatCode="General">
                  <c:v>-14.276999999999999</c:v>
                </c:pt>
                <c:pt idx="19" formatCode="General">
                  <c:v>-5.2523600000000004</c:v>
                </c:pt>
                <c:pt idx="20" formatCode="General">
                  <c:v>-1.3202799999999999</c:v>
                </c:pt>
                <c:pt idx="21" formatCode="General">
                  <c:v>0.16178500000000001</c:v>
                </c:pt>
                <c:pt idx="22" formatCode="General">
                  <c:v>0.50190000000000001</c:v>
                </c:pt>
                <c:pt idx="23" formatCode="General">
                  <c:v>0.33877400000000002</c:v>
                </c:pt>
                <c:pt idx="24" formatCode="General">
                  <c:v>-2.13718E-2</c:v>
                </c:pt>
                <c:pt idx="25" formatCode="General">
                  <c:v>-0.43582599999999999</c:v>
                </c:pt>
                <c:pt idx="26" formatCode="General">
                  <c:v>-0.84139399999999998</c:v>
                </c:pt>
                <c:pt idx="27" formatCode="General">
                  <c:v>-1.21302</c:v>
                </c:pt>
                <c:pt idx="28" formatCode="General">
                  <c:v>-1.54355</c:v>
                </c:pt>
                <c:pt idx="29" formatCode="General">
                  <c:v>-1.8339099999999999</c:v>
                </c:pt>
                <c:pt idx="30" formatCode="General">
                  <c:v>-2.0884</c:v>
                </c:pt>
                <c:pt idx="31" formatCode="General">
                  <c:v>-2.3123900000000002</c:v>
                </c:pt>
                <c:pt idx="32" formatCode="General">
                  <c:v>-2.5112700000000001</c:v>
                </c:pt>
                <c:pt idx="33" formatCode="General">
                  <c:v>-2.6899099999999998</c:v>
                </c:pt>
                <c:pt idx="34" formatCode="General">
                  <c:v>-2.8525299999999998</c:v>
                </c:pt>
                <c:pt idx="35" formatCode="General">
                  <c:v>-3.0025300000000001</c:v>
                </c:pt>
                <c:pt idx="36" formatCode="General">
                  <c:v>-3.14263</c:v>
                </c:pt>
                <c:pt idx="37" formatCode="General">
                  <c:v>-3.2748499999999998</c:v>
                </c:pt>
                <c:pt idx="38" formatCode="General">
                  <c:v>-3.4006099999999999</c:v>
                </c:pt>
                <c:pt idx="39" formatCode="General">
                  <c:v>-3.52088</c:v>
                </c:pt>
                <c:pt idx="40" formatCode="General">
                  <c:v>-3.63625</c:v>
                </c:pt>
                <c:pt idx="41" formatCode="General">
                  <c:v>-3.74701</c:v>
                </c:pt>
                <c:pt idx="42" formatCode="General">
                  <c:v>-3.8532799999999998</c:v>
                </c:pt>
                <c:pt idx="43" formatCode="General">
                  <c:v>-3.95505</c:v>
                </c:pt>
                <c:pt idx="44" formatCode="General">
                  <c:v>-4.0522400000000003</c:v>
                </c:pt>
                <c:pt idx="45" formatCode="General">
                  <c:v>-4.1447599999999998</c:v>
                </c:pt>
                <c:pt idx="46" formatCode="General">
                  <c:v>-4.2325299999999997</c:v>
                </c:pt>
                <c:pt idx="47" formatCode="General">
                  <c:v>-4.3155099999999997</c:v>
                </c:pt>
                <c:pt idx="48" formatCode="General">
                  <c:v>-4.3936900000000003</c:v>
                </c:pt>
                <c:pt idx="49" formatCode="General">
                  <c:v>-4.4671200000000004</c:v>
                </c:pt>
                <c:pt idx="50" formatCode="General">
                  <c:v>-4.5358799999999997</c:v>
                </c:pt>
                <c:pt idx="51" formatCode="General">
                  <c:v>-4.6001099999999999</c:v>
                </c:pt>
                <c:pt idx="52" formatCode="General">
                  <c:v>-4.6599700000000004</c:v>
                </c:pt>
                <c:pt idx="53" formatCode="General">
                  <c:v>-4.7156700000000003</c:v>
                </c:pt>
                <c:pt idx="54" formatCode="General">
                  <c:v>-4.7674000000000003</c:v>
                </c:pt>
                <c:pt idx="55" formatCode="General">
                  <c:v>-4.81541</c:v>
                </c:pt>
                <c:pt idx="56" formatCode="General">
                  <c:v>-4.8599100000000002</c:v>
                </c:pt>
                <c:pt idx="57" formatCode="General">
                  <c:v>-4.9011399999999998</c:v>
                </c:pt>
                <c:pt idx="58" formatCode="General">
                  <c:v>-4.9393200000000004</c:v>
                </c:pt>
                <c:pt idx="59" formatCode="General">
                  <c:v>-4.9746800000000002</c:v>
                </c:pt>
                <c:pt idx="60" formatCode="General">
                  <c:v>-5.0073999999999996</c:v>
                </c:pt>
                <c:pt idx="61" formatCode="General">
                  <c:v>-5.0376799999999999</c:v>
                </c:pt>
                <c:pt idx="62" formatCode="General">
                  <c:v>-5.0656999999999996</c:v>
                </c:pt>
                <c:pt idx="63" formatCode="General">
                  <c:v>-5.0916100000000002</c:v>
                </c:pt>
                <c:pt idx="64" formatCode="General">
                  <c:v>-5.1155600000000003</c:v>
                </c:pt>
                <c:pt idx="65" formatCode="General">
                  <c:v>-5.1376799999999996</c:v>
                </c:pt>
                <c:pt idx="66" formatCode="General">
                  <c:v>-5.1581000000000001</c:v>
                </c:pt>
                <c:pt idx="67" formatCode="General">
                  <c:v>-5.1769299999999996</c:v>
                </c:pt>
                <c:pt idx="68" formatCode="General">
                  <c:v>-5.1942700000000004</c:v>
                </c:pt>
                <c:pt idx="69" formatCode="General">
                  <c:v>-5.2102300000000001</c:v>
                </c:pt>
                <c:pt idx="70" formatCode="General">
                  <c:v>-5.2249100000000004</c:v>
                </c:pt>
                <c:pt idx="71" formatCode="General">
                  <c:v>-5.2384000000000004</c:v>
                </c:pt>
                <c:pt idx="72" formatCode="General">
                  <c:v>-5.2507900000000003</c:v>
                </c:pt>
                <c:pt idx="73" formatCode="General">
                  <c:v>-5.2621900000000004</c:v>
                </c:pt>
                <c:pt idx="74" formatCode="General">
                  <c:v>-5.2726899999999999</c:v>
                </c:pt>
                <c:pt idx="75" formatCode="General">
                  <c:v>-5.2823799999999999</c:v>
                </c:pt>
                <c:pt idx="76" formatCode="General">
                  <c:v>-5.2913600000000001</c:v>
                </c:pt>
                <c:pt idx="77" formatCode="General">
                  <c:v>-5.29969</c:v>
                </c:pt>
                <c:pt idx="78" formatCode="General">
                  <c:v>-5.3074700000000004</c:v>
                </c:pt>
                <c:pt idx="79" formatCode="General">
                  <c:v>-5.3147399999999996</c:v>
                </c:pt>
                <c:pt idx="80" formatCode="General">
                  <c:v>-5.3215700000000004</c:v>
                </c:pt>
                <c:pt idx="81" formatCode="General">
                  <c:v>-5.3279699999999997</c:v>
                </c:pt>
                <c:pt idx="82" formatCode="General">
                  <c:v>-5.3339600000000003</c:v>
                </c:pt>
                <c:pt idx="83" formatCode="General">
                  <c:v>-5.3395099999999998</c:v>
                </c:pt>
                <c:pt idx="84" formatCode="General">
                  <c:v>-5.3445900000000002</c:v>
                </c:pt>
                <c:pt idx="85" formatCode="General">
                  <c:v>-5.3491299999999997</c:v>
                </c:pt>
                <c:pt idx="86" formatCode="General">
                  <c:v>-5.35304</c:v>
                </c:pt>
                <c:pt idx="87" formatCode="General">
                  <c:v>-5.3562399999999997</c:v>
                </c:pt>
                <c:pt idx="88" formatCode="General">
                  <c:v>-5.3586299999999998</c:v>
                </c:pt>
                <c:pt idx="89" formatCode="General">
                  <c:v>-5.3601599999999996</c:v>
                </c:pt>
                <c:pt idx="90" formatCode="General">
                  <c:v>-5.3608099999999999</c:v>
                </c:pt>
                <c:pt idx="91" formatCode="General">
                  <c:v>-5.3606400000000001</c:v>
                </c:pt>
                <c:pt idx="92" formatCode="General">
                  <c:v>-5.3598600000000003</c:v>
                </c:pt>
                <c:pt idx="93" formatCode="General">
                  <c:v>-5.3588699999999996</c:v>
                </c:pt>
                <c:pt idx="94" formatCode="General">
                  <c:v>-5.3583299999999996</c:v>
                </c:pt>
                <c:pt idx="95" formatCode="General">
                  <c:v>-5.3583299999999996</c:v>
                </c:pt>
                <c:pt idx="96" formatCode="General">
                  <c:v>-5.3583299999999996</c:v>
                </c:pt>
                <c:pt idx="97" formatCode="General">
                  <c:v>-5.3583299999999996</c:v>
                </c:pt>
                <c:pt idx="98" formatCode="General">
                  <c:v>-5.3583299999999996</c:v>
                </c:pt>
                <c:pt idx="99" formatCode="General">
                  <c:v>-5.3583299999999996</c:v>
                </c:pt>
                <c:pt idx="100" formatCode="General">
                  <c:v>-5.3583299999999996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-569268000</c:v>
                </c:pt>
                <c:pt idx="1">
                  <c:v>-569268000</c:v>
                </c:pt>
                <c:pt idx="2">
                  <c:v>-315534000</c:v>
                </c:pt>
                <c:pt idx="3">
                  <c:v>-172530000</c:v>
                </c:pt>
                <c:pt idx="4">
                  <c:v>-92986600</c:v>
                </c:pt>
                <c:pt idx="5">
                  <c:v>-49355500</c:v>
                </c:pt>
                <c:pt idx="6">
                  <c:v>-25774400</c:v>
                </c:pt>
                <c:pt idx="7">
                  <c:v>-13228500</c:v>
                </c:pt>
                <c:pt idx="8">
                  <c:v>-6664680</c:v>
                </c:pt>
                <c:pt idx="9">
                  <c:v>-3291630</c:v>
                </c:pt>
                <c:pt idx="10">
                  <c:v>-1591280</c:v>
                </c:pt>
                <c:pt idx="11">
                  <c:v>-751694</c:v>
                </c:pt>
                <c:pt idx="12" formatCode="General">
                  <c:v>-346286</c:v>
                </c:pt>
                <c:pt idx="13" formatCode="General">
                  <c:v>-155213</c:v>
                </c:pt>
                <c:pt idx="14" formatCode="General">
                  <c:v>-67503.100000000006</c:v>
                </c:pt>
                <c:pt idx="15" formatCode="General">
                  <c:v>-28387</c:v>
                </c:pt>
                <c:pt idx="16" formatCode="General">
                  <c:v>-11488.7</c:v>
                </c:pt>
                <c:pt idx="17" formatCode="General">
                  <c:v>-4442.3100000000004</c:v>
                </c:pt>
                <c:pt idx="18" formatCode="General">
                  <c:v>-1619.03</c:v>
                </c:pt>
                <c:pt idx="19" formatCode="General">
                  <c:v>-538.96799999999996</c:v>
                </c:pt>
                <c:pt idx="20" formatCode="General">
                  <c:v>-148.55099999999999</c:v>
                </c:pt>
                <c:pt idx="21" formatCode="General">
                  <c:v>-18.0288</c:v>
                </c:pt>
                <c:pt idx="22" formatCode="General">
                  <c:v>20.014299999999999</c:v>
                </c:pt>
                <c:pt idx="23" formatCode="General">
                  <c:v>27.467600000000001</c:v>
                </c:pt>
                <c:pt idx="24" formatCode="General">
                  <c:v>25.858699999999999</c:v>
                </c:pt>
                <c:pt idx="25" formatCode="General">
                  <c:v>22.145800000000001</c:v>
                </c:pt>
                <c:pt idx="26" formatCode="General">
                  <c:v>18.367100000000001</c:v>
                </c:pt>
                <c:pt idx="27" formatCode="General">
                  <c:v>15.023999999999999</c:v>
                </c:pt>
                <c:pt idx="28" formatCode="General">
                  <c:v>12.181800000000001</c:v>
                </c:pt>
                <c:pt idx="29" formatCode="General">
                  <c:v>9.7974200000000007</c:v>
                </c:pt>
                <c:pt idx="30" formatCode="General">
                  <c:v>7.8090700000000002</c:v>
                </c:pt>
                <c:pt idx="31" formatCode="General">
                  <c:v>6.1571400000000001</c:v>
                </c:pt>
                <c:pt idx="32" formatCode="General">
                  <c:v>4.7886100000000003</c:v>
                </c:pt>
                <c:pt idx="33" formatCode="General">
                  <c:v>3.6572200000000001</c:v>
                </c:pt>
                <c:pt idx="34" formatCode="General">
                  <c:v>2.7228300000000001</c:v>
                </c:pt>
                <c:pt idx="35" formatCode="General">
                  <c:v>1.95078</c:v>
                </c:pt>
                <c:pt idx="36" formatCode="General">
                  <c:v>1.31145</c:v>
                </c:pt>
                <c:pt idx="37" formatCode="General">
                  <c:v>0.77986299999999997</c:v>
                </c:pt>
                <c:pt idx="38" formatCode="General">
                  <c:v>0.33531499999999997</c:v>
                </c:pt>
                <c:pt idx="39" formatCode="General">
                  <c:v>-3.9064500000000002E-2</c:v>
                </c:pt>
                <c:pt idx="40" formatCode="General">
                  <c:v>-0.35685099999999997</c:v>
                </c:pt>
                <c:pt idx="41" formatCode="General">
                  <c:v>-0.62888999999999995</c:v>
                </c:pt>
                <c:pt idx="42" formatCode="General">
                  <c:v>-0.86384099999999997</c:v>
                </c:pt>
                <c:pt idx="43" formatCode="General">
                  <c:v>-1.0686500000000001</c:v>
                </c:pt>
                <c:pt idx="44" formatCode="General">
                  <c:v>-1.24892</c:v>
                </c:pt>
                <c:pt idx="45" formatCode="General">
                  <c:v>-1.4092100000000001</c:v>
                </c:pt>
                <c:pt idx="46" formatCode="General">
                  <c:v>-1.55321</c:v>
                </c:pt>
                <c:pt idx="47" formatCode="General">
                  <c:v>-1.68388</c:v>
                </c:pt>
                <c:pt idx="48" formatCode="General">
                  <c:v>-1.8035699999999999</c:v>
                </c:pt>
                <c:pt idx="49" formatCode="General">
                  <c:v>-1.91412</c:v>
                </c:pt>
                <c:pt idx="50" formatCode="General">
                  <c:v>-2.0169100000000002</c:v>
                </c:pt>
                <c:pt idx="51" formatCode="General">
                  <c:v>-2.1129600000000002</c:v>
                </c:pt>
                <c:pt idx="52" formatCode="General">
                  <c:v>-2.2029899999999998</c:v>
                </c:pt>
                <c:pt idx="53" formatCode="General">
                  <c:v>-2.2875100000000002</c:v>
                </c:pt>
                <c:pt idx="54" formatCode="General">
                  <c:v>-2.3669099999999998</c:v>
                </c:pt>
                <c:pt idx="55" formatCode="General">
                  <c:v>-2.4414400000000001</c:v>
                </c:pt>
                <c:pt idx="56" formatCode="General">
                  <c:v>-2.5113400000000001</c:v>
                </c:pt>
                <c:pt idx="57" formatCode="General">
                  <c:v>-2.57681</c:v>
                </c:pt>
                <c:pt idx="58" formatCode="General">
                  <c:v>-2.6381000000000001</c:v>
                </c:pt>
                <c:pt idx="59" formatCode="General">
                  <c:v>-2.6954600000000002</c:v>
                </c:pt>
                <c:pt idx="60" formatCode="General">
                  <c:v>-2.7491599999999998</c:v>
                </c:pt>
                <c:pt idx="61" formatCode="General">
                  <c:v>-2.7995299999999999</c:v>
                </c:pt>
                <c:pt idx="62" formatCode="General">
                  <c:v>-2.8468900000000001</c:v>
                </c:pt>
                <c:pt idx="63" formatCode="General">
                  <c:v>-2.89161</c:v>
                </c:pt>
                <c:pt idx="64" formatCode="General">
                  <c:v>-2.9340199999999999</c:v>
                </c:pt>
                <c:pt idx="65" formatCode="General">
                  <c:v>-2.9744799999999998</c:v>
                </c:pt>
                <c:pt idx="66" formatCode="General">
                  <c:v>-3.01329</c:v>
                </c:pt>
                <c:pt idx="67" formatCode="General">
                  <c:v>-3.0507499999999999</c:v>
                </c:pt>
                <c:pt idx="68" formatCode="General">
                  <c:v>-3.0870799999999998</c:v>
                </c:pt>
                <c:pt idx="69" formatCode="General">
                  <c:v>-3.1224699999999999</c:v>
                </c:pt>
                <c:pt idx="70" formatCode="General">
                  <c:v>-3.15706</c:v>
                </c:pt>
                <c:pt idx="71" formatCode="General">
                  <c:v>-3.1909299999999998</c:v>
                </c:pt>
                <c:pt idx="72" formatCode="General">
                  <c:v>-3.2240799999999998</c:v>
                </c:pt>
                <c:pt idx="73" formatCode="General">
                  <c:v>-3.25651</c:v>
                </c:pt>
                <c:pt idx="74" formatCode="General">
                  <c:v>-3.2881300000000002</c:v>
                </c:pt>
                <c:pt idx="75" formatCode="General">
                  <c:v>-3.31887</c:v>
                </c:pt>
                <c:pt idx="76" formatCode="General">
                  <c:v>-3.3485999999999998</c:v>
                </c:pt>
                <c:pt idx="77" formatCode="General">
                  <c:v>-3.3772199999999999</c:v>
                </c:pt>
                <c:pt idx="78" formatCode="General">
                  <c:v>-3.40463</c:v>
                </c:pt>
                <c:pt idx="79" formatCode="General">
                  <c:v>-3.4307599999999998</c:v>
                </c:pt>
                <c:pt idx="80" formatCode="General">
                  <c:v>-3.4555899999999999</c:v>
                </c:pt>
                <c:pt idx="81" formatCode="General">
                  <c:v>-3.4791500000000002</c:v>
                </c:pt>
                <c:pt idx="82" formatCode="General">
                  <c:v>-3.5015399999999999</c:v>
                </c:pt>
                <c:pt idx="83" formatCode="General">
                  <c:v>-3.52291</c:v>
                </c:pt>
                <c:pt idx="84" formatCode="General">
                  <c:v>-3.5434600000000001</c:v>
                </c:pt>
                <c:pt idx="85" formatCode="General">
                  <c:v>-3.56345</c:v>
                </c:pt>
                <c:pt idx="86" formatCode="General">
                  <c:v>-3.5831400000000002</c:v>
                </c:pt>
                <c:pt idx="87" formatCode="General">
                  <c:v>-3.6027499999999999</c:v>
                </c:pt>
                <c:pt idx="88" formatCode="General">
                  <c:v>-3.62242</c:v>
                </c:pt>
                <c:pt idx="89" formatCode="General">
                  <c:v>-3.6421100000000002</c:v>
                </c:pt>
                <c:pt idx="90" formatCode="General">
                  <c:v>-3.66153</c:v>
                </c:pt>
                <c:pt idx="91" formatCode="General">
                  <c:v>-3.67998</c:v>
                </c:pt>
                <c:pt idx="92" formatCode="General">
                  <c:v>-3.6962000000000002</c:v>
                </c:pt>
                <c:pt idx="93" formatCode="General">
                  <c:v>-3.7082000000000002</c:v>
                </c:pt>
                <c:pt idx="94" formatCode="General">
                  <c:v>-3.71305</c:v>
                </c:pt>
                <c:pt idx="95" formatCode="General">
                  <c:v>-3.71305</c:v>
                </c:pt>
                <c:pt idx="96" formatCode="General">
                  <c:v>-3.71305</c:v>
                </c:pt>
                <c:pt idx="97" formatCode="General">
                  <c:v>-3.71305</c:v>
                </c:pt>
                <c:pt idx="98" formatCode="General">
                  <c:v>-3.71305</c:v>
                </c:pt>
                <c:pt idx="99" formatCode="General">
                  <c:v>-3.71305</c:v>
                </c:pt>
                <c:pt idx="100" formatCode="General">
                  <c:v>-3.71305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-32063000</c:v>
                </c:pt>
                <c:pt idx="1">
                  <c:v>-32063000</c:v>
                </c:pt>
                <c:pt idx="2">
                  <c:v>-16996600</c:v>
                </c:pt>
                <c:pt idx="3">
                  <c:v>-8898340</c:v>
                </c:pt>
                <c:pt idx="4">
                  <c:v>-4599340</c:v>
                </c:pt>
                <c:pt idx="5">
                  <c:v>-2346320</c:v>
                </c:pt>
                <c:pt idx="6">
                  <c:v>-1181070</c:v>
                </c:pt>
                <c:pt idx="7">
                  <c:v>-586540</c:v>
                </c:pt>
                <c:pt idx="8">
                  <c:v>-287367</c:v>
                </c:pt>
                <c:pt idx="9">
                  <c:v>-138918</c:v>
                </c:pt>
                <c:pt idx="10">
                  <c:v>-66286.7</c:v>
                </c:pt>
                <c:pt idx="11">
                  <c:v>-31240.799999999999</c:v>
                </c:pt>
                <c:pt idx="12">
                  <c:v>-14557</c:v>
                </c:pt>
                <c:pt idx="13">
                  <c:v>-6715.06</c:v>
                </c:pt>
                <c:pt idx="14">
                  <c:v>-3071.34</c:v>
                </c:pt>
                <c:pt idx="15" formatCode="General">
                  <c:v>-1394.97</c:v>
                </c:pt>
                <c:pt idx="16" formatCode="General">
                  <c:v>-629.71600000000001</c:v>
                </c:pt>
                <c:pt idx="17" formatCode="General">
                  <c:v>-282.26799999999997</c:v>
                </c:pt>
                <c:pt idx="18" formatCode="General">
                  <c:v>-125.01900000000001</c:v>
                </c:pt>
                <c:pt idx="19" formatCode="General">
                  <c:v>-53.9895</c:v>
                </c:pt>
                <c:pt idx="20" formatCode="General">
                  <c:v>-22.009</c:v>
                </c:pt>
                <c:pt idx="21" formatCode="General">
                  <c:v>-7.7479300000000002</c:v>
                </c:pt>
                <c:pt idx="22" formatCode="General">
                  <c:v>-1.55263</c:v>
                </c:pt>
                <c:pt idx="23" formatCode="General">
                  <c:v>0.96730899999999997</c:v>
                </c:pt>
                <c:pt idx="24" formatCode="General">
                  <c:v>1.8240799999999999</c:v>
                </c:pt>
                <c:pt idx="25" formatCode="General">
                  <c:v>1.9471400000000001</c:v>
                </c:pt>
                <c:pt idx="26" formatCode="General">
                  <c:v>1.7673099999999999</c:v>
                </c:pt>
                <c:pt idx="27" formatCode="General">
                  <c:v>1.4826299999999999</c:v>
                </c:pt>
                <c:pt idx="28" formatCode="General">
                  <c:v>1.1812400000000001</c:v>
                </c:pt>
                <c:pt idx="29" formatCode="General">
                  <c:v>0.89917100000000005</c:v>
                </c:pt>
                <c:pt idx="30" formatCode="General">
                  <c:v>0.64807000000000003</c:v>
                </c:pt>
                <c:pt idx="31" formatCode="General">
                  <c:v>0.42869499999999999</c:v>
                </c:pt>
                <c:pt idx="32" formatCode="General">
                  <c:v>0.237482</c:v>
                </c:pt>
                <c:pt idx="33" formatCode="General">
                  <c:v>6.9686700000000004E-2</c:v>
                </c:pt>
                <c:pt idx="34" formatCode="General">
                  <c:v>-7.9226199999999997E-2</c:v>
                </c:pt>
                <c:pt idx="35" formatCode="General">
                  <c:v>-0.213062</c:v>
                </c:pt>
                <c:pt idx="36" formatCode="General">
                  <c:v>-0.33480700000000002</c:v>
                </c:pt>
                <c:pt idx="37" formatCode="General">
                  <c:v>-0.44672600000000001</c:v>
                </c:pt>
                <c:pt idx="38" formatCode="General">
                  <c:v>-0.55051399999999995</c:v>
                </c:pt>
                <c:pt idx="39" formatCode="General">
                  <c:v>-0.64744699999999999</c:v>
                </c:pt>
                <c:pt idx="40" formatCode="General">
                  <c:v>-0.73850400000000005</c:v>
                </c:pt>
                <c:pt idx="41" formatCode="General">
                  <c:v>-0.82445299999999999</c:v>
                </c:pt>
                <c:pt idx="42" formatCode="General">
                  <c:v>-0.90590400000000004</c:v>
                </c:pt>
                <c:pt idx="43" formatCode="General">
                  <c:v>-0.983348</c:v>
                </c:pt>
                <c:pt idx="44" formatCode="General">
                  <c:v>-1.05718</c:v>
                </c:pt>
                <c:pt idx="45" formatCode="General">
                  <c:v>-1.12771</c:v>
                </c:pt>
                <c:pt idx="46" formatCode="General">
                  <c:v>-1.1951700000000001</c:v>
                </c:pt>
                <c:pt idx="47" formatCode="General">
                  <c:v>-1.2597400000000001</c:v>
                </c:pt>
                <c:pt idx="48" formatCode="General">
                  <c:v>-1.3215600000000001</c:v>
                </c:pt>
                <c:pt idx="49" formatCode="General">
                  <c:v>-1.3807100000000001</c:v>
                </c:pt>
                <c:pt idx="50" formatCode="General">
                  <c:v>-1.43727</c:v>
                </c:pt>
                <c:pt idx="51" formatCode="General">
                  <c:v>-1.4912700000000001</c:v>
                </c:pt>
                <c:pt idx="52" formatCode="General">
                  <c:v>-1.54278</c:v>
                </c:pt>
                <c:pt idx="53" formatCode="General">
                  <c:v>-1.5918099999999999</c:v>
                </c:pt>
                <c:pt idx="54" formatCode="General">
                  <c:v>-1.63842</c:v>
                </c:pt>
                <c:pt idx="55" formatCode="General">
                  <c:v>-1.68266</c:v>
                </c:pt>
                <c:pt idx="56" formatCode="General">
                  <c:v>-1.72458</c:v>
                </c:pt>
                <c:pt idx="57" formatCode="General">
                  <c:v>-1.7642500000000001</c:v>
                </c:pt>
                <c:pt idx="58" formatCode="General">
                  <c:v>-1.80176</c:v>
                </c:pt>
                <c:pt idx="59" formatCode="General">
                  <c:v>-1.83718</c:v>
                </c:pt>
                <c:pt idx="60" formatCode="General">
                  <c:v>-1.8706400000000001</c:v>
                </c:pt>
                <c:pt idx="61" formatCode="General">
                  <c:v>-1.90222</c:v>
                </c:pt>
                <c:pt idx="62" formatCode="General">
                  <c:v>-1.93207</c:v>
                </c:pt>
                <c:pt idx="63" formatCode="General">
                  <c:v>-1.9602999999999999</c:v>
                </c:pt>
                <c:pt idx="64" formatCode="General">
                  <c:v>-1.9870399999999999</c:v>
                </c:pt>
                <c:pt idx="65" formatCode="General">
                  <c:v>-2.0124200000000001</c:v>
                </c:pt>
                <c:pt idx="66" formatCode="General">
                  <c:v>-2.0365600000000001</c:v>
                </c:pt>
                <c:pt idx="67" formatCode="General">
                  <c:v>-2.05959</c:v>
                </c:pt>
                <c:pt idx="68" formatCode="General">
                  <c:v>-2.0815999999999999</c:v>
                </c:pt>
                <c:pt idx="69" formatCode="General">
                  <c:v>-2.1027</c:v>
                </c:pt>
                <c:pt idx="70" formatCode="General">
                  <c:v>-2.1229499999999999</c:v>
                </c:pt>
                <c:pt idx="71" formatCode="General">
                  <c:v>-2.1424099999999999</c:v>
                </c:pt>
                <c:pt idx="72" formatCode="General">
                  <c:v>-2.1611099999999999</c:v>
                </c:pt>
                <c:pt idx="73" formatCode="General">
                  <c:v>-2.17909</c:v>
                </c:pt>
                <c:pt idx="74" formatCode="General">
                  <c:v>-2.1963300000000001</c:v>
                </c:pt>
                <c:pt idx="75" formatCode="General">
                  <c:v>-2.2128299999999999</c:v>
                </c:pt>
                <c:pt idx="76" formatCode="General">
                  <c:v>-2.2285599999999999</c:v>
                </c:pt>
                <c:pt idx="77" formatCode="General">
                  <c:v>-2.24349</c:v>
                </c:pt>
                <c:pt idx="78" formatCode="General">
                  <c:v>-2.2576100000000001</c:v>
                </c:pt>
                <c:pt idx="79" formatCode="General">
                  <c:v>-2.2709000000000001</c:v>
                </c:pt>
                <c:pt idx="80" formatCode="General">
                  <c:v>-2.2833600000000001</c:v>
                </c:pt>
                <c:pt idx="81" formatCode="General">
                  <c:v>-2.2950300000000001</c:v>
                </c:pt>
                <c:pt idx="82" formatCode="General">
                  <c:v>-2.3059799999999999</c:v>
                </c:pt>
                <c:pt idx="83" formatCode="General">
                  <c:v>-2.31629</c:v>
                </c:pt>
                <c:pt idx="84" formatCode="General">
                  <c:v>-2.3260999999999998</c:v>
                </c:pt>
                <c:pt idx="85" formatCode="General">
                  <c:v>-2.3355800000000002</c:v>
                </c:pt>
                <c:pt idx="86" formatCode="General">
                  <c:v>-2.3449</c:v>
                </c:pt>
                <c:pt idx="87" formatCode="General">
                  <c:v>-2.3542200000000002</c:v>
                </c:pt>
                <c:pt idx="88" formatCode="General">
                  <c:v>-2.36368</c:v>
                </c:pt>
                <c:pt idx="89" formatCode="General">
                  <c:v>-2.3733300000000002</c:v>
                </c:pt>
                <c:pt idx="90" formatCode="General">
                  <c:v>-2.38307</c:v>
                </c:pt>
                <c:pt idx="91" formatCode="General">
                  <c:v>-2.39256</c:v>
                </c:pt>
                <c:pt idx="92" formatCode="General">
                  <c:v>-2.4011300000000002</c:v>
                </c:pt>
                <c:pt idx="93" formatCode="General">
                  <c:v>-2.4076399999999998</c:v>
                </c:pt>
                <c:pt idx="94" formatCode="General">
                  <c:v>-2.4103300000000001</c:v>
                </c:pt>
                <c:pt idx="95" formatCode="General">
                  <c:v>-2.4103300000000001</c:v>
                </c:pt>
                <c:pt idx="96" formatCode="General">
                  <c:v>-2.4103300000000001</c:v>
                </c:pt>
                <c:pt idx="97" formatCode="General">
                  <c:v>-2.4103300000000001</c:v>
                </c:pt>
                <c:pt idx="98" formatCode="General">
                  <c:v>-2.4103300000000001</c:v>
                </c:pt>
                <c:pt idx="99" formatCode="General">
                  <c:v>-2.4103300000000001</c:v>
                </c:pt>
                <c:pt idx="100" formatCode="General">
                  <c:v>-2.4103300000000001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-34908100</c:v>
                </c:pt>
                <c:pt idx="1">
                  <c:v>-34908100</c:v>
                </c:pt>
                <c:pt idx="2">
                  <c:v>-15935300</c:v>
                </c:pt>
                <c:pt idx="3">
                  <c:v>-7075230</c:v>
                </c:pt>
                <c:pt idx="4">
                  <c:v>-3046700</c:v>
                </c:pt>
                <c:pt idx="5">
                  <c:v>-1268170</c:v>
                </c:pt>
                <c:pt idx="6">
                  <c:v>-508228</c:v>
                </c:pt>
                <c:pt idx="7">
                  <c:v>-195175</c:v>
                </c:pt>
                <c:pt idx="8">
                  <c:v>-71414</c:v>
                </c:pt>
                <c:pt idx="9" formatCode="General">
                  <c:v>-24715.8</c:v>
                </c:pt>
                <c:pt idx="10" formatCode="General">
                  <c:v>-8007.65</c:v>
                </c:pt>
                <c:pt idx="11" formatCode="General">
                  <c:v>-2382.4299999999998</c:v>
                </c:pt>
                <c:pt idx="12" formatCode="General">
                  <c:v>-616.61800000000005</c:v>
                </c:pt>
                <c:pt idx="13" formatCode="General">
                  <c:v>-106.38500000000001</c:v>
                </c:pt>
                <c:pt idx="14" formatCode="General">
                  <c:v>25.275300000000001</c:v>
                </c:pt>
                <c:pt idx="15" formatCode="General">
                  <c:v>51.575200000000002</c:v>
                </c:pt>
                <c:pt idx="16" formatCode="General">
                  <c:v>50.775100000000002</c:v>
                </c:pt>
                <c:pt idx="17" formatCode="General">
                  <c:v>43.763500000000001</c:v>
                </c:pt>
                <c:pt idx="18" formatCode="General">
                  <c:v>36.063600000000001</c:v>
                </c:pt>
                <c:pt idx="19" formatCode="General">
                  <c:v>29.249500000000001</c:v>
                </c:pt>
                <c:pt idx="20" formatCode="General">
                  <c:v>23.730499999999999</c:v>
                </c:pt>
                <c:pt idx="21" formatCode="General">
                  <c:v>19.462199999999999</c:v>
                </c:pt>
                <c:pt idx="22" formatCode="General">
                  <c:v>16.222100000000001</c:v>
                </c:pt>
                <c:pt idx="23" formatCode="General">
                  <c:v>13.7598</c:v>
                </c:pt>
                <c:pt idx="24" formatCode="General">
                  <c:v>11.867599999999999</c:v>
                </c:pt>
                <c:pt idx="25" formatCode="General">
                  <c:v>10.397</c:v>
                </c:pt>
                <c:pt idx="26" formatCode="General">
                  <c:v>9.2484099999999998</c:v>
                </c:pt>
                <c:pt idx="27" formatCode="General">
                  <c:v>8.3531300000000002</c:v>
                </c:pt>
                <c:pt idx="28" formatCode="General">
                  <c:v>7.6602800000000002</c:v>
                </c:pt>
                <c:pt idx="29" formatCode="General">
                  <c:v>7.1285499999999997</c:v>
                </c:pt>
                <c:pt idx="30" formatCode="General">
                  <c:v>6.7230299999999996</c:v>
                </c:pt>
                <c:pt idx="31" formatCode="General">
                  <c:v>6.4142799999999998</c:v>
                </c:pt>
                <c:pt idx="32" formatCode="General">
                  <c:v>6.1782000000000004</c:v>
                </c:pt>
                <c:pt idx="33" formatCode="General">
                  <c:v>5.9958400000000003</c:v>
                </c:pt>
                <c:pt idx="34" formatCode="General">
                  <c:v>5.8528500000000001</c:v>
                </c:pt>
                <c:pt idx="35" formatCode="General">
                  <c:v>5.7387699999999997</c:v>
                </c:pt>
                <c:pt idx="36" formatCode="General">
                  <c:v>5.6461199999999998</c:v>
                </c:pt>
                <c:pt idx="37" formatCode="General">
                  <c:v>5.5696700000000003</c:v>
                </c:pt>
                <c:pt idx="38" formatCode="General">
                  <c:v>5.5057700000000001</c:v>
                </c:pt>
                <c:pt idx="39" formatCode="General">
                  <c:v>5.4518599999999999</c:v>
                </c:pt>
                <c:pt idx="40" formatCode="General">
                  <c:v>5.40611</c:v>
                </c:pt>
                <c:pt idx="41" formatCode="General">
                  <c:v>5.3672199999999997</c:v>
                </c:pt>
                <c:pt idx="42" formatCode="General">
                  <c:v>5.3341900000000004</c:v>
                </c:pt>
                <c:pt idx="43" formatCode="General">
                  <c:v>5.3062500000000004</c:v>
                </c:pt>
                <c:pt idx="44" formatCode="General">
                  <c:v>5.2827599999999997</c:v>
                </c:pt>
                <c:pt idx="45" formatCode="General">
                  <c:v>5.2631300000000003</c:v>
                </c:pt>
                <c:pt idx="46" formatCode="General">
                  <c:v>5.2467699999999997</c:v>
                </c:pt>
                <c:pt idx="47" formatCode="General">
                  <c:v>5.2330899999999998</c:v>
                </c:pt>
                <c:pt idx="48" formatCode="General">
                  <c:v>5.2214499999999999</c:v>
                </c:pt>
                <c:pt idx="49" formatCode="General">
                  <c:v>5.2111999999999998</c:v>
                </c:pt>
                <c:pt idx="50" formatCode="General">
                  <c:v>5.2017100000000003</c:v>
                </c:pt>
                <c:pt idx="51" formatCode="General">
                  <c:v>5.1923599999999999</c:v>
                </c:pt>
                <c:pt idx="52" formatCode="General">
                  <c:v>5.18262</c:v>
                </c:pt>
                <c:pt idx="53" formatCode="General">
                  <c:v>5.1720699999999997</c:v>
                </c:pt>
                <c:pt idx="54" formatCode="General">
                  <c:v>5.16038</c:v>
                </c:pt>
                <c:pt idx="55" formatCode="General">
                  <c:v>5.1473800000000001</c:v>
                </c:pt>
                <c:pt idx="56" formatCode="General">
                  <c:v>5.1330200000000001</c:v>
                </c:pt>
                <c:pt idx="57" formatCode="General">
                  <c:v>5.1173200000000003</c:v>
                </c:pt>
                <c:pt idx="58" formatCode="General">
                  <c:v>5.1004399999999999</c:v>
                </c:pt>
                <c:pt idx="59" formatCode="General">
                  <c:v>5.0825399999999998</c:v>
                </c:pt>
                <c:pt idx="60" formatCode="General">
                  <c:v>5.0638399999999999</c:v>
                </c:pt>
                <c:pt idx="61" formatCode="General">
                  <c:v>5.0445599999999997</c:v>
                </c:pt>
                <c:pt idx="62" formatCode="General">
                  <c:v>5.0248699999999999</c:v>
                </c:pt>
                <c:pt idx="63" formatCode="General">
                  <c:v>5.0049400000000004</c:v>
                </c:pt>
                <c:pt idx="64" formatCode="General">
                  <c:v>4.9848600000000003</c:v>
                </c:pt>
                <c:pt idx="65" formatCode="General">
                  <c:v>4.96469</c:v>
                </c:pt>
                <c:pt idx="66" formatCode="General">
                  <c:v>4.9444600000000003</c:v>
                </c:pt>
                <c:pt idx="67" formatCode="General">
                  <c:v>4.9241400000000004</c:v>
                </c:pt>
                <c:pt idx="68" formatCode="General">
                  <c:v>4.9036999999999997</c:v>
                </c:pt>
                <c:pt idx="69" formatCode="General">
                  <c:v>4.8830999999999998</c:v>
                </c:pt>
                <c:pt idx="70" formatCode="General">
                  <c:v>4.8622800000000002</c:v>
                </c:pt>
                <c:pt idx="71" formatCode="General">
                  <c:v>4.8412300000000004</c:v>
                </c:pt>
                <c:pt idx="72" formatCode="General">
                  <c:v>4.8199399999999999</c:v>
                </c:pt>
                <c:pt idx="73" formatCode="General">
                  <c:v>4.7984400000000003</c:v>
                </c:pt>
                <c:pt idx="74" formatCode="General">
                  <c:v>4.7767799999999996</c:v>
                </c:pt>
                <c:pt idx="75" formatCode="General">
                  <c:v>4.7550499999999998</c:v>
                </c:pt>
                <c:pt idx="76" formatCode="General">
                  <c:v>4.7333499999999997</c:v>
                </c:pt>
                <c:pt idx="77" formatCode="General">
                  <c:v>4.7118000000000002</c:v>
                </c:pt>
                <c:pt idx="78" formatCode="General">
                  <c:v>4.6905299999999999</c:v>
                </c:pt>
                <c:pt idx="79" formatCode="General">
                  <c:v>4.6696299999999997</c:v>
                </c:pt>
                <c:pt idx="80" formatCode="General">
                  <c:v>4.6491600000000002</c:v>
                </c:pt>
                <c:pt idx="81" formatCode="General">
                  <c:v>4.6291399999999996</c:v>
                </c:pt>
                <c:pt idx="82" formatCode="General">
                  <c:v>4.6095199999999998</c:v>
                </c:pt>
                <c:pt idx="83" formatCode="General">
                  <c:v>4.5901800000000001</c:v>
                </c:pt>
                <c:pt idx="84" formatCode="General">
                  <c:v>4.5709400000000002</c:v>
                </c:pt>
                <c:pt idx="85" formatCode="General">
                  <c:v>4.5515600000000003</c:v>
                </c:pt>
                <c:pt idx="86" formatCode="General">
                  <c:v>4.5317600000000002</c:v>
                </c:pt>
                <c:pt idx="87" formatCode="General">
                  <c:v>4.5113099999999999</c:v>
                </c:pt>
                <c:pt idx="88" formatCode="General">
                  <c:v>4.4900399999999996</c:v>
                </c:pt>
                <c:pt idx="89" formatCode="General">
                  <c:v>4.4680200000000001</c:v>
                </c:pt>
                <c:pt idx="90" formatCode="General">
                  <c:v>4.4456199999999999</c:v>
                </c:pt>
                <c:pt idx="91" formatCode="General">
                  <c:v>4.4237299999999999</c:v>
                </c:pt>
                <c:pt idx="92" formatCode="General">
                  <c:v>4.4039900000000003</c:v>
                </c:pt>
                <c:pt idx="93" formatCode="General">
                  <c:v>4.3890500000000001</c:v>
                </c:pt>
                <c:pt idx="94" formatCode="General">
                  <c:v>4.3829099999999999</c:v>
                </c:pt>
                <c:pt idx="95" formatCode="General">
                  <c:v>4.3829099999999999</c:v>
                </c:pt>
                <c:pt idx="96" formatCode="General">
                  <c:v>4.3829099999999999</c:v>
                </c:pt>
                <c:pt idx="97" formatCode="General">
                  <c:v>4.3829099999999999</c:v>
                </c:pt>
                <c:pt idx="98" formatCode="General">
                  <c:v>4.3829099999999999</c:v>
                </c:pt>
                <c:pt idx="99" formatCode="General">
                  <c:v>4.3829099999999999</c:v>
                </c:pt>
                <c:pt idx="100" formatCode="General">
                  <c:v>4.3829099999999999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2662850000000</c:v>
                </c:pt>
                <c:pt idx="1">
                  <c:v>2662850000000</c:v>
                </c:pt>
                <c:pt idx="2">
                  <c:v>1496710000000</c:v>
                </c:pt>
                <c:pt idx="3">
                  <c:v>832811000000</c:v>
                </c:pt>
                <c:pt idx="4">
                  <c:v>458574000000</c:v>
                </c:pt>
                <c:pt idx="5">
                  <c:v>249780000000</c:v>
                </c:pt>
                <c:pt idx="6">
                  <c:v>134527000000</c:v>
                </c:pt>
                <c:pt idx="7">
                  <c:v>71611000000</c:v>
                </c:pt>
                <c:pt idx="8">
                  <c:v>37659100000</c:v>
                </c:pt>
                <c:pt idx="9">
                  <c:v>19555700000</c:v>
                </c:pt>
                <c:pt idx="10">
                  <c:v>10022400000</c:v>
                </c:pt>
                <c:pt idx="11">
                  <c:v>5066900000</c:v>
                </c:pt>
                <c:pt idx="12">
                  <c:v>2525510000</c:v>
                </c:pt>
                <c:pt idx="13">
                  <c:v>1240370000</c:v>
                </c:pt>
                <c:pt idx="14">
                  <c:v>599930000</c:v>
                </c:pt>
                <c:pt idx="15">
                  <c:v>285591000</c:v>
                </c:pt>
                <c:pt idx="16">
                  <c:v>133731000</c:v>
                </c:pt>
                <c:pt idx="17">
                  <c:v>61562400</c:v>
                </c:pt>
                <c:pt idx="18">
                  <c:v>27845500</c:v>
                </c:pt>
                <c:pt idx="19">
                  <c:v>12368800</c:v>
                </c:pt>
                <c:pt idx="20">
                  <c:v>5393100</c:v>
                </c:pt>
                <c:pt idx="21">
                  <c:v>2307360</c:v>
                </c:pt>
                <c:pt idx="22">
                  <c:v>968338</c:v>
                </c:pt>
                <c:pt idx="23">
                  <c:v>398547</c:v>
                </c:pt>
                <c:pt idx="24" formatCode="General">
                  <c:v>160841</c:v>
                </c:pt>
                <c:pt idx="25" formatCode="General">
                  <c:v>63634.6</c:v>
                </c:pt>
                <c:pt idx="26" formatCode="General">
                  <c:v>24671.599999999999</c:v>
                </c:pt>
                <c:pt idx="27" formatCode="General">
                  <c:v>9365.11</c:v>
                </c:pt>
                <c:pt idx="28" formatCode="General">
                  <c:v>3473.73</c:v>
                </c:pt>
                <c:pt idx="29" formatCode="General">
                  <c:v>1254.0899999999999</c:v>
                </c:pt>
                <c:pt idx="30" formatCode="General">
                  <c:v>437.214</c:v>
                </c:pt>
                <c:pt idx="31" formatCode="General">
                  <c:v>144.80699999999999</c:v>
                </c:pt>
                <c:pt idx="32" formatCode="General">
                  <c:v>43.822099999999999</c:v>
                </c:pt>
                <c:pt idx="33" formatCode="General">
                  <c:v>10.689</c:v>
                </c:pt>
                <c:pt idx="34" formatCode="General">
                  <c:v>0.68205499999999997</c:v>
                </c:pt>
                <c:pt idx="35" formatCode="General">
                  <c:v>-1.8908799999999999</c:v>
                </c:pt>
                <c:pt idx="36" formatCode="General">
                  <c:v>-2.3022200000000002</c:v>
                </c:pt>
                <c:pt idx="37" formatCode="General">
                  <c:v>-2.2094</c:v>
                </c:pt>
                <c:pt idx="38" formatCode="General">
                  <c:v>-2.0754700000000001</c:v>
                </c:pt>
                <c:pt idx="39" formatCode="General">
                  <c:v>-1.99834</c:v>
                </c:pt>
                <c:pt idx="40" formatCode="General">
                  <c:v>-1.97916</c:v>
                </c:pt>
                <c:pt idx="41" formatCode="General">
                  <c:v>-2.00135</c:v>
                </c:pt>
                <c:pt idx="42" formatCode="General">
                  <c:v>-2.0499800000000001</c:v>
                </c:pt>
                <c:pt idx="43" formatCode="General">
                  <c:v>-2.1144599999999998</c:v>
                </c:pt>
                <c:pt idx="44" formatCode="General">
                  <c:v>-2.1876899999999999</c:v>
                </c:pt>
                <c:pt idx="45" formatCode="General">
                  <c:v>-2.2648700000000002</c:v>
                </c:pt>
                <c:pt idx="46" formatCode="General">
                  <c:v>-2.3427899999999999</c:v>
                </c:pt>
                <c:pt idx="47" formatCode="General">
                  <c:v>-2.4193099999999998</c:v>
                </c:pt>
                <c:pt idx="48" formatCode="General">
                  <c:v>-2.4930699999999999</c:v>
                </c:pt>
                <c:pt idx="49" formatCode="General">
                  <c:v>-2.56331</c:v>
                </c:pt>
                <c:pt idx="50" formatCode="General">
                  <c:v>-2.62967</c:v>
                </c:pt>
                <c:pt idx="51" formatCode="General">
                  <c:v>-2.6920999999999999</c:v>
                </c:pt>
                <c:pt idx="52" formatCode="General">
                  <c:v>-2.75075</c:v>
                </c:pt>
                <c:pt idx="53" formatCode="General">
                  <c:v>-2.8058399999999999</c:v>
                </c:pt>
                <c:pt idx="54" formatCode="General">
                  <c:v>-2.8576899999999998</c:v>
                </c:pt>
                <c:pt idx="55" formatCode="General">
                  <c:v>-2.9066000000000001</c:v>
                </c:pt>
                <c:pt idx="56" formatCode="General">
                  <c:v>-2.9528300000000001</c:v>
                </c:pt>
                <c:pt idx="57" formatCode="General">
                  <c:v>-2.9966300000000001</c:v>
                </c:pt>
                <c:pt idx="58" formatCode="General">
                  <c:v>-3.0381800000000001</c:v>
                </c:pt>
                <c:pt idx="59" formatCode="General">
                  <c:v>-3.0776500000000002</c:v>
                </c:pt>
                <c:pt idx="60" formatCode="General">
                  <c:v>-3.1151300000000002</c:v>
                </c:pt>
                <c:pt idx="61" formatCode="General">
                  <c:v>-3.1507299999999998</c:v>
                </c:pt>
                <c:pt idx="62" formatCode="General">
                  <c:v>-3.18451</c:v>
                </c:pt>
                <c:pt idx="63" formatCode="General">
                  <c:v>-3.2165400000000002</c:v>
                </c:pt>
                <c:pt idx="64" formatCode="General">
                  <c:v>-3.2468900000000001</c:v>
                </c:pt>
                <c:pt idx="65" formatCode="General">
                  <c:v>-3.27563</c:v>
                </c:pt>
                <c:pt idx="66" formatCode="General">
                  <c:v>-3.3028200000000001</c:v>
                </c:pt>
                <c:pt idx="67" formatCode="General">
                  <c:v>-3.32857</c:v>
                </c:pt>
                <c:pt idx="68" formatCode="General">
                  <c:v>-3.3529399999999998</c:v>
                </c:pt>
                <c:pt idx="69" formatCode="General">
                  <c:v>-3.37602</c:v>
                </c:pt>
                <c:pt idx="70" formatCode="General">
                  <c:v>-3.3978999999999999</c:v>
                </c:pt>
                <c:pt idx="71" formatCode="General">
                  <c:v>-3.41865</c:v>
                </c:pt>
                <c:pt idx="72" formatCode="General">
                  <c:v>-3.4383499999999998</c:v>
                </c:pt>
                <c:pt idx="73" formatCode="General">
                  <c:v>-3.4570400000000001</c:v>
                </c:pt>
                <c:pt idx="74" formatCode="General">
                  <c:v>-3.4747599999999998</c:v>
                </c:pt>
                <c:pt idx="75" formatCode="General">
                  <c:v>-3.4915400000000001</c:v>
                </c:pt>
                <c:pt idx="76" formatCode="General">
                  <c:v>-3.50739</c:v>
                </c:pt>
                <c:pt idx="77" formatCode="General">
                  <c:v>-3.5223200000000001</c:v>
                </c:pt>
                <c:pt idx="78" formatCode="General">
                  <c:v>-3.5363199999999999</c:v>
                </c:pt>
                <c:pt idx="79" formatCode="General">
                  <c:v>-3.5494300000000001</c:v>
                </c:pt>
                <c:pt idx="80" formatCode="General">
                  <c:v>-3.56168</c:v>
                </c:pt>
                <c:pt idx="81" formatCode="General">
                  <c:v>-3.5731299999999999</c:v>
                </c:pt>
                <c:pt idx="82" formatCode="General">
                  <c:v>-3.5838899999999998</c:v>
                </c:pt>
                <c:pt idx="83" formatCode="General">
                  <c:v>-3.5941399999999999</c:v>
                </c:pt>
                <c:pt idx="84" formatCode="General">
                  <c:v>-3.60406</c:v>
                </c:pt>
                <c:pt idx="85" formatCode="General">
                  <c:v>-3.6139100000000002</c:v>
                </c:pt>
                <c:pt idx="86" formatCode="General">
                  <c:v>-3.6239499999999998</c:v>
                </c:pt>
                <c:pt idx="87" formatCode="General">
                  <c:v>-3.6344500000000002</c:v>
                </c:pt>
                <c:pt idx="88" formatCode="General">
                  <c:v>-3.6456</c:v>
                </c:pt>
                <c:pt idx="89" formatCode="General">
                  <c:v>-3.6574900000000001</c:v>
                </c:pt>
                <c:pt idx="90" formatCode="General">
                  <c:v>-3.6699799999999998</c:v>
                </c:pt>
                <c:pt idx="91" formatCode="General">
                  <c:v>-3.6825700000000001</c:v>
                </c:pt>
                <c:pt idx="92" formatCode="General">
                  <c:v>-3.6942699999999999</c:v>
                </c:pt>
                <c:pt idx="93" formatCode="General">
                  <c:v>-3.7033700000000001</c:v>
                </c:pt>
                <c:pt idx="94" formatCode="General">
                  <c:v>-3.7072099999999999</c:v>
                </c:pt>
                <c:pt idx="95" formatCode="General">
                  <c:v>-3.7072099999999999</c:v>
                </c:pt>
                <c:pt idx="96" formatCode="General">
                  <c:v>-3.7072099999999999</c:v>
                </c:pt>
                <c:pt idx="97" formatCode="General">
                  <c:v>-3.7072099999999999</c:v>
                </c:pt>
                <c:pt idx="98" formatCode="General">
                  <c:v>-3.7072099999999999</c:v>
                </c:pt>
                <c:pt idx="99" formatCode="General">
                  <c:v>-3.7072099999999999</c:v>
                </c:pt>
                <c:pt idx="100" formatCode="General">
                  <c:v>-3.7072099999999999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622676000</c:v>
                </c:pt>
                <c:pt idx="1">
                  <c:v>622676000</c:v>
                </c:pt>
                <c:pt idx="2">
                  <c:v>330208000</c:v>
                </c:pt>
                <c:pt idx="3">
                  <c:v>172770000</c:v>
                </c:pt>
                <c:pt idx="4">
                  <c:v>89114300</c:v>
                </c:pt>
                <c:pt idx="5">
                  <c:v>45269900</c:v>
                </c:pt>
                <c:pt idx="6">
                  <c:v>22623900</c:v>
                </c:pt>
                <c:pt idx="7">
                  <c:v>11108200</c:v>
                </c:pt>
                <c:pt idx="8">
                  <c:v>5349700</c:v>
                </c:pt>
                <c:pt idx="9">
                  <c:v>2521950</c:v>
                </c:pt>
                <c:pt idx="10">
                  <c:v>1160720</c:v>
                </c:pt>
                <c:pt idx="11" formatCode="General">
                  <c:v>519723</c:v>
                </c:pt>
                <c:pt idx="12" formatCode="General">
                  <c:v>225288</c:v>
                </c:pt>
                <c:pt idx="13" formatCode="General">
                  <c:v>93857</c:v>
                </c:pt>
                <c:pt idx="14" formatCode="General">
                  <c:v>37145.599999999999</c:v>
                </c:pt>
                <c:pt idx="15" formatCode="General">
                  <c:v>13680.2</c:v>
                </c:pt>
                <c:pt idx="16" formatCode="General">
                  <c:v>4490.13</c:v>
                </c:pt>
                <c:pt idx="17" formatCode="General">
                  <c:v>1163.6600000000001</c:v>
                </c:pt>
                <c:pt idx="18" formatCode="General">
                  <c:v>107.524</c:v>
                </c:pt>
                <c:pt idx="19" formatCode="General">
                  <c:v>-142.583</c:v>
                </c:pt>
                <c:pt idx="20" formatCode="General">
                  <c:v>-146.57599999999999</c:v>
                </c:pt>
                <c:pt idx="21" formatCode="General">
                  <c:v>-98.961500000000001</c:v>
                </c:pt>
                <c:pt idx="22" formatCode="General">
                  <c:v>-56.433</c:v>
                </c:pt>
                <c:pt idx="23" formatCode="General">
                  <c:v>-28.9786</c:v>
                </c:pt>
                <c:pt idx="24" formatCode="General">
                  <c:v>-13.713100000000001</c:v>
                </c:pt>
                <c:pt idx="25" formatCode="General">
                  <c:v>-6.0385900000000001</c:v>
                </c:pt>
                <c:pt idx="26" formatCode="General">
                  <c:v>-2.50664</c:v>
                </c:pt>
                <c:pt idx="27" formatCode="General">
                  <c:v>-1.0354399999999999</c:v>
                </c:pt>
                <c:pt idx="28" formatCode="General">
                  <c:v>-0.51051599999999997</c:v>
                </c:pt>
                <c:pt idx="29" formatCode="General">
                  <c:v>-0.38787300000000002</c:v>
                </c:pt>
                <c:pt idx="30" formatCode="General">
                  <c:v>-0.42764000000000002</c:v>
                </c:pt>
                <c:pt idx="31" formatCode="General">
                  <c:v>-0.53625500000000004</c:v>
                </c:pt>
                <c:pt idx="32" formatCode="General">
                  <c:v>-0.668848</c:v>
                </c:pt>
                <c:pt idx="33" formatCode="General">
                  <c:v>-0.805002</c:v>
                </c:pt>
                <c:pt idx="34" formatCode="General">
                  <c:v>-0.93676999999999999</c:v>
                </c:pt>
                <c:pt idx="35" formatCode="General">
                  <c:v>-1.0612900000000001</c:v>
                </c:pt>
                <c:pt idx="36" formatCode="General">
                  <c:v>-1.17774</c:v>
                </c:pt>
                <c:pt idx="37" formatCode="General">
                  <c:v>-1.28613</c:v>
                </c:pt>
                <c:pt idx="38" formatCode="General">
                  <c:v>-1.3868</c:v>
                </c:pt>
                <c:pt idx="39" formatCode="General">
                  <c:v>-1.4802299999999999</c:v>
                </c:pt>
                <c:pt idx="40" formatCode="General">
                  <c:v>-1.5669599999999999</c:v>
                </c:pt>
                <c:pt idx="41" formatCode="General">
                  <c:v>-1.6475500000000001</c:v>
                </c:pt>
                <c:pt idx="42" formatCode="General">
                  <c:v>-1.7225200000000001</c:v>
                </c:pt>
                <c:pt idx="43" formatCode="General">
                  <c:v>-1.7923800000000001</c:v>
                </c:pt>
                <c:pt idx="44" formatCode="General">
                  <c:v>-1.8575999999999999</c:v>
                </c:pt>
                <c:pt idx="45" formatCode="General">
                  <c:v>-1.91858</c:v>
                </c:pt>
                <c:pt idx="46" formatCode="General">
                  <c:v>-1.9756899999999999</c:v>
                </c:pt>
                <c:pt idx="47" formatCode="General">
                  <c:v>-2.0292500000000002</c:v>
                </c:pt>
                <c:pt idx="48" formatCode="General">
                  <c:v>-2.0794899999999998</c:v>
                </c:pt>
                <c:pt idx="49" formatCode="General">
                  <c:v>-2.12662</c:v>
                </c:pt>
                <c:pt idx="50" formatCode="General">
                  <c:v>-2.1707999999999998</c:v>
                </c:pt>
                <c:pt idx="51" formatCode="General">
                  <c:v>-2.2121400000000002</c:v>
                </c:pt>
                <c:pt idx="52" formatCode="General">
                  <c:v>-2.2507299999999999</c:v>
                </c:pt>
                <c:pt idx="53" formatCode="General">
                  <c:v>-2.2866599999999999</c:v>
                </c:pt>
                <c:pt idx="54" formatCode="General">
                  <c:v>-2.3199800000000002</c:v>
                </c:pt>
                <c:pt idx="55" formatCode="General">
                  <c:v>-2.3507699999999998</c:v>
                </c:pt>
                <c:pt idx="56" formatCode="General">
                  <c:v>-2.37913</c:v>
                </c:pt>
                <c:pt idx="57" formatCode="General">
                  <c:v>-2.40516</c:v>
                </c:pt>
                <c:pt idx="58" formatCode="General">
                  <c:v>-2.4290099999999999</c:v>
                </c:pt>
                <c:pt idx="59" formatCode="General">
                  <c:v>-2.4508399999999999</c:v>
                </c:pt>
                <c:pt idx="60" formatCode="General">
                  <c:v>-2.4708100000000002</c:v>
                </c:pt>
                <c:pt idx="61" formatCode="General">
                  <c:v>-2.4891399999999999</c:v>
                </c:pt>
                <c:pt idx="62" formatCode="General">
                  <c:v>-2.5060199999999999</c:v>
                </c:pt>
                <c:pt idx="63" formatCode="General">
                  <c:v>-2.5216699999999999</c:v>
                </c:pt>
                <c:pt idx="64" formatCode="General">
                  <c:v>-2.5362900000000002</c:v>
                </c:pt>
                <c:pt idx="65" formatCode="General">
                  <c:v>-2.5500699999999998</c:v>
                </c:pt>
                <c:pt idx="66" formatCode="General">
                  <c:v>-2.5631900000000001</c:v>
                </c:pt>
                <c:pt idx="67" formatCode="General">
                  <c:v>-2.5758200000000002</c:v>
                </c:pt>
                <c:pt idx="68" formatCode="General">
                  <c:v>-2.58806</c:v>
                </c:pt>
                <c:pt idx="69" formatCode="General">
                  <c:v>-2.6000299999999998</c:v>
                </c:pt>
                <c:pt idx="70" formatCode="General">
                  <c:v>-2.6117900000000001</c:v>
                </c:pt>
                <c:pt idx="71" formatCode="General">
                  <c:v>-2.62337</c:v>
                </c:pt>
                <c:pt idx="72" formatCode="General">
                  <c:v>-2.6347800000000001</c:v>
                </c:pt>
                <c:pt idx="73" formatCode="General">
                  <c:v>-2.6459800000000002</c:v>
                </c:pt>
                <c:pt idx="74" formatCode="General">
                  <c:v>-2.65693</c:v>
                </c:pt>
                <c:pt idx="75" formatCode="General">
                  <c:v>-2.66757</c:v>
                </c:pt>
                <c:pt idx="76" formatCode="General">
                  <c:v>-2.67781</c:v>
                </c:pt>
                <c:pt idx="77" formatCode="General">
                  <c:v>-2.6875900000000001</c:v>
                </c:pt>
                <c:pt idx="78" formatCode="General">
                  <c:v>-2.6968399999999999</c:v>
                </c:pt>
                <c:pt idx="79" formatCode="General">
                  <c:v>-2.70553</c:v>
                </c:pt>
                <c:pt idx="80" formatCode="General">
                  <c:v>-2.7136399999999998</c:v>
                </c:pt>
                <c:pt idx="81" formatCode="General">
                  <c:v>-2.7212000000000001</c:v>
                </c:pt>
                <c:pt idx="82" formatCode="General">
                  <c:v>-2.7282700000000002</c:v>
                </c:pt>
                <c:pt idx="83" formatCode="General">
                  <c:v>-2.7349399999999999</c:v>
                </c:pt>
                <c:pt idx="84" formatCode="General">
                  <c:v>-2.7413500000000002</c:v>
                </c:pt>
                <c:pt idx="85" formatCode="General">
                  <c:v>-2.7476600000000002</c:v>
                </c:pt>
                <c:pt idx="86" formatCode="General">
                  <c:v>-2.7540399999999998</c:v>
                </c:pt>
                <c:pt idx="87" formatCode="General">
                  <c:v>-2.76065</c:v>
                </c:pt>
                <c:pt idx="88" formatCode="General">
                  <c:v>-2.7675999999999998</c:v>
                </c:pt>
                <c:pt idx="89" formatCode="General">
                  <c:v>-2.7749299999999999</c:v>
                </c:pt>
                <c:pt idx="90" formatCode="General">
                  <c:v>-2.7825600000000001</c:v>
                </c:pt>
                <c:pt idx="91" formatCode="General">
                  <c:v>-2.7901699999999998</c:v>
                </c:pt>
                <c:pt idx="92" formatCode="General">
                  <c:v>-2.79718</c:v>
                </c:pt>
                <c:pt idx="93" formatCode="General">
                  <c:v>-2.8025799999999998</c:v>
                </c:pt>
                <c:pt idx="94" formatCode="General">
                  <c:v>-2.8048299999999999</c:v>
                </c:pt>
                <c:pt idx="95" formatCode="General">
                  <c:v>-2.8048299999999999</c:v>
                </c:pt>
                <c:pt idx="96" formatCode="General">
                  <c:v>-2.8048299999999999</c:v>
                </c:pt>
                <c:pt idx="97" formatCode="General">
                  <c:v>-2.8048299999999999</c:v>
                </c:pt>
                <c:pt idx="98" formatCode="General">
                  <c:v>-2.8048299999999999</c:v>
                </c:pt>
                <c:pt idx="99" formatCode="General">
                  <c:v>-2.8048299999999999</c:v>
                </c:pt>
                <c:pt idx="100" formatCode="General">
                  <c:v>-2.8048299999999999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-7955130</c:v>
                </c:pt>
                <c:pt idx="1">
                  <c:v>-7955130</c:v>
                </c:pt>
                <c:pt idx="2">
                  <c:v>-4016120</c:v>
                </c:pt>
                <c:pt idx="3">
                  <c:v>-1991660</c:v>
                </c:pt>
                <c:pt idx="4">
                  <c:v>-969502</c:v>
                </c:pt>
                <c:pt idx="5" formatCode="General">
                  <c:v>-462934</c:v>
                </c:pt>
                <c:pt idx="6" formatCode="General">
                  <c:v>-216720</c:v>
                </c:pt>
                <c:pt idx="7" formatCode="General">
                  <c:v>-99437.8</c:v>
                </c:pt>
                <c:pt idx="8" formatCode="General">
                  <c:v>-44714.7</c:v>
                </c:pt>
                <c:pt idx="9" formatCode="General">
                  <c:v>-19709.400000000001</c:v>
                </c:pt>
                <c:pt idx="10" formatCode="General">
                  <c:v>-8517.2099999999991</c:v>
                </c:pt>
                <c:pt idx="11" formatCode="General">
                  <c:v>-3606.09</c:v>
                </c:pt>
                <c:pt idx="12" formatCode="General">
                  <c:v>-1490.34</c:v>
                </c:pt>
                <c:pt idx="13" formatCode="General">
                  <c:v>-593.81899999999996</c:v>
                </c:pt>
                <c:pt idx="14" formatCode="General">
                  <c:v>-219.75399999999999</c:v>
                </c:pt>
                <c:pt idx="15" formatCode="General">
                  <c:v>-66.441199999999995</c:v>
                </c:pt>
                <c:pt idx="16" formatCode="General">
                  <c:v>-5.5133099999999997</c:v>
                </c:pt>
                <c:pt idx="17" formatCode="General">
                  <c:v>16.9832</c:v>
                </c:pt>
                <c:pt idx="18" formatCode="General">
                  <c:v>23.6004</c:v>
                </c:pt>
                <c:pt idx="19" formatCode="General">
                  <c:v>23.781700000000001</c:v>
                </c:pt>
                <c:pt idx="20" formatCode="General">
                  <c:v>21.510400000000001</c:v>
                </c:pt>
                <c:pt idx="21" formatCode="General">
                  <c:v>18.479900000000001</c:v>
                </c:pt>
                <c:pt idx="22" formatCode="General">
                  <c:v>15.409000000000001</c:v>
                </c:pt>
                <c:pt idx="23" formatCode="General">
                  <c:v>12.5931</c:v>
                </c:pt>
                <c:pt idx="24" formatCode="General">
                  <c:v>10.1387</c:v>
                </c:pt>
                <c:pt idx="25" formatCode="General">
                  <c:v>8.0652500000000007</c:v>
                </c:pt>
                <c:pt idx="26" formatCode="General">
                  <c:v>6.3509099999999998</c:v>
                </c:pt>
                <c:pt idx="27" formatCode="General">
                  <c:v>4.95425</c:v>
                </c:pt>
                <c:pt idx="28" formatCode="General">
                  <c:v>3.82626</c:v>
                </c:pt>
                <c:pt idx="29" formatCode="General">
                  <c:v>2.9174899999999999</c:v>
                </c:pt>
                <c:pt idx="30" formatCode="General">
                  <c:v>2.1825000000000001</c:v>
                </c:pt>
                <c:pt idx="31" formatCode="General">
                  <c:v>1.5824800000000001</c:v>
                </c:pt>
                <c:pt idx="32" formatCode="General">
                  <c:v>1.0861400000000001</c:v>
                </c:pt>
                <c:pt idx="33" formatCode="General">
                  <c:v>0.66955299999999995</c:v>
                </c:pt>
                <c:pt idx="34" formatCode="General">
                  <c:v>0.31511400000000001</c:v>
                </c:pt>
                <c:pt idx="35" formatCode="General">
                  <c:v>1.02218E-2</c:v>
                </c:pt>
                <c:pt idx="36" formatCode="General">
                  <c:v>-0.254108</c:v>
                </c:pt>
                <c:pt idx="37" formatCode="General">
                  <c:v>-0.48443199999999997</c:v>
                </c:pt>
                <c:pt idx="38" formatCode="General">
                  <c:v>-0.68577900000000003</c:v>
                </c:pt>
                <c:pt idx="39" formatCode="General">
                  <c:v>-0.862259</c:v>
                </c:pt>
                <c:pt idx="40" formatCode="General">
                  <c:v>-1.0174099999999999</c:v>
                </c:pt>
                <c:pt idx="41" formatCode="General">
                  <c:v>-1.1543699999999999</c:v>
                </c:pt>
                <c:pt idx="42" formatCode="General">
                  <c:v>-1.2759400000000001</c:v>
                </c:pt>
                <c:pt idx="43" formatCode="General">
                  <c:v>-1.3845799999999999</c:v>
                </c:pt>
                <c:pt idx="44" formatCode="General">
                  <c:v>-1.4823900000000001</c:v>
                </c:pt>
                <c:pt idx="45" formatCode="General">
                  <c:v>-1.57115</c:v>
                </c:pt>
                <c:pt idx="46" formatCode="General">
                  <c:v>-1.65228</c:v>
                </c:pt>
                <c:pt idx="47" formatCode="General">
                  <c:v>-1.72695</c:v>
                </c:pt>
                <c:pt idx="48" formatCode="General">
                  <c:v>-1.79603</c:v>
                </c:pt>
                <c:pt idx="49" formatCode="General">
                  <c:v>-1.86026</c:v>
                </c:pt>
                <c:pt idx="50" formatCode="General">
                  <c:v>-1.9201699999999999</c:v>
                </c:pt>
                <c:pt idx="51" formatCode="General">
                  <c:v>-1.9762500000000001</c:v>
                </c:pt>
                <c:pt idx="52" formatCode="General">
                  <c:v>-2.0288900000000001</c:v>
                </c:pt>
                <c:pt idx="53" formatCode="General">
                  <c:v>-2.0784400000000001</c:v>
                </c:pt>
                <c:pt idx="54" formatCode="General">
                  <c:v>-2.1252399999999998</c:v>
                </c:pt>
                <c:pt idx="55" formatCode="General">
                  <c:v>-2.1696</c:v>
                </c:pt>
                <c:pt idx="56" formatCode="General">
                  <c:v>-2.2118000000000002</c:v>
                </c:pt>
                <c:pt idx="57" formatCode="General">
                  <c:v>-2.2521100000000001</c:v>
                </c:pt>
                <c:pt idx="58" formatCode="General">
                  <c:v>-2.2907899999999999</c:v>
                </c:pt>
                <c:pt idx="59" formatCode="General">
                  <c:v>-2.3280400000000001</c:v>
                </c:pt>
                <c:pt idx="60" formatCode="General">
                  <c:v>-2.3640599999999998</c:v>
                </c:pt>
                <c:pt idx="61" formatCode="General">
                  <c:v>-2.3989799999999999</c:v>
                </c:pt>
                <c:pt idx="62" formatCode="General">
                  <c:v>-2.4329499999999999</c:v>
                </c:pt>
                <c:pt idx="63" formatCode="General">
                  <c:v>-2.4660500000000001</c:v>
                </c:pt>
                <c:pt idx="64" formatCode="General">
                  <c:v>-2.4983499999999998</c:v>
                </c:pt>
                <c:pt idx="65" formatCode="General">
                  <c:v>-2.5299</c:v>
                </c:pt>
                <c:pt idx="66" formatCode="General">
                  <c:v>-2.56074</c:v>
                </c:pt>
                <c:pt idx="67" formatCode="General">
                  <c:v>-2.5908899999999999</c:v>
                </c:pt>
                <c:pt idx="68" formatCode="General">
                  <c:v>-2.6203400000000001</c:v>
                </c:pt>
                <c:pt idx="69" formatCode="General">
                  <c:v>-2.6490900000000002</c:v>
                </c:pt>
                <c:pt idx="70" formatCode="General">
                  <c:v>-2.6771099999999999</c:v>
                </c:pt>
                <c:pt idx="71" formatCode="General">
                  <c:v>-2.70438</c:v>
                </c:pt>
                <c:pt idx="72" formatCode="General">
                  <c:v>-2.7308400000000002</c:v>
                </c:pt>
                <c:pt idx="73" formatCode="General">
                  <c:v>-2.7564299999999999</c:v>
                </c:pt>
                <c:pt idx="74" formatCode="General">
                  <c:v>-2.7810700000000002</c:v>
                </c:pt>
                <c:pt idx="75" formatCode="General">
                  <c:v>-2.8046899999999999</c:v>
                </c:pt>
                <c:pt idx="76" formatCode="General">
                  <c:v>-2.8271799999999998</c:v>
                </c:pt>
                <c:pt idx="77" formatCode="General">
                  <c:v>-2.8484799999999999</c:v>
                </c:pt>
                <c:pt idx="78" formatCode="General">
                  <c:v>-2.8685100000000001</c:v>
                </c:pt>
                <c:pt idx="79" formatCode="General">
                  <c:v>-2.8872200000000001</c:v>
                </c:pt>
                <c:pt idx="80" formatCode="General">
                  <c:v>-2.9045899999999998</c:v>
                </c:pt>
                <c:pt idx="81" formatCode="General">
                  <c:v>-2.9206500000000002</c:v>
                </c:pt>
                <c:pt idx="82" formatCode="General">
                  <c:v>-2.93546</c:v>
                </c:pt>
                <c:pt idx="83" formatCode="General">
                  <c:v>-2.9491299999999998</c:v>
                </c:pt>
                <c:pt idx="84" formatCode="General">
                  <c:v>-2.9618500000000001</c:v>
                </c:pt>
                <c:pt idx="85" formatCode="General">
                  <c:v>-2.9738199999999999</c:v>
                </c:pt>
                <c:pt idx="86" formatCode="General">
                  <c:v>-2.98529</c:v>
                </c:pt>
                <c:pt idx="87" formatCode="General">
                  <c:v>-2.9965000000000002</c:v>
                </c:pt>
                <c:pt idx="88" formatCode="General">
                  <c:v>-3.0076700000000001</c:v>
                </c:pt>
                <c:pt idx="89" formatCode="General">
                  <c:v>-3.01891</c:v>
                </c:pt>
                <c:pt idx="90" formatCode="General">
                  <c:v>-3.03016</c:v>
                </c:pt>
                <c:pt idx="91" formatCode="General">
                  <c:v>-3.0411100000000002</c:v>
                </c:pt>
                <c:pt idx="92" formatCode="General">
                  <c:v>-3.0510100000000002</c:v>
                </c:pt>
                <c:pt idx="93" formatCode="General">
                  <c:v>-3.0585599999999999</c:v>
                </c:pt>
                <c:pt idx="94" formatCode="General">
                  <c:v>-3.06169</c:v>
                </c:pt>
                <c:pt idx="95" formatCode="General">
                  <c:v>-3.06169</c:v>
                </c:pt>
                <c:pt idx="96" formatCode="General">
                  <c:v>-3.06169</c:v>
                </c:pt>
                <c:pt idx="97" formatCode="General">
                  <c:v>-3.06169</c:v>
                </c:pt>
                <c:pt idx="98" formatCode="General">
                  <c:v>-3.06169</c:v>
                </c:pt>
                <c:pt idx="99" formatCode="General">
                  <c:v>-3.06169</c:v>
                </c:pt>
                <c:pt idx="100" formatCode="General">
                  <c:v>-3.06169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6</xdr:row>
      <xdr:rowOff>0</xdr:rowOff>
    </xdr:from>
    <xdr:to>
      <xdr:col>20</xdr:col>
      <xdr:colOff>444500</xdr:colOff>
      <xdr:row>19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539750</xdr:colOff>
      <xdr:row>28</xdr:row>
      <xdr:rowOff>50800</xdr:rowOff>
    </xdr:from>
    <xdr:to>
      <xdr:col>20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43</xdr:row>
      <xdr:rowOff>0</xdr:rowOff>
    </xdr:from>
    <xdr:to>
      <xdr:col>20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273050</xdr:colOff>
      <xdr:row>28</xdr:row>
      <xdr:rowOff>12700</xdr:rowOff>
    </xdr:from>
    <xdr:to>
      <xdr:col>25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254000</xdr:colOff>
      <xdr:row>42</xdr:row>
      <xdr:rowOff>127000</xdr:rowOff>
    </xdr:from>
    <xdr:to>
      <xdr:col>25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184150</xdr:colOff>
      <xdr:row>4</xdr:row>
      <xdr:rowOff>139700</xdr:rowOff>
    </xdr:from>
    <xdr:to>
      <xdr:col>21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628650</xdr:colOff>
      <xdr:row>7</xdr:row>
      <xdr:rowOff>127000</xdr:rowOff>
    </xdr:from>
    <xdr:to>
      <xdr:col>20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tabSelected="1" workbookViewId="0">
      <selection activeCell="I14" sqref="I14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1497.08</v>
      </c>
      <c r="D6">
        <v>-4070.68</v>
      </c>
      <c r="E6">
        <v>40392.400000000001</v>
      </c>
      <c r="F6">
        <v>3.6287500000000001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1.3941294025608777</v>
      </c>
      <c r="M6">
        <f>D6+SUM(G6:J6)*1.5*(0.000086173)*C6</f>
        <v>-3761.0611003839999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7.5817033399120368E-2</v>
      </c>
      <c r="S6">
        <f>ABS(Q6-L6)/Q6</f>
        <v>0.13297797851351303</v>
      </c>
    </row>
    <row r="7" spans="2:19" x14ac:dyDescent="0.2">
      <c r="B7">
        <v>100000</v>
      </c>
      <c r="C7">
        <v>1405.33</v>
      </c>
      <c r="D7">
        <v>-4094.83</v>
      </c>
      <c r="E7">
        <v>39883.699999999997</v>
      </c>
      <c r="F7">
        <v>147.887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1.4119109430669674</v>
      </c>
      <c r="M7">
        <f t="shared" ref="M7:M9" si="0">D7+SUM(G7:J7)*1.5*(0.000086173)*C7</f>
        <v>-3804.1863949839999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5.5974373223355738E-2</v>
      </c>
      <c r="S7">
        <f>ABS(Q7-L7)/Q7</f>
        <v>0.10842435473933691</v>
      </c>
    </row>
    <row r="8" spans="2:19" x14ac:dyDescent="0.2">
      <c r="B8">
        <v>100000</v>
      </c>
      <c r="C8">
        <v>1294.93</v>
      </c>
      <c r="D8">
        <v>-4123.51</v>
      </c>
      <c r="E8">
        <v>38986.199999999997</v>
      </c>
      <c r="F8">
        <v>56.158299999999997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1.444414497437555</v>
      </c>
      <c r="M8">
        <f t="shared" si="0"/>
        <v>-3855.6987930640003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4.2594037940722224E-2</v>
      </c>
      <c r="S8">
        <f>ABS(Q8-L8)/Q8</f>
        <v>9.6662741961548157E-2</v>
      </c>
    </row>
    <row r="9" spans="2:19" x14ac:dyDescent="0.2">
      <c r="B9">
        <v>100000</v>
      </c>
      <c r="C9">
        <v>1203.24</v>
      </c>
      <c r="D9">
        <v>-4148.24</v>
      </c>
      <c r="E9">
        <v>38529.1</v>
      </c>
      <c r="F9">
        <v>56.652799999999999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1.4615506845475239</v>
      </c>
      <c r="M9">
        <f t="shared" si="0"/>
        <v>-3899.3916787519997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4.3678882323905967E-2</v>
      </c>
      <c r="S9">
        <f>ABS(Q9-L9)/Q9</f>
        <v>7.435363462770074E-2</v>
      </c>
    </row>
    <row r="11" spans="2:19" x14ac:dyDescent="0.2">
      <c r="F11" t="s">
        <v>20</v>
      </c>
      <c r="G11" cm="1">
        <f t="array" ref="G11:H11">LINEST(E6:E9,C6:C9)</f>
        <v>6.5624369754822895</v>
      </c>
      <c r="H11">
        <v>30587.608529737463</v>
      </c>
      <c r="K11" t="s">
        <v>22</v>
      </c>
      <c r="L11" cm="1">
        <f t="array" ref="L11:M11">LINEST(M6:M9,C6:C9)</f>
        <v>0.47025229232575144</v>
      </c>
      <c r="M11">
        <v>-4464.9932730181517</v>
      </c>
      <c r="O11" t="s">
        <v>42</v>
      </c>
      <c r="P11" t="s">
        <v>43</v>
      </c>
    </row>
    <row r="12" spans="2:19" x14ac:dyDescent="0.2">
      <c r="G12" s="2">
        <f>G11/E9</f>
        <v>1.7032416992564814E-4</v>
      </c>
      <c r="L12">
        <f>L11/SUM(G6:I6)*(1.602E-19)*(6.022E+23)</f>
        <v>56.707982570323146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1495.77</v>
      </c>
      <c r="D17">
        <v>-2287.04</v>
      </c>
      <c r="E17">
        <v>71839.899999999994</v>
      </c>
      <c r="F17">
        <v>23.706099999999999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1.3785090003744438</v>
      </c>
      <c r="M17">
        <f>D17+SUM(G17:J17)*1.5*(0.000086173)*C17</f>
        <v>-1977.692028296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0.11485652549244924</v>
      </c>
      <c r="S17">
        <f>ABS(Q17-L17)/Q17</f>
        <v>8.9299881765660588E-2</v>
      </c>
    </row>
    <row r="18" spans="2:19" x14ac:dyDescent="0.2">
      <c r="B18">
        <v>100000</v>
      </c>
      <c r="C18">
        <v>1398.57</v>
      </c>
      <c r="D18">
        <v>-2308.19</v>
      </c>
      <c r="E18">
        <v>71327.7</v>
      </c>
      <c r="F18">
        <v>-85.851200000000006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1.3884079920704018</v>
      </c>
      <c r="M18">
        <f t="shared" ref="M18:M20" si="2">D18+SUM(G18:J18)*1.5*(0.000086173)*C18</f>
        <v>-2018.944465736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5.0927636249948657E-2</v>
      </c>
      <c r="S18">
        <f>ABS(Q18-L18)/Q18</f>
        <v>4.8804949441306429E-2</v>
      </c>
    </row>
    <row r="19" spans="2:19" x14ac:dyDescent="0.2">
      <c r="B19">
        <v>100000</v>
      </c>
      <c r="C19">
        <v>1301.25</v>
      </c>
      <c r="D19">
        <v>-2338.71</v>
      </c>
      <c r="E19">
        <v>69059</v>
      </c>
      <c r="F19">
        <v>13.198700000000001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1.4340194433165845</v>
      </c>
      <c r="M19">
        <f t="shared" si="2"/>
        <v>-2069.5917209999998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7.000510453657785E-2</v>
      </c>
      <c r="S19">
        <f>ABS(Q19-L19)/Q19</f>
        <v>3.75656199381985E-2</v>
      </c>
    </row>
    <row r="20" spans="2:19" x14ac:dyDescent="0.2">
      <c r="B20">
        <v>100000</v>
      </c>
      <c r="C20">
        <v>1196.51</v>
      </c>
      <c r="D20">
        <v>-2367.48</v>
      </c>
      <c r="E20">
        <v>67969.899999999994</v>
      </c>
      <c r="F20">
        <v>56.058500000000002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1.456997122785233</v>
      </c>
      <c r="M20">
        <f t="shared" si="2"/>
        <v>-2120.023545048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4.7883945144305898E-3</v>
      </c>
      <c r="S20">
        <f>ABS(Q20-L20)/Q20</f>
        <v>1.152257899557959E-2</v>
      </c>
    </row>
    <row r="22" spans="2:19" x14ac:dyDescent="0.2">
      <c r="F22" t="s">
        <v>20</v>
      </c>
      <c r="G22" cm="1">
        <f t="array" ref="G22:H22">LINEST(E17:E20,C17:C20)</f>
        <v>13.94260645232913</v>
      </c>
      <c r="H22">
        <v>51254.142937099023</v>
      </c>
      <c r="K22" t="s">
        <v>22</v>
      </c>
      <c r="L22" cm="1">
        <f t="array" ref="L22:M22">LINEST(M17:M20,C17:C20)</f>
        <v>0.48010874729511904</v>
      </c>
      <c r="M22">
        <v>-2693.7615340925031</v>
      </c>
      <c r="O22" t="s">
        <v>42</v>
      </c>
      <c r="P22" t="s">
        <v>43</v>
      </c>
    </row>
    <row r="23" spans="2:19" x14ac:dyDescent="0.2">
      <c r="G23" s="2">
        <f>G22/E20</f>
        <v>2.0512912998737871E-4</v>
      </c>
      <c r="L23">
        <f>L22/SUM(G17:I17)*(1.602E-19)*(6.022E+23)</f>
        <v>57.896577896129415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1493.03</v>
      </c>
      <c r="D28">
        <v>-2164.27</v>
      </c>
      <c r="E28">
        <v>53368.2</v>
      </c>
      <c r="F28">
        <v>15.5519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1.4546783680169091</v>
      </c>
      <c r="M28">
        <f>D28+SUM(G28:J28)*1.5*(0.000086173)*C28</f>
        <v>-1855.488701944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8.3299287908734101E-2</v>
      </c>
      <c r="S28">
        <f>ABS(Q28-L28)/Q28</f>
        <v>9.7456331962964132E-2</v>
      </c>
    </row>
    <row r="29" spans="2:19" x14ac:dyDescent="0.2">
      <c r="B29">
        <v>100000</v>
      </c>
      <c r="C29">
        <v>1400.26</v>
      </c>
      <c r="D29">
        <v>-2194.06</v>
      </c>
      <c r="E29">
        <v>52120.6</v>
      </c>
      <c r="F29">
        <v>58.819400000000002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1.4894987026242983</v>
      </c>
      <c r="M29">
        <f t="shared" ref="M29:M31" si="4">D29+SUM(G29:J29)*1.5*(0.000086173)*C29</f>
        <v>-1904.464948048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5.8986736608382988E-2</v>
      </c>
      <c r="S29">
        <f>ABS(Q29-L29)/Q29</f>
        <v>7.9503335718436111E-2</v>
      </c>
    </row>
    <row r="30" spans="2:19" x14ac:dyDescent="0.2">
      <c r="B30">
        <v>100000</v>
      </c>
      <c r="C30">
        <v>1294.78</v>
      </c>
      <c r="D30">
        <v>-2220.0700000000002</v>
      </c>
      <c r="E30">
        <v>51035.6</v>
      </c>
      <c r="F30">
        <v>-0.65161999999999998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1.5211649530915674</v>
      </c>
      <c r="M30">
        <f t="shared" si="4"/>
        <v>-1952.2898153440001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4.7459549629936273E-2</v>
      </c>
      <c r="S30">
        <f>ABS(Q30-L30)/Q30</f>
        <v>6.0710517461520987E-2</v>
      </c>
    </row>
    <row r="31" spans="2:19" x14ac:dyDescent="0.2">
      <c r="B31">
        <v>100000</v>
      </c>
      <c r="C31">
        <v>1197.92</v>
      </c>
      <c r="D31">
        <v>-2248.11</v>
      </c>
      <c r="E31">
        <v>49947.6</v>
      </c>
      <c r="F31">
        <v>76.416200000000003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1.5543002282391949</v>
      </c>
      <c r="M31">
        <f t="shared" si="4"/>
        <v>-2000.3619356160002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5.1845086759759566E-2</v>
      </c>
      <c r="S31">
        <f>ABS(Q31-L31)/Q31</f>
        <v>4.4275885675352539E-2</v>
      </c>
    </row>
    <row r="33" spans="2:16" x14ac:dyDescent="0.2">
      <c r="F33" t="s">
        <v>20</v>
      </c>
      <c r="G33" cm="1">
        <f t="array" ref="G33:H33">LINEST(E28:E31,C28:C31)</f>
        <v>11.438845673377775</v>
      </c>
      <c r="H33">
        <v>36215.622897911009</v>
      </c>
      <c r="K33" t="s">
        <v>22</v>
      </c>
      <c r="L33" cm="1">
        <f t="array" ref="L33:M33">LINEST(M28:M31,C28:C31)</f>
        <v>0.48660316099731876</v>
      </c>
      <c r="M33">
        <v>-2583.361290012987</v>
      </c>
      <c r="O33" t="s">
        <v>42</v>
      </c>
      <c r="P33" t="s">
        <v>43</v>
      </c>
    </row>
    <row r="34" spans="2:16" x14ac:dyDescent="0.2">
      <c r="G34" s="2">
        <f>G33/E31</f>
        <v>2.2901692320307233E-4</v>
      </c>
      <c r="L34">
        <f>L33/SUM(G28:I28)*(1.602E-19)*(6.022E+23)</f>
        <v>58.679742816405216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B2:S143"/>
  <sheetViews>
    <sheetView workbookViewId="0">
      <selection activeCell="G20" sqref="G20"/>
    </sheetView>
  </sheetViews>
  <sheetFormatPr baseColWidth="10" defaultRowHeight="16" x14ac:dyDescent="0.2"/>
  <cols>
    <col min="6" max="6" width="12.1640625" bestFit="1" customWidth="1"/>
  </cols>
  <sheetData>
    <row r="2" spans="2:14" x14ac:dyDescent="0.2">
      <c r="G2" t="s">
        <v>14</v>
      </c>
      <c r="H2">
        <v>6.94</v>
      </c>
      <c r="I2">
        <v>39.097999999999999</v>
      </c>
      <c r="J2">
        <v>22.99</v>
      </c>
      <c r="K2">
        <v>35.450000000000003</v>
      </c>
    </row>
    <row r="3" spans="2:14" x14ac:dyDescent="0.2">
      <c r="C3" t="s">
        <v>40</v>
      </c>
      <c r="H3" t="s">
        <v>10</v>
      </c>
      <c r="I3" t="s">
        <v>11</v>
      </c>
      <c r="J3" t="s">
        <v>12</v>
      </c>
      <c r="K3" t="s">
        <v>13</v>
      </c>
    </row>
    <row r="5" spans="2:14" x14ac:dyDescent="0.2">
      <c r="B5" t="s">
        <v>41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15</v>
      </c>
      <c r="M5" t="s">
        <v>16</v>
      </c>
      <c r="N5" t="s">
        <v>21</v>
      </c>
    </row>
    <row r="8" spans="2:14" x14ac:dyDescent="0.2">
      <c r="B8">
        <f t="shared" ref="B8:B18" si="0">I8/SUM(H8:I8)</f>
        <v>0</v>
      </c>
      <c r="C8">
        <v>200000</v>
      </c>
      <c r="D8">
        <v>1505.18</v>
      </c>
      <c r="E8">
        <v>-4034.81</v>
      </c>
      <c r="F8">
        <v>44116.7</v>
      </c>
      <c r="G8">
        <v>-22.661799999999999</v>
      </c>
      <c r="H8">
        <v>800</v>
      </c>
      <c r="I8">
        <v>0</v>
      </c>
      <c r="J8">
        <v>0</v>
      </c>
      <c r="K8">
        <v>800</v>
      </c>
      <c r="L8">
        <f t="shared" ref="L8" si="1">H8*H$2+I8*I$2+J8*J$2+K8*K$2</f>
        <v>33912</v>
      </c>
      <c r="M8">
        <f t="shared" ref="M8" si="2">L8*(1.66054E-24)/(F8)/(1E-24)</f>
        <v>1.2764380037491472</v>
      </c>
      <c r="N8">
        <f t="shared" ref="N8" si="3">E8+SUM(H8:K8)*1.5*(0.000086173)*D8</f>
        <v>-3723.5158972640002</v>
      </c>
    </row>
    <row r="9" spans="2:14" x14ac:dyDescent="0.2">
      <c r="B9">
        <f t="shared" si="0"/>
        <v>0.1</v>
      </c>
      <c r="C9">
        <v>200000</v>
      </c>
      <c r="D9" s="4">
        <v>1494.21</v>
      </c>
      <c r="E9">
        <v>-3873.03</v>
      </c>
      <c r="F9">
        <v>47065.1</v>
      </c>
      <c r="G9">
        <v>-3.8758599999999999</v>
      </c>
      <c r="H9">
        <v>720</v>
      </c>
      <c r="I9">
        <v>80</v>
      </c>
      <c r="J9">
        <v>0</v>
      </c>
      <c r="K9">
        <v>800</v>
      </c>
      <c r="L9">
        <f>H9*H$2+I9*I$2+J9*J$2+K9*K$2</f>
        <v>36484.640000000007</v>
      </c>
      <c r="M9">
        <f>L9*(1.66054E-24)/(F9)/(1E-24)</f>
        <v>1.2872426512553892</v>
      </c>
      <c r="N9">
        <f t="shared" ref="N9:N17" si="4">E9+SUM(H9:K9)*1.5*(0.000086173)*D9</f>
        <v>-3564.0046600080004</v>
      </c>
    </row>
    <row r="10" spans="2:14" x14ac:dyDescent="0.2">
      <c r="B10">
        <f t="shared" si="0"/>
        <v>0.2</v>
      </c>
      <c r="C10">
        <v>200000</v>
      </c>
      <c r="D10">
        <v>1500.79</v>
      </c>
      <c r="E10">
        <v>-3695.52</v>
      </c>
      <c r="F10">
        <v>50812.4</v>
      </c>
      <c r="G10">
        <v>11.482200000000001</v>
      </c>
      <c r="H10">
        <v>640</v>
      </c>
      <c r="I10">
        <v>160</v>
      </c>
      <c r="J10">
        <v>0</v>
      </c>
      <c r="K10">
        <v>800</v>
      </c>
      <c r="L10">
        <f t="shared" ref="L10:L17" si="5">H10*H$2+I10*I$2+J10*J$2+K10*K$2</f>
        <v>39057.280000000006</v>
      </c>
      <c r="M10">
        <f t="shared" ref="M10:M17" si="6">L10*(1.66054E-24)/(F10)/(1E-24)</f>
        <v>1.2763848141634719</v>
      </c>
      <c r="N10">
        <f t="shared" si="4"/>
        <v>-3385.1338159920001</v>
      </c>
    </row>
    <row r="11" spans="2:14" x14ac:dyDescent="0.2">
      <c r="B11">
        <f t="shared" si="0"/>
        <v>0.3</v>
      </c>
      <c r="C11">
        <v>200000</v>
      </c>
      <c r="D11">
        <v>1500.1</v>
      </c>
      <c r="E11">
        <v>-3524.46</v>
      </c>
      <c r="F11">
        <v>53958</v>
      </c>
      <c r="G11">
        <v>-54.955300000000001</v>
      </c>
      <c r="H11">
        <v>560</v>
      </c>
      <c r="I11">
        <v>240</v>
      </c>
      <c r="J11">
        <v>0</v>
      </c>
      <c r="K11">
        <v>800</v>
      </c>
      <c r="L11">
        <f t="shared" si="5"/>
        <v>41629.920000000006</v>
      </c>
      <c r="M11">
        <f t="shared" si="6"/>
        <v>1.2811473248971423</v>
      </c>
      <c r="N11">
        <f t="shared" si="4"/>
        <v>-3214.2165184800001</v>
      </c>
    </row>
    <row r="12" spans="2:14" x14ac:dyDescent="0.2">
      <c r="B12">
        <f t="shared" si="0"/>
        <v>0.4</v>
      </c>
      <c r="C12">
        <v>200000</v>
      </c>
      <c r="D12">
        <v>1504.07</v>
      </c>
      <c r="E12">
        <v>-3342.27</v>
      </c>
      <c r="F12">
        <v>58310.3</v>
      </c>
      <c r="G12">
        <v>5.2187599999999996</v>
      </c>
      <c r="H12">
        <v>480</v>
      </c>
      <c r="I12">
        <v>320</v>
      </c>
      <c r="J12">
        <v>0</v>
      </c>
      <c r="K12">
        <v>800</v>
      </c>
      <c r="L12">
        <f t="shared" si="5"/>
        <v>44202.560000000005</v>
      </c>
      <c r="M12">
        <f t="shared" si="6"/>
        <v>1.2587847941512909</v>
      </c>
      <c r="N12">
        <f t="shared" si="4"/>
        <v>-3031.2054621359998</v>
      </c>
    </row>
    <row r="13" spans="2:14" x14ac:dyDescent="0.2">
      <c r="B13">
        <f t="shared" si="0"/>
        <v>0.5</v>
      </c>
      <c r="C13">
        <v>200000</v>
      </c>
      <c r="D13" s="3">
        <v>1502.16</v>
      </c>
      <c r="E13">
        <v>-3164.4</v>
      </c>
      <c r="F13" s="3">
        <v>62173.7</v>
      </c>
      <c r="G13" s="3">
        <v>52.9315</v>
      </c>
      <c r="H13">
        <v>400</v>
      </c>
      <c r="I13">
        <v>400</v>
      </c>
      <c r="J13">
        <v>0</v>
      </c>
      <c r="K13">
        <v>800</v>
      </c>
      <c r="L13">
        <f t="shared" si="5"/>
        <v>46775.199999999997</v>
      </c>
      <c r="M13">
        <f t="shared" si="6"/>
        <v>1.2492756681362054</v>
      </c>
      <c r="N13">
        <f t="shared" si="4"/>
        <v>-2853.7304791679999</v>
      </c>
    </row>
    <row r="14" spans="2:14" x14ac:dyDescent="0.2">
      <c r="B14">
        <f t="shared" si="0"/>
        <v>0.6</v>
      </c>
      <c r="C14">
        <v>200000</v>
      </c>
      <c r="D14">
        <v>1501.52</v>
      </c>
      <c r="E14">
        <v>-2980.04</v>
      </c>
      <c r="F14">
        <v>65911.899999999994</v>
      </c>
      <c r="G14">
        <v>25.871400000000001</v>
      </c>
      <c r="H14">
        <v>320</v>
      </c>
      <c r="I14">
        <v>480</v>
      </c>
      <c r="J14">
        <v>0</v>
      </c>
      <c r="K14">
        <v>800</v>
      </c>
      <c r="L14">
        <f t="shared" si="5"/>
        <v>49347.840000000004</v>
      </c>
      <c r="M14">
        <f t="shared" si="6"/>
        <v>1.2432362325103663</v>
      </c>
      <c r="N14">
        <f t="shared" si="4"/>
        <v>-2669.5028408959997</v>
      </c>
    </row>
    <row r="15" spans="2:14" x14ac:dyDescent="0.2">
      <c r="B15">
        <f t="shared" si="0"/>
        <v>0.7</v>
      </c>
      <c r="C15">
        <v>200000</v>
      </c>
      <c r="D15">
        <v>1500.91</v>
      </c>
      <c r="E15">
        <v>-2791.74</v>
      </c>
      <c r="F15">
        <v>70739.7</v>
      </c>
      <c r="G15">
        <v>-30.227799999999998</v>
      </c>
      <c r="H15">
        <v>240</v>
      </c>
      <c r="I15">
        <v>560</v>
      </c>
      <c r="J15">
        <v>0</v>
      </c>
      <c r="K15">
        <v>800</v>
      </c>
      <c r="L15">
        <f t="shared" si="5"/>
        <v>51920.480000000003</v>
      </c>
      <c r="M15">
        <f t="shared" si="6"/>
        <v>1.2187786187840777</v>
      </c>
      <c r="N15">
        <f t="shared" si="4"/>
        <v>-2481.328998168</v>
      </c>
    </row>
    <row r="16" spans="2:14" x14ac:dyDescent="0.2">
      <c r="B16">
        <f t="shared" si="0"/>
        <v>0.8</v>
      </c>
      <c r="C16">
        <v>200000</v>
      </c>
      <c r="D16">
        <v>1496.91</v>
      </c>
      <c r="E16">
        <v>-2609.4899999999998</v>
      </c>
      <c r="F16">
        <v>74222</v>
      </c>
      <c r="G16">
        <v>2.4895299999999998</v>
      </c>
      <c r="H16">
        <v>160</v>
      </c>
      <c r="I16">
        <v>640</v>
      </c>
      <c r="J16">
        <v>0</v>
      </c>
      <c r="K16">
        <v>800</v>
      </c>
      <c r="L16">
        <f t="shared" si="5"/>
        <v>54493.12000000001</v>
      </c>
      <c r="M16">
        <f t="shared" si="6"/>
        <v>1.2191534246557627</v>
      </c>
      <c r="N16">
        <f t="shared" si="4"/>
        <v>-2299.9062589679997</v>
      </c>
    </row>
    <row r="17" spans="2:19" x14ac:dyDescent="0.2">
      <c r="B17">
        <f t="shared" si="0"/>
        <v>0.9</v>
      </c>
      <c r="C17">
        <v>200000</v>
      </c>
      <c r="D17">
        <v>1495.55</v>
      </c>
      <c r="E17">
        <v>-2418.35</v>
      </c>
      <c r="F17">
        <v>78912.399999999994</v>
      </c>
      <c r="G17">
        <v>-24.098099999999999</v>
      </c>
      <c r="H17">
        <v>80</v>
      </c>
      <c r="I17">
        <v>720</v>
      </c>
      <c r="J17">
        <v>0</v>
      </c>
      <c r="K17">
        <v>800</v>
      </c>
      <c r="L17">
        <f t="shared" si="5"/>
        <v>57065.760000000002</v>
      </c>
      <c r="M17">
        <f t="shared" si="6"/>
        <v>1.2008249287868573</v>
      </c>
      <c r="N17">
        <f t="shared" si="4"/>
        <v>-2109.0475276399998</v>
      </c>
    </row>
    <row r="18" spans="2:19" x14ac:dyDescent="0.2">
      <c r="B18">
        <f t="shared" si="0"/>
        <v>1</v>
      </c>
      <c r="C18">
        <v>200000</v>
      </c>
      <c r="D18">
        <v>1502.48</v>
      </c>
      <c r="E18">
        <v>-2229.31</v>
      </c>
      <c r="F18">
        <v>83245.3</v>
      </c>
      <c r="G18">
        <v>-12.576700000000001</v>
      </c>
      <c r="H18">
        <v>0</v>
      </c>
      <c r="I18">
        <v>800</v>
      </c>
      <c r="J18">
        <v>0</v>
      </c>
      <c r="K18">
        <v>800</v>
      </c>
      <c r="L18">
        <f>H18*H$2+I18*I$2+J18*J$2+K18*K$2</f>
        <v>59638.400000000001</v>
      </c>
      <c r="M18">
        <f>L18*(1.66054E-24)/(F18)/(1E-24)</f>
        <v>1.1896401206554605</v>
      </c>
      <c r="N18">
        <f>E18+SUM(H18:K18)*1.5*(0.000086173)*D18</f>
        <v>-1918.574298304</v>
      </c>
    </row>
    <row r="22" spans="2:19" x14ac:dyDescent="0.2">
      <c r="J22">
        <v>0.8</v>
      </c>
    </row>
    <row r="24" spans="2:19" x14ac:dyDescent="0.2">
      <c r="J24" t="s">
        <v>24</v>
      </c>
      <c r="K24" t="s">
        <v>25</v>
      </c>
      <c r="L24" t="s">
        <v>26</v>
      </c>
      <c r="M24" t="s">
        <v>27</v>
      </c>
      <c r="N24" t="s">
        <v>28</v>
      </c>
      <c r="O24">
        <v>3</v>
      </c>
    </row>
    <row r="25" spans="2:19" x14ac:dyDescent="0.2">
      <c r="J25" t="s">
        <v>24</v>
      </c>
      <c r="K25" t="s">
        <v>1</v>
      </c>
      <c r="L25" t="s">
        <v>2</v>
      </c>
      <c r="M25" t="s">
        <v>3</v>
      </c>
      <c r="N25" t="s">
        <v>4</v>
      </c>
      <c r="O25" t="s">
        <v>5</v>
      </c>
      <c r="P25" t="s">
        <v>6</v>
      </c>
      <c r="Q25" t="s">
        <v>7</v>
      </c>
      <c r="R25" t="s">
        <v>8</v>
      </c>
      <c r="S25" t="s">
        <v>9</v>
      </c>
    </row>
    <row r="26" spans="2:19" x14ac:dyDescent="0.2">
      <c r="J26">
        <v>1000</v>
      </c>
      <c r="K26">
        <v>1516.86</v>
      </c>
      <c r="L26">
        <v>-2648.92</v>
      </c>
      <c r="M26">
        <v>67799.8</v>
      </c>
      <c r="N26">
        <v>224.24</v>
      </c>
      <c r="O26">
        <v>160</v>
      </c>
      <c r="P26">
        <v>640</v>
      </c>
      <c r="Q26">
        <v>0</v>
      </c>
      <c r="R26">
        <v>800</v>
      </c>
    </row>
    <row r="27" spans="2:19" x14ac:dyDescent="0.2">
      <c r="J27">
        <v>2000</v>
      </c>
      <c r="K27">
        <v>1504.26</v>
      </c>
      <c r="L27">
        <v>-2622.5</v>
      </c>
      <c r="M27">
        <v>71820.7</v>
      </c>
      <c r="N27">
        <v>1116.3699999999999</v>
      </c>
      <c r="O27">
        <v>160</v>
      </c>
      <c r="P27">
        <v>640</v>
      </c>
      <c r="Q27">
        <v>0</v>
      </c>
      <c r="R27">
        <v>800</v>
      </c>
    </row>
    <row r="28" spans="2:19" x14ac:dyDescent="0.2">
      <c r="J28">
        <v>3000</v>
      </c>
      <c r="K28">
        <v>1510.97</v>
      </c>
      <c r="L28">
        <v>-2604.0700000000002</v>
      </c>
      <c r="M28">
        <v>74082.399999999994</v>
      </c>
      <c r="N28">
        <v>36.676499999999997</v>
      </c>
      <c r="O28">
        <v>160</v>
      </c>
      <c r="P28">
        <v>640</v>
      </c>
      <c r="Q28">
        <v>0</v>
      </c>
      <c r="R28">
        <v>800</v>
      </c>
    </row>
    <row r="29" spans="2:19" x14ac:dyDescent="0.2">
      <c r="J29">
        <v>4000</v>
      </c>
      <c r="K29">
        <v>1500.19</v>
      </c>
      <c r="L29">
        <v>-2608.65</v>
      </c>
      <c r="M29">
        <v>73863.100000000006</v>
      </c>
      <c r="N29">
        <v>827.19500000000005</v>
      </c>
      <c r="O29">
        <v>160</v>
      </c>
      <c r="P29">
        <v>640</v>
      </c>
      <c r="Q29">
        <v>0</v>
      </c>
      <c r="R29">
        <v>800</v>
      </c>
    </row>
    <row r="30" spans="2:19" x14ac:dyDescent="0.2">
      <c r="J30">
        <v>5000</v>
      </c>
      <c r="K30">
        <v>1477.38</v>
      </c>
      <c r="L30">
        <v>-2606.2600000000002</v>
      </c>
      <c r="M30">
        <v>74886.2</v>
      </c>
      <c r="N30">
        <v>-723.72799999999995</v>
      </c>
      <c r="O30">
        <v>160</v>
      </c>
      <c r="P30">
        <v>640</v>
      </c>
      <c r="Q30">
        <v>0</v>
      </c>
      <c r="R30">
        <v>800</v>
      </c>
    </row>
    <row r="31" spans="2:19" x14ac:dyDescent="0.2">
      <c r="J31">
        <v>6000</v>
      </c>
      <c r="K31">
        <v>1498.91</v>
      </c>
      <c r="L31">
        <v>-2620.88</v>
      </c>
      <c r="M31">
        <v>73479.3</v>
      </c>
      <c r="N31">
        <v>0.50715399999999999</v>
      </c>
      <c r="O31">
        <v>160</v>
      </c>
      <c r="P31">
        <v>640</v>
      </c>
      <c r="Q31">
        <v>0</v>
      </c>
      <c r="R31">
        <v>800</v>
      </c>
    </row>
    <row r="32" spans="2:19" x14ac:dyDescent="0.2">
      <c r="J32">
        <v>7000</v>
      </c>
      <c r="K32">
        <v>1454.78</v>
      </c>
      <c r="L32">
        <v>-2605.9699999999998</v>
      </c>
      <c r="M32">
        <v>73949.7</v>
      </c>
      <c r="N32">
        <v>-616.33500000000004</v>
      </c>
      <c r="O32">
        <v>160</v>
      </c>
      <c r="P32">
        <v>640</v>
      </c>
      <c r="Q32">
        <v>0</v>
      </c>
      <c r="R32">
        <v>800</v>
      </c>
    </row>
    <row r="33" spans="10:18" x14ac:dyDescent="0.2">
      <c r="J33">
        <v>8000</v>
      </c>
      <c r="K33">
        <v>1462.69</v>
      </c>
      <c r="L33">
        <v>-2617.94</v>
      </c>
      <c r="M33">
        <v>73808.5</v>
      </c>
      <c r="N33">
        <v>424.53699999999998</v>
      </c>
      <c r="O33">
        <v>160</v>
      </c>
      <c r="P33">
        <v>640</v>
      </c>
      <c r="Q33">
        <v>0</v>
      </c>
      <c r="R33">
        <v>800</v>
      </c>
    </row>
    <row r="34" spans="10:18" x14ac:dyDescent="0.2">
      <c r="J34">
        <v>9000</v>
      </c>
      <c r="K34">
        <v>1520.08</v>
      </c>
      <c r="L34">
        <v>-2601.67</v>
      </c>
      <c r="M34">
        <v>73924.7</v>
      </c>
      <c r="N34">
        <v>680.83</v>
      </c>
      <c r="O34">
        <v>160</v>
      </c>
      <c r="P34">
        <v>640</v>
      </c>
      <c r="Q34">
        <v>0</v>
      </c>
      <c r="R34">
        <v>800</v>
      </c>
    </row>
    <row r="35" spans="10:18" x14ac:dyDescent="0.2">
      <c r="J35">
        <v>10000</v>
      </c>
      <c r="K35">
        <v>1525.04</v>
      </c>
      <c r="L35">
        <v>-2608.9699999999998</v>
      </c>
      <c r="M35">
        <v>74263.5</v>
      </c>
      <c r="N35">
        <v>-131.38999999999999</v>
      </c>
      <c r="O35">
        <v>160</v>
      </c>
      <c r="P35">
        <v>640</v>
      </c>
      <c r="Q35">
        <v>0</v>
      </c>
      <c r="R35">
        <v>800</v>
      </c>
    </row>
    <row r="36" spans="10:18" x14ac:dyDescent="0.2">
      <c r="J36">
        <v>11000</v>
      </c>
      <c r="K36">
        <v>1490.17</v>
      </c>
      <c r="L36">
        <v>-2611.77</v>
      </c>
      <c r="M36">
        <v>73694.2</v>
      </c>
      <c r="N36">
        <v>-296.12</v>
      </c>
      <c r="O36">
        <v>160</v>
      </c>
      <c r="P36">
        <v>640</v>
      </c>
      <c r="Q36">
        <v>0</v>
      </c>
      <c r="R36">
        <v>800</v>
      </c>
    </row>
    <row r="37" spans="10:18" x14ac:dyDescent="0.2">
      <c r="J37">
        <v>12000</v>
      </c>
      <c r="K37">
        <v>1469.31</v>
      </c>
      <c r="L37">
        <v>-2617.5500000000002</v>
      </c>
      <c r="M37">
        <v>74237.7</v>
      </c>
      <c r="N37">
        <v>-486.02600000000001</v>
      </c>
      <c r="O37">
        <v>160</v>
      </c>
      <c r="P37">
        <v>640</v>
      </c>
      <c r="Q37">
        <v>0</v>
      </c>
      <c r="R37">
        <v>800</v>
      </c>
    </row>
    <row r="38" spans="10:18" x14ac:dyDescent="0.2">
      <c r="J38">
        <v>13000</v>
      </c>
      <c r="K38">
        <v>1447.23</v>
      </c>
      <c r="L38">
        <v>-2609.46</v>
      </c>
      <c r="M38">
        <v>74186.399999999994</v>
      </c>
      <c r="N38">
        <v>-261.262</v>
      </c>
      <c r="O38">
        <v>160</v>
      </c>
      <c r="P38">
        <v>640</v>
      </c>
      <c r="Q38">
        <v>0</v>
      </c>
      <c r="R38">
        <v>800</v>
      </c>
    </row>
    <row r="39" spans="10:18" x14ac:dyDescent="0.2">
      <c r="J39">
        <v>14000</v>
      </c>
      <c r="K39">
        <v>1457.79</v>
      </c>
      <c r="L39">
        <v>-2601.58</v>
      </c>
      <c r="M39">
        <v>75056.899999999994</v>
      </c>
      <c r="N39">
        <v>-428.22300000000001</v>
      </c>
      <c r="O39">
        <v>160</v>
      </c>
      <c r="P39">
        <v>640</v>
      </c>
      <c r="Q39">
        <v>0</v>
      </c>
      <c r="R39">
        <v>800</v>
      </c>
    </row>
    <row r="40" spans="10:18" x14ac:dyDescent="0.2">
      <c r="J40">
        <v>15000</v>
      </c>
      <c r="K40">
        <v>1503.57</v>
      </c>
      <c r="L40">
        <v>-2609.84</v>
      </c>
      <c r="M40">
        <v>75458.7</v>
      </c>
      <c r="N40">
        <v>-546.43899999999996</v>
      </c>
      <c r="O40">
        <v>160</v>
      </c>
      <c r="P40">
        <v>640</v>
      </c>
      <c r="Q40">
        <v>0</v>
      </c>
      <c r="R40">
        <v>800</v>
      </c>
    </row>
    <row r="41" spans="10:18" x14ac:dyDescent="0.2">
      <c r="J41">
        <v>16000</v>
      </c>
      <c r="K41">
        <v>1483.09</v>
      </c>
      <c r="L41">
        <v>-2618.7800000000002</v>
      </c>
      <c r="M41">
        <v>74189.8</v>
      </c>
      <c r="N41">
        <v>4.4912900000000002</v>
      </c>
      <c r="O41">
        <v>160</v>
      </c>
      <c r="P41">
        <v>640</v>
      </c>
      <c r="Q41">
        <v>0</v>
      </c>
      <c r="R41">
        <v>800</v>
      </c>
    </row>
    <row r="42" spans="10:18" x14ac:dyDescent="0.2">
      <c r="J42">
        <v>17000</v>
      </c>
      <c r="K42">
        <v>1492.41</v>
      </c>
      <c r="L42">
        <v>-2632.08</v>
      </c>
      <c r="M42">
        <v>71914.399999999994</v>
      </c>
      <c r="N42">
        <v>811.02099999999996</v>
      </c>
      <c r="O42">
        <v>160</v>
      </c>
      <c r="P42">
        <v>640</v>
      </c>
      <c r="Q42">
        <v>0</v>
      </c>
      <c r="R42">
        <v>800</v>
      </c>
    </row>
    <row r="43" spans="10:18" x14ac:dyDescent="0.2">
      <c r="J43">
        <v>18000</v>
      </c>
      <c r="K43">
        <v>1493.28</v>
      </c>
      <c r="L43">
        <v>-2608.0300000000002</v>
      </c>
      <c r="M43">
        <v>73533.5</v>
      </c>
      <c r="N43">
        <v>-215.87700000000001</v>
      </c>
      <c r="O43">
        <v>160</v>
      </c>
      <c r="P43">
        <v>640</v>
      </c>
      <c r="Q43">
        <v>0</v>
      </c>
      <c r="R43">
        <v>800</v>
      </c>
    </row>
    <row r="44" spans="10:18" x14ac:dyDescent="0.2">
      <c r="J44">
        <v>19000</v>
      </c>
      <c r="K44">
        <v>1519.57</v>
      </c>
      <c r="L44">
        <v>-2621.67</v>
      </c>
      <c r="M44">
        <v>72929.8</v>
      </c>
      <c r="N44">
        <v>188.49199999999999</v>
      </c>
      <c r="O44">
        <v>160</v>
      </c>
      <c r="P44">
        <v>640</v>
      </c>
      <c r="Q44">
        <v>0</v>
      </c>
      <c r="R44">
        <v>800</v>
      </c>
    </row>
    <row r="45" spans="10:18" x14ac:dyDescent="0.2">
      <c r="J45">
        <v>20000</v>
      </c>
      <c r="K45">
        <v>1512.2</v>
      </c>
      <c r="L45">
        <v>-2612.39</v>
      </c>
      <c r="M45">
        <v>72920.899999999994</v>
      </c>
      <c r="N45">
        <v>215.172</v>
      </c>
      <c r="O45">
        <v>160</v>
      </c>
      <c r="P45">
        <v>640</v>
      </c>
      <c r="Q45">
        <v>0</v>
      </c>
      <c r="R45">
        <v>800</v>
      </c>
    </row>
    <row r="46" spans="10:18" x14ac:dyDescent="0.2">
      <c r="J46">
        <v>21000</v>
      </c>
      <c r="K46">
        <v>1478.22</v>
      </c>
      <c r="L46">
        <v>-2624.98</v>
      </c>
      <c r="M46">
        <v>72449.100000000006</v>
      </c>
      <c r="N46">
        <v>594.04999999999995</v>
      </c>
      <c r="O46">
        <v>160</v>
      </c>
      <c r="P46">
        <v>640</v>
      </c>
      <c r="Q46">
        <v>0</v>
      </c>
      <c r="R46">
        <v>800</v>
      </c>
    </row>
    <row r="47" spans="10:18" x14ac:dyDescent="0.2">
      <c r="J47">
        <v>22000</v>
      </c>
      <c r="K47">
        <v>1488.82</v>
      </c>
      <c r="L47">
        <v>-2609.69</v>
      </c>
      <c r="M47">
        <v>74054.8</v>
      </c>
      <c r="N47">
        <v>-216.31700000000001</v>
      </c>
      <c r="O47">
        <v>160</v>
      </c>
      <c r="P47">
        <v>640</v>
      </c>
      <c r="Q47">
        <v>0</v>
      </c>
      <c r="R47">
        <v>800</v>
      </c>
    </row>
    <row r="48" spans="10:18" x14ac:dyDescent="0.2">
      <c r="J48">
        <v>23000</v>
      </c>
      <c r="K48">
        <v>1535.41</v>
      </c>
      <c r="L48">
        <v>-2602.83</v>
      </c>
      <c r="M48">
        <v>73781.899999999994</v>
      </c>
      <c r="N48">
        <v>167.82599999999999</v>
      </c>
      <c r="O48">
        <v>160</v>
      </c>
      <c r="P48">
        <v>640</v>
      </c>
      <c r="Q48">
        <v>0</v>
      </c>
      <c r="R48">
        <v>800</v>
      </c>
    </row>
    <row r="49" spans="10:18" x14ac:dyDescent="0.2">
      <c r="J49">
        <v>24000</v>
      </c>
      <c r="K49">
        <v>1518.25</v>
      </c>
      <c r="L49">
        <v>-2605.4499999999998</v>
      </c>
      <c r="M49">
        <v>73480.600000000006</v>
      </c>
      <c r="N49">
        <v>18.397200000000002</v>
      </c>
      <c r="O49">
        <v>160</v>
      </c>
      <c r="P49">
        <v>640</v>
      </c>
      <c r="Q49">
        <v>0</v>
      </c>
      <c r="R49">
        <v>800</v>
      </c>
    </row>
    <row r="50" spans="10:18" x14ac:dyDescent="0.2">
      <c r="J50">
        <v>25000</v>
      </c>
      <c r="K50">
        <v>1531.65</v>
      </c>
      <c r="L50">
        <v>-2614.96</v>
      </c>
      <c r="M50">
        <v>73708.7</v>
      </c>
      <c r="N50">
        <v>480.81700000000001</v>
      </c>
      <c r="O50">
        <v>160</v>
      </c>
      <c r="P50">
        <v>640</v>
      </c>
      <c r="Q50">
        <v>0</v>
      </c>
      <c r="R50">
        <v>800</v>
      </c>
    </row>
    <row r="51" spans="10:18" x14ac:dyDescent="0.2">
      <c r="J51">
        <v>26000</v>
      </c>
      <c r="K51">
        <v>1500.95</v>
      </c>
      <c r="L51">
        <v>-2594.4499999999998</v>
      </c>
      <c r="M51">
        <v>75806.399999999994</v>
      </c>
      <c r="N51">
        <v>-464.77300000000002</v>
      </c>
      <c r="O51">
        <v>160</v>
      </c>
      <c r="P51">
        <v>640</v>
      </c>
      <c r="Q51">
        <v>0</v>
      </c>
      <c r="R51">
        <v>800</v>
      </c>
    </row>
    <row r="52" spans="10:18" x14ac:dyDescent="0.2">
      <c r="J52">
        <v>27000</v>
      </c>
      <c r="K52">
        <v>1494.08</v>
      </c>
      <c r="L52">
        <v>-2614.6999999999998</v>
      </c>
      <c r="M52">
        <v>73951.199999999997</v>
      </c>
      <c r="N52">
        <v>447.78500000000003</v>
      </c>
      <c r="O52">
        <v>160</v>
      </c>
      <c r="P52">
        <v>640</v>
      </c>
      <c r="Q52">
        <v>0</v>
      </c>
      <c r="R52">
        <v>800</v>
      </c>
    </row>
    <row r="53" spans="10:18" x14ac:dyDescent="0.2">
      <c r="J53">
        <v>28000</v>
      </c>
      <c r="K53">
        <v>1471.99</v>
      </c>
      <c r="L53">
        <v>-2620.48</v>
      </c>
      <c r="M53">
        <v>72590.2</v>
      </c>
      <c r="N53">
        <v>87.660600000000002</v>
      </c>
      <c r="O53">
        <v>160</v>
      </c>
      <c r="P53">
        <v>640</v>
      </c>
      <c r="Q53">
        <v>0</v>
      </c>
      <c r="R53">
        <v>800</v>
      </c>
    </row>
    <row r="54" spans="10:18" x14ac:dyDescent="0.2">
      <c r="J54">
        <v>29000</v>
      </c>
      <c r="K54">
        <v>1522.88</v>
      </c>
      <c r="L54">
        <v>-2606.91</v>
      </c>
      <c r="M54">
        <v>74321.8</v>
      </c>
      <c r="N54">
        <v>-238.494</v>
      </c>
      <c r="O54">
        <v>160</v>
      </c>
      <c r="P54">
        <v>640</v>
      </c>
      <c r="Q54">
        <v>0</v>
      </c>
      <c r="R54">
        <v>800</v>
      </c>
    </row>
    <row r="55" spans="10:18" x14ac:dyDescent="0.2">
      <c r="J55">
        <v>30000</v>
      </c>
      <c r="K55">
        <v>1510.1</v>
      </c>
      <c r="L55">
        <v>-2605.2399999999998</v>
      </c>
      <c r="M55">
        <v>73479.100000000006</v>
      </c>
      <c r="N55">
        <v>1078.3900000000001</v>
      </c>
      <c r="O55">
        <v>160</v>
      </c>
      <c r="P55">
        <v>640</v>
      </c>
      <c r="Q55">
        <v>0</v>
      </c>
      <c r="R55">
        <v>800</v>
      </c>
    </row>
    <row r="56" spans="10:18" x14ac:dyDescent="0.2">
      <c r="J56">
        <v>31000</v>
      </c>
      <c r="K56">
        <v>1504.88</v>
      </c>
      <c r="L56">
        <v>-2600.88</v>
      </c>
      <c r="M56">
        <v>74635.8</v>
      </c>
      <c r="N56">
        <v>-77.230699999999999</v>
      </c>
      <c r="O56">
        <v>160</v>
      </c>
      <c r="P56">
        <v>640</v>
      </c>
      <c r="Q56">
        <v>0</v>
      </c>
      <c r="R56">
        <v>800</v>
      </c>
    </row>
    <row r="57" spans="10:18" x14ac:dyDescent="0.2">
      <c r="J57">
        <v>32000</v>
      </c>
      <c r="K57">
        <v>1515.9</v>
      </c>
      <c r="L57">
        <v>-2618.85</v>
      </c>
      <c r="M57">
        <v>73564.899999999994</v>
      </c>
      <c r="N57">
        <v>846.50400000000002</v>
      </c>
      <c r="O57">
        <v>160</v>
      </c>
      <c r="P57">
        <v>640</v>
      </c>
      <c r="Q57">
        <v>0</v>
      </c>
      <c r="R57">
        <v>800</v>
      </c>
    </row>
    <row r="58" spans="10:18" x14ac:dyDescent="0.2">
      <c r="J58">
        <v>33000</v>
      </c>
      <c r="K58">
        <v>1485.1</v>
      </c>
      <c r="L58">
        <v>-2597.39</v>
      </c>
      <c r="M58">
        <v>76345.7</v>
      </c>
      <c r="N58">
        <v>-1000.42</v>
      </c>
      <c r="O58">
        <v>160</v>
      </c>
      <c r="P58">
        <v>640</v>
      </c>
      <c r="Q58">
        <v>0</v>
      </c>
      <c r="R58">
        <v>800</v>
      </c>
    </row>
    <row r="59" spans="10:18" x14ac:dyDescent="0.2">
      <c r="J59">
        <v>34000</v>
      </c>
      <c r="K59">
        <v>1477.8</v>
      </c>
      <c r="L59">
        <v>-2586.5100000000002</v>
      </c>
      <c r="M59">
        <v>77371.5</v>
      </c>
      <c r="N59">
        <v>-544.07299999999998</v>
      </c>
      <c r="O59">
        <v>160</v>
      </c>
      <c r="P59">
        <v>640</v>
      </c>
      <c r="Q59">
        <v>0</v>
      </c>
      <c r="R59">
        <v>800</v>
      </c>
    </row>
    <row r="60" spans="10:18" x14ac:dyDescent="0.2">
      <c r="J60">
        <v>35000</v>
      </c>
      <c r="K60">
        <v>1524.19</v>
      </c>
      <c r="L60">
        <v>-2598.44</v>
      </c>
      <c r="M60">
        <v>75906.399999999994</v>
      </c>
      <c r="N60">
        <v>176.49799999999999</v>
      </c>
      <c r="O60">
        <v>160</v>
      </c>
      <c r="P60">
        <v>640</v>
      </c>
      <c r="Q60">
        <v>0</v>
      </c>
      <c r="R60">
        <v>800</v>
      </c>
    </row>
    <row r="61" spans="10:18" x14ac:dyDescent="0.2">
      <c r="J61">
        <v>36000</v>
      </c>
      <c r="K61">
        <v>1514.36</v>
      </c>
      <c r="L61">
        <v>-2596.81</v>
      </c>
      <c r="M61">
        <v>76418.7</v>
      </c>
      <c r="N61">
        <v>-373.75099999999998</v>
      </c>
      <c r="O61">
        <v>160</v>
      </c>
      <c r="P61">
        <v>640</v>
      </c>
      <c r="Q61">
        <v>0</v>
      </c>
      <c r="R61">
        <v>800</v>
      </c>
    </row>
    <row r="62" spans="10:18" x14ac:dyDescent="0.2">
      <c r="J62">
        <v>37000</v>
      </c>
      <c r="K62">
        <v>1507.56</v>
      </c>
      <c r="L62">
        <v>-2599.7199999999998</v>
      </c>
      <c r="M62">
        <v>75596</v>
      </c>
      <c r="N62">
        <v>592.82000000000005</v>
      </c>
      <c r="O62">
        <v>160</v>
      </c>
      <c r="P62">
        <v>640</v>
      </c>
      <c r="Q62">
        <v>0</v>
      </c>
      <c r="R62">
        <v>800</v>
      </c>
    </row>
    <row r="63" spans="10:18" x14ac:dyDescent="0.2">
      <c r="J63">
        <v>38000</v>
      </c>
      <c r="K63">
        <v>1459.36</v>
      </c>
      <c r="L63">
        <v>-2595.4899999999998</v>
      </c>
      <c r="M63">
        <v>75802.399999999994</v>
      </c>
      <c r="N63">
        <v>-1304.71</v>
      </c>
      <c r="O63">
        <v>160</v>
      </c>
      <c r="P63">
        <v>640</v>
      </c>
      <c r="Q63">
        <v>0</v>
      </c>
      <c r="R63">
        <v>800</v>
      </c>
    </row>
    <row r="64" spans="10:18" x14ac:dyDescent="0.2">
      <c r="J64">
        <v>39000</v>
      </c>
      <c r="K64">
        <v>1448.91</v>
      </c>
      <c r="L64">
        <v>-2598.98</v>
      </c>
      <c r="M64">
        <v>75251.600000000006</v>
      </c>
      <c r="N64">
        <v>-730.63499999999999</v>
      </c>
      <c r="O64">
        <v>160</v>
      </c>
      <c r="P64">
        <v>640</v>
      </c>
      <c r="Q64">
        <v>0</v>
      </c>
      <c r="R64">
        <v>800</v>
      </c>
    </row>
    <row r="65" spans="10:18" x14ac:dyDescent="0.2">
      <c r="J65">
        <v>40000</v>
      </c>
      <c r="K65">
        <v>1475.37</v>
      </c>
      <c r="L65">
        <v>-2617.42</v>
      </c>
      <c r="M65">
        <v>74226</v>
      </c>
      <c r="N65">
        <v>-408.06299999999999</v>
      </c>
      <c r="O65">
        <v>160</v>
      </c>
      <c r="P65">
        <v>640</v>
      </c>
      <c r="Q65">
        <v>0</v>
      </c>
      <c r="R65">
        <v>800</v>
      </c>
    </row>
    <row r="66" spans="10:18" x14ac:dyDescent="0.2">
      <c r="J66">
        <v>41000</v>
      </c>
      <c r="K66">
        <v>1471.49</v>
      </c>
      <c r="L66">
        <v>-2615.4699999999998</v>
      </c>
      <c r="M66">
        <v>73309.5</v>
      </c>
      <c r="N66">
        <v>339.07799999999997</v>
      </c>
      <c r="O66">
        <v>160</v>
      </c>
      <c r="P66">
        <v>640</v>
      </c>
      <c r="Q66">
        <v>0</v>
      </c>
      <c r="R66">
        <v>800</v>
      </c>
    </row>
    <row r="67" spans="10:18" x14ac:dyDescent="0.2">
      <c r="J67">
        <v>42000</v>
      </c>
      <c r="K67">
        <v>1522.83</v>
      </c>
      <c r="L67">
        <v>-2608.13</v>
      </c>
      <c r="M67">
        <v>74751.399999999994</v>
      </c>
      <c r="N67">
        <v>-457.07100000000003</v>
      </c>
      <c r="O67">
        <v>160</v>
      </c>
      <c r="P67">
        <v>640</v>
      </c>
      <c r="Q67">
        <v>0</v>
      </c>
      <c r="R67">
        <v>800</v>
      </c>
    </row>
    <row r="68" spans="10:18" x14ac:dyDescent="0.2">
      <c r="J68">
        <v>43000</v>
      </c>
      <c r="K68">
        <v>1494.96</v>
      </c>
      <c r="L68">
        <v>-2607.1799999999998</v>
      </c>
      <c r="M68">
        <v>74193.899999999994</v>
      </c>
      <c r="N68">
        <v>314.791</v>
      </c>
      <c r="O68">
        <v>160</v>
      </c>
      <c r="P68">
        <v>640</v>
      </c>
      <c r="Q68">
        <v>0</v>
      </c>
      <c r="R68">
        <v>800</v>
      </c>
    </row>
    <row r="69" spans="10:18" x14ac:dyDescent="0.2">
      <c r="J69">
        <v>44000</v>
      </c>
      <c r="K69">
        <v>1480.61</v>
      </c>
      <c r="L69">
        <v>-2607.37</v>
      </c>
      <c r="M69">
        <v>74202.5</v>
      </c>
      <c r="N69">
        <v>374.81799999999998</v>
      </c>
      <c r="O69">
        <v>160</v>
      </c>
      <c r="P69">
        <v>640</v>
      </c>
      <c r="Q69">
        <v>0</v>
      </c>
      <c r="R69">
        <v>800</v>
      </c>
    </row>
    <row r="70" spans="10:18" x14ac:dyDescent="0.2">
      <c r="J70">
        <v>45000</v>
      </c>
      <c r="K70">
        <v>1506.09</v>
      </c>
      <c r="L70">
        <v>-2609</v>
      </c>
      <c r="M70">
        <v>74580</v>
      </c>
      <c r="N70">
        <v>-304.90199999999999</v>
      </c>
      <c r="O70">
        <v>160</v>
      </c>
      <c r="P70">
        <v>640</v>
      </c>
      <c r="Q70">
        <v>0</v>
      </c>
      <c r="R70">
        <v>800</v>
      </c>
    </row>
    <row r="71" spans="10:18" x14ac:dyDescent="0.2">
      <c r="J71">
        <v>46000</v>
      </c>
      <c r="K71">
        <v>1517.59</v>
      </c>
      <c r="L71">
        <v>-2602.62</v>
      </c>
      <c r="M71">
        <v>75031.3</v>
      </c>
      <c r="N71">
        <v>-172.18799999999999</v>
      </c>
      <c r="O71">
        <v>160</v>
      </c>
      <c r="P71">
        <v>640</v>
      </c>
      <c r="Q71">
        <v>0</v>
      </c>
      <c r="R71">
        <v>800</v>
      </c>
    </row>
    <row r="72" spans="10:18" x14ac:dyDescent="0.2">
      <c r="J72">
        <v>47000</v>
      </c>
      <c r="K72">
        <v>1518.2</v>
      </c>
      <c r="L72">
        <v>-2609.2800000000002</v>
      </c>
      <c r="M72">
        <v>74328.399999999994</v>
      </c>
      <c r="N72">
        <v>-56.467300000000002</v>
      </c>
      <c r="O72">
        <v>160</v>
      </c>
      <c r="P72">
        <v>640</v>
      </c>
      <c r="Q72">
        <v>0</v>
      </c>
      <c r="R72">
        <v>800</v>
      </c>
    </row>
    <row r="73" spans="10:18" x14ac:dyDescent="0.2">
      <c r="J73">
        <v>48000</v>
      </c>
      <c r="K73">
        <v>1495.88</v>
      </c>
      <c r="L73">
        <v>-2604.9</v>
      </c>
      <c r="M73">
        <v>72939.100000000006</v>
      </c>
      <c r="N73">
        <v>183.22300000000001</v>
      </c>
      <c r="O73">
        <v>160</v>
      </c>
      <c r="P73">
        <v>640</v>
      </c>
      <c r="Q73">
        <v>0</v>
      </c>
      <c r="R73">
        <v>800</v>
      </c>
    </row>
    <row r="74" spans="10:18" x14ac:dyDescent="0.2">
      <c r="J74">
        <v>49000</v>
      </c>
      <c r="K74">
        <v>1539.96</v>
      </c>
      <c r="L74">
        <v>-2597.0100000000002</v>
      </c>
      <c r="M74">
        <v>74350.3</v>
      </c>
      <c r="N74">
        <v>-161.083</v>
      </c>
      <c r="O74">
        <v>160</v>
      </c>
      <c r="P74">
        <v>640</v>
      </c>
      <c r="Q74">
        <v>0</v>
      </c>
      <c r="R74">
        <v>800</v>
      </c>
    </row>
    <row r="75" spans="10:18" x14ac:dyDescent="0.2">
      <c r="J75">
        <v>50000</v>
      </c>
      <c r="K75">
        <v>1555.49</v>
      </c>
      <c r="L75">
        <v>-2608.87</v>
      </c>
      <c r="M75">
        <v>74402.8</v>
      </c>
      <c r="N75">
        <v>503.70600000000002</v>
      </c>
      <c r="O75">
        <v>160</v>
      </c>
      <c r="P75">
        <v>640</v>
      </c>
      <c r="Q75">
        <v>0</v>
      </c>
      <c r="R75">
        <v>800</v>
      </c>
    </row>
    <row r="76" spans="10:18" x14ac:dyDescent="0.2">
      <c r="J76">
        <v>51000</v>
      </c>
      <c r="K76">
        <v>1546.01</v>
      </c>
      <c r="L76">
        <v>-2599.65</v>
      </c>
      <c r="M76">
        <v>75890.7</v>
      </c>
      <c r="N76">
        <v>-172.30799999999999</v>
      </c>
      <c r="O76">
        <v>160</v>
      </c>
      <c r="P76">
        <v>640</v>
      </c>
      <c r="Q76">
        <v>0</v>
      </c>
      <c r="R76">
        <v>800</v>
      </c>
    </row>
    <row r="77" spans="10:18" x14ac:dyDescent="0.2">
      <c r="J77">
        <v>52000</v>
      </c>
      <c r="K77">
        <v>1517.6</v>
      </c>
      <c r="L77">
        <v>-2616.0300000000002</v>
      </c>
      <c r="M77">
        <v>74664.5</v>
      </c>
      <c r="N77">
        <v>-410.89699999999999</v>
      </c>
      <c r="O77">
        <v>160</v>
      </c>
      <c r="P77">
        <v>640</v>
      </c>
      <c r="Q77">
        <v>0</v>
      </c>
      <c r="R77">
        <v>800</v>
      </c>
    </row>
    <row r="78" spans="10:18" x14ac:dyDescent="0.2">
      <c r="J78">
        <v>53000</v>
      </c>
      <c r="K78">
        <v>1459.93</v>
      </c>
      <c r="L78">
        <v>-2604.5300000000002</v>
      </c>
      <c r="M78">
        <v>73425</v>
      </c>
      <c r="N78">
        <v>945.78599999999994</v>
      </c>
      <c r="O78">
        <v>160</v>
      </c>
      <c r="P78">
        <v>640</v>
      </c>
      <c r="Q78">
        <v>0</v>
      </c>
      <c r="R78">
        <v>800</v>
      </c>
    </row>
    <row r="79" spans="10:18" x14ac:dyDescent="0.2">
      <c r="J79">
        <v>54000</v>
      </c>
      <c r="K79">
        <v>1484.01</v>
      </c>
      <c r="L79">
        <v>-2609.5</v>
      </c>
      <c r="M79">
        <v>75122.100000000006</v>
      </c>
      <c r="N79">
        <v>-815.71500000000003</v>
      </c>
      <c r="O79">
        <v>160</v>
      </c>
      <c r="P79">
        <v>640</v>
      </c>
      <c r="Q79">
        <v>0</v>
      </c>
      <c r="R79">
        <v>800</v>
      </c>
    </row>
    <row r="80" spans="10:18" x14ac:dyDescent="0.2">
      <c r="J80">
        <v>55000</v>
      </c>
      <c r="K80">
        <v>1531.85</v>
      </c>
      <c r="L80">
        <v>-2611.8000000000002</v>
      </c>
      <c r="M80">
        <v>74001.2</v>
      </c>
      <c r="N80">
        <v>394.26600000000002</v>
      </c>
      <c r="O80">
        <v>160</v>
      </c>
      <c r="P80">
        <v>640</v>
      </c>
      <c r="Q80">
        <v>0</v>
      </c>
      <c r="R80">
        <v>800</v>
      </c>
    </row>
    <row r="81" spans="10:18" x14ac:dyDescent="0.2">
      <c r="J81">
        <v>56000</v>
      </c>
      <c r="K81">
        <v>1506.44</v>
      </c>
      <c r="L81">
        <v>-2614.7800000000002</v>
      </c>
      <c r="M81">
        <v>73089</v>
      </c>
      <c r="N81">
        <v>868.05100000000004</v>
      </c>
      <c r="O81">
        <v>160</v>
      </c>
      <c r="P81">
        <v>640</v>
      </c>
      <c r="Q81">
        <v>0</v>
      </c>
      <c r="R81">
        <v>800</v>
      </c>
    </row>
    <row r="82" spans="10:18" x14ac:dyDescent="0.2">
      <c r="J82">
        <v>57000</v>
      </c>
      <c r="K82">
        <v>1503.38</v>
      </c>
      <c r="L82">
        <v>-2604.3200000000002</v>
      </c>
      <c r="M82">
        <v>75187.100000000006</v>
      </c>
      <c r="N82">
        <v>-347.66399999999999</v>
      </c>
      <c r="O82">
        <v>160</v>
      </c>
      <c r="P82">
        <v>640</v>
      </c>
      <c r="Q82">
        <v>0</v>
      </c>
      <c r="R82">
        <v>800</v>
      </c>
    </row>
    <row r="83" spans="10:18" x14ac:dyDescent="0.2">
      <c r="J83">
        <v>58000</v>
      </c>
      <c r="K83">
        <v>1498.8</v>
      </c>
      <c r="L83">
        <v>-2599.27</v>
      </c>
      <c r="M83">
        <v>74658.3</v>
      </c>
      <c r="N83">
        <v>-238.916</v>
      </c>
      <c r="O83">
        <v>160</v>
      </c>
      <c r="P83">
        <v>640</v>
      </c>
      <c r="Q83">
        <v>0</v>
      </c>
      <c r="R83">
        <v>800</v>
      </c>
    </row>
    <row r="84" spans="10:18" x14ac:dyDescent="0.2">
      <c r="J84">
        <v>59000</v>
      </c>
      <c r="K84">
        <v>1492.74</v>
      </c>
      <c r="L84">
        <v>-2621.15</v>
      </c>
      <c r="M84">
        <v>72827.399999999994</v>
      </c>
      <c r="N84">
        <v>793.62900000000002</v>
      </c>
      <c r="O84">
        <v>160</v>
      </c>
      <c r="P84">
        <v>640</v>
      </c>
      <c r="Q84">
        <v>0</v>
      </c>
      <c r="R84">
        <v>800</v>
      </c>
    </row>
    <row r="85" spans="10:18" x14ac:dyDescent="0.2">
      <c r="J85">
        <v>60000</v>
      </c>
      <c r="K85">
        <v>1510.94</v>
      </c>
      <c r="L85">
        <v>-2601.56</v>
      </c>
      <c r="M85">
        <v>74630.3</v>
      </c>
      <c r="N85">
        <v>-728.36500000000001</v>
      </c>
      <c r="O85">
        <v>160</v>
      </c>
      <c r="P85">
        <v>640</v>
      </c>
      <c r="Q85">
        <v>0</v>
      </c>
      <c r="R85">
        <v>800</v>
      </c>
    </row>
    <row r="86" spans="10:18" x14ac:dyDescent="0.2">
      <c r="J86">
        <v>61000</v>
      </c>
      <c r="K86">
        <v>1497.59</v>
      </c>
      <c r="L86">
        <v>-2614.79</v>
      </c>
      <c r="M86">
        <v>74029.399999999994</v>
      </c>
      <c r="N86">
        <v>103.777</v>
      </c>
      <c r="O86">
        <v>160</v>
      </c>
      <c r="P86">
        <v>640</v>
      </c>
      <c r="Q86">
        <v>0</v>
      </c>
      <c r="R86">
        <v>800</v>
      </c>
    </row>
    <row r="87" spans="10:18" x14ac:dyDescent="0.2">
      <c r="J87">
        <v>62000</v>
      </c>
      <c r="K87">
        <v>1533.26</v>
      </c>
      <c r="L87">
        <v>-2604.77</v>
      </c>
      <c r="M87">
        <v>74760.899999999994</v>
      </c>
      <c r="N87">
        <v>1154.27</v>
      </c>
      <c r="O87">
        <v>160</v>
      </c>
      <c r="P87">
        <v>640</v>
      </c>
      <c r="Q87">
        <v>0</v>
      </c>
      <c r="R87">
        <v>800</v>
      </c>
    </row>
    <row r="88" spans="10:18" x14ac:dyDescent="0.2">
      <c r="J88">
        <v>63000</v>
      </c>
      <c r="K88">
        <v>1499.92</v>
      </c>
      <c r="L88">
        <v>-2598.9299999999998</v>
      </c>
      <c r="M88">
        <v>76626.2</v>
      </c>
      <c r="N88">
        <v>371.37400000000002</v>
      </c>
      <c r="O88">
        <v>160</v>
      </c>
      <c r="P88">
        <v>640</v>
      </c>
      <c r="Q88">
        <v>0</v>
      </c>
      <c r="R88">
        <v>800</v>
      </c>
    </row>
    <row r="89" spans="10:18" x14ac:dyDescent="0.2">
      <c r="J89">
        <v>64000</v>
      </c>
      <c r="K89">
        <v>1525.25</v>
      </c>
      <c r="L89">
        <v>-2604.0500000000002</v>
      </c>
      <c r="M89">
        <v>75775.100000000006</v>
      </c>
      <c r="N89">
        <v>480.983</v>
      </c>
      <c r="O89">
        <v>160</v>
      </c>
      <c r="P89">
        <v>640</v>
      </c>
      <c r="Q89">
        <v>0</v>
      </c>
      <c r="R89">
        <v>800</v>
      </c>
    </row>
    <row r="90" spans="10:18" x14ac:dyDescent="0.2">
      <c r="J90">
        <v>65000</v>
      </c>
      <c r="K90">
        <v>1504.61</v>
      </c>
      <c r="L90">
        <v>-2597.31</v>
      </c>
      <c r="M90">
        <v>75908</v>
      </c>
      <c r="N90">
        <v>449.536</v>
      </c>
      <c r="O90">
        <v>160</v>
      </c>
      <c r="P90">
        <v>640</v>
      </c>
      <c r="Q90">
        <v>0</v>
      </c>
      <c r="R90">
        <v>800</v>
      </c>
    </row>
    <row r="91" spans="10:18" x14ac:dyDescent="0.2">
      <c r="J91">
        <v>66000</v>
      </c>
      <c r="K91">
        <v>1484.95</v>
      </c>
      <c r="L91">
        <v>-2607.09</v>
      </c>
      <c r="M91">
        <v>74789</v>
      </c>
      <c r="N91">
        <v>248.57499999999999</v>
      </c>
      <c r="O91">
        <v>160</v>
      </c>
      <c r="P91">
        <v>640</v>
      </c>
      <c r="Q91">
        <v>0</v>
      </c>
      <c r="R91">
        <v>800</v>
      </c>
    </row>
    <row r="92" spans="10:18" x14ac:dyDescent="0.2">
      <c r="J92">
        <v>67000</v>
      </c>
      <c r="K92">
        <v>1484.86</v>
      </c>
      <c r="L92">
        <v>-2609.2199999999998</v>
      </c>
      <c r="M92">
        <v>74544.5</v>
      </c>
      <c r="N92">
        <v>-189.49</v>
      </c>
      <c r="O92">
        <v>160</v>
      </c>
      <c r="P92">
        <v>640</v>
      </c>
      <c r="Q92">
        <v>0</v>
      </c>
      <c r="R92">
        <v>800</v>
      </c>
    </row>
    <row r="93" spans="10:18" x14ac:dyDescent="0.2">
      <c r="J93">
        <v>68000</v>
      </c>
      <c r="K93">
        <v>1471.53</v>
      </c>
      <c r="L93">
        <v>-2598.39</v>
      </c>
      <c r="M93">
        <v>74447.3</v>
      </c>
      <c r="N93">
        <v>783.01900000000001</v>
      </c>
      <c r="O93">
        <v>160</v>
      </c>
      <c r="P93">
        <v>640</v>
      </c>
      <c r="Q93">
        <v>0</v>
      </c>
      <c r="R93">
        <v>800</v>
      </c>
    </row>
    <row r="94" spans="10:18" x14ac:dyDescent="0.2">
      <c r="J94">
        <v>69000</v>
      </c>
      <c r="K94">
        <v>1490.79</v>
      </c>
      <c r="L94">
        <v>-2599.42</v>
      </c>
      <c r="M94">
        <v>74427.5</v>
      </c>
      <c r="N94">
        <v>13.4092</v>
      </c>
      <c r="O94">
        <v>160</v>
      </c>
      <c r="P94">
        <v>640</v>
      </c>
      <c r="Q94">
        <v>0</v>
      </c>
      <c r="R94">
        <v>800</v>
      </c>
    </row>
    <row r="95" spans="10:18" x14ac:dyDescent="0.2">
      <c r="J95">
        <v>70000</v>
      </c>
      <c r="K95">
        <v>1533.17</v>
      </c>
      <c r="L95">
        <v>-2607</v>
      </c>
      <c r="M95">
        <v>74702.399999999994</v>
      </c>
      <c r="N95">
        <v>717.77300000000002</v>
      </c>
      <c r="O95">
        <v>160</v>
      </c>
      <c r="P95">
        <v>640</v>
      </c>
      <c r="Q95">
        <v>0</v>
      </c>
      <c r="R95">
        <v>800</v>
      </c>
    </row>
    <row r="96" spans="10:18" x14ac:dyDescent="0.2">
      <c r="J96">
        <v>71000</v>
      </c>
      <c r="K96">
        <v>1527.98</v>
      </c>
      <c r="L96">
        <v>-2606.65</v>
      </c>
      <c r="M96">
        <v>73853.2</v>
      </c>
      <c r="N96">
        <v>432.072</v>
      </c>
      <c r="O96">
        <v>160</v>
      </c>
      <c r="P96">
        <v>640</v>
      </c>
      <c r="Q96">
        <v>0</v>
      </c>
      <c r="R96">
        <v>800</v>
      </c>
    </row>
    <row r="97" spans="10:18" x14ac:dyDescent="0.2">
      <c r="J97">
        <v>72000</v>
      </c>
      <c r="K97">
        <v>1468.77</v>
      </c>
      <c r="L97">
        <v>-2611.04</v>
      </c>
      <c r="M97">
        <v>75086.2</v>
      </c>
      <c r="N97">
        <v>-534.47799999999995</v>
      </c>
      <c r="O97">
        <v>160</v>
      </c>
      <c r="P97">
        <v>640</v>
      </c>
      <c r="Q97">
        <v>0</v>
      </c>
      <c r="R97">
        <v>800</v>
      </c>
    </row>
    <row r="98" spans="10:18" x14ac:dyDescent="0.2">
      <c r="J98">
        <v>73000</v>
      </c>
      <c r="K98">
        <v>1446.33</v>
      </c>
      <c r="L98">
        <v>-2611.02</v>
      </c>
      <c r="M98">
        <v>75023.399999999994</v>
      </c>
      <c r="N98">
        <v>-150.93600000000001</v>
      </c>
      <c r="O98">
        <v>160</v>
      </c>
      <c r="P98">
        <v>640</v>
      </c>
      <c r="Q98">
        <v>0</v>
      </c>
      <c r="R98">
        <v>800</v>
      </c>
    </row>
    <row r="99" spans="10:18" x14ac:dyDescent="0.2">
      <c r="J99">
        <v>74000</v>
      </c>
      <c r="K99">
        <v>1473.28</v>
      </c>
      <c r="L99">
        <v>-2615.5100000000002</v>
      </c>
      <c r="M99">
        <v>74864.800000000003</v>
      </c>
      <c r="N99">
        <v>-204.523</v>
      </c>
      <c r="O99">
        <v>160</v>
      </c>
      <c r="P99">
        <v>640</v>
      </c>
      <c r="Q99">
        <v>0</v>
      </c>
      <c r="R99">
        <v>800</v>
      </c>
    </row>
    <row r="100" spans="10:18" x14ac:dyDescent="0.2">
      <c r="J100">
        <v>75000</v>
      </c>
      <c r="K100">
        <v>1492.39</v>
      </c>
      <c r="L100">
        <v>-2624.73</v>
      </c>
      <c r="M100">
        <v>72474.899999999994</v>
      </c>
      <c r="N100">
        <v>620.82000000000005</v>
      </c>
      <c r="O100">
        <v>160</v>
      </c>
      <c r="P100">
        <v>640</v>
      </c>
      <c r="Q100">
        <v>0</v>
      </c>
      <c r="R100">
        <v>800</v>
      </c>
    </row>
    <row r="101" spans="10:18" x14ac:dyDescent="0.2">
      <c r="J101">
        <v>76000</v>
      </c>
      <c r="K101">
        <v>1508.16</v>
      </c>
      <c r="L101">
        <v>-2602.19</v>
      </c>
      <c r="M101">
        <v>74205.100000000006</v>
      </c>
      <c r="N101">
        <v>-240.98599999999999</v>
      </c>
      <c r="O101">
        <v>160</v>
      </c>
      <c r="P101">
        <v>640</v>
      </c>
      <c r="Q101">
        <v>0</v>
      </c>
      <c r="R101">
        <v>800</v>
      </c>
    </row>
    <row r="102" spans="10:18" x14ac:dyDescent="0.2">
      <c r="J102">
        <v>77000</v>
      </c>
      <c r="K102">
        <v>1518.45</v>
      </c>
      <c r="L102">
        <v>-2608.0100000000002</v>
      </c>
      <c r="M102">
        <v>74981.899999999994</v>
      </c>
      <c r="N102">
        <v>-192.20599999999999</v>
      </c>
      <c r="O102">
        <v>160</v>
      </c>
      <c r="P102">
        <v>640</v>
      </c>
      <c r="Q102">
        <v>0</v>
      </c>
      <c r="R102">
        <v>800</v>
      </c>
    </row>
    <row r="103" spans="10:18" x14ac:dyDescent="0.2">
      <c r="J103">
        <v>78000</v>
      </c>
      <c r="K103">
        <v>1477.4</v>
      </c>
      <c r="L103">
        <v>-2603.44</v>
      </c>
      <c r="M103">
        <v>76311.600000000006</v>
      </c>
      <c r="N103">
        <v>-331.01600000000002</v>
      </c>
      <c r="O103">
        <v>160</v>
      </c>
      <c r="P103">
        <v>640</v>
      </c>
      <c r="Q103">
        <v>0</v>
      </c>
      <c r="R103">
        <v>800</v>
      </c>
    </row>
    <row r="104" spans="10:18" x14ac:dyDescent="0.2">
      <c r="J104">
        <v>79000</v>
      </c>
      <c r="K104">
        <v>1494.79</v>
      </c>
      <c r="L104">
        <v>-2604.39</v>
      </c>
      <c r="M104">
        <v>75433</v>
      </c>
      <c r="N104">
        <v>201.47300000000001</v>
      </c>
      <c r="O104">
        <v>160</v>
      </c>
      <c r="P104">
        <v>640</v>
      </c>
      <c r="Q104">
        <v>0</v>
      </c>
      <c r="R104">
        <v>800</v>
      </c>
    </row>
    <row r="105" spans="10:18" x14ac:dyDescent="0.2">
      <c r="J105">
        <v>80000</v>
      </c>
      <c r="K105">
        <v>1527.71</v>
      </c>
      <c r="L105">
        <v>-2600.0100000000002</v>
      </c>
      <c r="M105">
        <v>74768.2</v>
      </c>
      <c r="N105">
        <v>-480.70499999999998</v>
      </c>
      <c r="O105">
        <v>160</v>
      </c>
      <c r="P105">
        <v>640</v>
      </c>
      <c r="Q105">
        <v>0</v>
      </c>
      <c r="R105">
        <v>800</v>
      </c>
    </row>
    <row r="106" spans="10:18" x14ac:dyDescent="0.2">
      <c r="J106">
        <v>81000</v>
      </c>
      <c r="K106">
        <v>1485.33</v>
      </c>
      <c r="L106">
        <v>-2618.19</v>
      </c>
      <c r="M106">
        <v>74911.5</v>
      </c>
      <c r="N106">
        <v>-946.99099999999999</v>
      </c>
      <c r="O106">
        <v>160</v>
      </c>
      <c r="P106">
        <v>640</v>
      </c>
      <c r="Q106">
        <v>0</v>
      </c>
      <c r="R106">
        <v>800</v>
      </c>
    </row>
    <row r="107" spans="10:18" x14ac:dyDescent="0.2">
      <c r="J107">
        <v>82000</v>
      </c>
      <c r="K107">
        <v>1492.78</v>
      </c>
      <c r="L107">
        <v>-2617.25</v>
      </c>
      <c r="M107">
        <v>72063.399999999994</v>
      </c>
      <c r="N107">
        <v>474.03800000000001</v>
      </c>
      <c r="O107">
        <v>160</v>
      </c>
      <c r="P107">
        <v>640</v>
      </c>
      <c r="Q107">
        <v>0</v>
      </c>
      <c r="R107">
        <v>800</v>
      </c>
    </row>
    <row r="108" spans="10:18" x14ac:dyDescent="0.2">
      <c r="J108">
        <v>83000</v>
      </c>
      <c r="K108">
        <v>1498.4</v>
      </c>
      <c r="L108">
        <v>-2618.46</v>
      </c>
      <c r="M108">
        <v>73841.899999999994</v>
      </c>
      <c r="N108">
        <v>-262.92500000000001</v>
      </c>
      <c r="O108">
        <v>160</v>
      </c>
      <c r="P108">
        <v>640</v>
      </c>
      <c r="Q108">
        <v>0</v>
      </c>
      <c r="R108">
        <v>800</v>
      </c>
    </row>
    <row r="109" spans="10:18" x14ac:dyDescent="0.2">
      <c r="J109">
        <v>84000</v>
      </c>
      <c r="K109">
        <v>1528.72</v>
      </c>
      <c r="L109">
        <v>-2608.58</v>
      </c>
      <c r="M109">
        <v>73710.600000000006</v>
      </c>
      <c r="N109">
        <v>611.95699999999999</v>
      </c>
      <c r="O109">
        <v>160</v>
      </c>
      <c r="P109">
        <v>640</v>
      </c>
      <c r="Q109">
        <v>0</v>
      </c>
      <c r="R109">
        <v>800</v>
      </c>
    </row>
    <row r="110" spans="10:18" x14ac:dyDescent="0.2">
      <c r="J110">
        <v>85000</v>
      </c>
      <c r="K110">
        <v>1493.49</v>
      </c>
      <c r="L110">
        <v>-2607.87</v>
      </c>
      <c r="M110">
        <v>73586.899999999994</v>
      </c>
      <c r="N110">
        <v>297.57600000000002</v>
      </c>
      <c r="O110">
        <v>160</v>
      </c>
      <c r="P110">
        <v>640</v>
      </c>
      <c r="Q110">
        <v>0</v>
      </c>
      <c r="R110">
        <v>800</v>
      </c>
    </row>
    <row r="111" spans="10:18" x14ac:dyDescent="0.2">
      <c r="J111">
        <v>86000</v>
      </c>
      <c r="K111">
        <v>1479.23</v>
      </c>
      <c r="L111">
        <v>-2607.62</v>
      </c>
      <c r="M111">
        <v>75611.3</v>
      </c>
      <c r="N111">
        <v>-115.999</v>
      </c>
      <c r="O111">
        <v>160</v>
      </c>
      <c r="P111">
        <v>640</v>
      </c>
      <c r="Q111">
        <v>0</v>
      </c>
      <c r="R111">
        <v>800</v>
      </c>
    </row>
    <row r="112" spans="10:18" x14ac:dyDescent="0.2">
      <c r="J112">
        <v>87000</v>
      </c>
      <c r="K112">
        <v>1469.34</v>
      </c>
      <c r="L112">
        <v>-2597.9899999999998</v>
      </c>
      <c r="M112">
        <v>75513.600000000006</v>
      </c>
      <c r="N112">
        <v>454.17899999999997</v>
      </c>
      <c r="O112">
        <v>160</v>
      </c>
      <c r="P112">
        <v>640</v>
      </c>
      <c r="Q112">
        <v>0</v>
      </c>
      <c r="R112">
        <v>800</v>
      </c>
    </row>
    <row r="113" spans="10:18" x14ac:dyDescent="0.2">
      <c r="J113">
        <v>88000</v>
      </c>
      <c r="K113">
        <v>1483.83</v>
      </c>
      <c r="L113">
        <v>-2606.41</v>
      </c>
      <c r="M113">
        <v>74973.399999999994</v>
      </c>
      <c r="N113">
        <v>-337.56900000000002</v>
      </c>
      <c r="O113">
        <v>160</v>
      </c>
      <c r="P113">
        <v>640</v>
      </c>
      <c r="Q113">
        <v>0</v>
      </c>
      <c r="R113">
        <v>800</v>
      </c>
    </row>
    <row r="114" spans="10:18" x14ac:dyDescent="0.2">
      <c r="J114">
        <v>89000</v>
      </c>
      <c r="K114">
        <v>1449.96</v>
      </c>
      <c r="L114">
        <v>-2617.19</v>
      </c>
      <c r="M114">
        <v>73794.3</v>
      </c>
      <c r="N114">
        <v>-477.92</v>
      </c>
      <c r="O114">
        <v>160</v>
      </c>
      <c r="P114">
        <v>640</v>
      </c>
      <c r="Q114">
        <v>0</v>
      </c>
      <c r="R114">
        <v>800</v>
      </c>
    </row>
    <row r="115" spans="10:18" x14ac:dyDescent="0.2">
      <c r="J115">
        <v>90000</v>
      </c>
      <c r="K115">
        <v>1563.93</v>
      </c>
      <c r="L115">
        <v>-2616.8200000000002</v>
      </c>
      <c r="M115">
        <v>73010.600000000006</v>
      </c>
      <c r="N115">
        <v>431.55</v>
      </c>
      <c r="O115">
        <v>160</v>
      </c>
      <c r="P115">
        <v>640</v>
      </c>
      <c r="Q115">
        <v>0</v>
      </c>
      <c r="R115">
        <v>800</v>
      </c>
    </row>
    <row r="116" spans="10:18" x14ac:dyDescent="0.2">
      <c r="J116">
        <v>91000</v>
      </c>
      <c r="K116">
        <v>1537.41</v>
      </c>
      <c r="L116">
        <v>-2608.6999999999998</v>
      </c>
      <c r="M116">
        <v>72312.7</v>
      </c>
      <c r="N116">
        <v>520.28499999999997</v>
      </c>
      <c r="O116">
        <v>160</v>
      </c>
      <c r="P116">
        <v>640</v>
      </c>
      <c r="Q116">
        <v>0</v>
      </c>
      <c r="R116">
        <v>800</v>
      </c>
    </row>
    <row r="117" spans="10:18" x14ac:dyDescent="0.2">
      <c r="J117">
        <v>92000</v>
      </c>
      <c r="K117">
        <v>1538.89</v>
      </c>
      <c r="L117">
        <v>-2603.08</v>
      </c>
      <c r="M117">
        <v>74763.399999999994</v>
      </c>
      <c r="N117">
        <v>-263.012</v>
      </c>
      <c r="O117">
        <v>160</v>
      </c>
      <c r="P117">
        <v>640</v>
      </c>
      <c r="Q117">
        <v>0</v>
      </c>
      <c r="R117">
        <v>800</v>
      </c>
    </row>
    <row r="118" spans="10:18" x14ac:dyDescent="0.2">
      <c r="J118">
        <v>93000</v>
      </c>
      <c r="K118">
        <v>1497.33</v>
      </c>
      <c r="L118">
        <v>-2610.2199999999998</v>
      </c>
      <c r="M118">
        <v>73945.399999999994</v>
      </c>
      <c r="N118">
        <v>620.12199999999996</v>
      </c>
      <c r="O118">
        <v>160</v>
      </c>
      <c r="P118">
        <v>640</v>
      </c>
      <c r="Q118">
        <v>0</v>
      </c>
      <c r="R118">
        <v>800</v>
      </c>
    </row>
    <row r="119" spans="10:18" x14ac:dyDescent="0.2">
      <c r="J119">
        <v>94000</v>
      </c>
      <c r="K119">
        <v>1463.23</v>
      </c>
      <c r="L119">
        <v>-2608.7199999999998</v>
      </c>
      <c r="M119">
        <v>74383.899999999994</v>
      </c>
      <c r="N119">
        <v>-420.392</v>
      </c>
      <c r="O119">
        <v>160</v>
      </c>
      <c r="P119">
        <v>640</v>
      </c>
      <c r="Q119">
        <v>0</v>
      </c>
      <c r="R119">
        <v>800</v>
      </c>
    </row>
    <row r="120" spans="10:18" x14ac:dyDescent="0.2">
      <c r="J120">
        <v>95000</v>
      </c>
      <c r="K120">
        <v>1508.49</v>
      </c>
      <c r="L120">
        <v>-2583.5700000000002</v>
      </c>
      <c r="M120">
        <v>75600.2</v>
      </c>
      <c r="N120">
        <v>56.320599999999999</v>
      </c>
      <c r="O120">
        <v>160</v>
      </c>
      <c r="P120">
        <v>640</v>
      </c>
      <c r="Q120">
        <v>0</v>
      </c>
      <c r="R120">
        <v>800</v>
      </c>
    </row>
    <row r="121" spans="10:18" x14ac:dyDescent="0.2">
      <c r="J121">
        <v>96000</v>
      </c>
      <c r="K121">
        <v>1502.24</v>
      </c>
      <c r="L121">
        <v>-2598.2600000000002</v>
      </c>
      <c r="M121">
        <v>76962.399999999994</v>
      </c>
      <c r="N121">
        <v>-596.99300000000005</v>
      </c>
      <c r="O121">
        <v>160</v>
      </c>
      <c r="P121">
        <v>640</v>
      </c>
      <c r="Q121">
        <v>0</v>
      </c>
      <c r="R121">
        <v>800</v>
      </c>
    </row>
    <row r="122" spans="10:18" x14ac:dyDescent="0.2">
      <c r="J122">
        <v>97000</v>
      </c>
      <c r="K122" s="3">
        <v>1481.21</v>
      </c>
      <c r="L122">
        <v>-2603.12</v>
      </c>
      <c r="M122" s="3">
        <v>75430</v>
      </c>
      <c r="N122" s="3">
        <v>-73.2483</v>
      </c>
      <c r="O122">
        <v>160</v>
      </c>
      <c r="P122">
        <v>640</v>
      </c>
      <c r="Q122">
        <v>0</v>
      </c>
      <c r="R122">
        <v>800</v>
      </c>
    </row>
    <row r="123" spans="10:18" x14ac:dyDescent="0.2">
      <c r="J123">
        <v>98000</v>
      </c>
      <c r="K123" s="3">
        <v>1531.49</v>
      </c>
      <c r="L123">
        <v>-2613.77</v>
      </c>
      <c r="M123" s="3">
        <v>73980.899999999994</v>
      </c>
      <c r="N123" s="3">
        <v>242.215</v>
      </c>
      <c r="O123">
        <v>160</v>
      </c>
      <c r="P123">
        <v>640</v>
      </c>
      <c r="Q123">
        <v>0</v>
      </c>
      <c r="R123">
        <v>800</v>
      </c>
    </row>
    <row r="124" spans="10:18" x14ac:dyDescent="0.2">
      <c r="J124">
        <v>99000</v>
      </c>
      <c r="K124" s="3">
        <v>1545.04</v>
      </c>
      <c r="L124">
        <v>-2617.83</v>
      </c>
      <c r="M124" s="3">
        <v>72166.600000000006</v>
      </c>
      <c r="N124" s="3">
        <v>971.36</v>
      </c>
      <c r="O124">
        <v>160</v>
      </c>
      <c r="P124">
        <v>640</v>
      </c>
      <c r="Q124">
        <v>0</v>
      </c>
      <c r="R124">
        <v>800</v>
      </c>
    </row>
    <row r="125" spans="10:18" x14ac:dyDescent="0.2">
      <c r="J125">
        <v>100000</v>
      </c>
      <c r="K125" s="3">
        <v>1454.31</v>
      </c>
      <c r="L125">
        <v>-2608.0500000000002</v>
      </c>
      <c r="M125" s="3">
        <v>73322.8</v>
      </c>
      <c r="N125" s="3">
        <v>681.66600000000005</v>
      </c>
      <c r="O125">
        <v>160</v>
      </c>
      <c r="P125">
        <v>640</v>
      </c>
      <c r="Q125">
        <v>0</v>
      </c>
      <c r="R125">
        <v>800</v>
      </c>
    </row>
    <row r="126" spans="10:18" x14ac:dyDescent="0.2">
      <c r="K126" s="3"/>
      <c r="M126" s="3"/>
      <c r="N126" s="3"/>
    </row>
    <row r="127" spans="10:18" x14ac:dyDescent="0.2">
      <c r="K127" s="3"/>
      <c r="M127" s="3"/>
      <c r="N127" s="3"/>
    </row>
    <row r="128" spans="10:18" x14ac:dyDescent="0.2">
      <c r="K128" s="3"/>
      <c r="M128" s="3"/>
      <c r="N128" s="3"/>
    </row>
    <row r="129" spans="11:14" x14ac:dyDescent="0.2">
      <c r="K129" s="3"/>
      <c r="M129" s="3"/>
      <c r="N129" s="3"/>
    </row>
    <row r="130" spans="11:14" x14ac:dyDescent="0.2">
      <c r="K130" s="3"/>
      <c r="M130" s="3"/>
      <c r="N130" s="3"/>
    </row>
    <row r="131" spans="11:14" x14ac:dyDescent="0.2">
      <c r="K131" s="3"/>
      <c r="M131" s="3"/>
      <c r="N131" s="3"/>
    </row>
    <row r="132" spans="11:14" x14ac:dyDescent="0.2">
      <c r="K132" s="3"/>
      <c r="M132" s="3"/>
      <c r="N132" s="3"/>
    </row>
    <row r="133" spans="11:14" x14ac:dyDescent="0.2">
      <c r="K133" s="3"/>
      <c r="M133" s="3"/>
      <c r="N133" s="3"/>
    </row>
    <row r="134" spans="11:14" x14ac:dyDescent="0.2">
      <c r="K134" s="3"/>
      <c r="M134" s="3"/>
      <c r="N134" s="3"/>
    </row>
    <row r="135" spans="11:14" x14ac:dyDescent="0.2">
      <c r="K135" s="3"/>
      <c r="M135" s="3"/>
      <c r="N135" s="3"/>
    </row>
    <row r="136" spans="11:14" x14ac:dyDescent="0.2">
      <c r="K136" s="3"/>
      <c r="M136" s="3"/>
      <c r="N136" s="3"/>
    </row>
    <row r="137" spans="11:14" x14ac:dyDescent="0.2">
      <c r="K137" s="3"/>
      <c r="M137" s="3"/>
      <c r="N137" s="3"/>
    </row>
    <row r="138" spans="11:14" x14ac:dyDescent="0.2">
      <c r="K138" s="3"/>
      <c r="M138" s="3"/>
      <c r="N138" s="3"/>
    </row>
    <row r="139" spans="11:14" x14ac:dyDescent="0.2">
      <c r="K139" s="3"/>
      <c r="M139" s="3"/>
      <c r="N139" s="3"/>
    </row>
    <row r="140" spans="11:14" x14ac:dyDescent="0.2">
      <c r="K140" s="3"/>
      <c r="M140" s="3"/>
      <c r="N140" s="3"/>
    </row>
    <row r="141" spans="11:14" x14ac:dyDescent="0.2">
      <c r="K141" s="3"/>
      <c r="M141" s="3"/>
      <c r="N141" s="3"/>
    </row>
    <row r="142" spans="11:14" x14ac:dyDescent="0.2">
      <c r="K142" s="3"/>
      <c r="M142" s="3"/>
      <c r="N142" s="3"/>
    </row>
    <row r="143" spans="11:14" x14ac:dyDescent="0.2">
      <c r="K143" s="3"/>
      <c r="M143" s="3"/>
      <c r="N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B2:T228"/>
  <sheetViews>
    <sheetView workbookViewId="0">
      <selection activeCell="J20" sqref="J20"/>
    </sheetView>
  </sheetViews>
  <sheetFormatPr baseColWidth="10" defaultRowHeight="16" x14ac:dyDescent="0.2"/>
  <sheetData>
    <row r="2" spans="2:14" x14ac:dyDescent="0.2">
      <c r="G2" t="s">
        <v>14</v>
      </c>
      <c r="H2">
        <v>6.94</v>
      </c>
      <c r="I2">
        <v>39.097999999999999</v>
      </c>
      <c r="J2">
        <v>22.99</v>
      </c>
      <c r="K2">
        <v>35.450000000000003</v>
      </c>
    </row>
    <row r="3" spans="2:14" x14ac:dyDescent="0.2">
      <c r="C3" t="s">
        <v>40</v>
      </c>
      <c r="H3" t="s">
        <v>10</v>
      </c>
      <c r="I3" t="s">
        <v>11</v>
      </c>
      <c r="J3" t="s">
        <v>12</v>
      </c>
      <c r="K3" t="s">
        <v>13</v>
      </c>
    </row>
    <row r="5" spans="2:14" x14ac:dyDescent="0.2">
      <c r="B5" t="s">
        <v>41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15</v>
      </c>
      <c r="M5" t="s">
        <v>16</v>
      </c>
      <c r="N5" t="s">
        <v>21</v>
      </c>
    </row>
    <row r="8" spans="2:14" x14ac:dyDescent="0.2">
      <c r="B8">
        <f>J8/SUM(H8:J8)</f>
        <v>0</v>
      </c>
      <c r="C8">
        <v>200000</v>
      </c>
      <c r="D8">
        <v>1500.79</v>
      </c>
      <c r="E8">
        <v>-4070.43</v>
      </c>
      <c r="F8">
        <v>40463.5</v>
      </c>
      <c r="G8">
        <v>-3.7364700000000002</v>
      </c>
      <c r="H8">
        <v>800</v>
      </c>
      <c r="I8">
        <v>0</v>
      </c>
      <c r="J8">
        <v>0</v>
      </c>
      <c r="K8">
        <v>800</v>
      </c>
      <c r="L8">
        <f t="shared" ref="L8" si="0">H8*H$2+I8*I$2+J8*J$2+K8*K$2</f>
        <v>33912</v>
      </c>
      <c r="M8">
        <f t="shared" ref="M8" si="1">L8*(1.66054E-24)/(F8)/(1E-24)</f>
        <v>1.391679723207335</v>
      </c>
      <c r="N8">
        <f t="shared" ref="N8" si="2">E8+SUM(H8:K8)*1.5*(0.000086173)*D8</f>
        <v>-3760.043815992</v>
      </c>
    </row>
    <row r="9" spans="2:14" x14ac:dyDescent="0.2">
      <c r="B9">
        <f t="shared" ref="B9:B18" si="3">J9/SUM(H9:J9)</f>
        <v>0.1</v>
      </c>
      <c r="C9">
        <v>200000</v>
      </c>
      <c r="D9" s="4">
        <v>1494.58</v>
      </c>
      <c r="E9">
        <v>-3882.36</v>
      </c>
      <c r="F9">
        <v>41796.699999999997</v>
      </c>
      <c r="G9">
        <v>-65.598500000000001</v>
      </c>
      <c r="H9">
        <v>720</v>
      </c>
      <c r="I9">
        <v>0</v>
      </c>
      <c r="J9">
        <v>80</v>
      </c>
      <c r="K9">
        <v>800</v>
      </c>
      <c r="L9">
        <f>H9*H$2+I9*I$2+J9*J$2+K9*K$2</f>
        <v>35196</v>
      </c>
      <c r="M9">
        <f>L9*(1.66054E-24)/(F9)/(1E-24)</f>
        <v>1.3983009625161797</v>
      </c>
      <c r="N9">
        <f t="shared" ref="N9:N17" si="4">E9+SUM(H9:K9)*1.5*(0.000086173)*D9</f>
        <v>-3573.2581383840002</v>
      </c>
    </row>
    <row r="10" spans="2:14" x14ac:dyDescent="0.2">
      <c r="B10">
        <f t="shared" si="3"/>
        <v>0.2</v>
      </c>
      <c r="C10">
        <v>200000</v>
      </c>
      <c r="D10">
        <v>1495.35</v>
      </c>
      <c r="E10">
        <v>-3693.31</v>
      </c>
      <c r="F10">
        <v>43035</v>
      </c>
      <c r="G10">
        <v>-48.842199999999998</v>
      </c>
      <c r="H10">
        <v>640</v>
      </c>
      <c r="I10">
        <v>0</v>
      </c>
      <c r="J10">
        <v>160</v>
      </c>
      <c r="K10">
        <v>800</v>
      </c>
      <c r="L10">
        <f t="shared" ref="L10:L17" si="5">H10*H$2+I10*I$2+J10*J$2+K10*K$2</f>
        <v>36480</v>
      </c>
      <c r="M10">
        <f t="shared" ref="M10:M17" si="6">L10*(1.66054E-24)/(F10)/(1E-24)</f>
        <v>1.4076100662251656</v>
      </c>
      <c r="N10">
        <f t="shared" si="4"/>
        <v>-3384.0488906800001</v>
      </c>
    </row>
    <row r="11" spans="2:14" x14ac:dyDescent="0.2">
      <c r="B11">
        <f t="shared" si="3"/>
        <v>0.3</v>
      </c>
      <c r="C11">
        <v>200000</v>
      </c>
      <c r="D11">
        <v>1505.19</v>
      </c>
      <c r="E11">
        <v>-3504.33</v>
      </c>
      <c r="F11">
        <v>44138.1</v>
      </c>
      <c r="G11">
        <v>-7.6338800000000004</v>
      </c>
      <c r="H11">
        <v>560</v>
      </c>
      <c r="I11">
        <v>0</v>
      </c>
      <c r="J11">
        <v>240</v>
      </c>
      <c r="K11">
        <v>800</v>
      </c>
      <c r="L11">
        <f t="shared" si="5"/>
        <v>37764</v>
      </c>
      <c r="M11">
        <f t="shared" si="6"/>
        <v>1.4207370176786045</v>
      </c>
      <c r="N11">
        <f t="shared" si="4"/>
        <v>-3193.0338291119997</v>
      </c>
    </row>
    <row r="12" spans="2:14" x14ac:dyDescent="0.2">
      <c r="B12">
        <f t="shared" si="3"/>
        <v>0.4</v>
      </c>
      <c r="C12">
        <v>200000</v>
      </c>
      <c r="D12">
        <v>1503.3</v>
      </c>
      <c r="E12">
        <v>-3314.5</v>
      </c>
      <c r="F12">
        <v>45454.7</v>
      </c>
      <c r="G12">
        <v>-9.2778299999999998</v>
      </c>
      <c r="H12">
        <v>480</v>
      </c>
      <c r="I12">
        <v>0</v>
      </c>
      <c r="J12">
        <v>320</v>
      </c>
      <c r="K12">
        <v>800</v>
      </c>
      <c r="L12">
        <f t="shared" si="5"/>
        <v>39048</v>
      </c>
      <c r="M12">
        <f t="shared" si="6"/>
        <v>1.4264920001671997</v>
      </c>
      <c r="N12">
        <f t="shared" si="4"/>
        <v>-3003.5947098400002</v>
      </c>
    </row>
    <row r="13" spans="2:14" x14ac:dyDescent="0.2">
      <c r="B13">
        <f t="shared" si="3"/>
        <v>0.5</v>
      </c>
      <c r="C13">
        <v>200000</v>
      </c>
      <c r="D13" s="3">
        <v>1494.2</v>
      </c>
      <c r="E13">
        <v>-3126.3</v>
      </c>
      <c r="F13" s="3">
        <v>46686.3</v>
      </c>
      <c r="G13" s="3">
        <v>8.2030899999999995</v>
      </c>
      <c r="H13">
        <v>400</v>
      </c>
      <c r="I13">
        <v>0</v>
      </c>
      <c r="J13">
        <v>400</v>
      </c>
      <c r="K13">
        <v>800</v>
      </c>
      <c r="L13">
        <f t="shared" si="5"/>
        <v>40332</v>
      </c>
      <c r="M13">
        <f t="shared" si="6"/>
        <v>1.4345300287236296</v>
      </c>
      <c r="N13">
        <f t="shared" si="4"/>
        <v>-2817.2767281599999</v>
      </c>
    </row>
    <row r="14" spans="2:14" x14ac:dyDescent="0.2">
      <c r="B14">
        <f t="shared" si="3"/>
        <v>0.6</v>
      </c>
      <c r="C14">
        <v>200000</v>
      </c>
      <c r="D14">
        <v>1503.98</v>
      </c>
      <c r="E14">
        <v>-2931.47</v>
      </c>
      <c r="F14">
        <v>48239.5</v>
      </c>
      <c r="G14">
        <v>-74.988399999999999</v>
      </c>
      <c r="H14">
        <v>320</v>
      </c>
      <c r="I14">
        <v>0</v>
      </c>
      <c r="J14">
        <v>480</v>
      </c>
      <c r="K14">
        <v>800</v>
      </c>
      <c r="L14">
        <f t="shared" si="5"/>
        <v>41616</v>
      </c>
      <c r="M14">
        <f t="shared" si="6"/>
        <v>1.4325404002943647</v>
      </c>
      <c r="N14">
        <f t="shared" si="4"/>
        <v>-2620.424075504</v>
      </c>
    </row>
    <row r="15" spans="2:14" x14ac:dyDescent="0.2">
      <c r="B15">
        <f t="shared" si="3"/>
        <v>0.7</v>
      </c>
      <c r="C15">
        <v>200000</v>
      </c>
      <c r="D15">
        <v>1496.27</v>
      </c>
      <c r="E15">
        <v>-2741.42</v>
      </c>
      <c r="F15">
        <v>49387</v>
      </c>
      <c r="G15">
        <v>2.6764800000000002</v>
      </c>
      <c r="H15">
        <v>240</v>
      </c>
      <c r="I15">
        <v>0</v>
      </c>
      <c r="J15">
        <v>560</v>
      </c>
      <c r="K15">
        <v>800</v>
      </c>
      <c r="L15">
        <f t="shared" si="5"/>
        <v>42900</v>
      </c>
      <c r="M15">
        <f t="shared" si="6"/>
        <v>1.4424274809160305</v>
      </c>
      <c r="N15">
        <f t="shared" si="4"/>
        <v>-2431.968620696</v>
      </c>
    </row>
    <row r="16" spans="2:14" x14ac:dyDescent="0.2">
      <c r="B16">
        <f t="shared" si="3"/>
        <v>0.8</v>
      </c>
      <c r="C16">
        <v>200000</v>
      </c>
      <c r="D16">
        <v>1498.29</v>
      </c>
      <c r="E16">
        <v>-2548.9499999999998</v>
      </c>
      <c r="F16">
        <v>50887</v>
      </c>
      <c r="G16">
        <v>-14.430400000000001</v>
      </c>
      <c r="H16">
        <v>160</v>
      </c>
      <c r="I16">
        <v>0</v>
      </c>
      <c r="J16">
        <v>640</v>
      </c>
      <c r="K16">
        <v>800</v>
      </c>
      <c r="L16">
        <f t="shared" si="5"/>
        <v>44184</v>
      </c>
      <c r="M16">
        <f t="shared" si="6"/>
        <v>1.4418083078192858</v>
      </c>
      <c r="N16">
        <f t="shared" si="4"/>
        <v>-2239.0808539919999</v>
      </c>
    </row>
    <row r="17" spans="2:20" x14ac:dyDescent="0.2">
      <c r="B17">
        <f t="shared" si="3"/>
        <v>0.9</v>
      </c>
      <c r="C17">
        <v>200000</v>
      </c>
      <c r="D17">
        <v>1497.41</v>
      </c>
      <c r="E17">
        <v>-2355.75</v>
      </c>
      <c r="F17">
        <v>52203.7</v>
      </c>
      <c r="G17">
        <v>4.74146</v>
      </c>
      <c r="H17">
        <v>80</v>
      </c>
      <c r="I17">
        <v>0</v>
      </c>
      <c r="J17">
        <v>720</v>
      </c>
      <c r="K17">
        <v>800</v>
      </c>
      <c r="L17">
        <f t="shared" si="5"/>
        <v>45468</v>
      </c>
      <c r="M17">
        <f t="shared" si="6"/>
        <v>1.4462850855399139</v>
      </c>
      <c r="N17">
        <f t="shared" si="4"/>
        <v>-2046.0628513679999</v>
      </c>
    </row>
    <row r="18" spans="2:20" x14ac:dyDescent="0.2">
      <c r="B18">
        <f t="shared" si="3"/>
        <v>1</v>
      </c>
      <c r="C18">
        <v>200000</v>
      </c>
      <c r="D18">
        <v>1503.94</v>
      </c>
      <c r="E18">
        <v>-2165.48</v>
      </c>
      <c r="F18">
        <v>53305</v>
      </c>
      <c r="G18">
        <v>-6.72037</v>
      </c>
      <c r="H18">
        <v>0</v>
      </c>
      <c r="I18">
        <v>0</v>
      </c>
      <c r="J18">
        <v>800</v>
      </c>
      <c r="K18">
        <v>800</v>
      </c>
      <c r="L18">
        <f>H18*H$2+I18*I$2+J18*J$2+K18*K$2</f>
        <v>46752</v>
      </c>
      <c r="M18">
        <f>L18*(1.66054E-24)/(F18)/(1E-24)</f>
        <v>1.4564030781352593</v>
      </c>
      <c r="N18">
        <f>E18+SUM(H18:K18)*1.5*(0.000086173)*D18</f>
        <v>-1854.442348112</v>
      </c>
    </row>
    <row r="27" spans="2:20" x14ac:dyDescent="0.2">
      <c r="K27" t="s">
        <v>24</v>
      </c>
      <c r="L27" t="s">
        <v>25</v>
      </c>
      <c r="M27" t="s">
        <v>26</v>
      </c>
      <c r="N27" t="s">
        <v>27</v>
      </c>
      <c r="O27" t="s">
        <v>28</v>
      </c>
      <c r="P27">
        <v>3</v>
      </c>
    </row>
    <row r="28" spans="2:20" x14ac:dyDescent="0.2">
      <c r="K28" t="s">
        <v>24</v>
      </c>
      <c r="L28" t="s">
        <v>1</v>
      </c>
      <c r="M28" t="s">
        <v>2</v>
      </c>
      <c r="N28" t="s">
        <v>3</v>
      </c>
      <c r="O28" t="s">
        <v>4</v>
      </c>
      <c r="P28" t="s">
        <v>5</v>
      </c>
      <c r="Q28" t="s">
        <v>6</v>
      </c>
      <c r="R28" t="s">
        <v>7</v>
      </c>
      <c r="S28" t="s">
        <v>8</v>
      </c>
      <c r="T28" t="s">
        <v>9</v>
      </c>
    </row>
    <row r="29" spans="2:20" x14ac:dyDescent="0.2">
      <c r="K29">
        <v>1000</v>
      </c>
      <c r="L29">
        <v>700.97799999999995</v>
      </c>
      <c r="M29">
        <v>-3310.73</v>
      </c>
      <c r="N29">
        <v>40682.199999999997</v>
      </c>
      <c r="O29">
        <v>5541.2</v>
      </c>
      <c r="P29">
        <v>400</v>
      </c>
      <c r="Q29">
        <v>0</v>
      </c>
      <c r="R29">
        <v>400</v>
      </c>
      <c r="S29">
        <v>800</v>
      </c>
    </row>
    <row r="30" spans="2:20" x14ac:dyDescent="0.2">
      <c r="K30">
        <v>2000</v>
      </c>
      <c r="L30">
        <v>869.61599999999999</v>
      </c>
      <c r="M30">
        <v>-3303.59</v>
      </c>
      <c r="N30">
        <v>42014.7</v>
      </c>
      <c r="O30">
        <v>-1964.75</v>
      </c>
      <c r="P30">
        <v>400</v>
      </c>
      <c r="Q30">
        <v>0</v>
      </c>
      <c r="R30">
        <v>400</v>
      </c>
      <c r="S30">
        <v>800</v>
      </c>
    </row>
    <row r="31" spans="2:20" x14ac:dyDescent="0.2">
      <c r="K31">
        <v>3000</v>
      </c>
      <c r="L31">
        <v>994.95500000000004</v>
      </c>
      <c r="M31">
        <v>-3276.97</v>
      </c>
      <c r="N31">
        <v>42473.9</v>
      </c>
      <c r="O31">
        <v>-3135.87</v>
      </c>
      <c r="P31">
        <v>400</v>
      </c>
      <c r="Q31">
        <v>0</v>
      </c>
      <c r="R31">
        <v>400</v>
      </c>
      <c r="S31">
        <v>800</v>
      </c>
    </row>
    <row r="32" spans="2:20" x14ac:dyDescent="0.2">
      <c r="K32">
        <v>4000</v>
      </c>
      <c r="L32">
        <v>1141.8599999999999</v>
      </c>
      <c r="M32">
        <v>-3248.4</v>
      </c>
      <c r="N32">
        <v>42505.9</v>
      </c>
      <c r="O32">
        <v>1246.07</v>
      </c>
      <c r="P32">
        <v>400</v>
      </c>
      <c r="Q32">
        <v>0</v>
      </c>
      <c r="R32">
        <v>400</v>
      </c>
      <c r="S32">
        <v>800</v>
      </c>
    </row>
    <row r="33" spans="11:19" x14ac:dyDescent="0.2">
      <c r="K33">
        <v>5000</v>
      </c>
      <c r="L33">
        <v>1273.92</v>
      </c>
      <c r="M33">
        <v>-3215.44</v>
      </c>
      <c r="N33">
        <v>42775</v>
      </c>
      <c r="O33">
        <v>5783.58</v>
      </c>
      <c r="P33">
        <v>400</v>
      </c>
      <c r="Q33">
        <v>0</v>
      </c>
      <c r="R33">
        <v>400</v>
      </c>
      <c r="S33">
        <v>800</v>
      </c>
    </row>
    <row r="34" spans="11:19" x14ac:dyDescent="0.2">
      <c r="K34">
        <v>6000</v>
      </c>
      <c r="L34">
        <v>1406.64</v>
      </c>
      <c r="M34">
        <v>-3189.05</v>
      </c>
      <c r="N34">
        <v>43704.800000000003</v>
      </c>
      <c r="O34">
        <v>2887.79</v>
      </c>
      <c r="P34">
        <v>400</v>
      </c>
      <c r="Q34">
        <v>0</v>
      </c>
      <c r="R34">
        <v>400</v>
      </c>
      <c r="S34">
        <v>800</v>
      </c>
    </row>
    <row r="35" spans="11:19" x14ac:dyDescent="0.2">
      <c r="K35">
        <v>7000</v>
      </c>
      <c r="L35">
        <v>1458.53</v>
      </c>
      <c r="M35">
        <v>-3153.68</v>
      </c>
      <c r="N35">
        <v>44898.1</v>
      </c>
      <c r="O35">
        <v>3480.74</v>
      </c>
      <c r="P35">
        <v>400</v>
      </c>
      <c r="Q35">
        <v>0</v>
      </c>
      <c r="R35">
        <v>400</v>
      </c>
      <c r="S35">
        <v>800</v>
      </c>
    </row>
    <row r="36" spans="11:19" x14ac:dyDescent="0.2">
      <c r="K36">
        <v>8000</v>
      </c>
      <c r="L36">
        <v>1491.68</v>
      </c>
      <c r="M36">
        <v>-3123.53</v>
      </c>
      <c r="N36">
        <v>45901.7</v>
      </c>
      <c r="O36">
        <v>1255.1500000000001</v>
      </c>
      <c r="P36">
        <v>400</v>
      </c>
      <c r="Q36">
        <v>0</v>
      </c>
      <c r="R36">
        <v>400</v>
      </c>
      <c r="S36">
        <v>800</v>
      </c>
    </row>
    <row r="37" spans="11:19" x14ac:dyDescent="0.2">
      <c r="K37">
        <v>9000</v>
      </c>
      <c r="L37">
        <v>1603.26</v>
      </c>
      <c r="M37">
        <v>-3124.7</v>
      </c>
      <c r="N37">
        <v>46472.3</v>
      </c>
      <c r="O37">
        <v>-2191.94</v>
      </c>
      <c r="P37">
        <v>400</v>
      </c>
      <c r="Q37">
        <v>0</v>
      </c>
      <c r="R37">
        <v>400</v>
      </c>
      <c r="S37">
        <v>800</v>
      </c>
    </row>
    <row r="38" spans="11:19" x14ac:dyDescent="0.2">
      <c r="K38">
        <v>10000</v>
      </c>
      <c r="L38">
        <v>1503.92</v>
      </c>
      <c r="M38">
        <v>-3113.07</v>
      </c>
      <c r="N38">
        <v>46694.400000000001</v>
      </c>
      <c r="O38">
        <v>1481.27</v>
      </c>
      <c r="P38">
        <v>400</v>
      </c>
      <c r="Q38">
        <v>0</v>
      </c>
      <c r="R38">
        <v>400</v>
      </c>
      <c r="S38">
        <v>800</v>
      </c>
    </row>
    <row r="39" spans="11:19" x14ac:dyDescent="0.2">
      <c r="K39">
        <v>11000</v>
      </c>
      <c r="L39">
        <v>1480.36</v>
      </c>
      <c r="M39">
        <v>-3126.77</v>
      </c>
      <c r="N39">
        <v>46936.4</v>
      </c>
      <c r="O39">
        <v>-2820.01</v>
      </c>
      <c r="P39">
        <v>400</v>
      </c>
      <c r="Q39">
        <v>0</v>
      </c>
      <c r="R39">
        <v>400</v>
      </c>
      <c r="S39">
        <v>800</v>
      </c>
    </row>
    <row r="40" spans="11:19" x14ac:dyDescent="0.2">
      <c r="K40">
        <v>12000</v>
      </c>
      <c r="L40">
        <v>1475.94</v>
      </c>
      <c r="M40">
        <v>-3134.81</v>
      </c>
      <c r="N40">
        <v>46898.400000000001</v>
      </c>
      <c r="O40">
        <v>-862.25800000000004</v>
      </c>
      <c r="P40">
        <v>400</v>
      </c>
      <c r="Q40">
        <v>0</v>
      </c>
      <c r="R40">
        <v>400</v>
      </c>
      <c r="S40">
        <v>800</v>
      </c>
    </row>
    <row r="41" spans="11:19" x14ac:dyDescent="0.2">
      <c r="K41">
        <v>13000</v>
      </c>
      <c r="L41">
        <v>1518.71</v>
      </c>
      <c r="M41">
        <v>-3141.19</v>
      </c>
      <c r="N41">
        <v>46742.7</v>
      </c>
      <c r="O41">
        <v>-234.804</v>
      </c>
      <c r="P41">
        <v>400</v>
      </c>
      <c r="Q41">
        <v>0</v>
      </c>
      <c r="R41">
        <v>400</v>
      </c>
      <c r="S41">
        <v>800</v>
      </c>
    </row>
    <row r="42" spans="11:19" x14ac:dyDescent="0.2">
      <c r="K42">
        <v>14000</v>
      </c>
      <c r="L42">
        <v>1465.61</v>
      </c>
      <c r="M42">
        <v>-3127.17</v>
      </c>
      <c r="N42">
        <v>46663</v>
      </c>
      <c r="O42">
        <v>-274.33800000000002</v>
      </c>
      <c r="P42">
        <v>400</v>
      </c>
      <c r="Q42">
        <v>0</v>
      </c>
      <c r="R42">
        <v>400</v>
      </c>
      <c r="S42">
        <v>800</v>
      </c>
    </row>
    <row r="43" spans="11:19" x14ac:dyDescent="0.2">
      <c r="K43">
        <v>15000</v>
      </c>
      <c r="L43">
        <v>1517.26</v>
      </c>
      <c r="M43">
        <v>-3125.34</v>
      </c>
      <c r="N43">
        <v>46700.5</v>
      </c>
      <c r="O43">
        <v>-596.70600000000002</v>
      </c>
      <c r="P43">
        <v>400</v>
      </c>
      <c r="Q43">
        <v>0</v>
      </c>
      <c r="R43">
        <v>400</v>
      </c>
      <c r="S43">
        <v>800</v>
      </c>
    </row>
    <row r="44" spans="11:19" x14ac:dyDescent="0.2">
      <c r="K44">
        <v>16000</v>
      </c>
      <c r="L44">
        <v>1585.93</v>
      </c>
      <c r="M44">
        <v>-3129.03</v>
      </c>
      <c r="N44">
        <v>46832.4</v>
      </c>
      <c r="O44">
        <v>-1422.46</v>
      </c>
      <c r="P44">
        <v>400</v>
      </c>
      <c r="Q44">
        <v>0</v>
      </c>
      <c r="R44">
        <v>400</v>
      </c>
      <c r="S44">
        <v>800</v>
      </c>
    </row>
    <row r="45" spans="11:19" x14ac:dyDescent="0.2">
      <c r="K45">
        <v>17000</v>
      </c>
      <c r="L45">
        <v>1511.87</v>
      </c>
      <c r="M45">
        <v>-3118.76</v>
      </c>
      <c r="N45">
        <v>46829.5</v>
      </c>
      <c r="O45">
        <v>1734.63</v>
      </c>
      <c r="P45">
        <v>400</v>
      </c>
      <c r="Q45">
        <v>0</v>
      </c>
      <c r="R45">
        <v>400</v>
      </c>
      <c r="S45">
        <v>800</v>
      </c>
    </row>
    <row r="46" spans="11:19" x14ac:dyDescent="0.2">
      <c r="K46">
        <v>18000</v>
      </c>
      <c r="L46">
        <v>1486.57</v>
      </c>
      <c r="M46">
        <v>-3128.45</v>
      </c>
      <c r="N46">
        <v>46999.5</v>
      </c>
      <c r="O46">
        <v>1196.92</v>
      </c>
      <c r="P46">
        <v>400</v>
      </c>
      <c r="Q46">
        <v>0</v>
      </c>
      <c r="R46">
        <v>400</v>
      </c>
      <c r="S46">
        <v>800</v>
      </c>
    </row>
    <row r="47" spans="11:19" x14ac:dyDescent="0.2">
      <c r="K47">
        <v>19000</v>
      </c>
      <c r="L47">
        <v>1449.36</v>
      </c>
      <c r="M47">
        <v>-3126.7</v>
      </c>
      <c r="N47">
        <v>47338.1</v>
      </c>
      <c r="O47">
        <v>-827.87199999999996</v>
      </c>
      <c r="P47">
        <v>400</v>
      </c>
      <c r="Q47">
        <v>0</v>
      </c>
      <c r="R47">
        <v>400</v>
      </c>
      <c r="S47">
        <v>800</v>
      </c>
    </row>
    <row r="48" spans="11:19" x14ac:dyDescent="0.2">
      <c r="K48">
        <v>20000</v>
      </c>
      <c r="L48">
        <v>1501.74</v>
      </c>
      <c r="M48">
        <v>-3126.27</v>
      </c>
      <c r="N48">
        <v>47490.9</v>
      </c>
      <c r="O48">
        <v>-1095.01</v>
      </c>
      <c r="P48">
        <v>400</v>
      </c>
      <c r="Q48">
        <v>0</v>
      </c>
      <c r="R48">
        <v>400</v>
      </c>
      <c r="S48">
        <v>800</v>
      </c>
    </row>
    <row r="49" spans="11:19" x14ac:dyDescent="0.2">
      <c r="K49">
        <v>21000</v>
      </c>
      <c r="L49">
        <v>1544.49</v>
      </c>
      <c r="M49">
        <v>-3123.49</v>
      </c>
      <c r="N49">
        <v>47458.9</v>
      </c>
      <c r="O49">
        <v>-2057.77</v>
      </c>
      <c r="P49">
        <v>400</v>
      </c>
      <c r="Q49">
        <v>0</v>
      </c>
      <c r="R49">
        <v>400</v>
      </c>
      <c r="S49">
        <v>800</v>
      </c>
    </row>
    <row r="50" spans="11:19" x14ac:dyDescent="0.2">
      <c r="K50">
        <v>22000</v>
      </c>
      <c r="L50">
        <v>1510.93</v>
      </c>
      <c r="M50">
        <v>-3113.89</v>
      </c>
      <c r="N50">
        <v>47236.9</v>
      </c>
      <c r="O50">
        <v>-8.9232499999999995</v>
      </c>
      <c r="P50">
        <v>400</v>
      </c>
      <c r="Q50">
        <v>0</v>
      </c>
      <c r="R50">
        <v>400</v>
      </c>
      <c r="S50">
        <v>800</v>
      </c>
    </row>
    <row r="51" spans="11:19" x14ac:dyDescent="0.2">
      <c r="K51">
        <v>23000</v>
      </c>
      <c r="L51">
        <v>1496.78</v>
      </c>
      <c r="M51">
        <v>-3116.53</v>
      </c>
      <c r="N51">
        <v>47160.800000000003</v>
      </c>
      <c r="O51">
        <v>-1014.43</v>
      </c>
      <c r="P51">
        <v>400</v>
      </c>
      <c r="Q51">
        <v>0</v>
      </c>
      <c r="R51">
        <v>400</v>
      </c>
      <c r="S51">
        <v>800</v>
      </c>
    </row>
    <row r="52" spans="11:19" x14ac:dyDescent="0.2">
      <c r="K52">
        <v>24000</v>
      </c>
      <c r="L52">
        <v>1483.93</v>
      </c>
      <c r="M52">
        <v>-3121.45</v>
      </c>
      <c r="N52">
        <v>47106.3</v>
      </c>
      <c r="O52">
        <v>-1693.16</v>
      </c>
      <c r="P52">
        <v>400</v>
      </c>
      <c r="Q52">
        <v>0</v>
      </c>
      <c r="R52">
        <v>400</v>
      </c>
      <c r="S52">
        <v>800</v>
      </c>
    </row>
    <row r="53" spans="11:19" x14ac:dyDescent="0.2">
      <c r="K53">
        <v>25000</v>
      </c>
      <c r="L53">
        <v>1469.27</v>
      </c>
      <c r="M53">
        <v>-3122.17</v>
      </c>
      <c r="N53">
        <v>46803.6</v>
      </c>
      <c r="O53">
        <v>-769.40599999999995</v>
      </c>
      <c r="P53">
        <v>400</v>
      </c>
      <c r="Q53">
        <v>0</v>
      </c>
      <c r="R53">
        <v>400</v>
      </c>
      <c r="S53">
        <v>800</v>
      </c>
    </row>
    <row r="54" spans="11:19" x14ac:dyDescent="0.2">
      <c r="K54">
        <v>26000</v>
      </c>
      <c r="L54">
        <v>1495.71</v>
      </c>
      <c r="M54">
        <v>-3125.89</v>
      </c>
      <c r="N54">
        <v>46387</v>
      </c>
      <c r="O54">
        <v>1015.54</v>
      </c>
      <c r="P54">
        <v>400</v>
      </c>
      <c r="Q54">
        <v>0</v>
      </c>
      <c r="R54">
        <v>400</v>
      </c>
      <c r="S54">
        <v>800</v>
      </c>
    </row>
    <row r="55" spans="11:19" x14ac:dyDescent="0.2">
      <c r="K55">
        <v>27000</v>
      </c>
      <c r="L55">
        <v>1513.12</v>
      </c>
      <c r="M55">
        <v>-3127.79</v>
      </c>
      <c r="N55">
        <v>46313.5</v>
      </c>
      <c r="O55">
        <v>-154.452</v>
      </c>
      <c r="P55">
        <v>400</v>
      </c>
      <c r="Q55">
        <v>0</v>
      </c>
      <c r="R55">
        <v>400</v>
      </c>
      <c r="S55">
        <v>800</v>
      </c>
    </row>
    <row r="56" spans="11:19" x14ac:dyDescent="0.2">
      <c r="K56">
        <v>28000</v>
      </c>
      <c r="L56">
        <v>1494.94</v>
      </c>
      <c r="M56">
        <v>-3125.11</v>
      </c>
      <c r="N56">
        <v>46417.599999999999</v>
      </c>
      <c r="O56">
        <v>1119.75</v>
      </c>
      <c r="P56">
        <v>400</v>
      </c>
      <c r="Q56">
        <v>0</v>
      </c>
      <c r="R56">
        <v>400</v>
      </c>
      <c r="S56">
        <v>800</v>
      </c>
    </row>
    <row r="57" spans="11:19" x14ac:dyDescent="0.2">
      <c r="K57">
        <v>29000</v>
      </c>
      <c r="L57">
        <v>1542.27</v>
      </c>
      <c r="M57">
        <v>-3139.05</v>
      </c>
      <c r="N57">
        <v>46571.5</v>
      </c>
      <c r="O57">
        <v>362.59699999999998</v>
      </c>
      <c r="P57">
        <v>400</v>
      </c>
      <c r="Q57">
        <v>0</v>
      </c>
      <c r="R57">
        <v>400</v>
      </c>
      <c r="S57">
        <v>800</v>
      </c>
    </row>
    <row r="58" spans="11:19" x14ac:dyDescent="0.2">
      <c r="K58">
        <v>30000</v>
      </c>
      <c r="L58">
        <v>1479.12</v>
      </c>
      <c r="M58">
        <v>-3133.81</v>
      </c>
      <c r="N58">
        <v>46923</v>
      </c>
      <c r="O58">
        <v>1580.55</v>
      </c>
      <c r="P58">
        <v>400</v>
      </c>
      <c r="Q58">
        <v>0</v>
      </c>
      <c r="R58">
        <v>400</v>
      </c>
      <c r="S58">
        <v>800</v>
      </c>
    </row>
    <row r="59" spans="11:19" x14ac:dyDescent="0.2">
      <c r="K59">
        <v>31000</v>
      </c>
      <c r="L59">
        <v>1493.48</v>
      </c>
      <c r="M59">
        <v>-3136.65</v>
      </c>
      <c r="N59">
        <v>47370.2</v>
      </c>
      <c r="O59">
        <v>-3602.42</v>
      </c>
      <c r="P59">
        <v>400</v>
      </c>
      <c r="Q59">
        <v>0</v>
      </c>
      <c r="R59">
        <v>400</v>
      </c>
      <c r="S59">
        <v>800</v>
      </c>
    </row>
    <row r="60" spans="11:19" x14ac:dyDescent="0.2">
      <c r="K60">
        <v>32000</v>
      </c>
      <c r="L60">
        <v>1514.06</v>
      </c>
      <c r="M60">
        <v>-3130.62</v>
      </c>
      <c r="N60">
        <v>47198.6</v>
      </c>
      <c r="O60">
        <v>-1813.06</v>
      </c>
      <c r="P60">
        <v>400</v>
      </c>
      <c r="Q60">
        <v>0</v>
      </c>
      <c r="R60">
        <v>400</v>
      </c>
      <c r="S60">
        <v>800</v>
      </c>
    </row>
    <row r="61" spans="11:19" x14ac:dyDescent="0.2">
      <c r="K61">
        <v>33000</v>
      </c>
      <c r="L61">
        <v>1505.77</v>
      </c>
      <c r="M61">
        <v>-3119.91</v>
      </c>
      <c r="N61">
        <v>46873.1</v>
      </c>
      <c r="O61">
        <v>701.92</v>
      </c>
      <c r="P61">
        <v>400</v>
      </c>
      <c r="Q61">
        <v>0</v>
      </c>
      <c r="R61">
        <v>400</v>
      </c>
      <c r="S61">
        <v>800</v>
      </c>
    </row>
    <row r="62" spans="11:19" x14ac:dyDescent="0.2">
      <c r="K62">
        <v>34000</v>
      </c>
      <c r="L62">
        <v>1521.72</v>
      </c>
      <c r="M62">
        <v>-3119.02</v>
      </c>
      <c r="N62">
        <v>46895.7</v>
      </c>
      <c r="O62">
        <v>1019.72</v>
      </c>
      <c r="P62">
        <v>400</v>
      </c>
      <c r="Q62">
        <v>0</v>
      </c>
      <c r="R62">
        <v>400</v>
      </c>
      <c r="S62">
        <v>800</v>
      </c>
    </row>
    <row r="63" spans="11:19" x14ac:dyDescent="0.2">
      <c r="K63">
        <v>35000</v>
      </c>
      <c r="L63">
        <v>1516.78</v>
      </c>
      <c r="M63">
        <v>-3120.8</v>
      </c>
      <c r="N63">
        <v>47091.5</v>
      </c>
      <c r="O63">
        <v>-1442.89</v>
      </c>
      <c r="P63">
        <v>400</v>
      </c>
      <c r="Q63">
        <v>0</v>
      </c>
      <c r="R63">
        <v>400</v>
      </c>
      <c r="S63">
        <v>800</v>
      </c>
    </row>
    <row r="64" spans="11:19" x14ac:dyDescent="0.2">
      <c r="K64">
        <v>36000</v>
      </c>
      <c r="L64">
        <v>1475.14</v>
      </c>
      <c r="M64">
        <v>-3120.16</v>
      </c>
      <c r="N64">
        <v>47136.800000000003</v>
      </c>
      <c r="O64">
        <v>-179.90899999999999</v>
      </c>
      <c r="P64">
        <v>400</v>
      </c>
      <c r="Q64">
        <v>0</v>
      </c>
      <c r="R64">
        <v>400</v>
      </c>
      <c r="S64">
        <v>800</v>
      </c>
    </row>
    <row r="65" spans="11:19" x14ac:dyDescent="0.2">
      <c r="K65">
        <v>37000</v>
      </c>
      <c r="L65">
        <v>1515.02</v>
      </c>
      <c r="M65">
        <v>-3133.29</v>
      </c>
      <c r="N65">
        <v>47086.7</v>
      </c>
      <c r="O65">
        <v>-2073.09</v>
      </c>
      <c r="P65">
        <v>400</v>
      </c>
      <c r="Q65">
        <v>0</v>
      </c>
      <c r="R65">
        <v>400</v>
      </c>
      <c r="S65">
        <v>800</v>
      </c>
    </row>
    <row r="66" spans="11:19" x14ac:dyDescent="0.2">
      <c r="K66">
        <v>38000</v>
      </c>
      <c r="L66">
        <v>1520.66</v>
      </c>
      <c r="M66">
        <v>-3135.98</v>
      </c>
      <c r="N66">
        <v>46922.400000000001</v>
      </c>
      <c r="O66">
        <v>1502.25</v>
      </c>
      <c r="P66">
        <v>400</v>
      </c>
      <c r="Q66">
        <v>0</v>
      </c>
      <c r="R66">
        <v>400</v>
      </c>
      <c r="S66">
        <v>800</v>
      </c>
    </row>
    <row r="67" spans="11:19" x14ac:dyDescent="0.2">
      <c r="K67">
        <v>39000</v>
      </c>
      <c r="L67">
        <v>1502.79</v>
      </c>
      <c r="M67">
        <v>-3138.72</v>
      </c>
      <c r="N67">
        <v>46882.7</v>
      </c>
      <c r="O67">
        <v>-269.98899999999998</v>
      </c>
      <c r="P67">
        <v>400</v>
      </c>
      <c r="Q67">
        <v>0</v>
      </c>
      <c r="R67">
        <v>400</v>
      </c>
      <c r="S67">
        <v>800</v>
      </c>
    </row>
    <row r="68" spans="11:19" x14ac:dyDescent="0.2">
      <c r="K68">
        <v>40000</v>
      </c>
      <c r="L68">
        <v>1475.65</v>
      </c>
      <c r="M68">
        <v>-3127.73</v>
      </c>
      <c r="N68">
        <v>46764.800000000003</v>
      </c>
      <c r="O68">
        <v>-152.501</v>
      </c>
      <c r="P68">
        <v>400</v>
      </c>
      <c r="Q68">
        <v>0</v>
      </c>
      <c r="R68">
        <v>400</v>
      </c>
      <c r="S68">
        <v>800</v>
      </c>
    </row>
    <row r="69" spans="11:19" x14ac:dyDescent="0.2">
      <c r="K69">
        <v>41000</v>
      </c>
      <c r="L69">
        <v>1517.61</v>
      </c>
      <c r="M69">
        <v>-3123.4</v>
      </c>
      <c r="N69">
        <v>46567.3</v>
      </c>
      <c r="O69">
        <v>1300.31</v>
      </c>
      <c r="P69">
        <v>400</v>
      </c>
      <c r="Q69">
        <v>0</v>
      </c>
      <c r="R69">
        <v>400</v>
      </c>
      <c r="S69">
        <v>800</v>
      </c>
    </row>
    <row r="70" spans="11:19" x14ac:dyDescent="0.2">
      <c r="K70">
        <v>42000</v>
      </c>
      <c r="L70">
        <v>1533.11</v>
      </c>
      <c r="M70">
        <v>-3121.37</v>
      </c>
      <c r="N70">
        <v>46571.7</v>
      </c>
      <c r="O70">
        <v>-57.890999999999998</v>
      </c>
      <c r="P70">
        <v>400</v>
      </c>
      <c r="Q70">
        <v>0</v>
      </c>
      <c r="R70">
        <v>400</v>
      </c>
      <c r="S70">
        <v>800</v>
      </c>
    </row>
    <row r="71" spans="11:19" x14ac:dyDescent="0.2">
      <c r="K71">
        <v>43000</v>
      </c>
      <c r="L71">
        <v>1509.64</v>
      </c>
      <c r="M71">
        <v>-3119.27</v>
      </c>
      <c r="N71">
        <v>46728.9</v>
      </c>
      <c r="O71">
        <v>1816.33</v>
      </c>
      <c r="P71">
        <v>400</v>
      </c>
      <c r="Q71">
        <v>0</v>
      </c>
      <c r="R71">
        <v>400</v>
      </c>
      <c r="S71">
        <v>800</v>
      </c>
    </row>
    <row r="72" spans="11:19" x14ac:dyDescent="0.2">
      <c r="K72">
        <v>44000</v>
      </c>
      <c r="L72">
        <v>1564.92</v>
      </c>
      <c r="M72">
        <v>-3139.38</v>
      </c>
      <c r="N72">
        <v>47105.4</v>
      </c>
      <c r="O72">
        <v>-186.61199999999999</v>
      </c>
      <c r="P72">
        <v>400</v>
      </c>
      <c r="Q72">
        <v>0</v>
      </c>
      <c r="R72">
        <v>400</v>
      </c>
      <c r="S72">
        <v>800</v>
      </c>
    </row>
    <row r="73" spans="11:19" x14ac:dyDescent="0.2">
      <c r="K73">
        <v>45000</v>
      </c>
      <c r="L73">
        <v>1407.46</v>
      </c>
      <c r="M73">
        <v>-3117.5</v>
      </c>
      <c r="N73">
        <v>47597.4</v>
      </c>
      <c r="O73">
        <v>-2322.66</v>
      </c>
      <c r="P73">
        <v>400</v>
      </c>
      <c r="Q73">
        <v>0</v>
      </c>
      <c r="R73">
        <v>400</v>
      </c>
      <c r="S73">
        <v>800</v>
      </c>
    </row>
    <row r="74" spans="11:19" x14ac:dyDescent="0.2">
      <c r="K74">
        <v>46000</v>
      </c>
      <c r="L74">
        <v>1490.34</v>
      </c>
      <c r="M74">
        <v>-3123.02</v>
      </c>
      <c r="N74">
        <v>47699</v>
      </c>
      <c r="O74">
        <v>-1504.17</v>
      </c>
      <c r="P74">
        <v>400</v>
      </c>
      <c r="Q74">
        <v>0</v>
      </c>
      <c r="R74">
        <v>400</v>
      </c>
      <c r="S74">
        <v>800</v>
      </c>
    </row>
    <row r="75" spans="11:19" x14ac:dyDescent="0.2">
      <c r="K75">
        <v>47000</v>
      </c>
      <c r="L75">
        <v>1510.39</v>
      </c>
      <c r="M75">
        <v>-3116.84</v>
      </c>
      <c r="N75">
        <v>47648.3</v>
      </c>
      <c r="O75">
        <v>-764.48900000000003</v>
      </c>
      <c r="P75">
        <v>400</v>
      </c>
      <c r="Q75">
        <v>0</v>
      </c>
      <c r="R75">
        <v>400</v>
      </c>
      <c r="S75">
        <v>800</v>
      </c>
    </row>
    <row r="76" spans="11:19" x14ac:dyDescent="0.2">
      <c r="K76">
        <v>48000</v>
      </c>
      <c r="L76">
        <v>1537.67</v>
      </c>
      <c r="M76">
        <v>-3120.51</v>
      </c>
      <c r="N76">
        <v>47436.1</v>
      </c>
      <c r="O76">
        <v>63.985700000000001</v>
      </c>
      <c r="P76">
        <v>400</v>
      </c>
      <c r="Q76">
        <v>0</v>
      </c>
      <c r="R76">
        <v>400</v>
      </c>
      <c r="S76">
        <v>800</v>
      </c>
    </row>
    <row r="77" spans="11:19" x14ac:dyDescent="0.2">
      <c r="K77">
        <v>49000</v>
      </c>
      <c r="L77">
        <v>1484.53</v>
      </c>
      <c r="M77">
        <v>-3117.27</v>
      </c>
      <c r="N77">
        <v>47142</v>
      </c>
      <c r="O77">
        <v>102.456</v>
      </c>
      <c r="P77">
        <v>400</v>
      </c>
      <c r="Q77">
        <v>0</v>
      </c>
      <c r="R77">
        <v>400</v>
      </c>
      <c r="S77">
        <v>800</v>
      </c>
    </row>
    <row r="78" spans="11:19" x14ac:dyDescent="0.2">
      <c r="K78">
        <v>50000</v>
      </c>
      <c r="L78">
        <v>1474.59</v>
      </c>
      <c r="M78">
        <v>-3126.4</v>
      </c>
      <c r="N78">
        <v>46917.8</v>
      </c>
      <c r="O78">
        <v>3895.58</v>
      </c>
      <c r="P78">
        <v>400</v>
      </c>
      <c r="Q78">
        <v>0</v>
      </c>
      <c r="R78">
        <v>400</v>
      </c>
      <c r="S78">
        <v>800</v>
      </c>
    </row>
    <row r="79" spans="11:19" x14ac:dyDescent="0.2">
      <c r="K79">
        <v>51000</v>
      </c>
      <c r="L79">
        <v>1475.59</v>
      </c>
      <c r="M79">
        <v>-3131.28</v>
      </c>
      <c r="N79">
        <v>46970.7</v>
      </c>
      <c r="O79">
        <v>733.01499999999999</v>
      </c>
      <c r="P79">
        <v>400</v>
      </c>
      <c r="Q79">
        <v>0</v>
      </c>
      <c r="R79">
        <v>400</v>
      </c>
      <c r="S79">
        <v>800</v>
      </c>
    </row>
    <row r="80" spans="11:19" x14ac:dyDescent="0.2">
      <c r="K80">
        <v>52000</v>
      </c>
      <c r="L80">
        <v>1482.71</v>
      </c>
      <c r="M80">
        <v>-3122.26</v>
      </c>
      <c r="N80">
        <v>47048.2</v>
      </c>
      <c r="O80">
        <v>-1887.34</v>
      </c>
      <c r="P80">
        <v>400</v>
      </c>
      <c r="Q80">
        <v>0</v>
      </c>
      <c r="R80">
        <v>400</v>
      </c>
      <c r="S80">
        <v>800</v>
      </c>
    </row>
    <row r="81" spans="11:19" x14ac:dyDescent="0.2">
      <c r="K81">
        <v>53000</v>
      </c>
      <c r="L81">
        <v>1506.12</v>
      </c>
      <c r="M81">
        <v>-3116.66</v>
      </c>
      <c r="N81">
        <v>47104.9</v>
      </c>
      <c r="O81">
        <v>1256.82</v>
      </c>
      <c r="P81">
        <v>400</v>
      </c>
      <c r="Q81">
        <v>0</v>
      </c>
      <c r="R81">
        <v>400</v>
      </c>
      <c r="S81">
        <v>800</v>
      </c>
    </row>
    <row r="82" spans="11:19" x14ac:dyDescent="0.2">
      <c r="K82">
        <v>54000</v>
      </c>
      <c r="L82">
        <v>1502.5</v>
      </c>
      <c r="M82">
        <v>-3112.2</v>
      </c>
      <c r="N82">
        <v>47366.2</v>
      </c>
      <c r="O82">
        <v>2196.86</v>
      </c>
      <c r="P82">
        <v>400</v>
      </c>
      <c r="Q82">
        <v>0</v>
      </c>
      <c r="R82">
        <v>400</v>
      </c>
      <c r="S82">
        <v>800</v>
      </c>
    </row>
    <row r="83" spans="11:19" x14ac:dyDescent="0.2">
      <c r="K83">
        <v>55000</v>
      </c>
      <c r="L83">
        <v>1492.12</v>
      </c>
      <c r="M83">
        <v>-3106.47</v>
      </c>
      <c r="N83">
        <v>47745.5</v>
      </c>
      <c r="O83">
        <v>-343.65899999999999</v>
      </c>
      <c r="P83">
        <v>400</v>
      </c>
      <c r="Q83">
        <v>0</v>
      </c>
      <c r="R83">
        <v>400</v>
      </c>
      <c r="S83">
        <v>800</v>
      </c>
    </row>
    <row r="84" spans="11:19" x14ac:dyDescent="0.2">
      <c r="K84">
        <v>56000</v>
      </c>
      <c r="L84">
        <v>1537.26</v>
      </c>
      <c r="M84">
        <v>-3113.86</v>
      </c>
      <c r="N84">
        <v>47874</v>
      </c>
      <c r="O84">
        <v>-2015.34</v>
      </c>
      <c r="P84">
        <v>400</v>
      </c>
      <c r="Q84">
        <v>0</v>
      </c>
      <c r="R84">
        <v>400</v>
      </c>
      <c r="S84">
        <v>800</v>
      </c>
    </row>
    <row r="85" spans="11:19" x14ac:dyDescent="0.2">
      <c r="K85">
        <v>57000</v>
      </c>
      <c r="L85">
        <v>1464.02</v>
      </c>
      <c r="M85">
        <v>-3111.05</v>
      </c>
      <c r="N85">
        <v>47583.6</v>
      </c>
      <c r="O85">
        <v>-1854.53</v>
      </c>
      <c r="P85">
        <v>400</v>
      </c>
      <c r="Q85">
        <v>0</v>
      </c>
      <c r="R85">
        <v>400</v>
      </c>
      <c r="S85">
        <v>800</v>
      </c>
    </row>
    <row r="86" spans="11:19" x14ac:dyDescent="0.2">
      <c r="K86">
        <v>58000</v>
      </c>
      <c r="L86">
        <v>1486.75</v>
      </c>
      <c r="M86">
        <v>-3124.78</v>
      </c>
      <c r="N86">
        <v>46962.8</v>
      </c>
      <c r="O86">
        <v>-596.904</v>
      </c>
      <c r="P86">
        <v>400</v>
      </c>
      <c r="Q86">
        <v>0</v>
      </c>
      <c r="R86">
        <v>400</v>
      </c>
      <c r="S86">
        <v>800</v>
      </c>
    </row>
    <row r="87" spans="11:19" x14ac:dyDescent="0.2">
      <c r="K87">
        <v>59000</v>
      </c>
      <c r="L87">
        <v>1510.47</v>
      </c>
      <c r="M87">
        <v>-3132.54</v>
      </c>
      <c r="N87">
        <v>46331</v>
      </c>
      <c r="O87">
        <v>2355.92</v>
      </c>
      <c r="P87">
        <v>400</v>
      </c>
      <c r="Q87">
        <v>0</v>
      </c>
      <c r="R87">
        <v>400</v>
      </c>
      <c r="S87">
        <v>800</v>
      </c>
    </row>
    <row r="88" spans="11:19" x14ac:dyDescent="0.2">
      <c r="K88">
        <v>60000</v>
      </c>
      <c r="L88">
        <v>1480.67</v>
      </c>
      <c r="M88">
        <v>-3128.9</v>
      </c>
      <c r="N88">
        <v>46185.7</v>
      </c>
      <c r="O88">
        <v>1637.27</v>
      </c>
      <c r="P88">
        <v>400</v>
      </c>
      <c r="Q88">
        <v>0</v>
      </c>
      <c r="R88">
        <v>400</v>
      </c>
      <c r="S88">
        <v>800</v>
      </c>
    </row>
    <row r="89" spans="11:19" x14ac:dyDescent="0.2">
      <c r="K89">
        <v>61000</v>
      </c>
      <c r="L89">
        <v>1493.81</v>
      </c>
      <c r="M89">
        <v>-3125.79</v>
      </c>
      <c r="N89">
        <v>46427.3</v>
      </c>
      <c r="O89">
        <v>387.11099999999999</v>
      </c>
      <c r="P89">
        <v>400</v>
      </c>
      <c r="Q89">
        <v>0</v>
      </c>
      <c r="R89">
        <v>400</v>
      </c>
      <c r="S89">
        <v>800</v>
      </c>
    </row>
    <row r="90" spans="11:19" x14ac:dyDescent="0.2">
      <c r="K90">
        <v>62000</v>
      </c>
      <c r="L90">
        <v>1558.79</v>
      </c>
      <c r="M90">
        <v>-3124.97</v>
      </c>
      <c r="N90">
        <v>46691</v>
      </c>
      <c r="O90">
        <v>1107.76</v>
      </c>
      <c r="P90">
        <v>400</v>
      </c>
      <c r="Q90">
        <v>0</v>
      </c>
      <c r="R90">
        <v>400</v>
      </c>
      <c r="S90">
        <v>800</v>
      </c>
    </row>
    <row r="91" spans="11:19" x14ac:dyDescent="0.2">
      <c r="K91">
        <v>63000</v>
      </c>
      <c r="L91">
        <v>1493.09</v>
      </c>
      <c r="M91">
        <v>-3113.94</v>
      </c>
      <c r="N91">
        <v>46869.2</v>
      </c>
      <c r="O91">
        <v>1796.76</v>
      </c>
      <c r="P91">
        <v>400</v>
      </c>
      <c r="Q91">
        <v>0</v>
      </c>
      <c r="R91">
        <v>400</v>
      </c>
      <c r="S91">
        <v>800</v>
      </c>
    </row>
    <row r="92" spans="11:19" x14ac:dyDescent="0.2">
      <c r="K92">
        <v>64000</v>
      </c>
      <c r="L92">
        <v>1494.81</v>
      </c>
      <c r="M92">
        <v>-3124.52</v>
      </c>
      <c r="N92">
        <v>47033.599999999999</v>
      </c>
      <c r="O92">
        <v>583.32399999999996</v>
      </c>
      <c r="P92">
        <v>400</v>
      </c>
      <c r="Q92">
        <v>0</v>
      </c>
      <c r="R92">
        <v>400</v>
      </c>
      <c r="S92">
        <v>800</v>
      </c>
    </row>
    <row r="93" spans="11:19" x14ac:dyDescent="0.2">
      <c r="K93">
        <v>65000</v>
      </c>
      <c r="L93">
        <v>1507.05</v>
      </c>
      <c r="M93">
        <v>-3134.65</v>
      </c>
      <c r="N93">
        <v>47104.6</v>
      </c>
      <c r="O93">
        <v>-3150.45</v>
      </c>
      <c r="P93">
        <v>400</v>
      </c>
      <c r="Q93">
        <v>0</v>
      </c>
      <c r="R93">
        <v>400</v>
      </c>
      <c r="S93">
        <v>800</v>
      </c>
    </row>
    <row r="94" spans="11:19" x14ac:dyDescent="0.2">
      <c r="K94">
        <v>66000</v>
      </c>
      <c r="L94">
        <v>1468.35</v>
      </c>
      <c r="M94">
        <v>-3127.27</v>
      </c>
      <c r="N94">
        <v>46888.2</v>
      </c>
      <c r="O94">
        <v>2373.0700000000002</v>
      </c>
      <c r="P94">
        <v>400</v>
      </c>
      <c r="Q94">
        <v>0</v>
      </c>
      <c r="R94">
        <v>400</v>
      </c>
      <c r="S94">
        <v>800</v>
      </c>
    </row>
    <row r="95" spans="11:19" x14ac:dyDescent="0.2">
      <c r="K95">
        <v>67000</v>
      </c>
      <c r="L95">
        <v>1508.09</v>
      </c>
      <c r="M95">
        <v>-3131.95</v>
      </c>
      <c r="N95">
        <v>46956.9</v>
      </c>
      <c r="O95">
        <v>-2919.89</v>
      </c>
      <c r="P95">
        <v>400</v>
      </c>
      <c r="Q95">
        <v>0</v>
      </c>
      <c r="R95">
        <v>400</v>
      </c>
      <c r="S95">
        <v>800</v>
      </c>
    </row>
    <row r="96" spans="11:19" x14ac:dyDescent="0.2">
      <c r="K96">
        <v>68000</v>
      </c>
      <c r="L96">
        <v>1504.9</v>
      </c>
      <c r="M96">
        <v>-3127.07</v>
      </c>
      <c r="N96">
        <v>46866.400000000001</v>
      </c>
      <c r="O96">
        <v>2163.02</v>
      </c>
      <c r="P96">
        <v>400</v>
      </c>
      <c r="Q96">
        <v>0</v>
      </c>
      <c r="R96">
        <v>400</v>
      </c>
      <c r="S96">
        <v>800</v>
      </c>
    </row>
    <row r="97" spans="11:19" x14ac:dyDescent="0.2">
      <c r="K97">
        <v>69000</v>
      </c>
      <c r="L97">
        <v>1535.6</v>
      </c>
      <c r="M97">
        <v>-3132.52</v>
      </c>
      <c r="N97">
        <v>47021.3</v>
      </c>
      <c r="O97">
        <v>-846.56600000000003</v>
      </c>
      <c r="P97">
        <v>400</v>
      </c>
      <c r="Q97">
        <v>0</v>
      </c>
      <c r="R97">
        <v>400</v>
      </c>
      <c r="S97">
        <v>800</v>
      </c>
    </row>
    <row r="98" spans="11:19" x14ac:dyDescent="0.2">
      <c r="K98">
        <v>70000</v>
      </c>
      <c r="L98">
        <v>1477.72</v>
      </c>
      <c r="M98">
        <v>-3127.58</v>
      </c>
      <c r="N98">
        <v>47188.2</v>
      </c>
      <c r="O98">
        <v>863.84900000000005</v>
      </c>
      <c r="P98">
        <v>400</v>
      </c>
      <c r="Q98">
        <v>0</v>
      </c>
      <c r="R98">
        <v>400</v>
      </c>
      <c r="S98">
        <v>800</v>
      </c>
    </row>
    <row r="99" spans="11:19" x14ac:dyDescent="0.2">
      <c r="K99">
        <v>71000</v>
      </c>
      <c r="L99">
        <v>1447.28</v>
      </c>
      <c r="M99">
        <v>-3130.48</v>
      </c>
      <c r="N99">
        <v>47229.2</v>
      </c>
      <c r="O99">
        <v>-2767.15</v>
      </c>
      <c r="P99">
        <v>400</v>
      </c>
      <c r="Q99">
        <v>0</v>
      </c>
      <c r="R99">
        <v>400</v>
      </c>
      <c r="S99">
        <v>800</v>
      </c>
    </row>
    <row r="100" spans="11:19" x14ac:dyDescent="0.2">
      <c r="K100">
        <v>72000</v>
      </c>
      <c r="L100">
        <v>1462.34</v>
      </c>
      <c r="M100">
        <v>-3131.49</v>
      </c>
      <c r="N100">
        <v>46809.3</v>
      </c>
      <c r="O100">
        <v>728.13900000000001</v>
      </c>
      <c r="P100">
        <v>400</v>
      </c>
      <c r="Q100">
        <v>0</v>
      </c>
      <c r="R100">
        <v>400</v>
      </c>
      <c r="S100">
        <v>800</v>
      </c>
    </row>
    <row r="101" spans="11:19" x14ac:dyDescent="0.2">
      <c r="K101">
        <v>73000</v>
      </c>
      <c r="L101">
        <v>1506.69</v>
      </c>
      <c r="M101">
        <v>-3123.61</v>
      </c>
      <c r="N101">
        <v>46445.8</v>
      </c>
      <c r="O101">
        <v>406.10599999999999</v>
      </c>
      <c r="P101">
        <v>400</v>
      </c>
      <c r="Q101">
        <v>0</v>
      </c>
      <c r="R101">
        <v>400</v>
      </c>
      <c r="S101">
        <v>800</v>
      </c>
    </row>
    <row r="102" spans="11:19" x14ac:dyDescent="0.2">
      <c r="K102">
        <v>74000</v>
      </c>
      <c r="L102">
        <v>1540.54</v>
      </c>
      <c r="M102">
        <v>-3125.9</v>
      </c>
      <c r="N102">
        <v>46323.9</v>
      </c>
      <c r="O102">
        <v>878.56200000000001</v>
      </c>
      <c r="P102">
        <v>400</v>
      </c>
      <c r="Q102">
        <v>0</v>
      </c>
      <c r="R102">
        <v>400</v>
      </c>
      <c r="S102">
        <v>800</v>
      </c>
    </row>
    <row r="103" spans="11:19" x14ac:dyDescent="0.2">
      <c r="K103">
        <v>75000</v>
      </c>
      <c r="L103">
        <v>1473.58</v>
      </c>
      <c r="M103">
        <v>-3119.8</v>
      </c>
      <c r="N103">
        <v>46557</v>
      </c>
      <c r="O103">
        <v>927.80399999999997</v>
      </c>
      <c r="P103">
        <v>400</v>
      </c>
      <c r="Q103">
        <v>0</v>
      </c>
      <c r="R103">
        <v>400</v>
      </c>
      <c r="S103">
        <v>800</v>
      </c>
    </row>
    <row r="104" spans="11:19" x14ac:dyDescent="0.2">
      <c r="K104">
        <v>76000</v>
      </c>
      <c r="L104">
        <v>1480.8</v>
      </c>
      <c r="M104">
        <v>-3127.99</v>
      </c>
      <c r="N104">
        <v>46895.7</v>
      </c>
      <c r="O104">
        <v>-650.89300000000003</v>
      </c>
      <c r="P104">
        <v>400</v>
      </c>
      <c r="Q104">
        <v>0</v>
      </c>
      <c r="R104">
        <v>400</v>
      </c>
      <c r="S104">
        <v>800</v>
      </c>
    </row>
    <row r="105" spans="11:19" x14ac:dyDescent="0.2">
      <c r="K105">
        <v>77000</v>
      </c>
      <c r="L105">
        <v>1454.74</v>
      </c>
      <c r="M105">
        <v>-3124.2</v>
      </c>
      <c r="N105">
        <v>46969.1</v>
      </c>
      <c r="O105">
        <v>150.82300000000001</v>
      </c>
      <c r="P105">
        <v>400</v>
      </c>
      <c r="Q105">
        <v>0</v>
      </c>
      <c r="R105">
        <v>400</v>
      </c>
      <c r="S105">
        <v>800</v>
      </c>
    </row>
    <row r="106" spans="11:19" x14ac:dyDescent="0.2">
      <c r="K106">
        <v>78000</v>
      </c>
      <c r="L106">
        <v>1507.09</v>
      </c>
      <c r="M106">
        <v>-3119.92</v>
      </c>
      <c r="N106">
        <v>46853.3</v>
      </c>
      <c r="O106">
        <v>-757.89499999999998</v>
      </c>
      <c r="P106">
        <v>400</v>
      </c>
      <c r="Q106">
        <v>0</v>
      </c>
      <c r="R106">
        <v>400</v>
      </c>
      <c r="S106">
        <v>800</v>
      </c>
    </row>
    <row r="107" spans="11:19" x14ac:dyDescent="0.2">
      <c r="K107">
        <v>79000</v>
      </c>
      <c r="L107">
        <v>1483.67</v>
      </c>
      <c r="M107">
        <v>-3109.34</v>
      </c>
      <c r="N107">
        <v>46556.2</v>
      </c>
      <c r="O107">
        <v>2203.84</v>
      </c>
      <c r="P107">
        <v>400</v>
      </c>
      <c r="Q107">
        <v>0</v>
      </c>
      <c r="R107">
        <v>400</v>
      </c>
      <c r="S107">
        <v>800</v>
      </c>
    </row>
    <row r="108" spans="11:19" x14ac:dyDescent="0.2">
      <c r="K108">
        <v>80000</v>
      </c>
      <c r="L108">
        <v>1517.4</v>
      </c>
      <c r="M108">
        <v>-3120.46</v>
      </c>
      <c r="N108">
        <v>46428.800000000003</v>
      </c>
      <c r="O108">
        <v>1053.99</v>
      </c>
      <c r="P108">
        <v>400</v>
      </c>
      <c r="Q108">
        <v>0</v>
      </c>
      <c r="R108">
        <v>400</v>
      </c>
      <c r="S108">
        <v>800</v>
      </c>
    </row>
    <row r="109" spans="11:19" x14ac:dyDescent="0.2">
      <c r="K109">
        <v>81000</v>
      </c>
      <c r="L109">
        <v>1513.12</v>
      </c>
      <c r="M109">
        <v>-3132.98</v>
      </c>
      <c r="N109">
        <v>46424.6</v>
      </c>
      <c r="O109">
        <v>-1433.19</v>
      </c>
      <c r="P109">
        <v>400</v>
      </c>
      <c r="Q109">
        <v>0</v>
      </c>
      <c r="R109">
        <v>400</v>
      </c>
      <c r="S109">
        <v>800</v>
      </c>
    </row>
    <row r="110" spans="11:19" x14ac:dyDescent="0.2">
      <c r="K110">
        <v>82000</v>
      </c>
      <c r="L110">
        <v>1485.94</v>
      </c>
      <c r="M110">
        <v>-3133.51</v>
      </c>
      <c r="N110">
        <v>46261.599999999999</v>
      </c>
      <c r="O110">
        <v>1661.4</v>
      </c>
      <c r="P110">
        <v>400</v>
      </c>
      <c r="Q110">
        <v>0</v>
      </c>
      <c r="R110">
        <v>400</v>
      </c>
      <c r="S110">
        <v>800</v>
      </c>
    </row>
    <row r="111" spans="11:19" x14ac:dyDescent="0.2">
      <c r="K111">
        <v>83000</v>
      </c>
      <c r="L111">
        <v>1467.33</v>
      </c>
      <c r="M111">
        <v>-3127.46</v>
      </c>
      <c r="N111">
        <v>46329.3</v>
      </c>
      <c r="O111">
        <v>1520.07</v>
      </c>
      <c r="P111">
        <v>400</v>
      </c>
      <c r="Q111">
        <v>0</v>
      </c>
      <c r="R111">
        <v>400</v>
      </c>
      <c r="S111">
        <v>800</v>
      </c>
    </row>
    <row r="112" spans="11:19" x14ac:dyDescent="0.2">
      <c r="K112">
        <v>84000</v>
      </c>
      <c r="L112">
        <v>1493.44</v>
      </c>
      <c r="M112">
        <v>-3127.25</v>
      </c>
      <c r="N112">
        <v>46465.5</v>
      </c>
      <c r="O112">
        <v>-1533.54</v>
      </c>
      <c r="P112">
        <v>400</v>
      </c>
      <c r="Q112">
        <v>0</v>
      </c>
      <c r="R112">
        <v>400</v>
      </c>
      <c r="S112">
        <v>800</v>
      </c>
    </row>
    <row r="113" spans="11:19" x14ac:dyDescent="0.2">
      <c r="K113">
        <v>85000</v>
      </c>
      <c r="L113">
        <v>1511.28</v>
      </c>
      <c r="M113">
        <v>-3126.62</v>
      </c>
      <c r="N113">
        <v>46429.8</v>
      </c>
      <c r="O113">
        <v>1565.07</v>
      </c>
      <c r="P113">
        <v>400</v>
      </c>
      <c r="Q113">
        <v>0</v>
      </c>
      <c r="R113">
        <v>400</v>
      </c>
      <c r="S113">
        <v>800</v>
      </c>
    </row>
    <row r="114" spans="11:19" x14ac:dyDescent="0.2">
      <c r="K114">
        <v>86000</v>
      </c>
      <c r="L114">
        <v>1483.01</v>
      </c>
      <c r="M114">
        <v>-3121.11</v>
      </c>
      <c r="N114">
        <v>46489.599999999999</v>
      </c>
      <c r="O114">
        <v>-395.834</v>
      </c>
      <c r="P114">
        <v>400</v>
      </c>
      <c r="Q114">
        <v>0</v>
      </c>
      <c r="R114">
        <v>400</v>
      </c>
      <c r="S114">
        <v>800</v>
      </c>
    </row>
    <row r="115" spans="11:19" x14ac:dyDescent="0.2">
      <c r="K115">
        <v>87000</v>
      </c>
      <c r="L115">
        <v>1507.04</v>
      </c>
      <c r="M115">
        <v>-3131.96</v>
      </c>
      <c r="N115">
        <v>46607.1</v>
      </c>
      <c r="O115">
        <v>-199.751</v>
      </c>
      <c r="P115">
        <v>400</v>
      </c>
      <c r="Q115">
        <v>0</v>
      </c>
      <c r="R115">
        <v>400</v>
      </c>
      <c r="S115">
        <v>800</v>
      </c>
    </row>
    <row r="116" spans="11:19" x14ac:dyDescent="0.2">
      <c r="K116">
        <v>88000</v>
      </c>
      <c r="L116">
        <v>1431.35</v>
      </c>
      <c r="M116">
        <v>-3125.71</v>
      </c>
      <c r="N116">
        <v>46628.800000000003</v>
      </c>
      <c r="O116">
        <v>-1911.8</v>
      </c>
      <c r="P116">
        <v>400</v>
      </c>
      <c r="Q116">
        <v>0</v>
      </c>
      <c r="R116">
        <v>400</v>
      </c>
      <c r="S116">
        <v>800</v>
      </c>
    </row>
    <row r="117" spans="11:19" x14ac:dyDescent="0.2">
      <c r="K117">
        <v>89000</v>
      </c>
      <c r="L117">
        <v>1505.13</v>
      </c>
      <c r="M117">
        <v>-3134.85</v>
      </c>
      <c r="N117">
        <v>46401.3</v>
      </c>
      <c r="O117">
        <v>2109.0300000000002</v>
      </c>
      <c r="P117">
        <v>400</v>
      </c>
      <c r="Q117">
        <v>0</v>
      </c>
      <c r="R117">
        <v>400</v>
      </c>
      <c r="S117">
        <v>800</v>
      </c>
    </row>
    <row r="118" spans="11:19" x14ac:dyDescent="0.2">
      <c r="K118">
        <v>90000</v>
      </c>
      <c r="L118">
        <v>1497.02</v>
      </c>
      <c r="M118">
        <v>-3124.07</v>
      </c>
      <c r="N118">
        <v>46451.6</v>
      </c>
      <c r="O118">
        <v>572.63800000000003</v>
      </c>
      <c r="P118">
        <v>400</v>
      </c>
      <c r="Q118">
        <v>0</v>
      </c>
      <c r="R118">
        <v>400</v>
      </c>
      <c r="S118">
        <v>800</v>
      </c>
    </row>
    <row r="119" spans="11:19" x14ac:dyDescent="0.2">
      <c r="K119">
        <v>91000</v>
      </c>
      <c r="L119">
        <v>1546.51</v>
      </c>
      <c r="M119">
        <v>-3126.42</v>
      </c>
      <c r="N119">
        <v>46579.8</v>
      </c>
      <c r="O119">
        <v>1164.52</v>
      </c>
      <c r="P119">
        <v>400</v>
      </c>
      <c r="Q119">
        <v>0</v>
      </c>
      <c r="R119">
        <v>400</v>
      </c>
      <c r="S119">
        <v>800</v>
      </c>
    </row>
    <row r="120" spans="11:19" x14ac:dyDescent="0.2">
      <c r="K120">
        <v>92000</v>
      </c>
      <c r="L120">
        <v>1507.12</v>
      </c>
      <c r="M120">
        <v>-3120.38</v>
      </c>
      <c r="N120">
        <v>46853.1</v>
      </c>
      <c r="O120">
        <v>246.364</v>
      </c>
      <c r="P120">
        <v>400</v>
      </c>
      <c r="Q120">
        <v>0</v>
      </c>
      <c r="R120">
        <v>400</v>
      </c>
      <c r="S120">
        <v>800</v>
      </c>
    </row>
    <row r="121" spans="11:19" x14ac:dyDescent="0.2">
      <c r="K121">
        <v>93000</v>
      </c>
      <c r="L121">
        <v>1454.8</v>
      </c>
      <c r="M121">
        <v>-3125.42</v>
      </c>
      <c r="N121">
        <v>47042.5</v>
      </c>
      <c r="O121">
        <v>-1128.07</v>
      </c>
      <c r="P121">
        <v>400</v>
      </c>
      <c r="Q121">
        <v>0</v>
      </c>
      <c r="R121">
        <v>400</v>
      </c>
      <c r="S121">
        <v>800</v>
      </c>
    </row>
    <row r="122" spans="11:19" x14ac:dyDescent="0.2">
      <c r="K122">
        <v>94000</v>
      </c>
      <c r="L122">
        <v>1611.41</v>
      </c>
      <c r="M122">
        <v>-3141.43</v>
      </c>
      <c r="N122">
        <v>47057.1</v>
      </c>
      <c r="O122">
        <v>1947.31</v>
      </c>
      <c r="P122">
        <v>400</v>
      </c>
      <c r="Q122">
        <v>0</v>
      </c>
      <c r="R122">
        <v>400</v>
      </c>
      <c r="S122">
        <v>800</v>
      </c>
    </row>
    <row r="123" spans="11:19" x14ac:dyDescent="0.2">
      <c r="K123">
        <v>95000</v>
      </c>
      <c r="L123">
        <v>1642.71</v>
      </c>
      <c r="M123">
        <v>-3160.39</v>
      </c>
      <c r="N123">
        <v>47185.5</v>
      </c>
      <c r="O123">
        <v>-1224.44</v>
      </c>
      <c r="P123">
        <v>400</v>
      </c>
      <c r="Q123">
        <v>0</v>
      </c>
      <c r="R123">
        <v>400</v>
      </c>
      <c r="S123">
        <v>800</v>
      </c>
    </row>
    <row r="124" spans="11:19" x14ac:dyDescent="0.2">
      <c r="K124">
        <v>96000</v>
      </c>
      <c r="L124">
        <v>1501.54</v>
      </c>
      <c r="M124">
        <v>-3130.2</v>
      </c>
      <c r="N124">
        <v>47138.9</v>
      </c>
      <c r="O124">
        <v>-615.49699999999996</v>
      </c>
      <c r="P124">
        <v>400</v>
      </c>
      <c r="Q124">
        <v>0</v>
      </c>
      <c r="R124">
        <v>400</v>
      </c>
      <c r="S124">
        <v>800</v>
      </c>
    </row>
    <row r="125" spans="11:19" x14ac:dyDescent="0.2">
      <c r="K125">
        <v>97000</v>
      </c>
      <c r="L125">
        <v>1446.33</v>
      </c>
      <c r="M125">
        <v>-3125.23</v>
      </c>
      <c r="N125">
        <v>46965.3</v>
      </c>
      <c r="O125">
        <v>-265.45400000000001</v>
      </c>
      <c r="P125">
        <v>400</v>
      </c>
      <c r="Q125">
        <v>0</v>
      </c>
      <c r="R125">
        <v>400</v>
      </c>
      <c r="S125">
        <v>800</v>
      </c>
    </row>
    <row r="126" spans="11:19" x14ac:dyDescent="0.2">
      <c r="K126">
        <v>98000</v>
      </c>
      <c r="L126">
        <v>1474.83</v>
      </c>
      <c r="M126">
        <v>-3120.75</v>
      </c>
      <c r="N126">
        <v>46741.1</v>
      </c>
      <c r="O126">
        <v>-1023.7</v>
      </c>
      <c r="P126">
        <v>400</v>
      </c>
      <c r="Q126">
        <v>0</v>
      </c>
      <c r="R126">
        <v>400</v>
      </c>
      <c r="S126">
        <v>800</v>
      </c>
    </row>
    <row r="127" spans="11:19" x14ac:dyDescent="0.2">
      <c r="K127">
        <v>99000</v>
      </c>
      <c r="L127">
        <v>1523.29</v>
      </c>
      <c r="M127">
        <v>-3118.23</v>
      </c>
      <c r="N127">
        <v>46489.599999999999</v>
      </c>
      <c r="O127">
        <v>877.07</v>
      </c>
      <c r="P127">
        <v>400</v>
      </c>
      <c r="Q127">
        <v>0</v>
      </c>
      <c r="R127">
        <v>400</v>
      </c>
      <c r="S127">
        <v>800</v>
      </c>
    </row>
    <row r="128" spans="11:19" x14ac:dyDescent="0.2">
      <c r="K128">
        <v>100000</v>
      </c>
      <c r="L128">
        <v>1517.62</v>
      </c>
      <c r="M128">
        <v>-3117.18</v>
      </c>
      <c r="N128">
        <v>46454.3</v>
      </c>
      <c r="O128">
        <v>1981.45</v>
      </c>
      <c r="P128">
        <v>400</v>
      </c>
      <c r="Q128">
        <v>0</v>
      </c>
      <c r="R128">
        <v>400</v>
      </c>
      <c r="S128">
        <v>800</v>
      </c>
    </row>
    <row r="129" spans="11:19" x14ac:dyDescent="0.2">
      <c r="K129">
        <v>101000</v>
      </c>
      <c r="L129">
        <v>1499.3</v>
      </c>
      <c r="M129">
        <v>-3127</v>
      </c>
      <c r="N129">
        <v>46797.4</v>
      </c>
      <c r="O129">
        <v>-1224.33</v>
      </c>
      <c r="P129">
        <v>400</v>
      </c>
      <c r="Q129">
        <v>0</v>
      </c>
      <c r="R129">
        <v>400</v>
      </c>
      <c r="S129">
        <v>800</v>
      </c>
    </row>
    <row r="130" spans="11:19" x14ac:dyDescent="0.2">
      <c r="K130">
        <v>102000</v>
      </c>
      <c r="L130">
        <v>1484.69</v>
      </c>
      <c r="M130">
        <v>-3131.83</v>
      </c>
      <c r="N130">
        <v>47030.3</v>
      </c>
      <c r="O130">
        <v>-841.69500000000005</v>
      </c>
      <c r="P130">
        <v>400</v>
      </c>
      <c r="Q130">
        <v>0</v>
      </c>
      <c r="R130">
        <v>400</v>
      </c>
      <c r="S130">
        <v>800</v>
      </c>
    </row>
    <row r="131" spans="11:19" x14ac:dyDescent="0.2">
      <c r="K131">
        <v>103000</v>
      </c>
      <c r="L131">
        <v>1477.47</v>
      </c>
      <c r="M131">
        <v>-3127.63</v>
      </c>
      <c r="N131">
        <v>47093.4</v>
      </c>
      <c r="O131">
        <v>-948.36800000000005</v>
      </c>
      <c r="P131">
        <v>400</v>
      </c>
      <c r="Q131">
        <v>0</v>
      </c>
      <c r="R131">
        <v>400</v>
      </c>
      <c r="S131">
        <v>800</v>
      </c>
    </row>
    <row r="132" spans="11:19" x14ac:dyDescent="0.2">
      <c r="K132">
        <v>104000</v>
      </c>
      <c r="L132">
        <v>1512.75</v>
      </c>
      <c r="M132">
        <v>-3127.21</v>
      </c>
      <c r="N132">
        <v>46892.5</v>
      </c>
      <c r="O132">
        <v>825.04600000000005</v>
      </c>
      <c r="P132">
        <v>400</v>
      </c>
      <c r="Q132">
        <v>0</v>
      </c>
      <c r="R132">
        <v>400</v>
      </c>
      <c r="S132">
        <v>800</v>
      </c>
    </row>
    <row r="133" spans="11:19" x14ac:dyDescent="0.2">
      <c r="K133">
        <v>105000</v>
      </c>
      <c r="L133">
        <v>1499.47</v>
      </c>
      <c r="M133">
        <v>-3116.66</v>
      </c>
      <c r="N133">
        <v>46852.800000000003</v>
      </c>
      <c r="O133">
        <v>3755.4</v>
      </c>
      <c r="P133">
        <v>400</v>
      </c>
      <c r="Q133">
        <v>0</v>
      </c>
      <c r="R133">
        <v>400</v>
      </c>
      <c r="S133">
        <v>800</v>
      </c>
    </row>
    <row r="134" spans="11:19" x14ac:dyDescent="0.2">
      <c r="K134">
        <v>106000</v>
      </c>
      <c r="L134">
        <v>1549.07</v>
      </c>
      <c r="M134">
        <v>-3112.94</v>
      </c>
      <c r="N134">
        <v>47158</v>
      </c>
      <c r="O134">
        <v>683.31500000000005</v>
      </c>
      <c r="P134">
        <v>400</v>
      </c>
      <c r="Q134">
        <v>0</v>
      </c>
      <c r="R134">
        <v>400</v>
      </c>
      <c r="S134">
        <v>800</v>
      </c>
    </row>
    <row r="135" spans="11:19" x14ac:dyDescent="0.2">
      <c r="K135">
        <v>107000</v>
      </c>
      <c r="L135">
        <v>1547.28</v>
      </c>
      <c r="M135">
        <v>-3114.32</v>
      </c>
      <c r="N135">
        <v>47636.7</v>
      </c>
      <c r="O135">
        <v>-713.99699999999996</v>
      </c>
      <c r="P135">
        <v>400</v>
      </c>
      <c r="Q135">
        <v>0</v>
      </c>
      <c r="R135">
        <v>400</v>
      </c>
      <c r="S135">
        <v>800</v>
      </c>
    </row>
    <row r="136" spans="11:19" x14ac:dyDescent="0.2">
      <c r="K136">
        <v>108000</v>
      </c>
      <c r="L136">
        <v>1486.69</v>
      </c>
      <c r="M136">
        <v>-3119.22</v>
      </c>
      <c r="N136">
        <v>48026.400000000001</v>
      </c>
      <c r="O136">
        <v>-3233.12</v>
      </c>
      <c r="P136">
        <v>400</v>
      </c>
      <c r="Q136">
        <v>0</v>
      </c>
      <c r="R136">
        <v>400</v>
      </c>
      <c r="S136">
        <v>800</v>
      </c>
    </row>
    <row r="137" spans="11:19" x14ac:dyDescent="0.2">
      <c r="K137">
        <v>109000</v>
      </c>
      <c r="L137">
        <v>1480.92</v>
      </c>
      <c r="M137">
        <v>-3118.84</v>
      </c>
      <c r="N137">
        <v>47839.6</v>
      </c>
      <c r="O137">
        <v>-3412.62</v>
      </c>
      <c r="P137">
        <v>400</v>
      </c>
      <c r="Q137">
        <v>0</v>
      </c>
      <c r="R137">
        <v>400</v>
      </c>
      <c r="S137">
        <v>800</v>
      </c>
    </row>
    <row r="138" spans="11:19" x14ac:dyDescent="0.2">
      <c r="K138">
        <v>110000</v>
      </c>
      <c r="L138">
        <v>1529.06</v>
      </c>
      <c r="M138">
        <v>-3124.24</v>
      </c>
      <c r="N138">
        <v>47170.5</v>
      </c>
      <c r="O138">
        <v>320.113</v>
      </c>
      <c r="P138">
        <v>400</v>
      </c>
      <c r="Q138">
        <v>0</v>
      </c>
      <c r="R138">
        <v>400</v>
      </c>
      <c r="S138">
        <v>800</v>
      </c>
    </row>
    <row r="139" spans="11:19" x14ac:dyDescent="0.2">
      <c r="K139">
        <v>111000</v>
      </c>
      <c r="L139">
        <v>1473.96</v>
      </c>
      <c r="M139">
        <v>-3121.67</v>
      </c>
      <c r="N139">
        <v>46827.199999999997</v>
      </c>
      <c r="O139">
        <v>2329.08</v>
      </c>
      <c r="P139">
        <v>400</v>
      </c>
      <c r="Q139">
        <v>0</v>
      </c>
      <c r="R139">
        <v>400</v>
      </c>
      <c r="S139">
        <v>800</v>
      </c>
    </row>
    <row r="140" spans="11:19" x14ac:dyDescent="0.2">
      <c r="K140">
        <v>112000</v>
      </c>
      <c r="L140">
        <v>1445.12</v>
      </c>
      <c r="M140">
        <v>-3126.08</v>
      </c>
      <c r="N140">
        <v>46892</v>
      </c>
      <c r="O140">
        <v>-1139.47</v>
      </c>
      <c r="P140">
        <v>400</v>
      </c>
      <c r="Q140">
        <v>0</v>
      </c>
      <c r="R140">
        <v>400</v>
      </c>
      <c r="S140">
        <v>800</v>
      </c>
    </row>
    <row r="141" spans="11:19" x14ac:dyDescent="0.2">
      <c r="K141">
        <v>113000</v>
      </c>
      <c r="L141">
        <v>1499.35</v>
      </c>
      <c r="M141">
        <v>-3130.56</v>
      </c>
      <c r="N141">
        <v>46733.8</v>
      </c>
      <c r="O141">
        <v>-294.80200000000002</v>
      </c>
      <c r="P141">
        <v>400</v>
      </c>
      <c r="Q141">
        <v>0</v>
      </c>
      <c r="R141">
        <v>400</v>
      </c>
      <c r="S141">
        <v>800</v>
      </c>
    </row>
    <row r="142" spans="11:19" x14ac:dyDescent="0.2">
      <c r="K142">
        <v>114000</v>
      </c>
      <c r="L142">
        <v>1507.73</v>
      </c>
      <c r="M142">
        <v>-3113.53</v>
      </c>
      <c r="N142">
        <v>46642.1</v>
      </c>
      <c r="O142">
        <v>194.69399999999999</v>
      </c>
      <c r="P142">
        <v>400</v>
      </c>
      <c r="Q142">
        <v>0</v>
      </c>
      <c r="R142">
        <v>400</v>
      </c>
      <c r="S142">
        <v>800</v>
      </c>
    </row>
    <row r="143" spans="11:19" x14ac:dyDescent="0.2">
      <c r="K143">
        <v>115000</v>
      </c>
      <c r="L143">
        <v>1522.72</v>
      </c>
      <c r="M143">
        <v>-3119.59</v>
      </c>
      <c r="N143">
        <v>46746.400000000001</v>
      </c>
      <c r="O143">
        <v>2223.5700000000002</v>
      </c>
      <c r="P143">
        <v>400</v>
      </c>
      <c r="Q143">
        <v>0</v>
      </c>
      <c r="R143">
        <v>400</v>
      </c>
      <c r="S143">
        <v>800</v>
      </c>
    </row>
    <row r="144" spans="11:19" x14ac:dyDescent="0.2">
      <c r="K144">
        <v>116000</v>
      </c>
      <c r="L144">
        <v>1471.14</v>
      </c>
      <c r="M144">
        <v>-3120.55</v>
      </c>
      <c r="N144">
        <v>47158.3</v>
      </c>
      <c r="O144">
        <v>-150.71299999999999</v>
      </c>
      <c r="P144">
        <v>400</v>
      </c>
      <c r="Q144">
        <v>0</v>
      </c>
      <c r="R144">
        <v>400</v>
      </c>
      <c r="S144">
        <v>800</v>
      </c>
    </row>
    <row r="145" spans="11:19" x14ac:dyDescent="0.2">
      <c r="K145">
        <v>117000</v>
      </c>
      <c r="L145">
        <v>1478.74</v>
      </c>
      <c r="M145">
        <v>-3123.93</v>
      </c>
      <c r="N145">
        <v>47532.800000000003</v>
      </c>
      <c r="O145">
        <v>-1761.06</v>
      </c>
      <c r="P145">
        <v>400</v>
      </c>
      <c r="Q145">
        <v>0</v>
      </c>
      <c r="R145">
        <v>400</v>
      </c>
      <c r="S145">
        <v>800</v>
      </c>
    </row>
    <row r="146" spans="11:19" x14ac:dyDescent="0.2">
      <c r="K146">
        <v>118000</v>
      </c>
      <c r="L146">
        <v>1494.73</v>
      </c>
      <c r="M146">
        <v>-3121.98</v>
      </c>
      <c r="N146">
        <v>47570.5</v>
      </c>
      <c r="O146">
        <v>177.084</v>
      </c>
      <c r="P146">
        <v>400</v>
      </c>
      <c r="Q146">
        <v>0</v>
      </c>
      <c r="R146">
        <v>400</v>
      </c>
      <c r="S146">
        <v>800</v>
      </c>
    </row>
    <row r="147" spans="11:19" x14ac:dyDescent="0.2">
      <c r="K147">
        <v>119000</v>
      </c>
      <c r="L147">
        <v>1530.06</v>
      </c>
      <c r="M147">
        <v>-3109.97</v>
      </c>
      <c r="N147">
        <v>47486.3</v>
      </c>
      <c r="O147">
        <v>-124.76600000000001</v>
      </c>
      <c r="P147">
        <v>400</v>
      </c>
      <c r="Q147">
        <v>0</v>
      </c>
      <c r="R147">
        <v>400</v>
      </c>
      <c r="S147">
        <v>800</v>
      </c>
    </row>
    <row r="148" spans="11:19" x14ac:dyDescent="0.2">
      <c r="K148">
        <v>120000</v>
      </c>
      <c r="L148">
        <v>1554.59</v>
      </c>
      <c r="M148">
        <v>-3110.99</v>
      </c>
      <c r="N148">
        <v>47300</v>
      </c>
      <c r="O148">
        <v>1850.47</v>
      </c>
      <c r="P148">
        <v>400</v>
      </c>
      <c r="Q148">
        <v>0</v>
      </c>
      <c r="R148">
        <v>400</v>
      </c>
      <c r="S148">
        <v>800</v>
      </c>
    </row>
    <row r="149" spans="11:19" x14ac:dyDescent="0.2">
      <c r="K149">
        <v>121000</v>
      </c>
      <c r="L149">
        <v>1519.8</v>
      </c>
      <c r="M149">
        <v>-3116.14</v>
      </c>
      <c r="N149">
        <v>47226.7</v>
      </c>
      <c r="O149">
        <v>-2006.97</v>
      </c>
      <c r="P149">
        <v>400</v>
      </c>
      <c r="Q149">
        <v>0</v>
      </c>
      <c r="R149">
        <v>400</v>
      </c>
      <c r="S149">
        <v>800</v>
      </c>
    </row>
    <row r="150" spans="11:19" x14ac:dyDescent="0.2">
      <c r="K150">
        <v>122000</v>
      </c>
      <c r="L150">
        <v>1519.28</v>
      </c>
      <c r="M150">
        <v>-3123.74</v>
      </c>
      <c r="N150">
        <v>46965</v>
      </c>
      <c r="O150">
        <v>-0.97529200000000005</v>
      </c>
      <c r="P150">
        <v>400</v>
      </c>
      <c r="Q150">
        <v>0</v>
      </c>
      <c r="R150">
        <v>400</v>
      </c>
      <c r="S150">
        <v>800</v>
      </c>
    </row>
    <row r="151" spans="11:19" x14ac:dyDescent="0.2">
      <c r="K151">
        <v>123000</v>
      </c>
      <c r="L151">
        <v>1527.42</v>
      </c>
      <c r="M151">
        <v>-3129.13</v>
      </c>
      <c r="N151">
        <v>46899.6</v>
      </c>
      <c r="O151">
        <v>1558.8</v>
      </c>
      <c r="P151">
        <v>400</v>
      </c>
      <c r="Q151">
        <v>0</v>
      </c>
      <c r="R151">
        <v>400</v>
      </c>
      <c r="S151">
        <v>800</v>
      </c>
    </row>
    <row r="152" spans="11:19" x14ac:dyDescent="0.2">
      <c r="K152">
        <v>124000</v>
      </c>
      <c r="L152">
        <v>1505.76</v>
      </c>
      <c r="M152">
        <v>-3130.25</v>
      </c>
      <c r="N152">
        <v>47039.3</v>
      </c>
      <c r="O152">
        <v>-1037.07</v>
      </c>
      <c r="P152">
        <v>400</v>
      </c>
      <c r="Q152">
        <v>0</v>
      </c>
      <c r="R152">
        <v>400</v>
      </c>
      <c r="S152">
        <v>800</v>
      </c>
    </row>
    <row r="153" spans="11:19" x14ac:dyDescent="0.2">
      <c r="K153">
        <v>125000</v>
      </c>
      <c r="L153">
        <v>1431.9</v>
      </c>
      <c r="M153">
        <v>-3127.04</v>
      </c>
      <c r="N153">
        <v>47090.3</v>
      </c>
      <c r="O153">
        <v>-1308.7</v>
      </c>
      <c r="P153">
        <v>400</v>
      </c>
      <c r="Q153">
        <v>0</v>
      </c>
      <c r="R153">
        <v>400</v>
      </c>
      <c r="S153">
        <v>800</v>
      </c>
    </row>
    <row r="154" spans="11:19" x14ac:dyDescent="0.2">
      <c r="K154">
        <v>126000</v>
      </c>
      <c r="L154">
        <v>1453.98</v>
      </c>
      <c r="M154">
        <v>-3128.78</v>
      </c>
      <c r="N154">
        <v>47095.9</v>
      </c>
      <c r="O154">
        <v>-948.05499999999995</v>
      </c>
      <c r="P154">
        <v>400</v>
      </c>
      <c r="Q154">
        <v>0</v>
      </c>
      <c r="R154">
        <v>400</v>
      </c>
      <c r="S154">
        <v>800</v>
      </c>
    </row>
    <row r="155" spans="11:19" x14ac:dyDescent="0.2">
      <c r="K155">
        <v>127000</v>
      </c>
      <c r="L155">
        <v>1498.46</v>
      </c>
      <c r="M155">
        <v>-3121.98</v>
      </c>
      <c r="N155">
        <v>47015.8</v>
      </c>
      <c r="O155">
        <v>-302.00200000000001</v>
      </c>
      <c r="P155">
        <v>400</v>
      </c>
      <c r="Q155">
        <v>0</v>
      </c>
      <c r="R155">
        <v>400</v>
      </c>
      <c r="S155">
        <v>800</v>
      </c>
    </row>
    <row r="156" spans="11:19" x14ac:dyDescent="0.2">
      <c r="K156">
        <v>128000</v>
      </c>
      <c r="L156">
        <v>1512.82</v>
      </c>
      <c r="M156">
        <v>-3118.27</v>
      </c>
      <c r="N156">
        <v>46872.4</v>
      </c>
      <c r="O156">
        <v>-1079.71</v>
      </c>
      <c r="P156">
        <v>400</v>
      </c>
      <c r="Q156">
        <v>0</v>
      </c>
      <c r="R156">
        <v>400</v>
      </c>
      <c r="S156">
        <v>800</v>
      </c>
    </row>
    <row r="157" spans="11:19" x14ac:dyDescent="0.2">
      <c r="K157">
        <v>129000</v>
      </c>
      <c r="L157">
        <v>1515.43</v>
      </c>
      <c r="M157">
        <v>-3120.4</v>
      </c>
      <c r="N157">
        <v>46629.7</v>
      </c>
      <c r="O157">
        <v>2770.55</v>
      </c>
      <c r="P157">
        <v>400</v>
      </c>
      <c r="Q157">
        <v>0</v>
      </c>
      <c r="R157">
        <v>400</v>
      </c>
      <c r="S157">
        <v>800</v>
      </c>
    </row>
    <row r="158" spans="11:19" x14ac:dyDescent="0.2">
      <c r="K158">
        <v>130000</v>
      </c>
      <c r="L158">
        <v>1477.26</v>
      </c>
      <c r="M158">
        <v>-3123.02</v>
      </c>
      <c r="N158">
        <v>46621.3</v>
      </c>
      <c r="O158">
        <v>437.66899999999998</v>
      </c>
      <c r="P158">
        <v>400</v>
      </c>
      <c r="Q158">
        <v>0</v>
      </c>
      <c r="R158">
        <v>400</v>
      </c>
      <c r="S158">
        <v>800</v>
      </c>
    </row>
    <row r="159" spans="11:19" x14ac:dyDescent="0.2">
      <c r="K159">
        <v>131000</v>
      </c>
      <c r="L159">
        <v>1451.39</v>
      </c>
      <c r="M159">
        <v>-3128.29</v>
      </c>
      <c r="N159">
        <v>46709.2</v>
      </c>
      <c r="O159">
        <v>334.46199999999999</v>
      </c>
      <c r="P159">
        <v>400</v>
      </c>
      <c r="Q159">
        <v>0</v>
      </c>
      <c r="R159">
        <v>400</v>
      </c>
      <c r="S159">
        <v>800</v>
      </c>
    </row>
    <row r="160" spans="11:19" x14ac:dyDescent="0.2">
      <c r="K160">
        <v>132000</v>
      </c>
      <c r="L160">
        <v>1491.13</v>
      </c>
      <c r="M160">
        <v>-3131.4</v>
      </c>
      <c r="N160">
        <v>46829.1</v>
      </c>
      <c r="O160">
        <v>-1429.4</v>
      </c>
      <c r="P160">
        <v>400</v>
      </c>
      <c r="Q160">
        <v>0</v>
      </c>
      <c r="R160">
        <v>400</v>
      </c>
      <c r="S160">
        <v>800</v>
      </c>
    </row>
    <row r="161" spans="11:19" x14ac:dyDescent="0.2">
      <c r="K161">
        <v>133000</v>
      </c>
      <c r="L161">
        <v>1522.61</v>
      </c>
      <c r="M161">
        <v>-3117.83</v>
      </c>
      <c r="N161">
        <v>46717.2</v>
      </c>
      <c r="O161">
        <v>1473.43</v>
      </c>
      <c r="P161">
        <v>400</v>
      </c>
      <c r="Q161">
        <v>0</v>
      </c>
      <c r="R161">
        <v>400</v>
      </c>
      <c r="S161">
        <v>800</v>
      </c>
    </row>
    <row r="162" spans="11:19" x14ac:dyDescent="0.2">
      <c r="K162">
        <v>134000</v>
      </c>
      <c r="L162">
        <v>1518.22</v>
      </c>
      <c r="M162">
        <v>-3118.92</v>
      </c>
      <c r="N162">
        <v>46826.9</v>
      </c>
      <c r="O162">
        <v>665.74199999999996</v>
      </c>
      <c r="P162">
        <v>400</v>
      </c>
      <c r="Q162">
        <v>0</v>
      </c>
      <c r="R162">
        <v>400</v>
      </c>
      <c r="S162">
        <v>800</v>
      </c>
    </row>
    <row r="163" spans="11:19" x14ac:dyDescent="0.2">
      <c r="K163">
        <v>135000</v>
      </c>
      <c r="L163">
        <v>1443.35</v>
      </c>
      <c r="M163">
        <v>-3114.17</v>
      </c>
      <c r="N163">
        <v>47124</v>
      </c>
      <c r="O163">
        <v>53.991199999999999</v>
      </c>
      <c r="P163">
        <v>400</v>
      </c>
      <c r="Q163">
        <v>0</v>
      </c>
      <c r="R163">
        <v>400</v>
      </c>
      <c r="S163">
        <v>800</v>
      </c>
    </row>
    <row r="164" spans="11:19" x14ac:dyDescent="0.2">
      <c r="K164">
        <v>136000</v>
      </c>
      <c r="L164">
        <v>1508.5</v>
      </c>
      <c r="M164">
        <v>-3128.86</v>
      </c>
      <c r="N164">
        <v>47250.7</v>
      </c>
      <c r="O164">
        <v>148.56200000000001</v>
      </c>
      <c r="P164">
        <v>400</v>
      </c>
      <c r="Q164">
        <v>0</v>
      </c>
      <c r="R164">
        <v>400</v>
      </c>
      <c r="S164">
        <v>800</v>
      </c>
    </row>
    <row r="165" spans="11:19" x14ac:dyDescent="0.2">
      <c r="K165">
        <v>137000</v>
      </c>
      <c r="L165">
        <v>1523.77</v>
      </c>
      <c r="M165">
        <v>-3128.7</v>
      </c>
      <c r="N165">
        <v>47314.9</v>
      </c>
      <c r="O165">
        <v>-929.54100000000005</v>
      </c>
      <c r="P165">
        <v>400</v>
      </c>
      <c r="Q165">
        <v>0</v>
      </c>
      <c r="R165">
        <v>400</v>
      </c>
      <c r="S165">
        <v>800</v>
      </c>
    </row>
    <row r="166" spans="11:19" x14ac:dyDescent="0.2">
      <c r="K166">
        <v>138000</v>
      </c>
      <c r="L166">
        <v>1536.28</v>
      </c>
      <c r="M166">
        <v>-3114.27</v>
      </c>
      <c r="N166">
        <v>47267.1</v>
      </c>
      <c r="O166">
        <v>-1197.4100000000001</v>
      </c>
      <c r="P166">
        <v>400</v>
      </c>
      <c r="Q166">
        <v>0</v>
      </c>
      <c r="R166">
        <v>400</v>
      </c>
      <c r="S166">
        <v>800</v>
      </c>
    </row>
    <row r="167" spans="11:19" x14ac:dyDescent="0.2">
      <c r="K167">
        <v>139000</v>
      </c>
      <c r="L167">
        <v>1544.5</v>
      </c>
      <c r="M167">
        <v>-3113.67</v>
      </c>
      <c r="N167">
        <v>46941.7</v>
      </c>
      <c r="O167">
        <v>-1076.3800000000001</v>
      </c>
      <c r="P167">
        <v>400</v>
      </c>
      <c r="Q167">
        <v>0</v>
      </c>
      <c r="R167">
        <v>400</v>
      </c>
      <c r="S167">
        <v>800</v>
      </c>
    </row>
    <row r="168" spans="11:19" x14ac:dyDescent="0.2">
      <c r="K168">
        <v>140000</v>
      </c>
      <c r="L168">
        <v>1547.45</v>
      </c>
      <c r="M168">
        <v>-3128.21</v>
      </c>
      <c r="N168">
        <v>46531.4</v>
      </c>
      <c r="O168">
        <v>1311.22</v>
      </c>
      <c r="P168">
        <v>400</v>
      </c>
      <c r="Q168">
        <v>0</v>
      </c>
      <c r="R168">
        <v>400</v>
      </c>
      <c r="S168">
        <v>800</v>
      </c>
    </row>
    <row r="169" spans="11:19" x14ac:dyDescent="0.2">
      <c r="K169">
        <v>141000</v>
      </c>
      <c r="L169">
        <v>1507.84</v>
      </c>
      <c r="M169">
        <v>-3127.79</v>
      </c>
      <c r="N169">
        <v>46482.6</v>
      </c>
      <c r="O169">
        <v>-166.11799999999999</v>
      </c>
      <c r="P169">
        <v>400</v>
      </c>
      <c r="Q169">
        <v>0</v>
      </c>
      <c r="R169">
        <v>400</v>
      </c>
      <c r="S169">
        <v>800</v>
      </c>
    </row>
    <row r="170" spans="11:19" x14ac:dyDescent="0.2">
      <c r="K170">
        <v>142000</v>
      </c>
      <c r="L170">
        <v>1480.58</v>
      </c>
      <c r="M170">
        <v>-3126.22</v>
      </c>
      <c r="N170">
        <v>46517.599999999999</v>
      </c>
      <c r="O170">
        <v>-209.68600000000001</v>
      </c>
      <c r="P170">
        <v>400</v>
      </c>
      <c r="Q170">
        <v>0</v>
      </c>
      <c r="R170">
        <v>400</v>
      </c>
      <c r="S170">
        <v>800</v>
      </c>
    </row>
    <row r="171" spans="11:19" x14ac:dyDescent="0.2">
      <c r="K171">
        <v>143000</v>
      </c>
      <c r="L171">
        <v>1445.52</v>
      </c>
      <c r="M171">
        <v>-3117.59</v>
      </c>
      <c r="N171">
        <v>46447.199999999997</v>
      </c>
      <c r="O171">
        <v>673.26</v>
      </c>
      <c r="P171">
        <v>400</v>
      </c>
      <c r="Q171">
        <v>0</v>
      </c>
      <c r="R171">
        <v>400</v>
      </c>
      <c r="S171">
        <v>800</v>
      </c>
    </row>
    <row r="172" spans="11:19" x14ac:dyDescent="0.2">
      <c r="K172">
        <v>144000</v>
      </c>
      <c r="L172">
        <v>1498.54</v>
      </c>
      <c r="M172">
        <v>-3113.1</v>
      </c>
      <c r="N172">
        <v>46345.1</v>
      </c>
      <c r="O172">
        <v>2610.5300000000002</v>
      </c>
      <c r="P172">
        <v>400</v>
      </c>
      <c r="Q172">
        <v>0</v>
      </c>
      <c r="R172">
        <v>400</v>
      </c>
      <c r="S172">
        <v>800</v>
      </c>
    </row>
    <row r="173" spans="11:19" x14ac:dyDescent="0.2">
      <c r="K173">
        <v>145000</v>
      </c>
      <c r="L173">
        <v>1569.52</v>
      </c>
      <c r="M173">
        <v>-3124.23</v>
      </c>
      <c r="N173">
        <v>46521.4</v>
      </c>
      <c r="O173">
        <v>138.51599999999999</v>
      </c>
      <c r="P173">
        <v>400</v>
      </c>
      <c r="Q173">
        <v>0</v>
      </c>
      <c r="R173">
        <v>400</v>
      </c>
      <c r="S173">
        <v>800</v>
      </c>
    </row>
    <row r="174" spans="11:19" x14ac:dyDescent="0.2">
      <c r="K174">
        <v>146000</v>
      </c>
      <c r="L174">
        <v>1506.68</v>
      </c>
      <c r="M174">
        <v>-3120.34</v>
      </c>
      <c r="N174">
        <v>46797.2</v>
      </c>
      <c r="O174">
        <v>-998.35900000000004</v>
      </c>
      <c r="P174">
        <v>400</v>
      </c>
      <c r="Q174">
        <v>0</v>
      </c>
      <c r="R174">
        <v>400</v>
      </c>
      <c r="S174">
        <v>800</v>
      </c>
    </row>
    <row r="175" spans="11:19" x14ac:dyDescent="0.2">
      <c r="K175">
        <v>147000</v>
      </c>
      <c r="L175">
        <v>1507.73</v>
      </c>
      <c r="M175">
        <v>-3128.77</v>
      </c>
      <c r="N175">
        <v>46864.6</v>
      </c>
      <c r="O175">
        <v>57.335799999999999</v>
      </c>
      <c r="P175">
        <v>400</v>
      </c>
      <c r="Q175">
        <v>0</v>
      </c>
      <c r="R175">
        <v>400</v>
      </c>
      <c r="S175">
        <v>800</v>
      </c>
    </row>
    <row r="176" spans="11:19" x14ac:dyDescent="0.2">
      <c r="K176">
        <v>148000</v>
      </c>
      <c r="L176">
        <v>1476.61</v>
      </c>
      <c r="M176">
        <v>-3125.27</v>
      </c>
      <c r="N176">
        <v>46899.6</v>
      </c>
      <c r="O176">
        <v>-947.86599999999999</v>
      </c>
      <c r="P176">
        <v>400</v>
      </c>
      <c r="Q176">
        <v>0</v>
      </c>
      <c r="R176">
        <v>400</v>
      </c>
      <c r="S176">
        <v>800</v>
      </c>
    </row>
    <row r="177" spans="11:19" x14ac:dyDescent="0.2">
      <c r="K177">
        <v>149000</v>
      </c>
      <c r="L177">
        <v>1505.19</v>
      </c>
      <c r="M177">
        <v>-3125.29</v>
      </c>
      <c r="N177">
        <v>46870</v>
      </c>
      <c r="O177">
        <v>2410.3200000000002</v>
      </c>
      <c r="P177">
        <v>400</v>
      </c>
      <c r="Q177">
        <v>0</v>
      </c>
      <c r="R177">
        <v>400</v>
      </c>
      <c r="S177">
        <v>800</v>
      </c>
    </row>
    <row r="178" spans="11:19" x14ac:dyDescent="0.2">
      <c r="K178">
        <v>150000</v>
      </c>
      <c r="L178">
        <v>1530.88</v>
      </c>
      <c r="M178">
        <v>-3127.08</v>
      </c>
      <c r="N178">
        <v>47006.2</v>
      </c>
      <c r="O178">
        <v>-3593.66</v>
      </c>
      <c r="P178">
        <v>400</v>
      </c>
      <c r="Q178">
        <v>0</v>
      </c>
      <c r="R178">
        <v>400</v>
      </c>
      <c r="S178">
        <v>800</v>
      </c>
    </row>
    <row r="179" spans="11:19" x14ac:dyDescent="0.2">
      <c r="K179">
        <v>151000</v>
      </c>
      <c r="L179">
        <v>1488.1</v>
      </c>
      <c r="M179">
        <v>-3125.65</v>
      </c>
      <c r="N179">
        <v>46906.3</v>
      </c>
      <c r="O179">
        <v>-2150.4299999999998</v>
      </c>
      <c r="P179">
        <v>400</v>
      </c>
      <c r="Q179">
        <v>0</v>
      </c>
      <c r="R179">
        <v>400</v>
      </c>
      <c r="S179">
        <v>800</v>
      </c>
    </row>
    <row r="180" spans="11:19" x14ac:dyDescent="0.2">
      <c r="K180">
        <v>152000</v>
      </c>
      <c r="L180">
        <v>1471.13</v>
      </c>
      <c r="M180">
        <v>-3130.24</v>
      </c>
      <c r="N180">
        <v>46700.9</v>
      </c>
      <c r="O180">
        <v>256.33800000000002</v>
      </c>
      <c r="P180">
        <v>400</v>
      </c>
      <c r="Q180">
        <v>0</v>
      </c>
      <c r="R180">
        <v>400</v>
      </c>
      <c r="S180">
        <v>800</v>
      </c>
    </row>
    <row r="181" spans="11:19" x14ac:dyDescent="0.2">
      <c r="K181">
        <v>153000</v>
      </c>
      <c r="L181">
        <v>1437.94</v>
      </c>
      <c r="M181">
        <v>-3122.01</v>
      </c>
      <c r="N181">
        <v>46644.1</v>
      </c>
      <c r="O181">
        <v>1220.69</v>
      </c>
      <c r="P181">
        <v>400</v>
      </c>
      <c r="Q181">
        <v>0</v>
      </c>
      <c r="R181">
        <v>400</v>
      </c>
      <c r="S181">
        <v>800</v>
      </c>
    </row>
    <row r="182" spans="11:19" x14ac:dyDescent="0.2">
      <c r="K182">
        <v>154000</v>
      </c>
      <c r="L182">
        <v>1525.4</v>
      </c>
      <c r="M182">
        <v>-3126.85</v>
      </c>
      <c r="N182">
        <v>46652.4</v>
      </c>
      <c r="O182">
        <v>-1042.93</v>
      </c>
      <c r="P182">
        <v>400</v>
      </c>
      <c r="Q182">
        <v>0</v>
      </c>
      <c r="R182">
        <v>400</v>
      </c>
      <c r="S182">
        <v>800</v>
      </c>
    </row>
    <row r="183" spans="11:19" x14ac:dyDescent="0.2">
      <c r="K183">
        <v>155000</v>
      </c>
      <c r="L183">
        <v>1565.65</v>
      </c>
      <c r="M183">
        <v>-3131.13</v>
      </c>
      <c r="N183">
        <v>46545.9</v>
      </c>
      <c r="O183">
        <v>815.82899999999995</v>
      </c>
      <c r="P183">
        <v>400</v>
      </c>
      <c r="Q183">
        <v>0</v>
      </c>
      <c r="R183">
        <v>400</v>
      </c>
      <c r="S183">
        <v>800</v>
      </c>
    </row>
    <row r="184" spans="11:19" x14ac:dyDescent="0.2">
      <c r="K184">
        <v>156000</v>
      </c>
      <c r="L184">
        <v>1531.11</v>
      </c>
      <c r="M184">
        <v>-3134.03</v>
      </c>
      <c r="N184">
        <v>46672.6</v>
      </c>
      <c r="O184">
        <v>-265.613</v>
      </c>
      <c r="P184">
        <v>400</v>
      </c>
      <c r="Q184">
        <v>0</v>
      </c>
      <c r="R184">
        <v>400</v>
      </c>
      <c r="S184">
        <v>800</v>
      </c>
    </row>
    <row r="185" spans="11:19" x14ac:dyDescent="0.2">
      <c r="K185">
        <v>157000</v>
      </c>
      <c r="L185">
        <v>1476.82</v>
      </c>
      <c r="M185">
        <v>-3124.43</v>
      </c>
      <c r="N185">
        <v>46971.1</v>
      </c>
      <c r="O185">
        <v>-878.29899999999998</v>
      </c>
      <c r="P185">
        <v>400</v>
      </c>
      <c r="Q185">
        <v>0</v>
      </c>
      <c r="R185">
        <v>400</v>
      </c>
      <c r="S185">
        <v>800</v>
      </c>
    </row>
    <row r="186" spans="11:19" x14ac:dyDescent="0.2">
      <c r="K186">
        <v>158000</v>
      </c>
      <c r="L186">
        <v>1501.24</v>
      </c>
      <c r="M186">
        <v>-3122.44</v>
      </c>
      <c r="N186">
        <v>47030.6</v>
      </c>
      <c r="O186">
        <v>-2465.59</v>
      </c>
      <c r="P186">
        <v>400</v>
      </c>
      <c r="Q186">
        <v>0</v>
      </c>
      <c r="R186">
        <v>400</v>
      </c>
      <c r="S186">
        <v>800</v>
      </c>
    </row>
    <row r="187" spans="11:19" x14ac:dyDescent="0.2">
      <c r="K187">
        <v>159000</v>
      </c>
      <c r="L187">
        <v>1555.14</v>
      </c>
      <c r="M187">
        <v>-3127.7</v>
      </c>
      <c r="N187">
        <v>46940.4</v>
      </c>
      <c r="O187">
        <v>2588.65</v>
      </c>
      <c r="P187">
        <v>400</v>
      </c>
      <c r="Q187">
        <v>0</v>
      </c>
      <c r="R187">
        <v>400</v>
      </c>
      <c r="S187">
        <v>800</v>
      </c>
    </row>
    <row r="188" spans="11:19" x14ac:dyDescent="0.2">
      <c r="K188">
        <v>160000</v>
      </c>
      <c r="L188">
        <v>1502.52</v>
      </c>
      <c r="M188">
        <v>-3124.17</v>
      </c>
      <c r="N188">
        <v>47208.1</v>
      </c>
      <c r="O188">
        <v>-638.495</v>
      </c>
      <c r="P188">
        <v>400</v>
      </c>
      <c r="Q188">
        <v>0</v>
      </c>
      <c r="R188">
        <v>400</v>
      </c>
      <c r="S188">
        <v>800</v>
      </c>
    </row>
    <row r="189" spans="11:19" x14ac:dyDescent="0.2">
      <c r="K189">
        <v>161000</v>
      </c>
      <c r="L189">
        <v>1471.52</v>
      </c>
      <c r="M189">
        <v>-3129.47</v>
      </c>
      <c r="N189">
        <v>47391.7</v>
      </c>
      <c r="O189">
        <v>-3226.71</v>
      </c>
      <c r="P189">
        <v>400</v>
      </c>
      <c r="Q189">
        <v>0</v>
      </c>
      <c r="R189">
        <v>400</v>
      </c>
      <c r="S189">
        <v>800</v>
      </c>
    </row>
    <row r="190" spans="11:19" x14ac:dyDescent="0.2">
      <c r="K190">
        <v>162000</v>
      </c>
      <c r="L190">
        <v>1452.34</v>
      </c>
      <c r="M190">
        <v>-3132.11</v>
      </c>
      <c r="N190">
        <v>47002.1</v>
      </c>
      <c r="O190">
        <v>-2112.81</v>
      </c>
      <c r="P190">
        <v>400</v>
      </c>
      <c r="Q190">
        <v>0</v>
      </c>
      <c r="R190">
        <v>400</v>
      </c>
      <c r="S190">
        <v>800</v>
      </c>
    </row>
    <row r="191" spans="11:19" x14ac:dyDescent="0.2">
      <c r="K191">
        <v>163000</v>
      </c>
      <c r="L191">
        <v>1474.11</v>
      </c>
      <c r="M191">
        <v>-3125.58</v>
      </c>
      <c r="N191">
        <v>46389.1</v>
      </c>
      <c r="O191">
        <v>1653.94</v>
      </c>
      <c r="P191">
        <v>400</v>
      </c>
      <c r="Q191">
        <v>0</v>
      </c>
      <c r="R191">
        <v>400</v>
      </c>
      <c r="S191">
        <v>800</v>
      </c>
    </row>
    <row r="192" spans="11:19" x14ac:dyDescent="0.2">
      <c r="K192">
        <v>164000</v>
      </c>
      <c r="L192">
        <v>1549.52</v>
      </c>
      <c r="M192">
        <v>-3129.02</v>
      </c>
      <c r="N192">
        <v>46118.2</v>
      </c>
      <c r="O192">
        <v>3755.11</v>
      </c>
      <c r="P192">
        <v>400</v>
      </c>
      <c r="Q192">
        <v>0</v>
      </c>
      <c r="R192">
        <v>400</v>
      </c>
      <c r="S192">
        <v>800</v>
      </c>
    </row>
    <row r="193" spans="11:19" x14ac:dyDescent="0.2">
      <c r="K193">
        <v>165000</v>
      </c>
      <c r="L193">
        <v>1512.92</v>
      </c>
      <c r="M193">
        <v>-3125.06</v>
      </c>
      <c r="N193">
        <v>46250.7</v>
      </c>
      <c r="O193">
        <v>-384.97800000000001</v>
      </c>
      <c r="P193">
        <v>400</v>
      </c>
      <c r="Q193">
        <v>0</v>
      </c>
      <c r="R193">
        <v>400</v>
      </c>
      <c r="S193">
        <v>800</v>
      </c>
    </row>
    <row r="194" spans="11:19" x14ac:dyDescent="0.2">
      <c r="K194">
        <v>166000</v>
      </c>
      <c r="L194">
        <v>1500.41</v>
      </c>
      <c r="M194">
        <v>-3126.57</v>
      </c>
      <c r="N194">
        <v>46481</v>
      </c>
      <c r="O194">
        <v>-732.74900000000002</v>
      </c>
      <c r="P194">
        <v>400</v>
      </c>
      <c r="Q194">
        <v>0</v>
      </c>
      <c r="R194">
        <v>400</v>
      </c>
      <c r="S194">
        <v>800</v>
      </c>
    </row>
    <row r="195" spans="11:19" x14ac:dyDescent="0.2">
      <c r="K195">
        <v>167000</v>
      </c>
      <c r="L195">
        <v>1461.31</v>
      </c>
      <c r="M195">
        <v>-3131.3</v>
      </c>
      <c r="N195">
        <v>46516.9</v>
      </c>
      <c r="O195">
        <v>-2767.77</v>
      </c>
      <c r="P195">
        <v>400</v>
      </c>
      <c r="Q195">
        <v>0</v>
      </c>
      <c r="R195">
        <v>400</v>
      </c>
      <c r="S195">
        <v>800</v>
      </c>
    </row>
    <row r="196" spans="11:19" x14ac:dyDescent="0.2">
      <c r="K196">
        <v>168000</v>
      </c>
      <c r="L196">
        <v>1491.39</v>
      </c>
      <c r="M196">
        <v>-3142.83</v>
      </c>
      <c r="N196">
        <v>46268.3</v>
      </c>
      <c r="O196">
        <v>-973.92899999999997</v>
      </c>
      <c r="P196">
        <v>400</v>
      </c>
      <c r="Q196">
        <v>0</v>
      </c>
      <c r="R196">
        <v>400</v>
      </c>
      <c r="S196">
        <v>800</v>
      </c>
    </row>
    <row r="197" spans="11:19" x14ac:dyDescent="0.2">
      <c r="K197">
        <v>169000</v>
      </c>
      <c r="L197">
        <v>1541.18</v>
      </c>
      <c r="M197">
        <v>-3139.72</v>
      </c>
      <c r="N197">
        <v>46086.2</v>
      </c>
      <c r="O197">
        <v>2303.84</v>
      </c>
      <c r="P197">
        <v>400</v>
      </c>
      <c r="Q197">
        <v>0</v>
      </c>
      <c r="R197">
        <v>400</v>
      </c>
      <c r="S197">
        <v>800</v>
      </c>
    </row>
    <row r="198" spans="11:19" x14ac:dyDescent="0.2">
      <c r="K198">
        <v>170000</v>
      </c>
      <c r="L198">
        <v>1506.51</v>
      </c>
      <c r="M198">
        <v>-3125.43</v>
      </c>
      <c r="N198">
        <v>46268.5</v>
      </c>
      <c r="O198">
        <v>-177.69399999999999</v>
      </c>
      <c r="P198">
        <v>400</v>
      </c>
      <c r="Q198">
        <v>0</v>
      </c>
      <c r="R198">
        <v>400</v>
      </c>
      <c r="S198">
        <v>800</v>
      </c>
    </row>
    <row r="199" spans="11:19" x14ac:dyDescent="0.2">
      <c r="K199">
        <v>171000</v>
      </c>
      <c r="L199">
        <v>1488.99</v>
      </c>
      <c r="M199">
        <v>-3122.54</v>
      </c>
      <c r="N199">
        <v>46267.7</v>
      </c>
      <c r="O199">
        <v>1683.1</v>
      </c>
      <c r="P199">
        <v>400</v>
      </c>
      <c r="Q199">
        <v>0</v>
      </c>
      <c r="R199">
        <v>400</v>
      </c>
      <c r="S199">
        <v>800</v>
      </c>
    </row>
    <row r="200" spans="11:19" x14ac:dyDescent="0.2">
      <c r="K200">
        <v>172000</v>
      </c>
      <c r="L200">
        <v>1517.39</v>
      </c>
      <c r="M200">
        <v>-3127.6</v>
      </c>
      <c r="N200">
        <v>46310.5</v>
      </c>
      <c r="O200">
        <v>-1732.71</v>
      </c>
      <c r="P200">
        <v>400</v>
      </c>
      <c r="Q200">
        <v>0</v>
      </c>
      <c r="R200">
        <v>400</v>
      </c>
      <c r="S200">
        <v>800</v>
      </c>
    </row>
    <row r="201" spans="11:19" x14ac:dyDescent="0.2">
      <c r="K201">
        <v>173000</v>
      </c>
      <c r="L201">
        <v>1482.39</v>
      </c>
      <c r="M201">
        <v>-3121.73</v>
      </c>
      <c r="N201">
        <v>46447.1</v>
      </c>
      <c r="O201">
        <v>1676.18</v>
      </c>
      <c r="P201">
        <v>400</v>
      </c>
      <c r="Q201">
        <v>0</v>
      </c>
      <c r="R201">
        <v>400</v>
      </c>
      <c r="S201">
        <v>800</v>
      </c>
    </row>
    <row r="202" spans="11:19" x14ac:dyDescent="0.2">
      <c r="K202">
        <v>174000</v>
      </c>
      <c r="L202">
        <v>1482.69</v>
      </c>
      <c r="M202">
        <v>-3120.27</v>
      </c>
      <c r="N202">
        <v>46816.3</v>
      </c>
      <c r="O202">
        <v>-521.495</v>
      </c>
      <c r="P202">
        <v>400</v>
      </c>
      <c r="Q202">
        <v>0</v>
      </c>
      <c r="R202">
        <v>400</v>
      </c>
      <c r="S202">
        <v>800</v>
      </c>
    </row>
    <row r="203" spans="11:19" x14ac:dyDescent="0.2">
      <c r="K203">
        <v>175000</v>
      </c>
      <c r="L203">
        <v>1496.72</v>
      </c>
      <c r="M203">
        <v>-3117.31</v>
      </c>
      <c r="N203">
        <v>47033.8</v>
      </c>
      <c r="O203">
        <v>-500.911</v>
      </c>
      <c r="P203">
        <v>400</v>
      </c>
      <c r="Q203">
        <v>0</v>
      </c>
      <c r="R203">
        <v>400</v>
      </c>
      <c r="S203">
        <v>800</v>
      </c>
    </row>
    <row r="204" spans="11:19" x14ac:dyDescent="0.2">
      <c r="K204">
        <v>176000</v>
      </c>
      <c r="L204">
        <v>1514.95</v>
      </c>
      <c r="M204">
        <v>-3112.78</v>
      </c>
      <c r="N204">
        <v>47194.9</v>
      </c>
      <c r="O204">
        <v>545.27099999999996</v>
      </c>
      <c r="P204">
        <v>400</v>
      </c>
      <c r="Q204">
        <v>0</v>
      </c>
      <c r="R204">
        <v>400</v>
      </c>
      <c r="S204">
        <v>800</v>
      </c>
    </row>
    <row r="205" spans="11:19" x14ac:dyDescent="0.2">
      <c r="K205">
        <v>177000</v>
      </c>
      <c r="L205">
        <v>1544.47</v>
      </c>
      <c r="M205">
        <v>-3118.21</v>
      </c>
      <c r="N205">
        <v>47278.8</v>
      </c>
      <c r="O205">
        <v>-990.31500000000005</v>
      </c>
      <c r="P205">
        <v>400</v>
      </c>
      <c r="Q205">
        <v>0</v>
      </c>
      <c r="R205">
        <v>400</v>
      </c>
      <c r="S205">
        <v>800</v>
      </c>
    </row>
    <row r="206" spans="11:19" x14ac:dyDescent="0.2">
      <c r="K206">
        <v>178000</v>
      </c>
      <c r="L206">
        <v>1487.93</v>
      </c>
      <c r="M206">
        <v>-3122.22</v>
      </c>
      <c r="N206">
        <v>47148.3</v>
      </c>
      <c r="O206">
        <v>-3106.82</v>
      </c>
      <c r="P206">
        <v>400</v>
      </c>
      <c r="Q206">
        <v>0</v>
      </c>
      <c r="R206">
        <v>400</v>
      </c>
      <c r="S206">
        <v>800</v>
      </c>
    </row>
    <row r="207" spans="11:19" x14ac:dyDescent="0.2">
      <c r="K207">
        <v>179000</v>
      </c>
      <c r="L207">
        <v>1464.51</v>
      </c>
      <c r="M207">
        <v>-3119.64</v>
      </c>
      <c r="N207">
        <v>46755</v>
      </c>
      <c r="O207">
        <v>200.887</v>
      </c>
      <c r="P207">
        <v>400</v>
      </c>
      <c r="Q207">
        <v>0</v>
      </c>
      <c r="R207">
        <v>400</v>
      </c>
      <c r="S207">
        <v>800</v>
      </c>
    </row>
    <row r="208" spans="11:19" x14ac:dyDescent="0.2">
      <c r="K208">
        <v>180000</v>
      </c>
      <c r="L208">
        <v>1515.81</v>
      </c>
      <c r="M208">
        <v>-3128.22</v>
      </c>
      <c r="N208">
        <v>46420.7</v>
      </c>
      <c r="O208">
        <v>1722.94</v>
      </c>
      <c r="P208">
        <v>400</v>
      </c>
      <c r="Q208">
        <v>0</v>
      </c>
      <c r="R208">
        <v>400</v>
      </c>
      <c r="S208">
        <v>800</v>
      </c>
    </row>
    <row r="209" spans="11:19" x14ac:dyDescent="0.2">
      <c r="K209">
        <v>181000</v>
      </c>
      <c r="L209">
        <v>1511.03</v>
      </c>
      <c r="M209">
        <v>-3129.4</v>
      </c>
      <c r="N209">
        <v>46448.4</v>
      </c>
      <c r="O209">
        <v>355.14</v>
      </c>
      <c r="P209">
        <v>400</v>
      </c>
      <c r="Q209">
        <v>0</v>
      </c>
      <c r="R209">
        <v>400</v>
      </c>
      <c r="S209">
        <v>800</v>
      </c>
    </row>
    <row r="210" spans="11:19" x14ac:dyDescent="0.2">
      <c r="K210">
        <v>182000</v>
      </c>
      <c r="L210">
        <v>1452.14</v>
      </c>
      <c r="M210">
        <v>-3126.04</v>
      </c>
      <c r="N210">
        <v>46645.3</v>
      </c>
      <c r="O210">
        <v>-1297.6099999999999</v>
      </c>
      <c r="P210">
        <v>400</v>
      </c>
      <c r="Q210">
        <v>0</v>
      </c>
      <c r="R210">
        <v>400</v>
      </c>
      <c r="S210">
        <v>800</v>
      </c>
    </row>
    <row r="211" spans="11:19" x14ac:dyDescent="0.2">
      <c r="K211">
        <v>183000</v>
      </c>
      <c r="L211">
        <v>1441.07</v>
      </c>
      <c r="M211">
        <v>-3124.11</v>
      </c>
      <c r="N211">
        <v>46530.5</v>
      </c>
      <c r="O211">
        <v>-296.61599999999999</v>
      </c>
      <c r="P211">
        <v>400</v>
      </c>
      <c r="Q211">
        <v>0</v>
      </c>
      <c r="R211">
        <v>400</v>
      </c>
      <c r="S211">
        <v>800</v>
      </c>
    </row>
    <row r="212" spans="11:19" x14ac:dyDescent="0.2">
      <c r="K212">
        <v>184000</v>
      </c>
      <c r="L212">
        <v>1579.87</v>
      </c>
      <c r="M212">
        <v>-3138.47</v>
      </c>
      <c r="N212">
        <v>46327.6</v>
      </c>
      <c r="O212">
        <v>543.875</v>
      </c>
      <c r="P212">
        <v>400</v>
      </c>
      <c r="Q212">
        <v>0</v>
      </c>
      <c r="R212">
        <v>400</v>
      </c>
      <c r="S212">
        <v>800</v>
      </c>
    </row>
    <row r="213" spans="11:19" x14ac:dyDescent="0.2">
      <c r="K213">
        <v>185000</v>
      </c>
      <c r="L213">
        <v>1529.52</v>
      </c>
      <c r="M213">
        <v>-3128.37</v>
      </c>
      <c r="N213">
        <v>46452.7</v>
      </c>
      <c r="O213">
        <v>1902.81</v>
      </c>
      <c r="P213">
        <v>400</v>
      </c>
      <c r="Q213">
        <v>0</v>
      </c>
      <c r="R213">
        <v>400</v>
      </c>
      <c r="S213">
        <v>800</v>
      </c>
    </row>
    <row r="214" spans="11:19" x14ac:dyDescent="0.2">
      <c r="K214">
        <v>186000</v>
      </c>
      <c r="L214">
        <v>1479.55</v>
      </c>
      <c r="M214">
        <v>-3124.08</v>
      </c>
      <c r="N214">
        <v>46737.599999999999</v>
      </c>
      <c r="O214">
        <v>-118.521</v>
      </c>
      <c r="P214">
        <v>400</v>
      </c>
      <c r="Q214">
        <v>0</v>
      </c>
      <c r="R214">
        <v>400</v>
      </c>
      <c r="S214">
        <v>800</v>
      </c>
    </row>
    <row r="215" spans="11:19" x14ac:dyDescent="0.2">
      <c r="K215">
        <v>187000</v>
      </c>
      <c r="L215">
        <v>1476.04</v>
      </c>
      <c r="M215">
        <v>-3135.47</v>
      </c>
      <c r="N215">
        <v>46877.2</v>
      </c>
      <c r="O215">
        <v>-667.64300000000003</v>
      </c>
      <c r="P215">
        <v>400</v>
      </c>
      <c r="Q215">
        <v>0</v>
      </c>
      <c r="R215">
        <v>400</v>
      </c>
      <c r="S215">
        <v>800</v>
      </c>
    </row>
    <row r="216" spans="11:19" x14ac:dyDescent="0.2">
      <c r="K216">
        <v>188000</v>
      </c>
      <c r="L216">
        <v>1452.03</v>
      </c>
      <c r="M216">
        <v>-3135.87</v>
      </c>
      <c r="N216">
        <v>46859</v>
      </c>
      <c r="O216">
        <v>-2012.91</v>
      </c>
      <c r="P216">
        <v>400</v>
      </c>
      <c r="Q216">
        <v>0</v>
      </c>
      <c r="R216">
        <v>400</v>
      </c>
      <c r="S216">
        <v>800</v>
      </c>
    </row>
    <row r="217" spans="11:19" x14ac:dyDescent="0.2">
      <c r="K217">
        <v>189000</v>
      </c>
      <c r="L217">
        <v>1541.42</v>
      </c>
      <c r="M217">
        <v>-3141.05</v>
      </c>
      <c r="N217">
        <v>46630</v>
      </c>
      <c r="O217">
        <v>-589.73</v>
      </c>
      <c r="P217">
        <v>400</v>
      </c>
      <c r="Q217">
        <v>0</v>
      </c>
      <c r="R217">
        <v>400</v>
      </c>
      <c r="S217">
        <v>800</v>
      </c>
    </row>
    <row r="218" spans="11:19" x14ac:dyDescent="0.2">
      <c r="K218">
        <v>190000</v>
      </c>
      <c r="L218">
        <v>1486.78</v>
      </c>
      <c r="M218">
        <v>-3126.26</v>
      </c>
      <c r="N218">
        <v>46479.9</v>
      </c>
      <c r="O218">
        <v>2885.68</v>
      </c>
      <c r="P218">
        <v>400</v>
      </c>
      <c r="Q218">
        <v>0</v>
      </c>
      <c r="R218">
        <v>400</v>
      </c>
      <c r="S218">
        <v>800</v>
      </c>
    </row>
    <row r="219" spans="11:19" x14ac:dyDescent="0.2">
      <c r="K219">
        <v>191000</v>
      </c>
      <c r="L219">
        <v>1509.5</v>
      </c>
      <c r="M219">
        <v>-3127.66</v>
      </c>
      <c r="N219">
        <v>46690</v>
      </c>
      <c r="O219">
        <v>-410.22500000000002</v>
      </c>
      <c r="P219">
        <v>400</v>
      </c>
      <c r="Q219">
        <v>0</v>
      </c>
      <c r="R219">
        <v>400</v>
      </c>
      <c r="S219">
        <v>800</v>
      </c>
    </row>
    <row r="220" spans="11:19" x14ac:dyDescent="0.2">
      <c r="K220">
        <v>192000</v>
      </c>
      <c r="L220">
        <v>1473.73</v>
      </c>
      <c r="M220">
        <v>-3121.3</v>
      </c>
      <c r="N220">
        <v>46976</v>
      </c>
      <c r="O220">
        <v>-1062.01</v>
      </c>
      <c r="P220">
        <v>400</v>
      </c>
      <c r="Q220">
        <v>0</v>
      </c>
      <c r="R220">
        <v>400</v>
      </c>
      <c r="S220">
        <v>800</v>
      </c>
    </row>
    <row r="221" spans="11:19" x14ac:dyDescent="0.2">
      <c r="K221">
        <v>193000</v>
      </c>
      <c r="L221">
        <v>1471.25</v>
      </c>
      <c r="M221">
        <v>-3127.62</v>
      </c>
      <c r="N221">
        <v>46951.1</v>
      </c>
      <c r="O221">
        <v>-2153.96</v>
      </c>
      <c r="P221">
        <v>400</v>
      </c>
      <c r="Q221">
        <v>0</v>
      </c>
      <c r="R221">
        <v>400</v>
      </c>
      <c r="S221">
        <v>800</v>
      </c>
    </row>
    <row r="222" spans="11:19" x14ac:dyDescent="0.2">
      <c r="K222">
        <v>194000</v>
      </c>
      <c r="L222">
        <v>1461.52</v>
      </c>
      <c r="M222">
        <v>-3126.91</v>
      </c>
      <c r="N222">
        <v>46677.1</v>
      </c>
      <c r="O222">
        <v>-34.598399999999998</v>
      </c>
      <c r="P222">
        <v>400</v>
      </c>
      <c r="Q222">
        <v>0</v>
      </c>
      <c r="R222">
        <v>400</v>
      </c>
      <c r="S222">
        <v>800</v>
      </c>
    </row>
    <row r="223" spans="11:19" x14ac:dyDescent="0.2">
      <c r="K223">
        <v>195000</v>
      </c>
      <c r="L223">
        <v>1521.28</v>
      </c>
      <c r="M223">
        <v>-3126.36</v>
      </c>
      <c r="N223">
        <v>46445</v>
      </c>
      <c r="O223">
        <v>2346.96</v>
      </c>
      <c r="P223">
        <v>400</v>
      </c>
      <c r="Q223">
        <v>0</v>
      </c>
      <c r="R223">
        <v>400</v>
      </c>
      <c r="S223">
        <v>800</v>
      </c>
    </row>
    <row r="224" spans="11:19" x14ac:dyDescent="0.2">
      <c r="K224">
        <v>196000</v>
      </c>
      <c r="L224">
        <v>1527.39</v>
      </c>
      <c r="M224">
        <v>-3126.61</v>
      </c>
      <c r="N224">
        <v>46621.2</v>
      </c>
      <c r="O224">
        <v>-34.573599999999999</v>
      </c>
      <c r="P224">
        <v>400</v>
      </c>
      <c r="Q224">
        <v>0</v>
      </c>
      <c r="R224">
        <v>400</v>
      </c>
      <c r="S224">
        <v>800</v>
      </c>
    </row>
    <row r="225" spans="11:19" x14ac:dyDescent="0.2">
      <c r="K225">
        <v>197000</v>
      </c>
      <c r="L225">
        <v>1459.79</v>
      </c>
      <c r="M225">
        <v>-3122.8</v>
      </c>
      <c r="N225">
        <v>46878.9</v>
      </c>
      <c r="O225">
        <v>-532.75900000000001</v>
      </c>
      <c r="P225">
        <v>400</v>
      </c>
      <c r="Q225">
        <v>0</v>
      </c>
      <c r="R225">
        <v>400</v>
      </c>
      <c r="S225">
        <v>800</v>
      </c>
    </row>
    <row r="226" spans="11:19" x14ac:dyDescent="0.2">
      <c r="K226">
        <v>198000</v>
      </c>
      <c r="L226">
        <v>1439.68</v>
      </c>
      <c r="M226">
        <v>-3125.29</v>
      </c>
      <c r="N226">
        <v>46830.9</v>
      </c>
      <c r="O226">
        <v>-1203.8699999999999</v>
      </c>
      <c r="P226">
        <v>400</v>
      </c>
      <c r="Q226">
        <v>0</v>
      </c>
      <c r="R226">
        <v>400</v>
      </c>
      <c r="S226">
        <v>800</v>
      </c>
    </row>
    <row r="227" spans="11:19" x14ac:dyDescent="0.2">
      <c r="K227">
        <v>199000</v>
      </c>
      <c r="L227">
        <v>1542.02</v>
      </c>
      <c r="M227">
        <v>-3127.83</v>
      </c>
      <c r="N227">
        <v>46677.3</v>
      </c>
      <c r="O227">
        <v>2342.02</v>
      </c>
      <c r="P227">
        <v>400</v>
      </c>
      <c r="Q227">
        <v>0</v>
      </c>
      <c r="R227">
        <v>400</v>
      </c>
      <c r="S227">
        <v>800</v>
      </c>
    </row>
    <row r="228" spans="11:19" x14ac:dyDescent="0.2">
      <c r="K228">
        <v>200000</v>
      </c>
      <c r="L228">
        <v>1499.22</v>
      </c>
      <c r="M228">
        <v>-3118.39</v>
      </c>
      <c r="N228">
        <v>46831.199999999997</v>
      </c>
      <c r="O228">
        <v>-303.60300000000001</v>
      </c>
      <c r="P228">
        <v>400</v>
      </c>
      <c r="Q228">
        <v>0</v>
      </c>
      <c r="R228">
        <v>400</v>
      </c>
      <c r="S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B2:N18"/>
  <sheetViews>
    <sheetView workbookViewId="0">
      <selection activeCell="L23" sqref="L23"/>
    </sheetView>
  </sheetViews>
  <sheetFormatPr baseColWidth="10" defaultRowHeight="16" x14ac:dyDescent="0.2"/>
  <sheetData>
    <row r="2" spans="2:14" x14ac:dyDescent="0.2">
      <c r="G2" t="s">
        <v>14</v>
      </c>
      <c r="H2">
        <v>6.94</v>
      </c>
      <c r="I2">
        <v>39.097999999999999</v>
      </c>
      <c r="J2">
        <v>22.99</v>
      </c>
      <c r="K2">
        <v>35.450000000000003</v>
      </c>
    </row>
    <row r="3" spans="2:14" x14ac:dyDescent="0.2">
      <c r="C3" t="s">
        <v>47</v>
      </c>
      <c r="H3" t="s">
        <v>10</v>
      </c>
      <c r="I3" t="s">
        <v>11</v>
      </c>
      <c r="J3" t="s">
        <v>12</v>
      </c>
      <c r="K3" t="s">
        <v>13</v>
      </c>
    </row>
    <row r="5" spans="2:14" x14ac:dyDescent="0.2">
      <c r="B5" t="s">
        <v>41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15</v>
      </c>
      <c r="M5" t="s">
        <v>16</v>
      </c>
      <c r="N5" t="s">
        <v>21</v>
      </c>
    </row>
    <row r="8" spans="2:14" x14ac:dyDescent="0.2">
      <c r="B8">
        <f>J8/SUM(H8:J8)</f>
        <v>0</v>
      </c>
      <c r="C8">
        <v>200000</v>
      </c>
      <c r="D8">
        <v>1502.59</v>
      </c>
      <c r="E8">
        <v>-2275.5100000000002</v>
      </c>
      <c r="F8">
        <v>73458.100000000006</v>
      </c>
      <c r="G8">
        <v>-1.4189400000000001</v>
      </c>
      <c r="H8">
        <v>0</v>
      </c>
      <c r="I8">
        <v>800</v>
      </c>
      <c r="J8">
        <v>0</v>
      </c>
      <c r="K8">
        <v>800</v>
      </c>
      <c r="L8">
        <f t="shared" ref="L8" si="0">H8*H$2+I8*I$2+J8*J$2+K8*K$2</f>
        <v>59638.400000000001</v>
      </c>
      <c r="M8">
        <f t="shared" ref="M8" si="1">L8*(1.66054E-24)/(F8)/(1E-24)</f>
        <v>1.3481419848321696</v>
      </c>
      <c r="N8">
        <f t="shared" ref="N8" si="2">E8+SUM(H8:K8)*1.5*(0.000086173)*D8</f>
        <v>-1964.7515486320003</v>
      </c>
    </row>
    <row r="9" spans="2:14" x14ac:dyDescent="0.2">
      <c r="B9">
        <f>J9/SUM(H9:J9)</f>
        <v>0.1</v>
      </c>
      <c r="C9">
        <v>200000</v>
      </c>
      <c r="D9" s="4">
        <v>1500.96</v>
      </c>
      <c r="E9">
        <v>-2269.5700000000002</v>
      </c>
      <c r="F9">
        <v>70973.8</v>
      </c>
      <c r="G9">
        <v>-22.1587</v>
      </c>
      <c r="H9">
        <v>0</v>
      </c>
      <c r="I9">
        <v>720</v>
      </c>
      <c r="J9">
        <v>80</v>
      </c>
      <c r="K9">
        <v>800</v>
      </c>
      <c r="L9">
        <f>H9*H$2+I9*I$2+J9*J$2+K9*K$2</f>
        <v>58349.760000000002</v>
      </c>
      <c r="M9">
        <f>L9*(1.66054E-24)/(F9)/(1E-24)</f>
        <v>1.3651813834175428</v>
      </c>
      <c r="N9">
        <f t="shared" ref="N9:N17" si="3">E9+SUM(H9:K9)*1.5*(0.000086173)*D9</f>
        <v>-1959.1486574080002</v>
      </c>
    </row>
    <row r="10" spans="2:14" x14ac:dyDescent="0.2">
      <c r="B10">
        <f t="shared" ref="B10:B18" si="4">J10/SUM(H10:J10)</f>
        <v>0.2</v>
      </c>
      <c r="C10">
        <v>200000</v>
      </c>
      <c r="D10">
        <v>1495.98</v>
      </c>
      <c r="E10">
        <v>-2260.92</v>
      </c>
      <c r="F10">
        <v>68854.2</v>
      </c>
      <c r="G10">
        <v>-8.8115000000000006</v>
      </c>
      <c r="H10">
        <v>0</v>
      </c>
      <c r="I10">
        <v>640</v>
      </c>
      <c r="J10">
        <v>160</v>
      </c>
      <c r="K10">
        <v>800</v>
      </c>
      <c r="L10">
        <f t="shared" ref="L10:L17" si="5">H10*H$2+I10*I$2+J10*J$2+K10*K$2</f>
        <v>57061.12000000001</v>
      </c>
      <c r="M10">
        <f t="shared" ref="M10:M17" si="6">L10*(1.66054E-24)/(F10)/(1E-24)</f>
        <v>1.3761291570419816</v>
      </c>
      <c r="N10">
        <f t="shared" si="3"/>
        <v>-1951.528597104</v>
      </c>
    </row>
    <row r="11" spans="2:14" x14ac:dyDescent="0.2">
      <c r="B11">
        <f t="shared" si="4"/>
        <v>0.3</v>
      </c>
      <c r="C11">
        <v>200000</v>
      </c>
      <c r="D11">
        <v>1500.96</v>
      </c>
      <c r="E11">
        <v>-2250.31</v>
      </c>
      <c r="F11">
        <v>66662.600000000006</v>
      </c>
      <c r="G11">
        <v>7.2249499999999998</v>
      </c>
      <c r="H11">
        <v>0</v>
      </c>
      <c r="I11">
        <v>560</v>
      </c>
      <c r="J11">
        <v>240</v>
      </c>
      <c r="K11">
        <v>800</v>
      </c>
      <c r="L11">
        <f t="shared" si="5"/>
        <v>55772.480000000003</v>
      </c>
      <c r="M11">
        <f t="shared" si="6"/>
        <v>1.3892712546345327</v>
      </c>
      <c r="N11">
        <f t="shared" si="3"/>
        <v>-1939.888657408</v>
      </c>
    </row>
    <row r="12" spans="2:14" x14ac:dyDescent="0.2">
      <c r="B12">
        <f t="shared" si="4"/>
        <v>0.4</v>
      </c>
      <c r="C12">
        <v>200000</v>
      </c>
      <c r="D12">
        <v>1494.98</v>
      </c>
      <c r="E12">
        <v>-2240.2199999999998</v>
      </c>
      <c r="F12">
        <v>64861.5</v>
      </c>
      <c r="G12">
        <v>40.361400000000003</v>
      </c>
      <c r="H12">
        <v>0</v>
      </c>
      <c r="I12">
        <v>480</v>
      </c>
      <c r="J12">
        <v>320</v>
      </c>
      <c r="K12">
        <v>800</v>
      </c>
      <c r="L12">
        <f t="shared" si="5"/>
        <v>54483.840000000004</v>
      </c>
      <c r="M12">
        <f t="shared" si="6"/>
        <v>1.3948582082375525</v>
      </c>
      <c r="N12">
        <f t="shared" si="3"/>
        <v>-1931.0354123039997</v>
      </c>
    </row>
    <row r="13" spans="2:14" x14ac:dyDescent="0.2">
      <c r="B13">
        <f t="shared" si="4"/>
        <v>0.5</v>
      </c>
      <c r="C13">
        <v>200000</v>
      </c>
      <c r="D13" s="3">
        <v>1503.01</v>
      </c>
      <c r="E13">
        <v>-2226.02</v>
      </c>
      <c r="F13" s="3">
        <v>62951</v>
      </c>
      <c r="G13" s="3">
        <v>-1.9206700000000001</v>
      </c>
      <c r="H13">
        <v>0</v>
      </c>
      <c r="I13">
        <v>400</v>
      </c>
      <c r="J13">
        <v>400</v>
      </c>
      <c r="K13">
        <v>800</v>
      </c>
      <c r="L13">
        <f t="shared" si="5"/>
        <v>53195.199999999997</v>
      </c>
      <c r="M13">
        <f t="shared" si="6"/>
        <v>1.4031986371622374</v>
      </c>
      <c r="N13">
        <f t="shared" si="3"/>
        <v>-1915.1746862479999</v>
      </c>
    </row>
    <row r="14" spans="2:14" x14ac:dyDescent="0.2">
      <c r="B14">
        <f t="shared" si="4"/>
        <v>0.6</v>
      </c>
      <c r="C14">
        <v>200000</v>
      </c>
      <c r="D14">
        <v>1501.18</v>
      </c>
      <c r="E14">
        <v>-2214.33</v>
      </c>
      <c r="F14">
        <v>61081.8</v>
      </c>
      <c r="G14">
        <v>-23.603400000000001</v>
      </c>
      <c r="H14">
        <v>0</v>
      </c>
      <c r="I14">
        <v>320</v>
      </c>
      <c r="J14">
        <v>480</v>
      </c>
      <c r="K14">
        <v>800</v>
      </c>
      <c r="L14">
        <f t="shared" si="5"/>
        <v>51906.559999999998</v>
      </c>
      <c r="M14">
        <f t="shared" si="6"/>
        <v>1.4111064039108212</v>
      </c>
      <c r="N14">
        <f t="shared" si="3"/>
        <v>-1903.8631580639999</v>
      </c>
    </row>
    <row r="15" spans="2:14" x14ac:dyDescent="0.2">
      <c r="B15">
        <f t="shared" si="4"/>
        <v>0.7</v>
      </c>
      <c r="C15">
        <v>200000</v>
      </c>
      <c r="D15">
        <v>1499.52</v>
      </c>
      <c r="E15">
        <v>-2201.62</v>
      </c>
      <c r="F15">
        <v>58866.7</v>
      </c>
      <c r="G15">
        <v>20.2896</v>
      </c>
      <c r="H15">
        <v>0</v>
      </c>
      <c r="I15">
        <v>240</v>
      </c>
      <c r="J15">
        <v>560</v>
      </c>
      <c r="K15">
        <v>800</v>
      </c>
      <c r="L15">
        <f t="shared" si="5"/>
        <v>50617.919999999998</v>
      </c>
      <c r="M15">
        <f t="shared" si="6"/>
        <v>1.4278544725082263</v>
      </c>
      <c r="N15">
        <f t="shared" si="3"/>
        <v>-1891.496471296</v>
      </c>
    </row>
    <row r="16" spans="2:14" x14ac:dyDescent="0.2">
      <c r="B16">
        <f t="shared" si="4"/>
        <v>0.8</v>
      </c>
      <c r="C16">
        <v>200000</v>
      </c>
      <c r="D16">
        <v>1502.15</v>
      </c>
      <c r="E16">
        <v>-2189.13</v>
      </c>
      <c r="F16">
        <v>57403</v>
      </c>
      <c r="G16">
        <v>-22.900300000000001</v>
      </c>
      <c r="H16">
        <v>0</v>
      </c>
      <c r="I16">
        <v>160</v>
      </c>
      <c r="J16">
        <v>640</v>
      </c>
      <c r="K16">
        <v>800</v>
      </c>
      <c r="L16">
        <f t="shared" si="5"/>
        <v>49329.279999999999</v>
      </c>
      <c r="M16">
        <f t="shared" si="6"/>
        <v>1.4269853946866891</v>
      </c>
      <c r="N16">
        <f t="shared" si="3"/>
        <v>-1878.4625473200001</v>
      </c>
    </row>
    <row r="17" spans="2:14" x14ac:dyDescent="0.2">
      <c r="B17">
        <f t="shared" si="4"/>
        <v>0.9</v>
      </c>
      <c r="C17">
        <v>200000</v>
      </c>
      <c r="D17">
        <v>1502.62</v>
      </c>
      <c r="E17">
        <v>-2175.89</v>
      </c>
      <c r="F17">
        <v>55538.6</v>
      </c>
      <c r="G17">
        <v>16.9299</v>
      </c>
      <c r="H17">
        <v>0</v>
      </c>
      <c r="I17">
        <v>80</v>
      </c>
      <c r="J17">
        <v>720</v>
      </c>
      <c r="K17">
        <v>800</v>
      </c>
      <c r="L17">
        <f t="shared" si="5"/>
        <v>48040.639999999999</v>
      </c>
      <c r="M17">
        <f t="shared" si="6"/>
        <v>1.4363596551875635</v>
      </c>
      <c r="N17">
        <f t="shared" si="3"/>
        <v>-1865.125344176</v>
      </c>
    </row>
    <row r="18" spans="2:14" x14ac:dyDescent="0.2">
      <c r="B18">
        <f t="shared" si="4"/>
        <v>1</v>
      </c>
      <c r="C18">
        <v>200000</v>
      </c>
      <c r="D18">
        <v>1503.94</v>
      </c>
      <c r="E18">
        <v>-2165.48</v>
      </c>
      <c r="F18">
        <v>53305</v>
      </c>
      <c r="G18">
        <v>-6.72037</v>
      </c>
      <c r="H18">
        <v>0</v>
      </c>
      <c r="I18">
        <v>0</v>
      </c>
      <c r="J18">
        <v>800</v>
      </c>
      <c r="K18">
        <v>800</v>
      </c>
      <c r="L18">
        <f>H18*H$2+I18*I$2+J18*J$2+K18*K$2</f>
        <v>46752</v>
      </c>
      <c r="M18">
        <f>L18*(1.66054E-24)/(F18)/(1E-24)</f>
        <v>1.4564030781352593</v>
      </c>
      <c r="N18">
        <f>E18+SUM(H18:K18)*1.5*(0.000086173)*D18</f>
        <v>-1854.442348112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20"/>
  <sheetViews>
    <sheetView workbookViewId="0">
      <selection activeCell="L22" sqref="L22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1499.15</v>
      </c>
      <c r="F8">
        <v>-3679.83</v>
      </c>
      <c r="G8">
        <v>48719.3</v>
      </c>
      <c r="H8">
        <v>-9.0073399999999992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1.2872996423511833</v>
      </c>
      <c r="O8">
        <f t="shared" ref="O8" si="2">F8+SUM(I8:L8)*1.5*(0.000086173)*E8</f>
        <v>-3369.7829929199997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1494.88</v>
      </c>
      <c r="F9">
        <v>-3313.47</v>
      </c>
      <c r="G9">
        <v>53966</v>
      </c>
      <c r="H9">
        <v>-17.787400000000002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1.2808146323833527</v>
      </c>
      <c r="O9">
        <f t="shared" ref="O9:O18" si="5">F9+SUM(I9:L9)*1.5*(0.000086173)*E9</f>
        <v>-3004.3060938239996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1498.72</v>
      </c>
      <c r="F10">
        <v>-2941.83</v>
      </c>
      <c r="G10">
        <v>58943.5</v>
      </c>
      <c r="H10">
        <v>7.0408499999999998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1.2813040867406924</v>
      </c>
      <c r="O10">
        <f t="shared" si="5"/>
        <v>-2631.8719234559999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1507.17</v>
      </c>
      <c r="F11">
        <v>-2561.15</v>
      </c>
      <c r="G11">
        <v>64886.7</v>
      </c>
      <c r="H11">
        <v>-4.4074299999999997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1.262641688087081</v>
      </c>
      <c r="O11">
        <f t="shared" si="5"/>
        <v>-2249.444335016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1497.06</v>
      </c>
      <c r="F12">
        <v>-2406.89</v>
      </c>
      <c r="G12">
        <v>76582.3</v>
      </c>
      <c r="H12">
        <v>10.7957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1.2094196549959981</v>
      </c>
      <c r="O12">
        <f t="shared" si="5"/>
        <v>-2097.2752366879999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1492.77</v>
      </c>
      <c r="F13">
        <v>-2593.15</v>
      </c>
      <c r="G13" s="3">
        <v>68832.2</v>
      </c>
      <c r="H13" s="3">
        <v>33.191400000000002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1.2524418651968123</v>
      </c>
      <c r="O13">
        <f t="shared" si="5"/>
        <v>-2284.4224738960002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1495.56</v>
      </c>
      <c r="F14">
        <v>-2762.27</v>
      </c>
      <c r="G14" s="3">
        <v>62674.6</v>
      </c>
      <c r="H14" s="3">
        <v>6.1082900000000002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1.2731875283192873</v>
      </c>
      <c r="O14">
        <f t="shared" ref="O14" si="14">F14+SUM(I14:L14)*1.5*(0.000086173)*E14</f>
        <v>-2452.9654594879999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1495.5</v>
      </c>
      <c r="F15">
        <v>-2927.61</v>
      </c>
      <c r="G15">
        <v>57128.1</v>
      </c>
      <c r="H15">
        <v>-3.7949099999999998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1.2845641491875277</v>
      </c>
      <c r="O15">
        <f t="shared" si="5"/>
        <v>-2618.3178684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1497.37</v>
      </c>
      <c r="F16">
        <v>-2330.84</v>
      </c>
      <c r="G16">
        <v>59571.1</v>
      </c>
      <c r="H16">
        <v>13.288399999999999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1.303337876681814</v>
      </c>
      <c r="O16">
        <f t="shared" si="5"/>
        <v>-2021.1611239760002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1504.13</v>
      </c>
      <c r="F17">
        <v>-2535.66</v>
      </c>
      <c r="G17">
        <v>60799.7</v>
      </c>
      <c r="H17">
        <v>-7.6298199999999996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1.2771276156165245</v>
      </c>
      <c r="O17">
        <f t="shared" si="5"/>
        <v>-2224.5830532239997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1497.07</v>
      </c>
      <c r="F18">
        <v>-2749.68</v>
      </c>
      <c r="G18">
        <v>60392.5</v>
      </c>
      <c r="H18">
        <v>9.4359500000000001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1.2858663045378151</v>
      </c>
      <c r="O18">
        <f t="shared" si="5"/>
        <v>-2440.0631685359999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1504.9</v>
      </c>
      <c r="F19">
        <v>-2951.17</v>
      </c>
      <c r="G19">
        <v>61997.9</v>
      </c>
      <c r="H19">
        <v>34.625700000000002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1.2526938122484794</v>
      </c>
      <c r="O19">
        <f>F19+SUM(I19:L19)*1.5*(0.000086173)*E19</f>
        <v>-2639.9338055200001</v>
      </c>
    </row>
    <row r="20" spans="1:15" x14ac:dyDescent="0.2">
      <c r="A20">
        <f t="shared" ref="A20" si="15">I20/SUM(I20:K20)</f>
        <v>0.33500000000000002</v>
      </c>
      <c r="B20">
        <f t="shared" ref="B20" si="16">J20/SUM(I20:K20)</f>
        <v>0.33250000000000002</v>
      </c>
      <c r="C20">
        <f t="shared" ref="C20" si="17">K20/SUM(I20:K20)</f>
        <v>0.33250000000000002</v>
      </c>
      <c r="D20">
        <v>200000</v>
      </c>
      <c r="E20">
        <v>1501.49</v>
      </c>
      <c r="F20">
        <v>-2817.25</v>
      </c>
      <c r="G20">
        <v>61394.5</v>
      </c>
      <c r="H20">
        <v>3.6558899999999999</v>
      </c>
      <c r="I20">
        <v>268</v>
      </c>
      <c r="J20">
        <v>266</v>
      </c>
      <c r="K20">
        <v>266</v>
      </c>
      <c r="L20">
        <v>800</v>
      </c>
      <c r="M20">
        <f>I20*I$2+J20*J$2+K20*K$2+L20*L$2</f>
        <v>46735.328000000001</v>
      </c>
      <c r="N20">
        <f>M20*(1.66054E-24)/(G20)/(1E-24)</f>
        <v>1.2640526685146063</v>
      </c>
      <c r="O20">
        <f>F20+SUM(I20:L20)*1.5*(0.000086173)*E20</f>
        <v>-2506.7190453519997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C1" workbookViewId="0">
      <selection activeCell="P6" sqref="P6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3460150</v>
      </c>
      <c r="E7" s="3">
        <v>6230680000</v>
      </c>
      <c r="J7">
        <f>3.5*0.1</f>
        <v>0.35000000000000003</v>
      </c>
      <c r="K7">
        <v>0</v>
      </c>
      <c r="L7" s="3">
        <v>10847100000</v>
      </c>
      <c r="M7" s="3">
        <v>19140100000000</v>
      </c>
      <c r="R7">
        <f>3.5*0.1</f>
        <v>0.35000000000000003</v>
      </c>
      <c r="S7">
        <v>0</v>
      </c>
      <c r="T7" s="3">
        <v>164869000</v>
      </c>
      <c r="U7" s="3">
        <v>295368000000</v>
      </c>
      <c r="Z7">
        <f>3.5*0.1</f>
        <v>0.35000000000000003</v>
      </c>
      <c r="AA7">
        <v>0</v>
      </c>
      <c r="AB7" s="3">
        <v>-1013690</v>
      </c>
      <c r="AC7" s="3">
        <v>-1525160000</v>
      </c>
      <c r="AH7">
        <f>3.5*0.1</f>
        <v>0.35000000000000003</v>
      </c>
      <c r="AI7">
        <v>0</v>
      </c>
      <c r="AJ7" s="3">
        <v>-569268000</v>
      </c>
      <c r="AK7" s="3">
        <v>-905123000000</v>
      </c>
      <c r="AP7">
        <f>3.5*0.1</f>
        <v>0.35000000000000003</v>
      </c>
      <c r="AQ7">
        <v>0</v>
      </c>
      <c r="AR7" s="3">
        <v>-32063000</v>
      </c>
      <c r="AS7" s="3">
        <v>-54916300000</v>
      </c>
      <c r="AX7">
        <f>3.5*0.1</f>
        <v>0.35000000000000003</v>
      </c>
      <c r="AY7">
        <v>0</v>
      </c>
      <c r="AZ7" s="3">
        <v>-34908100</v>
      </c>
      <c r="BA7" s="3">
        <v>-73349400000</v>
      </c>
      <c r="BF7">
        <f>3.5*0.1</f>
        <v>0.35000000000000003</v>
      </c>
      <c r="BG7">
        <v>0</v>
      </c>
      <c r="BH7" s="3">
        <v>2662850000000</v>
      </c>
      <c r="BI7" s="3">
        <v>2072220000000000</v>
      </c>
      <c r="BN7">
        <f>3.5*0.1</f>
        <v>0.35000000000000003</v>
      </c>
      <c r="BO7">
        <v>0</v>
      </c>
      <c r="BP7" s="3">
        <v>622676000</v>
      </c>
      <c r="BQ7" s="3">
        <v>532604000000</v>
      </c>
      <c r="BV7">
        <f>3.5*0.1</f>
        <v>0.35000000000000003</v>
      </c>
      <c r="BW7">
        <v>0</v>
      </c>
      <c r="BX7" s="3">
        <v>-7955130</v>
      </c>
      <c r="BY7" s="3">
        <v>-14627800000</v>
      </c>
    </row>
    <row r="8" spans="2:80" x14ac:dyDescent="0.2">
      <c r="B8">
        <f>B7+0.05</f>
        <v>0.4</v>
      </c>
      <c r="C8">
        <v>1</v>
      </c>
      <c r="D8" s="3">
        <v>3460150</v>
      </c>
      <c r="E8" s="3">
        <v>6230680000</v>
      </c>
      <c r="J8">
        <f>J7+0.05</f>
        <v>0.4</v>
      </c>
      <c r="K8">
        <v>1</v>
      </c>
      <c r="L8" s="3">
        <v>10847100000</v>
      </c>
      <c r="M8" s="3">
        <v>19140100000000</v>
      </c>
      <c r="R8">
        <f>R7+0.05</f>
        <v>0.4</v>
      </c>
      <c r="S8">
        <v>1</v>
      </c>
      <c r="T8" s="3">
        <v>164869000</v>
      </c>
      <c r="U8" s="3">
        <v>295368000000</v>
      </c>
      <c r="Z8">
        <f>Z7+0.05</f>
        <v>0.4</v>
      </c>
      <c r="AA8">
        <v>1</v>
      </c>
      <c r="AB8" s="3">
        <v>-1013690</v>
      </c>
      <c r="AC8" s="3">
        <v>-1525160000</v>
      </c>
      <c r="AH8">
        <f>AH7+0.05</f>
        <v>0.4</v>
      </c>
      <c r="AI8">
        <v>1</v>
      </c>
      <c r="AJ8" s="3">
        <v>-569268000</v>
      </c>
      <c r="AK8" s="3">
        <v>-905123000000</v>
      </c>
      <c r="AP8">
        <f>AP7+0.05</f>
        <v>0.4</v>
      </c>
      <c r="AQ8">
        <v>1</v>
      </c>
      <c r="AR8" s="3">
        <v>-32063000</v>
      </c>
      <c r="AS8" s="3">
        <v>-54916300000</v>
      </c>
      <c r="AX8">
        <f>AX7+0.05</f>
        <v>0.4</v>
      </c>
      <c r="AY8">
        <v>1</v>
      </c>
      <c r="AZ8" s="3">
        <v>-34908100</v>
      </c>
      <c r="BA8" s="3">
        <v>-73349400000</v>
      </c>
      <c r="BF8">
        <f>BF7+0.05</f>
        <v>0.4</v>
      </c>
      <c r="BG8">
        <v>1</v>
      </c>
      <c r="BH8" s="3">
        <v>2662850000000</v>
      </c>
      <c r="BI8" s="3">
        <v>2072220000000000</v>
      </c>
      <c r="BN8">
        <f>BN7+0.05</f>
        <v>0.4</v>
      </c>
      <c r="BO8">
        <v>1</v>
      </c>
      <c r="BP8" s="3">
        <v>622676000</v>
      </c>
      <c r="BQ8" s="3">
        <v>532604000000</v>
      </c>
      <c r="BV8">
        <f>BV7+0.05</f>
        <v>0.4</v>
      </c>
      <c r="BW8">
        <v>1</v>
      </c>
      <c r="BX8" s="3">
        <v>-7955130</v>
      </c>
      <c r="BY8" s="3">
        <v>-14627800000</v>
      </c>
    </row>
    <row r="9" spans="2:80" x14ac:dyDescent="0.2">
      <c r="B9">
        <f t="shared" ref="B9:B72" si="0">B8+0.05</f>
        <v>0.45</v>
      </c>
      <c r="C9">
        <v>2</v>
      </c>
      <c r="D9" s="3">
        <v>1775710</v>
      </c>
      <c r="E9" s="3">
        <v>3723730000</v>
      </c>
      <c r="J9">
        <f t="shared" ref="J9:J72" si="1">J8+0.05</f>
        <v>0.45</v>
      </c>
      <c r="K9">
        <v>2</v>
      </c>
      <c r="L9" s="3">
        <v>5637900000</v>
      </c>
      <c r="M9" s="3">
        <v>11609900000000</v>
      </c>
      <c r="R9">
        <f t="shared" ref="R9:R72" si="2">R8+0.05</f>
        <v>0.45</v>
      </c>
      <c r="S9">
        <v>2</v>
      </c>
      <c r="T9" s="3">
        <v>84850800</v>
      </c>
      <c r="U9" s="3">
        <v>177327000000</v>
      </c>
      <c r="Z9">
        <f t="shared" ref="Z9:Z72" si="3">Z8+0.05</f>
        <v>0.45</v>
      </c>
      <c r="AA9">
        <v>2</v>
      </c>
      <c r="AB9" s="3">
        <v>-580766</v>
      </c>
      <c r="AC9" s="3">
        <v>-1016180000</v>
      </c>
      <c r="AH9">
        <f t="shared" ref="AH9:AH72" si="4">AH8+0.05</f>
        <v>0.45</v>
      </c>
      <c r="AI9">
        <v>2</v>
      </c>
      <c r="AJ9" s="3">
        <v>-315534000</v>
      </c>
      <c r="AK9" s="3">
        <v>-586374000000</v>
      </c>
      <c r="AP9">
        <f t="shared" ref="AP9:AP72" si="5">AP8+0.05</f>
        <v>0.45</v>
      </c>
      <c r="AQ9">
        <v>2</v>
      </c>
      <c r="AR9" s="3">
        <v>-16996600</v>
      </c>
      <c r="AS9" s="3">
        <v>-33919500000</v>
      </c>
      <c r="AX9">
        <f t="shared" ref="AX9:AX72" si="6">AX8+0.05</f>
        <v>0.45</v>
      </c>
      <c r="AY9">
        <v>2</v>
      </c>
      <c r="AZ9" s="3">
        <v>-15935300</v>
      </c>
      <c r="BA9" s="3">
        <v>-39580600000</v>
      </c>
      <c r="BF9">
        <f t="shared" ref="BF9:BF72" si="7">BF8+0.05</f>
        <v>0.45</v>
      </c>
      <c r="BG9">
        <v>2</v>
      </c>
      <c r="BH9" s="3">
        <v>1496710000000</v>
      </c>
      <c r="BI9" s="3">
        <v>1354230000000000</v>
      </c>
      <c r="BN9">
        <f t="shared" ref="BN9:BN72" si="8">BN8+0.05</f>
        <v>0.45</v>
      </c>
      <c r="BO9">
        <v>2</v>
      </c>
      <c r="BP9" s="3">
        <v>330208000</v>
      </c>
      <c r="BQ9" s="3">
        <v>329515000000</v>
      </c>
      <c r="BV9">
        <f t="shared" ref="BV9:BV72" si="9">BV8+0.05</f>
        <v>0.45</v>
      </c>
      <c r="BW9">
        <v>2</v>
      </c>
      <c r="BX9" s="3">
        <v>-4016120</v>
      </c>
      <c r="BY9" s="3">
        <v>-8658110000</v>
      </c>
    </row>
    <row r="10" spans="2:80" x14ac:dyDescent="0.2">
      <c r="B10">
        <f t="shared" si="0"/>
        <v>0.5</v>
      </c>
      <c r="C10">
        <v>3</v>
      </c>
      <c r="D10" s="3">
        <v>899778</v>
      </c>
      <c r="E10" s="3">
        <v>2163190000</v>
      </c>
      <c r="J10">
        <f t="shared" si="1"/>
        <v>0.5</v>
      </c>
      <c r="K10">
        <v>3</v>
      </c>
      <c r="L10" s="3">
        <v>2889600000</v>
      </c>
      <c r="M10" s="3">
        <v>6839410000000</v>
      </c>
      <c r="R10">
        <f t="shared" si="2"/>
        <v>0.5</v>
      </c>
      <c r="S10">
        <v>3</v>
      </c>
      <c r="T10" s="3">
        <v>43067500</v>
      </c>
      <c r="U10" s="3">
        <v>103386000000</v>
      </c>
      <c r="Z10">
        <f t="shared" si="3"/>
        <v>0.5</v>
      </c>
      <c r="AA10">
        <v>3</v>
      </c>
      <c r="AB10" s="3">
        <v>-329484</v>
      </c>
      <c r="AC10" s="3">
        <v>-660008000</v>
      </c>
      <c r="AH10">
        <f t="shared" si="4"/>
        <v>0.5</v>
      </c>
      <c r="AI10">
        <v>3</v>
      </c>
      <c r="AJ10" s="3">
        <v>-172530000</v>
      </c>
      <c r="AK10" s="3">
        <v>-369162000000</v>
      </c>
      <c r="AP10">
        <f t="shared" si="5"/>
        <v>0.5</v>
      </c>
      <c r="AQ10">
        <v>3</v>
      </c>
      <c r="AR10" s="3">
        <v>-8898340</v>
      </c>
      <c r="AS10" s="3">
        <v>-20371800000</v>
      </c>
      <c r="AX10">
        <f t="shared" si="6"/>
        <v>0.5</v>
      </c>
      <c r="AY10">
        <v>3</v>
      </c>
      <c r="AZ10" s="3">
        <v>-7075230</v>
      </c>
      <c r="BA10" s="3">
        <v>-20491800000</v>
      </c>
      <c r="BF10">
        <f t="shared" si="7"/>
        <v>0.5</v>
      </c>
      <c r="BG10">
        <v>3</v>
      </c>
      <c r="BH10" s="3">
        <v>832811000000</v>
      </c>
      <c r="BI10" s="3">
        <v>862714000000000</v>
      </c>
      <c r="BN10">
        <f t="shared" si="8"/>
        <v>0.5</v>
      </c>
      <c r="BO10">
        <v>3</v>
      </c>
      <c r="BP10" s="3">
        <v>172770000</v>
      </c>
      <c r="BQ10" s="3">
        <v>198150000000</v>
      </c>
      <c r="BV10">
        <f t="shared" si="9"/>
        <v>0.5</v>
      </c>
      <c r="BW10">
        <v>3</v>
      </c>
      <c r="BX10" s="3">
        <v>-1991660</v>
      </c>
      <c r="BY10" s="3">
        <v>-4957600000</v>
      </c>
    </row>
    <row r="11" spans="2:80" x14ac:dyDescent="0.2">
      <c r="B11">
        <f t="shared" si="0"/>
        <v>0.55000000000000004</v>
      </c>
      <c r="C11">
        <v>4</v>
      </c>
      <c r="D11" s="3">
        <v>450058</v>
      </c>
      <c r="E11" s="3">
        <v>1225140000</v>
      </c>
      <c r="J11">
        <f t="shared" si="1"/>
        <v>0.55000000000000004</v>
      </c>
      <c r="K11">
        <v>4</v>
      </c>
      <c r="L11" s="3">
        <v>1459410000</v>
      </c>
      <c r="M11" s="3">
        <v>3923540000000</v>
      </c>
      <c r="R11">
        <f t="shared" si="2"/>
        <v>0.55000000000000004</v>
      </c>
      <c r="S11">
        <v>4</v>
      </c>
      <c r="T11" s="3">
        <v>21547700</v>
      </c>
      <c r="U11" s="3">
        <v>58700800000</v>
      </c>
      <c r="Z11">
        <f t="shared" si="3"/>
        <v>0.55000000000000004</v>
      </c>
      <c r="AA11">
        <v>4</v>
      </c>
      <c r="AB11">
        <v>-185064</v>
      </c>
      <c r="AC11" s="3">
        <v>-419178000</v>
      </c>
      <c r="AH11">
        <f t="shared" si="4"/>
        <v>0.55000000000000004</v>
      </c>
      <c r="AI11">
        <v>4</v>
      </c>
      <c r="AJ11" s="3">
        <v>-92986600</v>
      </c>
      <c r="AK11" s="3">
        <v>-226441000000</v>
      </c>
      <c r="AP11">
        <f t="shared" si="5"/>
        <v>0.55000000000000004</v>
      </c>
      <c r="AQ11">
        <v>4</v>
      </c>
      <c r="AR11" s="3">
        <v>-4599340</v>
      </c>
      <c r="AS11" s="3">
        <v>-11931800000</v>
      </c>
      <c r="AX11">
        <f t="shared" si="6"/>
        <v>0.55000000000000004</v>
      </c>
      <c r="AY11">
        <v>4</v>
      </c>
      <c r="AZ11" s="3">
        <v>-3046700</v>
      </c>
      <c r="BA11" s="3">
        <v>-10186200000</v>
      </c>
      <c r="BF11">
        <f t="shared" si="7"/>
        <v>0.55000000000000004</v>
      </c>
      <c r="BG11">
        <v>4</v>
      </c>
      <c r="BH11" s="3">
        <v>458574000000</v>
      </c>
      <c r="BI11" s="3">
        <v>537335000000000</v>
      </c>
      <c r="BN11">
        <f t="shared" si="8"/>
        <v>0.55000000000000004</v>
      </c>
      <c r="BO11">
        <v>4</v>
      </c>
      <c r="BP11" s="3">
        <v>89114300</v>
      </c>
      <c r="BQ11" s="3">
        <v>116117000000</v>
      </c>
      <c r="BV11">
        <f t="shared" si="9"/>
        <v>0.55000000000000004</v>
      </c>
      <c r="BW11">
        <v>4</v>
      </c>
      <c r="BX11" s="3">
        <v>-969502</v>
      </c>
      <c r="BY11" s="3">
        <v>-2752890000</v>
      </c>
    </row>
    <row r="12" spans="2:80" x14ac:dyDescent="0.2">
      <c r="B12">
        <f t="shared" si="0"/>
        <v>0.60000000000000009</v>
      </c>
      <c r="C12">
        <v>5</v>
      </c>
      <c r="D12" s="3">
        <v>222164</v>
      </c>
      <c r="E12" s="3">
        <v>677886000</v>
      </c>
      <c r="J12">
        <f t="shared" si="1"/>
        <v>0.60000000000000009</v>
      </c>
      <c r="K12">
        <v>5</v>
      </c>
      <c r="L12" s="3">
        <v>725820000</v>
      </c>
      <c r="M12" s="3">
        <v>2195500000000</v>
      </c>
      <c r="R12">
        <f t="shared" si="2"/>
        <v>0.60000000000000009</v>
      </c>
      <c r="S12">
        <v>5</v>
      </c>
      <c r="T12" s="3">
        <v>10621600</v>
      </c>
      <c r="U12" s="3">
        <v>32517200000</v>
      </c>
      <c r="Z12">
        <f t="shared" si="3"/>
        <v>0.60000000000000009</v>
      </c>
      <c r="AA12">
        <v>5</v>
      </c>
      <c r="AB12">
        <v>-102893</v>
      </c>
      <c r="AC12" s="3">
        <v>-260890000</v>
      </c>
      <c r="AH12">
        <f t="shared" si="4"/>
        <v>0.60000000000000009</v>
      </c>
      <c r="AI12">
        <v>5</v>
      </c>
      <c r="AJ12" s="3">
        <v>-49355500</v>
      </c>
      <c r="AK12" s="3">
        <v>-135541000000</v>
      </c>
      <c r="AP12">
        <f t="shared" si="5"/>
        <v>0.60000000000000009</v>
      </c>
      <c r="AQ12">
        <v>5</v>
      </c>
      <c r="AR12" s="3">
        <v>-2346320</v>
      </c>
      <c r="AS12" s="3">
        <v>-6828700000</v>
      </c>
      <c r="AX12">
        <f t="shared" si="6"/>
        <v>0.60000000000000009</v>
      </c>
      <c r="AY12">
        <v>5</v>
      </c>
      <c r="AZ12" s="3">
        <v>-1268170</v>
      </c>
      <c r="BA12" s="3">
        <v>-4858400000</v>
      </c>
      <c r="BF12">
        <f t="shared" si="7"/>
        <v>0.60000000000000009</v>
      </c>
      <c r="BG12">
        <v>5</v>
      </c>
      <c r="BH12" s="3">
        <v>249780000000</v>
      </c>
      <c r="BI12" s="3">
        <v>327862000000000</v>
      </c>
      <c r="BN12">
        <f t="shared" si="8"/>
        <v>0.60000000000000009</v>
      </c>
      <c r="BO12">
        <v>5</v>
      </c>
      <c r="BP12" s="3">
        <v>45269900</v>
      </c>
      <c r="BQ12" s="3">
        <v>66413700000</v>
      </c>
      <c r="BV12">
        <f t="shared" si="9"/>
        <v>0.60000000000000009</v>
      </c>
      <c r="BW12">
        <v>5</v>
      </c>
      <c r="BX12">
        <v>-462934</v>
      </c>
      <c r="BY12" s="3">
        <v>-1484700000</v>
      </c>
    </row>
    <row r="13" spans="2:80" x14ac:dyDescent="0.2">
      <c r="B13">
        <f t="shared" si="0"/>
        <v>0.65000000000000013</v>
      </c>
      <c r="C13">
        <v>6</v>
      </c>
      <c r="D13" s="3">
        <v>108213</v>
      </c>
      <c r="E13" s="3">
        <v>366987000</v>
      </c>
      <c r="J13">
        <f t="shared" si="1"/>
        <v>0.65000000000000013</v>
      </c>
      <c r="K13">
        <v>6</v>
      </c>
      <c r="L13" s="3">
        <v>355184000</v>
      </c>
      <c r="M13" s="3">
        <v>1199560000000</v>
      </c>
      <c r="R13">
        <f t="shared" si="2"/>
        <v>0.65000000000000013</v>
      </c>
      <c r="S13">
        <v>6</v>
      </c>
      <c r="T13" s="3">
        <v>5155900</v>
      </c>
      <c r="U13" s="3">
        <v>17595300000</v>
      </c>
      <c r="Z13">
        <f t="shared" si="3"/>
        <v>0.65000000000000013</v>
      </c>
      <c r="AA13">
        <v>6</v>
      </c>
      <c r="AB13">
        <v>-56617.5</v>
      </c>
      <c r="AC13" s="3">
        <v>-159367000</v>
      </c>
      <c r="AH13">
        <f t="shared" si="4"/>
        <v>0.65000000000000013</v>
      </c>
      <c r="AI13">
        <v>6</v>
      </c>
      <c r="AJ13" s="3">
        <v>-25774400</v>
      </c>
      <c r="AK13" s="3">
        <v>-79237200000</v>
      </c>
      <c r="AP13">
        <f t="shared" si="5"/>
        <v>0.65000000000000013</v>
      </c>
      <c r="AQ13">
        <v>6</v>
      </c>
      <c r="AR13" s="3">
        <v>-1181070</v>
      </c>
      <c r="AS13" s="3">
        <v>-3824100000</v>
      </c>
      <c r="AX13">
        <f t="shared" si="6"/>
        <v>0.65000000000000013</v>
      </c>
      <c r="AY13">
        <v>6</v>
      </c>
      <c r="AZ13" s="3">
        <v>-508228</v>
      </c>
      <c r="BA13" s="3">
        <v>-2219310000</v>
      </c>
      <c r="BF13">
        <f t="shared" si="7"/>
        <v>0.65000000000000013</v>
      </c>
      <c r="BG13">
        <v>6</v>
      </c>
      <c r="BH13" s="3">
        <v>134527000000</v>
      </c>
      <c r="BI13" s="3">
        <v>196242000000000</v>
      </c>
      <c r="BN13">
        <f t="shared" si="8"/>
        <v>0.65000000000000013</v>
      </c>
      <c r="BO13">
        <v>6</v>
      </c>
      <c r="BP13" s="3">
        <v>22623900</v>
      </c>
      <c r="BQ13" s="3">
        <v>37105300000</v>
      </c>
      <c r="BV13">
        <f t="shared" si="9"/>
        <v>0.65000000000000013</v>
      </c>
      <c r="BW13">
        <v>6</v>
      </c>
      <c r="BX13">
        <v>-216720</v>
      </c>
      <c r="BY13" s="3">
        <v>-778465000</v>
      </c>
    </row>
    <row r="14" spans="2:80" x14ac:dyDescent="0.2">
      <c r="B14">
        <f t="shared" si="0"/>
        <v>0.70000000000000018</v>
      </c>
      <c r="C14">
        <v>7</v>
      </c>
      <c r="D14" s="3">
        <v>52005.2</v>
      </c>
      <c r="E14" s="3">
        <v>194606000</v>
      </c>
      <c r="J14">
        <f t="shared" si="1"/>
        <v>0.70000000000000018</v>
      </c>
      <c r="K14">
        <v>7</v>
      </c>
      <c r="L14" s="3">
        <v>170881000</v>
      </c>
      <c r="M14" s="3">
        <v>640287000000</v>
      </c>
      <c r="R14">
        <f t="shared" si="2"/>
        <v>0.70000000000000018</v>
      </c>
      <c r="S14">
        <v>7</v>
      </c>
      <c r="T14" s="3">
        <v>2463410</v>
      </c>
      <c r="U14" s="3">
        <v>9307720000</v>
      </c>
      <c r="Z14">
        <f t="shared" si="3"/>
        <v>0.70000000000000018</v>
      </c>
      <c r="AA14">
        <v>7</v>
      </c>
      <c r="AB14">
        <v>-30828.1</v>
      </c>
      <c r="AC14" s="3">
        <v>-95659600</v>
      </c>
      <c r="AH14">
        <f t="shared" si="4"/>
        <v>0.70000000000000018</v>
      </c>
      <c r="AI14">
        <v>7</v>
      </c>
      <c r="AJ14" s="3">
        <v>-13228500</v>
      </c>
      <c r="AK14" s="3">
        <v>-45256300000</v>
      </c>
      <c r="AP14">
        <f t="shared" si="5"/>
        <v>0.70000000000000018</v>
      </c>
      <c r="AQ14">
        <v>7</v>
      </c>
      <c r="AR14" s="3">
        <v>-586540</v>
      </c>
      <c r="AS14" s="3">
        <v>-2097590000</v>
      </c>
      <c r="AX14">
        <f t="shared" si="6"/>
        <v>0.70000000000000018</v>
      </c>
      <c r="AY14">
        <v>7</v>
      </c>
      <c r="AZ14" s="3">
        <v>-195175</v>
      </c>
      <c r="BA14" s="3">
        <v>-968056000</v>
      </c>
      <c r="BF14">
        <f t="shared" si="7"/>
        <v>0.70000000000000018</v>
      </c>
      <c r="BG14">
        <v>7</v>
      </c>
      <c r="BH14" s="3">
        <v>71611000000</v>
      </c>
      <c r="BI14" s="3">
        <v>115329000000000</v>
      </c>
      <c r="BN14">
        <f t="shared" si="8"/>
        <v>0.70000000000000018</v>
      </c>
      <c r="BO14">
        <v>7</v>
      </c>
      <c r="BP14" s="3">
        <v>11108200</v>
      </c>
      <c r="BQ14" s="3">
        <v>20255200000</v>
      </c>
      <c r="BV14">
        <f t="shared" si="9"/>
        <v>0.70000000000000018</v>
      </c>
      <c r="BW14">
        <v>7</v>
      </c>
      <c r="BX14">
        <v>-99437.8</v>
      </c>
      <c r="BY14" s="3">
        <v>-397099000</v>
      </c>
    </row>
    <row r="15" spans="2:80" x14ac:dyDescent="0.2">
      <c r="B15">
        <f t="shared" si="0"/>
        <v>0.75000000000000022</v>
      </c>
      <c r="C15">
        <v>8</v>
      </c>
      <c r="D15" s="3">
        <v>24659.5</v>
      </c>
      <c r="E15" s="3">
        <v>101170000</v>
      </c>
      <c r="J15">
        <f t="shared" si="1"/>
        <v>0.75000000000000022</v>
      </c>
      <c r="K15">
        <v>8</v>
      </c>
      <c r="L15" s="3">
        <v>80753700</v>
      </c>
      <c r="M15" s="3">
        <v>333935000000</v>
      </c>
      <c r="R15">
        <f t="shared" si="2"/>
        <v>0.75000000000000022</v>
      </c>
      <c r="S15">
        <v>8</v>
      </c>
      <c r="T15" s="3">
        <v>1157960</v>
      </c>
      <c r="U15" s="3">
        <v>4815910000</v>
      </c>
      <c r="Z15">
        <f t="shared" si="3"/>
        <v>0.75000000000000022</v>
      </c>
      <c r="AA15">
        <v>8</v>
      </c>
      <c r="AB15">
        <v>-16607.599999999999</v>
      </c>
      <c r="AC15" s="3">
        <v>-56471600</v>
      </c>
      <c r="AH15">
        <f t="shared" si="4"/>
        <v>0.75000000000000022</v>
      </c>
      <c r="AI15">
        <v>8</v>
      </c>
      <c r="AJ15" s="3">
        <v>-6664680</v>
      </c>
      <c r="AK15" s="3">
        <v>-25251500000</v>
      </c>
      <c r="AP15">
        <f t="shared" si="5"/>
        <v>0.75000000000000022</v>
      </c>
      <c r="AQ15">
        <v>8</v>
      </c>
      <c r="AR15" s="3">
        <v>-287367</v>
      </c>
      <c r="AS15" s="3">
        <v>-1127890000</v>
      </c>
      <c r="AX15">
        <f t="shared" si="6"/>
        <v>0.75000000000000022</v>
      </c>
      <c r="AY15">
        <v>8</v>
      </c>
      <c r="AZ15" s="3">
        <v>-71414</v>
      </c>
      <c r="BA15" s="3">
        <v>-401568000</v>
      </c>
      <c r="BF15">
        <f t="shared" si="7"/>
        <v>0.75000000000000022</v>
      </c>
      <c r="BG15">
        <v>8</v>
      </c>
      <c r="BH15" s="3">
        <v>37659100000</v>
      </c>
      <c r="BI15" s="3">
        <v>66586700000000</v>
      </c>
      <c r="BN15">
        <f t="shared" si="8"/>
        <v>0.75000000000000022</v>
      </c>
      <c r="BO15">
        <v>8</v>
      </c>
      <c r="BP15" s="3">
        <v>5349700</v>
      </c>
      <c r="BQ15" s="3">
        <v>10800600000</v>
      </c>
      <c r="BV15">
        <f t="shared" si="9"/>
        <v>0.75000000000000022</v>
      </c>
      <c r="BW15">
        <v>8</v>
      </c>
      <c r="BX15">
        <v>-44714.7</v>
      </c>
      <c r="BY15" s="3">
        <v>-197198000</v>
      </c>
    </row>
    <row r="16" spans="2:80" x14ac:dyDescent="0.2">
      <c r="B16">
        <f t="shared" si="0"/>
        <v>0.80000000000000027</v>
      </c>
      <c r="C16">
        <v>9</v>
      </c>
      <c r="D16" s="3">
        <v>11539.4</v>
      </c>
      <c r="E16" s="3">
        <v>51601400</v>
      </c>
      <c r="J16">
        <f t="shared" si="1"/>
        <v>0.80000000000000027</v>
      </c>
      <c r="K16">
        <v>9</v>
      </c>
      <c r="L16" s="3">
        <v>37449900</v>
      </c>
      <c r="M16" s="3">
        <v>170153000000</v>
      </c>
      <c r="R16">
        <f t="shared" si="2"/>
        <v>0.80000000000000027</v>
      </c>
      <c r="S16">
        <v>9</v>
      </c>
      <c r="T16">
        <v>535302</v>
      </c>
      <c r="U16" s="3">
        <v>2438100000</v>
      </c>
      <c r="Z16">
        <f t="shared" si="3"/>
        <v>0.80000000000000027</v>
      </c>
      <c r="AA16">
        <v>9</v>
      </c>
      <c r="AB16">
        <v>-8850.06</v>
      </c>
      <c r="AC16" s="3">
        <v>-32810200</v>
      </c>
      <c r="AH16">
        <f t="shared" si="4"/>
        <v>0.80000000000000027</v>
      </c>
      <c r="AI16">
        <v>9</v>
      </c>
      <c r="AJ16" s="3">
        <v>-3291630</v>
      </c>
      <c r="AK16" s="3">
        <v>-13758600000</v>
      </c>
      <c r="AP16">
        <f t="shared" si="5"/>
        <v>0.80000000000000027</v>
      </c>
      <c r="AQ16">
        <v>9</v>
      </c>
      <c r="AR16" s="3">
        <v>-138918</v>
      </c>
      <c r="AS16" s="3">
        <v>-594934000</v>
      </c>
      <c r="AX16">
        <f t="shared" si="6"/>
        <v>0.80000000000000027</v>
      </c>
      <c r="AY16">
        <v>9</v>
      </c>
      <c r="AZ16">
        <v>-24715.8</v>
      </c>
      <c r="BA16" s="3">
        <v>-157575000</v>
      </c>
      <c r="BF16">
        <f t="shared" si="7"/>
        <v>0.80000000000000027</v>
      </c>
      <c r="BG16">
        <v>9</v>
      </c>
      <c r="BH16" s="3">
        <v>19555700000</v>
      </c>
      <c r="BI16" s="3">
        <v>37782400000000</v>
      </c>
      <c r="BN16">
        <f t="shared" si="8"/>
        <v>0.80000000000000027</v>
      </c>
      <c r="BO16">
        <v>9</v>
      </c>
      <c r="BP16" s="3">
        <v>2521950</v>
      </c>
      <c r="BQ16" s="3">
        <v>5621380000</v>
      </c>
      <c r="BV16">
        <f t="shared" si="9"/>
        <v>0.80000000000000027</v>
      </c>
      <c r="BW16">
        <v>9</v>
      </c>
      <c r="BX16">
        <v>-19709.400000000001</v>
      </c>
      <c r="BY16" s="3">
        <v>-95413700</v>
      </c>
    </row>
    <row r="17" spans="2:77" x14ac:dyDescent="0.2">
      <c r="B17">
        <f t="shared" si="0"/>
        <v>0.85000000000000031</v>
      </c>
      <c r="C17">
        <v>10</v>
      </c>
      <c r="D17" s="3">
        <v>5331.72</v>
      </c>
      <c r="E17" s="3">
        <v>25839100</v>
      </c>
      <c r="J17">
        <f t="shared" si="1"/>
        <v>0.85000000000000031</v>
      </c>
      <c r="K17">
        <v>10</v>
      </c>
      <c r="L17" s="3">
        <v>17026200</v>
      </c>
      <c r="M17" s="3">
        <v>84676900000</v>
      </c>
      <c r="R17">
        <f t="shared" si="2"/>
        <v>0.85000000000000031</v>
      </c>
      <c r="S17">
        <v>10</v>
      </c>
      <c r="T17">
        <v>243275</v>
      </c>
      <c r="U17" s="3">
        <v>1207970000</v>
      </c>
      <c r="Z17">
        <f t="shared" si="3"/>
        <v>0.85000000000000031</v>
      </c>
      <c r="AA17">
        <v>10</v>
      </c>
      <c r="AB17">
        <v>-4663.95</v>
      </c>
      <c r="AC17" s="3">
        <v>-18771800</v>
      </c>
      <c r="AH17">
        <f t="shared" si="4"/>
        <v>0.85000000000000031</v>
      </c>
      <c r="AI17">
        <v>10</v>
      </c>
      <c r="AJ17" s="3">
        <v>-1591280</v>
      </c>
      <c r="AK17" s="3">
        <v>-7315040000</v>
      </c>
      <c r="AP17">
        <f t="shared" si="5"/>
        <v>0.85000000000000031</v>
      </c>
      <c r="AQ17">
        <v>10</v>
      </c>
      <c r="AR17" s="3">
        <v>-66286.7</v>
      </c>
      <c r="AS17" s="3">
        <v>-308068000</v>
      </c>
      <c r="AX17">
        <f t="shared" si="6"/>
        <v>0.85000000000000031</v>
      </c>
      <c r="AY17">
        <v>10</v>
      </c>
      <c r="AZ17">
        <v>-8007.65</v>
      </c>
      <c r="BA17" s="3">
        <v>-58105800</v>
      </c>
      <c r="BF17">
        <f t="shared" si="7"/>
        <v>0.85000000000000031</v>
      </c>
      <c r="BG17">
        <v>10</v>
      </c>
      <c r="BH17" s="3">
        <v>10022400000</v>
      </c>
      <c r="BI17" s="3">
        <v>21072500000000</v>
      </c>
      <c r="BN17">
        <f t="shared" si="8"/>
        <v>0.85000000000000031</v>
      </c>
      <c r="BO17">
        <v>10</v>
      </c>
      <c r="BP17" s="3">
        <v>1160720</v>
      </c>
      <c r="BQ17" s="3">
        <v>2852110000</v>
      </c>
      <c r="BV17">
        <f t="shared" si="9"/>
        <v>0.85000000000000031</v>
      </c>
      <c r="BW17">
        <v>10</v>
      </c>
      <c r="BX17">
        <v>-8517.2099999999991</v>
      </c>
      <c r="BY17" s="3">
        <v>-45035100</v>
      </c>
    </row>
    <row r="18" spans="2:77" x14ac:dyDescent="0.2">
      <c r="B18">
        <f t="shared" si="0"/>
        <v>0.90000000000000036</v>
      </c>
      <c r="C18">
        <v>11</v>
      </c>
      <c r="D18" s="3">
        <v>2435.15</v>
      </c>
      <c r="E18" s="3">
        <v>12711600</v>
      </c>
      <c r="J18">
        <f t="shared" si="1"/>
        <v>0.90000000000000036</v>
      </c>
      <c r="K18">
        <v>11</v>
      </c>
      <c r="L18" s="3">
        <v>7580410</v>
      </c>
      <c r="M18" s="3">
        <v>41134700000</v>
      </c>
      <c r="R18">
        <f t="shared" si="2"/>
        <v>0.90000000000000036</v>
      </c>
      <c r="S18">
        <v>11</v>
      </c>
      <c r="T18">
        <v>108658</v>
      </c>
      <c r="U18" s="3">
        <v>585826000</v>
      </c>
      <c r="Z18">
        <f t="shared" si="3"/>
        <v>0.90000000000000036</v>
      </c>
      <c r="AA18">
        <v>11</v>
      </c>
      <c r="AB18">
        <v>-2429.66</v>
      </c>
      <c r="AC18" s="3">
        <v>-10580800</v>
      </c>
      <c r="AH18">
        <f t="shared" si="4"/>
        <v>0.90000000000000036</v>
      </c>
      <c r="AI18">
        <v>11</v>
      </c>
      <c r="AJ18" s="3">
        <v>-751694</v>
      </c>
      <c r="AK18" s="3">
        <v>-3791170000</v>
      </c>
      <c r="AP18">
        <f t="shared" si="5"/>
        <v>0.90000000000000036</v>
      </c>
      <c r="AQ18">
        <v>11</v>
      </c>
      <c r="AR18" s="3">
        <v>-31240.799999999999</v>
      </c>
      <c r="AS18" s="3">
        <v>-156733000</v>
      </c>
      <c r="AX18">
        <f t="shared" si="6"/>
        <v>0.90000000000000036</v>
      </c>
      <c r="AY18">
        <v>11</v>
      </c>
      <c r="AZ18">
        <v>-2382.4299999999998</v>
      </c>
      <c r="BA18" s="3">
        <v>-19973900</v>
      </c>
      <c r="BF18">
        <f t="shared" si="7"/>
        <v>0.90000000000000036</v>
      </c>
      <c r="BG18">
        <v>11</v>
      </c>
      <c r="BH18" s="3">
        <v>5066900000</v>
      </c>
      <c r="BI18" s="3">
        <v>11552500000000</v>
      </c>
      <c r="BN18">
        <f t="shared" si="8"/>
        <v>0.90000000000000036</v>
      </c>
      <c r="BO18">
        <v>11</v>
      </c>
      <c r="BP18">
        <v>519723</v>
      </c>
      <c r="BQ18" s="3">
        <v>1407890000</v>
      </c>
      <c r="BV18">
        <f t="shared" si="9"/>
        <v>0.90000000000000036</v>
      </c>
      <c r="BW18">
        <v>11</v>
      </c>
      <c r="BX18">
        <v>-3606.09</v>
      </c>
      <c r="BY18" s="3">
        <v>-20772100</v>
      </c>
    </row>
    <row r="19" spans="2:77" x14ac:dyDescent="0.2">
      <c r="B19">
        <f t="shared" si="0"/>
        <v>0.9500000000000004</v>
      </c>
      <c r="C19">
        <v>12</v>
      </c>
      <c r="D19" s="3">
        <v>1101.8599999999999</v>
      </c>
      <c r="E19" s="3">
        <v>6148980</v>
      </c>
      <c r="J19">
        <f t="shared" si="1"/>
        <v>0.9500000000000004</v>
      </c>
      <c r="K19">
        <v>12</v>
      </c>
      <c r="L19" s="3">
        <v>3301200</v>
      </c>
      <c r="M19" s="3">
        <v>19492600000</v>
      </c>
      <c r="R19">
        <f t="shared" si="2"/>
        <v>0.9500000000000004</v>
      </c>
      <c r="S19">
        <v>12</v>
      </c>
      <c r="T19">
        <v>47685.8</v>
      </c>
      <c r="U19" s="3">
        <v>278122000</v>
      </c>
      <c r="Z19">
        <f t="shared" si="3"/>
        <v>0.9500000000000004</v>
      </c>
      <c r="AA19">
        <v>12</v>
      </c>
      <c r="AB19">
        <v>-1250.26</v>
      </c>
      <c r="AC19" s="3">
        <v>-5877310</v>
      </c>
      <c r="AH19">
        <f t="shared" si="4"/>
        <v>0.9500000000000004</v>
      </c>
      <c r="AI19">
        <v>12</v>
      </c>
      <c r="AJ19">
        <v>-346286</v>
      </c>
      <c r="AK19" s="3">
        <v>-1912760000</v>
      </c>
      <c r="AP19">
        <f t="shared" si="5"/>
        <v>0.9500000000000004</v>
      </c>
      <c r="AQ19">
        <v>12</v>
      </c>
      <c r="AR19" s="3">
        <v>-14557</v>
      </c>
      <c r="AS19" s="3">
        <v>-78427300</v>
      </c>
      <c r="AX19">
        <f t="shared" si="6"/>
        <v>0.9500000000000004</v>
      </c>
      <c r="AY19">
        <v>12</v>
      </c>
      <c r="AZ19">
        <v>-616.61800000000005</v>
      </c>
      <c r="BA19" s="3">
        <v>-6334870</v>
      </c>
      <c r="BF19">
        <f t="shared" si="7"/>
        <v>0.9500000000000004</v>
      </c>
      <c r="BG19">
        <v>12</v>
      </c>
      <c r="BH19" s="3">
        <v>2525510000</v>
      </c>
      <c r="BI19" s="3">
        <v>6224890000000</v>
      </c>
      <c r="BN19">
        <f t="shared" si="8"/>
        <v>0.9500000000000004</v>
      </c>
      <c r="BO19">
        <v>12</v>
      </c>
      <c r="BP19">
        <v>225288</v>
      </c>
      <c r="BQ19" s="3">
        <v>674242000</v>
      </c>
      <c r="BV19">
        <f t="shared" si="9"/>
        <v>0.9500000000000004</v>
      </c>
      <c r="BW19">
        <v>12</v>
      </c>
      <c r="BX19">
        <v>-1490.34</v>
      </c>
      <c r="BY19" s="3">
        <v>-9383430</v>
      </c>
    </row>
    <row r="20" spans="2:77" x14ac:dyDescent="0.2">
      <c r="B20">
        <f t="shared" si="0"/>
        <v>1.0000000000000004</v>
      </c>
      <c r="C20">
        <v>13</v>
      </c>
      <c r="D20" s="3">
        <v>496.10300000000001</v>
      </c>
      <c r="E20" s="3">
        <v>2928540</v>
      </c>
      <c r="J20">
        <f t="shared" si="1"/>
        <v>1.0000000000000004</v>
      </c>
      <c r="K20">
        <v>13</v>
      </c>
      <c r="L20" s="3">
        <v>1404490</v>
      </c>
      <c r="M20" s="3">
        <v>9002940000</v>
      </c>
      <c r="R20">
        <f t="shared" si="2"/>
        <v>1.0000000000000004</v>
      </c>
      <c r="S20">
        <v>13</v>
      </c>
      <c r="T20">
        <v>20560.3</v>
      </c>
      <c r="U20" s="3">
        <v>129270000</v>
      </c>
      <c r="Z20">
        <f t="shared" si="3"/>
        <v>1.0000000000000004</v>
      </c>
      <c r="AA20">
        <v>13</v>
      </c>
      <c r="AB20">
        <v>-634.65499999999997</v>
      </c>
      <c r="AC20" s="3">
        <v>-3217650</v>
      </c>
      <c r="AH20">
        <f t="shared" si="4"/>
        <v>1.0000000000000004</v>
      </c>
      <c r="AI20">
        <v>13</v>
      </c>
      <c r="AJ20">
        <v>-155213</v>
      </c>
      <c r="AK20" s="3">
        <v>-937905000</v>
      </c>
      <c r="AP20">
        <f t="shared" si="5"/>
        <v>1.0000000000000004</v>
      </c>
      <c r="AQ20">
        <v>13</v>
      </c>
      <c r="AR20" s="3">
        <v>-6715.06</v>
      </c>
      <c r="AS20" s="3">
        <v>-38650800</v>
      </c>
      <c r="AX20">
        <f t="shared" si="6"/>
        <v>1.0000000000000004</v>
      </c>
      <c r="AY20">
        <v>13</v>
      </c>
      <c r="AZ20">
        <v>-106.38500000000001</v>
      </c>
      <c r="BA20" s="3">
        <v>-1819640</v>
      </c>
      <c r="BF20">
        <f t="shared" si="7"/>
        <v>1.0000000000000004</v>
      </c>
      <c r="BG20">
        <v>13</v>
      </c>
      <c r="BH20" s="3">
        <v>1240370000</v>
      </c>
      <c r="BI20" s="3">
        <v>3296070000000</v>
      </c>
      <c r="BN20">
        <f t="shared" si="8"/>
        <v>1.0000000000000004</v>
      </c>
      <c r="BO20">
        <v>13</v>
      </c>
      <c r="BP20">
        <v>93857</v>
      </c>
      <c r="BQ20" s="3">
        <v>311955000</v>
      </c>
      <c r="BV20">
        <f t="shared" si="9"/>
        <v>1.0000000000000004</v>
      </c>
      <c r="BW20">
        <v>13</v>
      </c>
      <c r="BX20">
        <v>-593.81899999999996</v>
      </c>
      <c r="BY20" s="3">
        <v>-4160090</v>
      </c>
    </row>
    <row r="21" spans="2:77" x14ac:dyDescent="0.2">
      <c r="B21">
        <f t="shared" si="0"/>
        <v>1.0500000000000005</v>
      </c>
      <c r="C21">
        <v>14</v>
      </c>
      <c r="D21" s="3">
        <v>224.083</v>
      </c>
      <c r="E21" s="3">
        <v>1376470</v>
      </c>
      <c r="J21">
        <f t="shared" si="1"/>
        <v>1.0500000000000005</v>
      </c>
      <c r="K21">
        <v>14</v>
      </c>
      <c r="L21" s="3">
        <v>582975</v>
      </c>
      <c r="M21" s="3">
        <v>4048770000</v>
      </c>
      <c r="R21">
        <f t="shared" si="2"/>
        <v>1.0500000000000005</v>
      </c>
      <c r="S21">
        <v>14</v>
      </c>
      <c r="T21">
        <v>8710.1</v>
      </c>
      <c r="U21" s="3">
        <v>58827800</v>
      </c>
      <c r="Z21">
        <f t="shared" si="3"/>
        <v>1.0500000000000005</v>
      </c>
      <c r="AA21">
        <v>14</v>
      </c>
      <c r="AB21">
        <v>-317.04399999999998</v>
      </c>
      <c r="AC21" s="3">
        <v>-1735820</v>
      </c>
      <c r="AH21">
        <f t="shared" si="4"/>
        <v>1.0500000000000005</v>
      </c>
      <c r="AI21">
        <v>14</v>
      </c>
      <c r="AJ21">
        <v>-67503.100000000006</v>
      </c>
      <c r="AK21" s="3">
        <v>-446049000</v>
      </c>
      <c r="AP21">
        <f t="shared" si="5"/>
        <v>1.0500000000000005</v>
      </c>
      <c r="AQ21">
        <v>14</v>
      </c>
      <c r="AR21" s="3">
        <v>-3071.34</v>
      </c>
      <c r="AS21" s="3">
        <v>-18793000</v>
      </c>
      <c r="AX21">
        <f t="shared" si="6"/>
        <v>1.0500000000000005</v>
      </c>
      <c r="AY21">
        <v>14</v>
      </c>
      <c r="AZ21">
        <v>25.275300000000001</v>
      </c>
      <c r="BA21" s="3">
        <v>-443270</v>
      </c>
      <c r="BF21">
        <f t="shared" si="7"/>
        <v>1.0500000000000005</v>
      </c>
      <c r="BG21">
        <v>14</v>
      </c>
      <c r="BH21" s="3">
        <v>599930000</v>
      </c>
      <c r="BI21" s="3">
        <v>1714560000000</v>
      </c>
      <c r="BN21">
        <f t="shared" si="8"/>
        <v>1.0500000000000005</v>
      </c>
      <c r="BO21">
        <v>14</v>
      </c>
      <c r="BP21">
        <v>37145.599999999999</v>
      </c>
      <c r="BQ21" s="3">
        <v>138563000</v>
      </c>
      <c r="BV21">
        <f t="shared" si="9"/>
        <v>1.0500000000000005</v>
      </c>
      <c r="BW21">
        <v>14</v>
      </c>
      <c r="BX21">
        <v>-219.75399999999999</v>
      </c>
      <c r="BY21" s="3">
        <v>-1810310</v>
      </c>
    </row>
    <row r="22" spans="2:77" x14ac:dyDescent="0.2">
      <c r="B22">
        <f t="shared" si="0"/>
        <v>1.1000000000000005</v>
      </c>
      <c r="C22">
        <v>15</v>
      </c>
      <c r="D22" s="3">
        <v>102.997</v>
      </c>
      <c r="E22" s="3">
        <v>641521</v>
      </c>
      <c r="J22">
        <f t="shared" si="1"/>
        <v>1.1000000000000005</v>
      </c>
      <c r="K22">
        <v>15</v>
      </c>
      <c r="L22">
        <v>235743</v>
      </c>
      <c r="M22" s="3">
        <v>1770920000</v>
      </c>
      <c r="R22">
        <f t="shared" si="2"/>
        <v>1.1000000000000005</v>
      </c>
      <c r="S22">
        <v>15</v>
      </c>
      <c r="T22">
        <v>3627.76</v>
      </c>
      <c r="U22" s="3">
        <v>26211300</v>
      </c>
      <c r="Z22">
        <f t="shared" si="3"/>
        <v>1.1000000000000005</v>
      </c>
      <c r="AA22">
        <v>15</v>
      </c>
      <c r="AB22">
        <v>-155.19200000000001</v>
      </c>
      <c r="AC22">
        <v>-921949</v>
      </c>
      <c r="AH22">
        <f t="shared" si="4"/>
        <v>1.1000000000000005</v>
      </c>
      <c r="AI22">
        <v>15</v>
      </c>
      <c r="AJ22">
        <v>-28387</v>
      </c>
      <c r="AK22" s="3">
        <v>-205238000</v>
      </c>
      <c r="AP22">
        <f t="shared" si="5"/>
        <v>1.1000000000000005</v>
      </c>
      <c r="AQ22">
        <v>15</v>
      </c>
      <c r="AR22">
        <v>-1394.97</v>
      </c>
      <c r="AS22" s="3">
        <v>-9035130</v>
      </c>
      <c r="AX22">
        <f t="shared" si="6"/>
        <v>1.1000000000000005</v>
      </c>
      <c r="AY22">
        <v>15</v>
      </c>
      <c r="AZ22">
        <v>51.575200000000002</v>
      </c>
      <c r="BA22" s="3">
        <v>-55381.4</v>
      </c>
      <c r="BF22">
        <f t="shared" si="7"/>
        <v>1.1000000000000005</v>
      </c>
      <c r="BG22">
        <v>15</v>
      </c>
      <c r="BH22" s="3">
        <v>285591000</v>
      </c>
      <c r="BI22" s="3">
        <v>875908000000</v>
      </c>
      <c r="BN22">
        <f t="shared" si="8"/>
        <v>1.1000000000000005</v>
      </c>
      <c r="BO22">
        <v>15</v>
      </c>
      <c r="BP22">
        <v>13680.2</v>
      </c>
      <c r="BQ22" s="3">
        <v>58489100</v>
      </c>
      <c r="BV22">
        <f t="shared" si="9"/>
        <v>1.1000000000000005</v>
      </c>
      <c r="BW22">
        <v>15</v>
      </c>
      <c r="BX22">
        <v>-66.441199999999995</v>
      </c>
      <c r="BY22">
        <v>-768241</v>
      </c>
    </row>
    <row r="23" spans="2:77" x14ac:dyDescent="0.2">
      <c r="B23">
        <f t="shared" si="0"/>
        <v>1.1500000000000006</v>
      </c>
      <c r="C23">
        <v>16</v>
      </c>
      <c r="D23" s="3">
        <v>49.226599999999998</v>
      </c>
      <c r="E23" s="3">
        <v>299364</v>
      </c>
      <c r="J23">
        <f t="shared" si="1"/>
        <v>1.1500000000000006</v>
      </c>
      <c r="K23">
        <v>16</v>
      </c>
      <c r="L23">
        <v>92724.6</v>
      </c>
      <c r="M23" s="3">
        <v>752402000</v>
      </c>
      <c r="R23">
        <f t="shared" si="2"/>
        <v>1.1500000000000006</v>
      </c>
      <c r="S23">
        <v>16</v>
      </c>
      <c r="T23">
        <v>1488.47</v>
      </c>
      <c r="U23" s="3">
        <v>11434000</v>
      </c>
      <c r="Z23">
        <f t="shared" si="3"/>
        <v>1.1500000000000006</v>
      </c>
      <c r="AA23">
        <v>16</v>
      </c>
      <c r="AB23">
        <v>-73.854500000000002</v>
      </c>
      <c r="AC23">
        <v>-481130</v>
      </c>
      <c r="AH23">
        <f t="shared" si="4"/>
        <v>1.1500000000000006</v>
      </c>
      <c r="AI23">
        <v>16</v>
      </c>
      <c r="AJ23">
        <v>-11488.7</v>
      </c>
      <c r="AK23" s="3">
        <v>-91087800</v>
      </c>
      <c r="AP23">
        <f t="shared" si="5"/>
        <v>1.1500000000000006</v>
      </c>
      <c r="AQ23">
        <v>16</v>
      </c>
      <c r="AR23">
        <v>-629.71600000000001</v>
      </c>
      <c r="AS23" s="3">
        <v>-4305990</v>
      </c>
      <c r="AX23">
        <f t="shared" si="6"/>
        <v>1.1500000000000006</v>
      </c>
      <c r="AY23">
        <v>16</v>
      </c>
      <c r="AZ23">
        <v>50.775100000000002</v>
      </c>
      <c r="BA23" s="3">
        <v>46780.9</v>
      </c>
      <c r="BF23">
        <f t="shared" si="7"/>
        <v>1.1500000000000006</v>
      </c>
      <c r="BG23">
        <v>16</v>
      </c>
      <c r="BH23" s="3">
        <v>133731000</v>
      </c>
      <c r="BI23" s="3">
        <v>439285000000</v>
      </c>
      <c r="BN23">
        <f t="shared" si="8"/>
        <v>1.1500000000000006</v>
      </c>
      <c r="BO23">
        <v>16</v>
      </c>
      <c r="BP23">
        <v>4490.13</v>
      </c>
      <c r="BQ23" s="3">
        <v>23048900</v>
      </c>
      <c r="BV23">
        <f t="shared" si="9"/>
        <v>1.1500000000000006</v>
      </c>
      <c r="BW23">
        <v>16</v>
      </c>
      <c r="BX23">
        <v>-5.5133099999999997</v>
      </c>
      <c r="BY23">
        <v>-310147</v>
      </c>
    </row>
    <row r="24" spans="2:77" x14ac:dyDescent="0.2">
      <c r="B24">
        <f t="shared" si="0"/>
        <v>1.2000000000000006</v>
      </c>
      <c r="C24">
        <v>17</v>
      </c>
      <c r="D24" s="3">
        <v>25.0916</v>
      </c>
      <c r="E24" s="3">
        <v>142556</v>
      </c>
      <c r="J24">
        <f t="shared" si="1"/>
        <v>1.2000000000000006</v>
      </c>
      <c r="K24">
        <v>17</v>
      </c>
      <c r="L24">
        <v>35411.699999999997</v>
      </c>
      <c r="M24" s="3">
        <v>310053000</v>
      </c>
      <c r="R24">
        <f t="shared" si="2"/>
        <v>1.2000000000000006</v>
      </c>
      <c r="S24">
        <v>17</v>
      </c>
      <c r="T24">
        <v>604.88699999999994</v>
      </c>
      <c r="U24" s="3">
        <v>4883830</v>
      </c>
      <c r="Z24">
        <f t="shared" si="3"/>
        <v>1.2000000000000006</v>
      </c>
      <c r="AA24">
        <v>17</v>
      </c>
      <c r="AB24">
        <v>-33.6706</v>
      </c>
      <c r="AC24">
        <v>-245630</v>
      </c>
      <c r="AH24">
        <f t="shared" si="4"/>
        <v>1.2000000000000006</v>
      </c>
      <c r="AI24">
        <v>17</v>
      </c>
      <c r="AJ24">
        <v>-4442.3100000000004</v>
      </c>
      <c r="AK24" s="3">
        <v>-38842900</v>
      </c>
      <c r="AP24">
        <f t="shared" si="5"/>
        <v>1.2000000000000006</v>
      </c>
      <c r="AQ24">
        <v>17</v>
      </c>
      <c r="AR24">
        <v>-282.26799999999997</v>
      </c>
      <c r="AS24" s="3">
        <v>-2039590</v>
      </c>
      <c r="AX24">
        <f t="shared" si="6"/>
        <v>1.2000000000000006</v>
      </c>
      <c r="AY24">
        <v>17</v>
      </c>
      <c r="AZ24">
        <v>43.763500000000001</v>
      </c>
      <c r="BA24" s="3">
        <v>69719.7</v>
      </c>
      <c r="BF24">
        <f t="shared" si="7"/>
        <v>1.2000000000000006</v>
      </c>
      <c r="BG24">
        <v>17</v>
      </c>
      <c r="BH24" s="3">
        <v>61562400</v>
      </c>
      <c r="BI24" s="3">
        <v>216190000000</v>
      </c>
      <c r="BN24">
        <f t="shared" si="8"/>
        <v>1.2000000000000006</v>
      </c>
      <c r="BO24">
        <v>17</v>
      </c>
      <c r="BP24">
        <v>1163.6600000000001</v>
      </c>
      <c r="BQ24" s="3">
        <v>8180590</v>
      </c>
      <c r="BV24">
        <f t="shared" si="9"/>
        <v>1.2000000000000006</v>
      </c>
      <c r="BW24">
        <v>17</v>
      </c>
      <c r="BX24">
        <v>16.9832</v>
      </c>
      <c r="BY24">
        <v>-109764</v>
      </c>
    </row>
    <row r="25" spans="2:77" x14ac:dyDescent="0.2">
      <c r="B25">
        <f t="shared" si="0"/>
        <v>1.2500000000000007</v>
      </c>
      <c r="C25">
        <v>18</v>
      </c>
      <c r="D25" s="3">
        <v>13.8682</v>
      </c>
      <c r="E25" s="3">
        <v>71574.5</v>
      </c>
      <c r="J25">
        <f t="shared" si="1"/>
        <v>1.2500000000000007</v>
      </c>
      <c r="K25">
        <v>18</v>
      </c>
      <c r="L25">
        <v>13105.4</v>
      </c>
      <c r="M25" s="3">
        <v>123705000</v>
      </c>
      <c r="R25">
        <f t="shared" si="2"/>
        <v>1.2500000000000007</v>
      </c>
      <c r="S25">
        <v>18</v>
      </c>
      <c r="T25">
        <v>246.72399999999999</v>
      </c>
      <c r="U25" s="3">
        <v>2044560</v>
      </c>
      <c r="Z25">
        <f t="shared" si="3"/>
        <v>1.2500000000000007</v>
      </c>
      <c r="AA25">
        <v>18</v>
      </c>
      <c r="AB25">
        <v>-14.276999999999999</v>
      </c>
      <c r="AC25">
        <v>-121566</v>
      </c>
      <c r="AH25">
        <f t="shared" si="4"/>
        <v>1.2500000000000007</v>
      </c>
      <c r="AI25">
        <v>18</v>
      </c>
      <c r="AJ25">
        <v>-1619.03</v>
      </c>
      <c r="AK25" s="3">
        <v>-15831900</v>
      </c>
      <c r="AP25">
        <f t="shared" si="5"/>
        <v>1.2500000000000007</v>
      </c>
      <c r="AQ25">
        <v>18</v>
      </c>
      <c r="AR25">
        <v>-125.01900000000001</v>
      </c>
      <c r="AS25" s="3">
        <v>-962117</v>
      </c>
      <c r="AX25">
        <f t="shared" si="6"/>
        <v>1.2500000000000007</v>
      </c>
      <c r="AY25">
        <v>18</v>
      </c>
      <c r="AZ25">
        <v>36.063600000000001</v>
      </c>
      <c r="BA25" s="3">
        <v>68986.100000000006</v>
      </c>
      <c r="BF25">
        <f t="shared" si="7"/>
        <v>1.2500000000000007</v>
      </c>
      <c r="BG25">
        <v>18</v>
      </c>
      <c r="BH25" s="3">
        <v>27845500</v>
      </c>
      <c r="BI25" s="3">
        <v>104361000000</v>
      </c>
      <c r="BN25">
        <f t="shared" si="8"/>
        <v>1.2500000000000007</v>
      </c>
      <c r="BO25">
        <v>18</v>
      </c>
      <c r="BP25">
        <v>107.524</v>
      </c>
      <c r="BQ25" s="3">
        <v>2382940</v>
      </c>
      <c r="BV25">
        <f t="shared" si="9"/>
        <v>1.2500000000000007</v>
      </c>
      <c r="BW25">
        <v>18</v>
      </c>
      <c r="BX25">
        <v>23.6004</v>
      </c>
      <c r="BY25">
        <v>-22736.1</v>
      </c>
    </row>
    <row r="26" spans="2:77" x14ac:dyDescent="0.2">
      <c r="B26">
        <f t="shared" si="0"/>
        <v>1.3000000000000007</v>
      </c>
      <c r="C26">
        <v>19</v>
      </c>
      <c r="D26" s="3">
        <v>8.2490100000000002</v>
      </c>
      <c r="E26" s="3">
        <v>39558</v>
      </c>
      <c r="J26">
        <f t="shared" si="1"/>
        <v>1.3000000000000007</v>
      </c>
      <c r="K26">
        <v>19</v>
      </c>
      <c r="L26">
        <v>4691.3100000000004</v>
      </c>
      <c r="M26" s="3">
        <v>47680000</v>
      </c>
      <c r="R26">
        <f t="shared" si="2"/>
        <v>1.3000000000000007</v>
      </c>
      <c r="S26">
        <v>19</v>
      </c>
      <c r="T26">
        <v>103.98</v>
      </c>
      <c r="U26">
        <v>842282</v>
      </c>
      <c r="Z26">
        <f t="shared" si="3"/>
        <v>1.3000000000000007</v>
      </c>
      <c r="AA26">
        <v>19</v>
      </c>
      <c r="AB26">
        <v>-5.2523600000000004</v>
      </c>
      <c r="AC26">
        <v>-57186.7</v>
      </c>
      <c r="AH26">
        <f t="shared" si="4"/>
        <v>1.3000000000000007</v>
      </c>
      <c r="AI26">
        <v>19</v>
      </c>
      <c r="AJ26">
        <v>-538.96799999999996</v>
      </c>
      <c r="AK26" s="3">
        <v>-6118370</v>
      </c>
      <c r="AP26">
        <f t="shared" si="5"/>
        <v>1.3000000000000007</v>
      </c>
      <c r="AQ26">
        <v>19</v>
      </c>
      <c r="AR26">
        <v>-53.9895</v>
      </c>
      <c r="AS26" s="3">
        <v>-452116</v>
      </c>
      <c r="AX26">
        <f t="shared" si="6"/>
        <v>1.3000000000000007</v>
      </c>
      <c r="AY26">
        <v>19</v>
      </c>
      <c r="AZ26">
        <v>29.249500000000001</v>
      </c>
      <c r="BA26">
        <v>60185.2</v>
      </c>
      <c r="BF26">
        <f t="shared" si="7"/>
        <v>1.3000000000000007</v>
      </c>
      <c r="BG26">
        <v>19</v>
      </c>
      <c r="BH26" s="3">
        <v>12368800</v>
      </c>
      <c r="BI26" s="3">
        <v>49392500000</v>
      </c>
      <c r="BN26">
        <f t="shared" si="8"/>
        <v>1.3000000000000007</v>
      </c>
      <c r="BO26">
        <v>19</v>
      </c>
      <c r="BP26">
        <v>-142.583</v>
      </c>
      <c r="BQ26" s="3">
        <v>365991</v>
      </c>
      <c r="BV26">
        <f t="shared" si="9"/>
        <v>1.3000000000000007</v>
      </c>
      <c r="BW26">
        <v>19</v>
      </c>
      <c r="BX26">
        <v>23.781700000000001</v>
      </c>
      <c r="BY26">
        <v>14154.8</v>
      </c>
    </row>
    <row r="27" spans="2:77" x14ac:dyDescent="0.2">
      <c r="B27">
        <f t="shared" si="0"/>
        <v>1.3500000000000008</v>
      </c>
      <c r="C27">
        <v>20</v>
      </c>
      <c r="D27" s="3">
        <v>5.0910700000000002</v>
      </c>
      <c r="E27" s="3">
        <v>24867.7</v>
      </c>
      <c r="J27">
        <f t="shared" si="1"/>
        <v>1.3500000000000008</v>
      </c>
      <c r="K27">
        <v>20</v>
      </c>
      <c r="L27">
        <v>1623.31</v>
      </c>
      <c r="M27" s="3">
        <v>17701800</v>
      </c>
      <c r="R27">
        <f t="shared" si="2"/>
        <v>1.3500000000000008</v>
      </c>
      <c r="S27">
        <v>20</v>
      </c>
      <c r="T27">
        <v>47.6631</v>
      </c>
      <c r="U27">
        <v>345748</v>
      </c>
      <c r="Z27">
        <f t="shared" si="3"/>
        <v>1.3500000000000008</v>
      </c>
      <c r="AA27">
        <v>20</v>
      </c>
      <c r="AB27">
        <v>-1.3202799999999999</v>
      </c>
      <c r="AC27">
        <v>-24367.5</v>
      </c>
      <c r="AH27">
        <f t="shared" si="4"/>
        <v>1.3500000000000008</v>
      </c>
      <c r="AI27">
        <v>20</v>
      </c>
      <c r="AJ27">
        <v>-148.55099999999999</v>
      </c>
      <c r="AK27" s="3">
        <v>-2208610</v>
      </c>
      <c r="AP27">
        <f t="shared" si="5"/>
        <v>1.3500000000000008</v>
      </c>
      <c r="AQ27">
        <v>20</v>
      </c>
      <c r="AR27">
        <v>-22.009</v>
      </c>
      <c r="AS27" s="3">
        <v>-210913</v>
      </c>
      <c r="AX27">
        <f t="shared" si="6"/>
        <v>1.3500000000000008</v>
      </c>
      <c r="AY27">
        <v>20</v>
      </c>
      <c r="AZ27">
        <v>23.730499999999999</v>
      </c>
      <c r="BA27">
        <v>49236.2</v>
      </c>
      <c r="BF27">
        <f t="shared" si="7"/>
        <v>1.3500000000000008</v>
      </c>
      <c r="BG27">
        <v>20</v>
      </c>
      <c r="BH27" s="3">
        <v>5393100</v>
      </c>
      <c r="BI27" s="3">
        <v>22910100000</v>
      </c>
      <c r="BN27">
        <f t="shared" si="8"/>
        <v>1.3500000000000008</v>
      </c>
      <c r="BO27">
        <v>20</v>
      </c>
      <c r="BP27">
        <v>-146.57599999999999</v>
      </c>
      <c r="BQ27" s="3">
        <v>-193455</v>
      </c>
      <c r="BV27">
        <f t="shared" si="9"/>
        <v>1.3500000000000008</v>
      </c>
      <c r="BW27">
        <v>20</v>
      </c>
      <c r="BX27">
        <v>21.510400000000001</v>
      </c>
      <c r="BY27">
        <v>28594.9</v>
      </c>
    </row>
    <row r="28" spans="2:77" x14ac:dyDescent="0.2">
      <c r="B28">
        <f t="shared" si="0"/>
        <v>1.4000000000000008</v>
      </c>
      <c r="C28">
        <v>21</v>
      </c>
      <c r="D28" s="3">
        <v>3.0626199999999999</v>
      </c>
      <c r="E28" s="3">
        <v>17721.400000000001</v>
      </c>
      <c r="J28">
        <f t="shared" si="1"/>
        <v>1.4000000000000008</v>
      </c>
      <c r="K28">
        <v>21</v>
      </c>
      <c r="L28">
        <v>545.60299999999995</v>
      </c>
      <c r="M28" s="3">
        <v>6306160</v>
      </c>
      <c r="R28">
        <f t="shared" si="2"/>
        <v>1.4000000000000008</v>
      </c>
      <c r="S28">
        <v>21</v>
      </c>
      <c r="T28">
        <v>25.233499999999999</v>
      </c>
      <c r="U28">
        <v>146062</v>
      </c>
      <c r="Z28">
        <f t="shared" si="3"/>
        <v>1.4000000000000008</v>
      </c>
      <c r="AA28">
        <v>21</v>
      </c>
      <c r="AB28">
        <v>0.16178500000000001</v>
      </c>
      <c r="AC28">
        <v>-8029.9</v>
      </c>
      <c r="AH28">
        <f t="shared" si="4"/>
        <v>1.4000000000000008</v>
      </c>
      <c r="AI28">
        <v>21</v>
      </c>
      <c r="AJ28">
        <v>-18.0288</v>
      </c>
      <c r="AK28" s="3">
        <v>-718359</v>
      </c>
      <c r="AP28">
        <f t="shared" si="5"/>
        <v>1.4000000000000008</v>
      </c>
      <c r="AQ28">
        <v>21</v>
      </c>
      <c r="AR28">
        <v>-7.7479300000000002</v>
      </c>
      <c r="AS28" s="3">
        <v>-96622.6</v>
      </c>
      <c r="AX28">
        <f t="shared" si="6"/>
        <v>1.4000000000000008</v>
      </c>
      <c r="AY28">
        <v>21</v>
      </c>
      <c r="AZ28">
        <v>19.462199999999999</v>
      </c>
      <c r="BA28">
        <v>39005.5</v>
      </c>
      <c r="BF28">
        <f t="shared" si="7"/>
        <v>1.4000000000000008</v>
      </c>
      <c r="BG28">
        <v>21</v>
      </c>
      <c r="BH28" s="3">
        <v>2307360</v>
      </c>
      <c r="BI28" s="3">
        <v>10410600000</v>
      </c>
      <c r="BN28">
        <f t="shared" si="8"/>
        <v>1.4000000000000008</v>
      </c>
      <c r="BO28">
        <v>21</v>
      </c>
      <c r="BP28">
        <v>-98.961500000000001</v>
      </c>
      <c r="BQ28">
        <v>-256962</v>
      </c>
      <c r="BV28">
        <f t="shared" si="9"/>
        <v>1.4000000000000008</v>
      </c>
      <c r="BW28">
        <v>21</v>
      </c>
      <c r="BX28">
        <v>18.479900000000001</v>
      </c>
      <c r="BY28">
        <v>32833</v>
      </c>
    </row>
    <row r="29" spans="2:77" x14ac:dyDescent="0.2">
      <c r="B29">
        <f t="shared" si="0"/>
        <v>1.4500000000000008</v>
      </c>
      <c r="C29">
        <v>22</v>
      </c>
      <c r="D29" s="3">
        <v>1.6045199999999999</v>
      </c>
      <c r="E29" s="3">
        <v>13805</v>
      </c>
      <c r="J29">
        <f t="shared" si="1"/>
        <v>1.4500000000000008</v>
      </c>
      <c r="K29">
        <v>22</v>
      </c>
      <c r="L29">
        <v>182.43600000000001</v>
      </c>
      <c r="M29" s="3">
        <v>2146370</v>
      </c>
      <c r="R29">
        <f t="shared" si="2"/>
        <v>1.4500000000000008</v>
      </c>
      <c r="S29">
        <v>22</v>
      </c>
      <c r="T29">
        <v>15.7918</v>
      </c>
      <c r="U29">
        <v>67772.100000000006</v>
      </c>
      <c r="Z29">
        <f t="shared" si="3"/>
        <v>1.4500000000000008</v>
      </c>
      <c r="AA29">
        <v>22</v>
      </c>
      <c r="AB29">
        <v>0.50190000000000001</v>
      </c>
      <c r="AC29">
        <v>-189.53899999999999</v>
      </c>
      <c r="AH29">
        <f t="shared" si="4"/>
        <v>1.4500000000000008</v>
      </c>
      <c r="AI29">
        <v>22</v>
      </c>
      <c r="AJ29">
        <v>20.014299999999999</v>
      </c>
      <c r="AK29">
        <v>-186126</v>
      </c>
      <c r="AP29">
        <f t="shared" si="5"/>
        <v>1.4500000000000008</v>
      </c>
      <c r="AQ29">
        <v>22</v>
      </c>
      <c r="AR29">
        <v>-1.55263</v>
      </c>
      <c r="AS29" s="3">
        <v>-42342.6</v>
      </c>
      <c r="AX29">
        <f t="shared" si="6"/>
        <v>1.4500000000000008</v>
      </c>
      <c r="AY29">
        <v>22</v>
      </c>
      <c r="AZ29">
        <v>16.222100000000001</v>
      </c>
      <c r="BA29">
        <v>30646</v>
      </c>
      <c r="BF29">
        <f t="shared" si="7"/>
        <v>1.4500000000000008</v>
      </c>
      <c r="BG29">
        <v>22</v>
      </c>
      <c r="BH29" s="3">
        <v>968338</v>
      </c>
      <c r="BI29" s="3">
        <v>4633160000</v>
      </c>
      <c r="BN29">
        <f t="shared" si="8"/>
        <v>1.4500000000000008</v>
      </c>
      <c r="BO29">
        <v>22</v>
      </c>
      <c r="BP29">
        <v>-56.433</v>
      </c>
      <c r="BQ29">
        <v>-190643</v>
      </c>
      <c r="BV29">
        <f t="shared" si="9"/>
        <v>1.4500000000000008</v>
      </c>
      <c r="BW29">
        <v>22</v>
      </c>
      <c r="BX29">
        <v>15.409000000000001</v>
      </c>
      <c r="BY29">
        <v>32393.3</v>
      </c>
    </row>
    <row r="30" spans="2:77" x14ac:dyDescent="0.2">
      <c r="B30">
        <f t="shared" si="0"/>
        <v>1.5000000000000009</v>
      </c>
      <c r="C30">
        <v>23</v>
      </c>
      <c r="D30" s="3">
        <v>0.48006799999999999</v>
      </c>
      <c r="E30" s="3">
        <v>11273.5</v>
      </c>
      <c r="J30">
        <f t="shared" si="1"/>
        <v>1.5000000000000009</v>
      </c>
      <c r="K30">
        <v>23</v>
      </c>
      <c r="L30">
        <v>65.449399999999997</v>
      </c>
      <c r="M30" s="3">
        <v>697466</v>
      </c>
      <c r="R30">
        <f t="shared" si="2"/>
        <v>1.5000000000000009</v>
      </c>
      <c r="S30">
        <v>23</v>
      </c>
      <c r="T30">
        <v>11.2517</v>
      </c>
      <c r="U30">
        <v>37479.5</v>
      </c>
      <c r="Z30">
        <f t="shared" si="3"/>
        <v>1.5000000000000009</v>
      </c>
      <c r="AA30">
        <v>23</v>
      </c>
      <c r="AB30">
        <v>0.33877400000000002</v>
      </c>
      <c r="AC30">
        <v>3332.76</v>
      </c>
      <c r="AH30">
        <f t="shared" si="4"/>
        <v>1.5000000000000009</v>
      </c>
      <c r="AI30">
        <v>23</v>
      </c>
      <c r="AJ30">
        <v>27.467600000000001</v>
      </c>
      <c r="AK30">
        <v>-11708.1</v>
      </c>
      <c r="AP30">
        <f t="shared" si="5"/>
        <v>1.5000000000000009</v>
      </c>
      <c r="AQ30">
        <v>23</v>
      </c>
      <c r="AR30">
        <v>0.96730899999999997</v>
      </c>
      <c r="AS30" s="3">
        <v>-16600.7</v>
      </c>
      <c r="AX30">
        <f t="shared" si="6"/>
        <v>1.5000000000000009</v>
      </c>
      <c r="AY30">
        <v>23</v>
      </c>
      <c r="AZ30">
        <v>13.7598</v>
      </c>
      <c r="BA30">
        <v>24243.7</v>
      </c>
      <c r="BF30">
        <f t="shared" si="7"/>
        <v>1.5000000000000009</v>
      </c>
      <c r="BG30">
        <v>23</v>
      </c>
      <c r="BH30" s="3">
        <v>398547</v>
      </c>
      <c r="BI30" s="3">
        <v>2019030000</v>
      </c>
      <c r="BN30">
        <f t="shared" si="8"/>
        <v>1.5000000000000009</v>
      </c>
      <c r="BO30">
        <v>23</v>
      </c>
      <c r="BP30">
        <v>-28.9786</v>
      </c>
      <c r="BQ30">
        <v>-116061</v>
      </c>
      <c r="BV30">
        <f t="shared" si="9"/>
        <v>1.5000000000000009</v>
      </c>
      <c r="BW30">
        <v>23</v>
      </c>
      <c r="BX30">
        <v>12.5931</v>
      </c>
      <c r="BY30">
        <v>29841.5</v>
      </c>
    </row>
    <row r="31" spans="2:77" x14ac:dyDescent="0.2">
      <c r="B31">
        <f t="shared" si="0"/>
        <v>1.5500000000000009</v>
      </c>
      <c r="C31">
        <v>24</v>
      </c>
      <c r="D31" s="3">
        <v>-0.41614299999999999</v>
      </c>
      <c r="E31" s="3">
        <v>9367.14</v>
      </c>
      <c r="J31">
        <f t="shared" si="1"/>
        <v>1.5500000000000009</v>
      </c>
      <c r="K31">
        <v>24</v>
      </c>
      <c r="L31">
        <v>29.225100000000001</v>
      </c>
      <c r="M31">
        <v>221138</v>
      </c>
      <c r="R31">
        <f t="shared" si="2"/>
        <v>1.5500000000000009</v>
      </c>
      <c r="S31">
        <v>24</v>
      </c>
      <c r="T31">
        <v>8.5863999999999994</v>
      </c>
      <c r="U31">
        <v>25392.5</v>
      </c>
      <c r="Z31">
        <f t="shared" si="3"/>
        <v>1.5500000000000009</v>
      </c>
      <c r="AA31">
        <v>24</v>
      </c>
      <c r="AB31">
        <v>-2.13718E-2</v>
      </c>
      <c r="AC31">
        <v>4701.1499999999996</v>
      </c>
      <c r="AH31">
        <f t="shared" si="4"/>
        <v>1.5500000000000009</v>
      </c>
      <c r="AI31">
        <v>24</v>
      </c>
      <c r="AJ31">
        <v>25.858699999999999</v>
      </c>
      <c r="AK31">
        <v>37780.199999999997</v>
      </c>
      <c r="AP31">
        <f t="shared" si="5"/>
        <v>1.5500000000000009</v>
      </c>
      <c r="AQ31">
        <v>24</v>
      </c>
      <c r="AR31">
        <v>1.8240799999999999</v>
      </c>
      <c r="AS31">
        <v>-4542.2</v>
      </c>
      <c r="AX31">
        <f t="shared" si="6"/>
        <v>1.5500000000000009</v>
      </c>
      <c r="AY31">
        <v>24</v>
      </c>
      <c r="AZ31">
        <v>11.867599999999999</v>
      </c>
      <c r="BA31">
        <v>19399.400000000001</v>
      </c>
      <c r="BF31">
        <f t="shared" si="7"/>
        <v>1.5500000000000009</v>
      </c>
      <c r="BG31">
        <v>24</v>
      </c>
      <c r="BH31">
        <v>160841</v>
      </c>
      <c r="BI31" s="3">
        <v>861450000</v>
      </c>
      <c r="BN31">
        <f t="shared" si="8"/>
        <v>1.5500000000000009</v>
      </c>
      <c r="BO31">
        <v>24</v>
      </c>
      <c r="BP31">
        <v>-13.713100000000001</v>
      </c>
      <c r="BQ31">
        <v>-62887.5</v>
      </c>
      <c r="BV31">
        <f t="shared" si="9"/>
        <v>1.5500000000000009</v>
      </c>
      <c r="BW31">
        <v>24</v>
      </c>
      <c r="BX31">
        <v>10.1387</v>
      </c>
      <c r="BY31">
        <v>26423.3</v>
      </c>
    </row>
    <row r="32" spans="2:77" x14ac:dyDescent="0.2">
      <c r="B32">
        <f t="shared" si="0"/>
        <v>1.600000000000001</v>
      </c>
      <c r="C32">
        <v>25</v>
      </c>
      <c r="D32" s="3">
        <v>-1.13727</v>
      </c>
      <c r="E32" s="3">
        <v>7787.48</v>
      </c>
      <c r="J32">
        <f t="shared" si="1"/>
        <v>1.600000000000001</v>
      </c>
      <c r="K32">
        <v>25</v>
      </c>
      <c r="L32">
        <v>17.9072</v>
      </c>
      <c r="M32">
        <v>76082.600000000006</v>
      </c>
      <c r="R32">
        <f t="shared" si="2"/>
        <v>1.600000000000001</v>
      </c>
      <c r="S32">
        <v>25</v>
      </c>
      <c r="T32">
        <v>6.7036899999999999</v>
      </c>
      <c r="U32">
        <v>19885.900000000001</v>
      </c>
      <c r="Z32">
        <f t="shared" si="3"/>
        <v>1.600000000000001</v>
      </c>
      <c r="AA32">
        <v>25</v>
      </c>
      <c r="AB32">
        <v>-0.43582599999999999</v>
      </c>
      <c r="AC32">
        <v>5025.18</v>
      </c>
      <c r="AH32">
        <f t="shared" si="4"/>
        <v>1.600000000000001</v>
      </c>
      <c r="AI32">
        <v>25</v>
      </c>
      <c r="AJ32">
        <v>22.145800000000001</v>
      </c>
      <c r="AK32">
        <v>47048.4</v>
      </c>
      <c r="AP32">
        <f t="shared" si="5"/>
        <v>1.600000000000001</v>
      </c>
      <c r="AQ32">
        <v>25</v>
      </c>
      <c r="AR32">
        <v>1.9471400000000001</v>
      </c>
      <c r="AS32">
        <v>906.18899999999996</v>
      </c>
      <c r="AX32">
        <f t="shared" si="6"/>
        <v>1.600000000000001</v>
      </c>
      <c r="AY32">
        <v>25</v>
      </c>
      <c r="AZ32">
        <v>10.397</v>
      </c>
      <c r="BA32">
        <v>15640</v>
      </c>
      <c r="BF32">
        <f t="shared" si="7"/>
        <v>1.600000000000001</v>
      </c>
      <c r="BG32">
        <v>25</v>
      </c>
      <c r="BH32">
        <v>63634.6</v>
      </c>
      <c r="BI32" s="3">
        <v>359860000</v>
      </c>
      <c r="BN32">
        <f t="shared" si="8"/>
        <v>1.600000000000001</v>
      </c>
      <c r="BO32">
        <v>25</v>
      </c>
      <c r="BP32">
        <v>-6.0385900000000001</v>
      </c>
      <c r="BQ32">
        <v>-31088.6</v>
      </c>
      <c r="BV32">
        <f t="shared" si="9"/>
        <v>1.600000000000001</v>
      </c>
      <c r="BW32">
        <v>25</v>
      </c>
      <c r="BX32">
        <v>8.0652500000000007</v>
      </c>
      <c r="BY32">
        <v>22783.5</v>
      </c>
    </row>
    <row r="33" spans="2:77" x14ac:dyDescent="0.2">
      <c r="B33">
        <f t="shared" si="0"/>
        <v>1.650000000000001</v>
      </c>
      <c r="C33">
        <v>26</v>
      </c>
      <c r="D33" s="3">
        <v>-1.7157899999999999</v>
      </c>
      <c r="E33" s="3">
        <v>6422.03</v>
      </c>
      <c r="J33">
        <f t="shared" si="1"/>
        <v>1.650000000000001</v>
      </c>
      <c r="K33">
        <v>26</v>
      </c>
      <c r="L33">
        <v>13.6731</v>
      </c>
      <c r="M33">
        <v>36314.699999999997</v>
      </c>
      <c r="R33">
        <f t="shared" si="2"/>
        <v>1.650000000000001</v>
      </c>
      <c r="S33">
        <v>26</v>
      </c>
      <c r="T33">
        <v>5.2210099999999997</v>
      </c>
      <c r="U33">
        <v>16663.900000000001</v>
      </c>
      <c r="Z33">
        <f t="shared" si="3"/>
        <v>1.650000000000001</v>
      </c>
      <c r="AA33">
        <v>26</v>
      </c>
      <c r="AB33">
        <v>-0.84139399999999998</v>
      </c>
      <c r="AC33">
        <v>4868.2700000000004</v>
      </c>
      <c r="AH33">
        <f t="shared" si="4"/>
        <v>1.650000000000001</v>
      </c>
      <c r="AI33">
        <v>26</v>
      </c>
      <c r="AJ33">
        <v>18.367100000000001</v>
      </c>
      <c r="AK33">
        <v>44719.8</v>
      </c>
      <c r="AP33">
        <f t="shared" si="5"/>
        <v>1.650000000000001</v>
      </c>
      <c r="AQ33">
        <v>26</v>
      </c>
      <c r="AR33">
        <v>1.7673099999999999</v>
      </c>
      <c r="AS33">
        <v>3156.94</v>
      </c>
      <c r="AX33">
        <f t="shared" si="6"/>
        <v>1.650000000000001</v>
      </c>
      <c r="AY33">
        <v>26</v>
      </c>
      <c r="AZ33">
        <v>9.2484099999999998</v>
      </c>
      <c r="BA33">
        <v>12610.1</v>
      </c>
      <c r="BF33">
        <f t="shared" si="7"/>
        <v>1.650000000000001</v>
      </c>
      <c r="BG33">
        <v>26</v>
      </c>
      <c r="BH33">
        <v>24671.599999999999</v>
      </c>
      <c r="BI33" s="3">
        <v>147183000</v>
      </c>
      <c r="BN33">
        <f t="shared" si="8"/>
        <v>1.650000000000001</v>
      </c>
      <c r="BO33">
        <v>26</v>
      </c>
      <c r="BP33">
        <v>-2.50664</v>
      </c>
      <c r="BQ33">
        <v>-14015.3</v>
      </c>
      <c r="BV33">
        <f t="shared" si="9"/>
        <v>1.650000000000001</v>
      </c>
      <c r="BW33">
        <v>26</v>
      </c>
      <c r="BX33">
        <v>6.3509099999999998</v>
      </c>
      <c r="BY33">
        <v>19278.099999999999</v>
      </c>
    </row>
    <row r="34" spans="2:77" x14ac:dyDescent="0.2">
      <c r="B34">
        <f t="shared" si="0"/>
        <v>1.7000000000000011</v>
      </c>
      <c r="C34">
        <v>27</v>
      </c>
      <c r="D34" s="3">
        <v>-2.1754600000000002</v>
      </c>
      <c r="E34" s="3">
        <v>5227.8999999999996</v>
      </c>
      <c r="J34">
        <f t="shared" si="1"/>
        <v>1.7000000000000011</v>
      </c>
      <c r="K34">
        <v>27</v>
      </c>
      <c r="L34">
        <v>11.273199999999999</v>
      </c>
      <c r="M34">
        <v>26608.3</v>
      </c>
      <c r="R34">
        <f t="shared" si="2"/>
        <v>1.7000000000000011</v>
      </c>
      <c r="S34">
        <v>27</v>
      </c>
      <c r="T34">
        <v>4.0015400000000003</v>
      </c>
      <c r="U34">
        <v>14258.1</v>
      </c>
      <c r="Z34">
        <f t="shared" si="3"/>
        <v>1.7000000000000011</v>
      </c>
      <c r="AA34">
        <v>27</v>
      </c>
      <c r="AB34">
        <v>-1.21302</v>
      </c>
      <c r="AC34">
        <v>4513.59</v>
      </c>
      <c r="AH34">
        <f t="shared" si="4"/>
        <v>1.7000000000000011</v>
      </c>
      <c r="AI34">
        <v>27</v>
      </c>
      <c r="AJ34">
        <v>15.023999999999999</v>
      </c>
      <c r="AK34">
        <v>39686.300000000003</v>
      </c>
      <c r="AP34">
        <f t="shared" si="5"/>
        <v>1.7000000000000011</v>
      </c>
      <c r="AQ34">
        <v>27</v>
      </c>
      <c r="AR34">
        <v>1.4826299999999999</v>
      </c>
      <c r="AS34">
        <v>3880.77</v>
      </c>
      <c r="AX34">
        <f t="shared" si="6"/>
        <v>1.7000000000000011</v>
      </c>
      <c r="AY34">
        <v>27</v>
      </c>
      <c r="AZ34">
        <v>8.3531300000000002</v>
      </c>
      <c r="BA34">
        <v>10103.5</v>
      </c>
      <c r="BF34">
        <f t="shared" si="7"/>
        <v>1.7000000000000011</v>
      </c>
      <c r="BG34">
        <v>27</v>
      </c>
      <c r="BH34">
        <v>9365.11</v>
      </c>
      <c r="BI34" s="3">
        <v>58932100</v>
      </c>
      <c r="BN34">
        <f t="shared" si="8"/>
        <v>1.7000000000000011</v>
      </c>
      <c r="BO34">
        <v>27</v>
      </c>
      <c r="BP34">
        <v>-1.0354399999999999</v>
      </c>
      <c r="BQ34">
        <v>-5594.27</v>
      </c>
      <c r="BV34">
        <f t="shared" si="9"/>
        <v>1.7000000000000011</v>
      </c>
      <c r="BW34">
        <v>27</v>
      </c>
      <c r="BX34">
        <v>4.95425</v>
      </c>
      <c r="BY34">
        <v>16107.3</v>
      </c>
    </row>
    <row r="35" spans="2:77" x14ac:dyDescent="0.2">
      <c r="B35">
        <f t="shared" si="0"/>
        <v>1.7500000000000011</v>
      </c>
      <c r="C35">
        <v>28</v>
      </c>
      <c r="D35" s="3">
        <v>-2.5356900000000002</v>
      </c>
      <c r="E35" s="3">
        <v>4185.1099999999997</v>
      </c>
      <c r="J35">
        <f t="shared" si="1"/>
        <v>1.7500000000000011</v>
      </c>
      <c r="K35">
        <v>28</v>
      </c>
      <c r="L35">
        <v>9.3516399999999997</v>
      </c>
      <c r="M35">
        <v>23888</v>
      </c>
      <c r="R35">
        <f t="shared" si="2"/>
        <v>1.7500000000000011</v>
      </c>
      <c r="S35">
        <v>28</v>
      </c>
      <c r="T35">
        <v>2.9876200000000002</v>
      </c>
      <c r="U35">
        <v>12219.5</v>
      </c>
      <c r="Z35">
        <f t="shared" si="3"/>
        <v>1.7500000000000011</v>
      </c>
      <c r="AA35">
        <v>28</v>
      </c>
      <c r="AB35">
        <v>-1.54355</v>
      </c>
      <c r="AC35">
        <v>4101.5200000000004</v>
      </c>
      <c r="AH35">
        <f t="shared" si="4"/>
        <v>1.7500000000000011</v>
      </c>
      <c r="AI35">
        <v>28</v>
      </c>
      <c r="AJ35">
        <v>12.181800000000001</v>
      </c>
      <c r="AK35">
        <v>34454.1</v>
      </c>
      <c r="AP35">
        <f t="shared" si="5"/>
        <v>1.7500000000000011</v>
      </c>
      <c r="AQ35">
        <v>28</v>
      </c>
      <c r="AR35">
        <v>1.1812400000000001</v>
      </c>
      <c r="AS35">
        <v>3905.4</v>
      </c>
      <c r="AX35">
        <f t="shared" si="6"/>
        <v>1.7500000000000011</v>
      </c>
      <c r="AY35">
        <v>28</v>
      </c>
      <c r="AZ35">
        <v>7.6602800000000002</v>
      </c>
      <c r="BA35">
        <v>8020.18</v>
      </c>
      <c r="BF35">
        <f t="shared" si="7"/>
        <v>1.7500000000000011</v>
      </c>
      <c r="BG35">
        <v>28</v>
      </c>
      <c r="BH35">
        <v>3473.73</v>
      </c>
      <c r="BI35" s="3">
        <v>23087900</v>
      </c>
      <c r="BN35">
        <f t="shared" si="8"/>
        <v>1.7500000000000011</v>
      </c>
      <c r="BO35">
        <v>28</v>
      </c>
      <c r="BP35">
        <v>-0.51051599999999997</v>
      </c>
      <c r="BQ35">
        <v>-1754.56</v>
      </c>
      <c r="BV35">
        <f t="shared" si="9"/>
        <v>1.7500000000000011</v>
      </c>
      <c r="BW35">
        <v>28</v>
      </c>
      <c r="BX35">
        <v>3.82626</v>
      </c>
      <c r="BY35">
        <v>13371.8</v>
      </c>
    </row>
    <row r="36" spans="2:77" x14ac:dyDescent="0.2">
      <c r="B36">
        <f t="shared" si="0"/>
        <v>1.8000000000000012</v>
      </c>
      <c r="C36">
        <v>29</v>
      </c>
      <c r="D36" s="3">
        <v>-2.8129900000000001</v>
      </c>
      <c r="E36" s="3">
        <v>3279.57</v>
      </c>
      <c r="J36">
        <f t="shared" si="1"/>
        <v>1.8000000000000012</v>
      </c>
      <c r="K36">
        <v>29</v>
      </c>
      <c r="L36">
        <v>7.6409000000000002</v>
      </c>
      <c r="M36">
        <v>22030.5</v>
      </c>
      <c r="R36">
        <f t="shared" si="2"/>
        <v>1.8000000000000012</v>
      </c>
      <c r="S36">
        <v>29</v>
      </c>
      <c r="T36">
        <v>2.1454399999999998</v>
      </c>
      <c r="U36">
        <v>10427.4</v>
      </c>
      <c r="Z36">
        <f t="shared" si="3"/>
        <v>1.8000000000000012</v>
      </c>
      <c r="AA36">
        <v>29</v>
      </c>
      <c r="AB36">
        <v>-1.8339099999999999</v>
      </c>
      <c r="AC36">
        <v>3699.9</v>
      </c>
      <c r="AH36">
        <f t="shared" si="4"/>
        <v>1.8000000000000012</v>
      </c>
      <c r="AI36">
        <v>29</v>
      </c>
      <c r="AJ36">
        <v>9.7974200000000007</v>
      </c>
      <c r="AK36">
        <v>29645</v>
      </c>
      <c r="AP36">
        <f t="shared" si="5"/>
        <v>1.8000000000000012</v>
      </c>
      <c r="AQ36">
        <v>29</v>
      </c>
      <c r="AR36">
        <v>0.89917100000000005</v>
      </c>
      <c r="AS36">
        <v>3641.94</v>
      </c>
      <c r="AX36">
        <f t="shared" si="6"/>
        <v>1.8000000000000012</v>
      </c>
      <c r="AY36">
        <v>29</v>
      </c>
      <c r="AZ36">
        <v>7.1285499999999997</v>
      </c>
      <c r="BA36">
        <v>6311.54</v>
      </c>
      <c r="BF36">
        <f t="shared" si="7"/>
        <v>1.8000000000000012</v>
      </c>
      <c r="BG36">
        <v>29</v>
      </c>
      <c r="BH36">
        <v>1254.0899999999999</v>
      </c>
      <c r="BI36" s="3">
        <v>8837470</v>
      </c>
      <c r="BN36">
        <f t="shared" si="8"/>
        <v>1.8000000000000012</v>
      </c>
      <c r="BO36">
        <v>29</v>
      </c>
      <c r="BP36">
        <v>-0.38787300000000002</v>
      </c>
      <c r="BQ36">
        <v>-120.51300000000001</v>
      </c>
      <c r="BV36">
        <f t="shared" si="9"/>
        <v>1.8000000000000012</v>
      </c>
      <c r="BW36">
        <v>29</v>
      </c>
      <c r="BX36">
        <v>2.9174899999999999</v>
      </c>
      <c r="BY36">
        <v>11100.8</v>
      </c>
    </row>
    <row r="37" spans="2:77" x14ac:dyDescent="0.2">
      <c r="B37">
        <f t="shared" si="0"/>
        <v>1.8500000000000012</v>
      </c>
      <c r="C37">
        <v>30</v>
      </c>
      <c r="D37">
        <v>-3.0214799999999999</v>
      </c>
      <c r="E37" s="3">
        <v>2497.96</v>
      </c>
      <c r="J37">
        <f t="shared" si="1"/>
        <v>1.8500000000000012</v>
      </c>
      <c r="K37">
        <v>30</v>
      </c>
      <c r="L37">
        <v>6.1210599999999999</v>
      </c>
      <c r="M37">
        <v>19912.3</v>
      </c>
      <c r="R37">
        <f t="shared" si="2"/>
        <v>1.8500000000000012</v>
      </c>
      <c r="S37">
        <v>30</v>
      </c>
      <c r="T37">
        <v>1.4489099999999999</v>
      </c>
      <c r="U37">
        <v>8847.61</v>
      </c>
      <c r="Z37">
        <f t="shared" si="3"/>
        <v>1.8500000000000012</v>
      </c>
      <c r="AA37">
        <v>30</v>
      </c>
      <c r="AB37">
        <v>-2.0884</v>
      </c>
      <c r="AC37">
        <v>3339.66</v>
      </c>
      <c r="AH37">
        <f t="shared" si="4"/>
        <v>1.8500000000000012</v>
      </c>
      <c r="AI37">
        <v>30</v>
      </c>
      <c r="AJ37">
        <v>7.8090700000000002</v>
      </c>
      <c r="AK37">
        <v>25374</v>
      </c>
      <c r="AP37">
        <f t="shared" si="5"/>
        <v>1.8500000000000012</v>
      </c>
      <c r="AQ37">
        <v>30</v>
      </c>
      <c r="AR37">
        <v>0.64807000000000003</v>
      </c>
      <c r="AS37">
        <v>3291.13</v>
      </c>
      <c r="AX37">
        <f t="shared" si="6"/>
        <v>1.8500000000000012</v>
      </c>
      <c r="AY37">
        <v>30</v>
      </c>
      <c r="AZ37">
        <v>6.7230299999999996</v>
      </c>
      <c r="BA37">
        <v>4942.12</v>
      </c>
      <c r="BF37">
        <f t="shared" si="7"/>
        <v>1.8500000000000012</v>
      </c>
      <c r="BG37">
        <v>30</v>
      </c>
      <c r="BH37">
        <v>437.214</v>
      </c>
      <c r="BI37" s="3">
        <v>3294770</v>
      </c>
      <c r="BN37">
        <f t="shared" si="8"/>
        <v>1.8500000000000012</v>
      </c>
      <c r="BO37">
        <v>30</v>
      </c>
      <c r="BP37">
        <v>-0.42764000000000002</v>
      </c>
      <c r="BQ37">
        <v>587.21299999999997</v>
      </c>
      <c r="BV37">
        <f t="shared" si="9"/>
        <v>1.8500000000000012</v>
      </c>
      <c r="BW37">
        <v>30</v>
      </c>
      <c r="BX37">
        <v>2.1825000000000001</v>
      </c>
      <c r="BY37">
        <v>9271.8700000000008</v>
      </c>
    </row>
    <row r="38" spans="2:77" x14ac:dyDescent="0.2">
      <c r="B38">
        <f t="shared" si="0"/>
        <v>1.9000000000000012</v>
      </c>
      <c r="C38">
        <v>31</v>
      </c>
      <c r="D38">
        <v>-3.1731799999999999</v>
      </c>
      <c r="E38" s="3">
        <v>1826.82</v>
      </c>
      <c r="J38">
        <f t="shared" si="1"/>
        <v>1.9000000000000012</v>
      </c>
      <c r="K38">
        <v>31</v>
      </c>
      <c r="L38">
        <v>4.7995599999999996</v>
      </c>
      <c r="M38">
        <v>17616.5</v>
      </c>
      <c r="R38">
        <f t="shared" si="2"/>
        <v>1.9000000000000012</v>
      </c>
      <c r="S38">
        <v>31</v>
      </c>
      <c r="T38">
        <v>0.87582700000000002</v>
      </c>
      <c r="U38">
        <v>7459.97</v>
      </c>
      <c r="Z38">
        <f t="shared" si="3"/>
        <v>1.9000000000000012</v>
      </c>
      <c r="AA38">
        <v>31</v>
      </c>
      <c r="AB38">
        <v>-2.3123900000000002</v>
      </c>
      <c r="AC38">
        <v>3032.67</v>
      </c>
      <c r="AH38">
        <f t="shared" si="4"/>
        <v>1.9000000000000012</v>
      </c>
      <c r="AI38">
        <v>31</v>
      </c>
      <c r="AJ38">
        <v>6.1571400000000001</v>
      </c>
      <c r="AK38">
        <v>21632.1</v>
      </c>
      <c r="AP38">
        <f t="shared" si="5"/>
        <v>1.9000000000000012</v>
      </c>
      <c r="AQ38">
        <v>31</v>
      </c>
      <c r="AR38">
        <v>0.42869499999999999</v>
      </c>
      <c r="AS38">
        <v>2945.8</v>
      </c>
      <c r="AX38">
        <f t="shared" si="6"/>
        <v>1.9000000000000012</v>
      </c>
      <c r="AY38">
        <v>31</v>
      </c>
      <c r="AZ38">
        <v>6.4142799999999998</v>
      </c>
      <c r="BA38">
        <v>3871.96</v>
      </c>
      <c r="BF38">
        <f t="shared" si="7"/>
        <v>1.9000000000000012</v>
      </c>
      <c r="BG38">
        <v>31</v>
      </c>
      <c r="BH38">
        <v>144.80699999999999</v>
      </c>
      <c r="BI38" s="3">
        <v>1189110</v>
      </c>
      <c r="BN38">
        <f t="shared" si="8"/>
        <v>1.9000000000000012</v>
      </c>
      <c r="BO38">
        <v>31</v>
      </c>
      <c r="BP38">
        <v>-0.53625500000000004</v>
      </c>
      <c r="BQ38">
        <v>904.93499999999995</v>
      </c>
      <c r="BV38">
        <f t="shared" si="9"/>
        <v>1.9000000000000012</v>
      </c>
      <c r="BW38">
        <v>31</v>
      </c>
      <c r="BX38">
        <v>1.5824800000000001</v>
      </c>
      <c r="BY38">
        <v>7829.2</v>
      </c>
    </row>
    <row r="39" spans="2:77" x14ac:dyDescent="0.2">
      <c r="B39">
        <f t="shared" si="0"/>
        <v>1.9500000000000013</v>
      </c>
      <c r="C39">
        <v>32</v>
      </c>
      <c r="D39">
        <v>-3.2782499999999999</v>
      </c>
      <c r="E39" s="3">
        <v>1252.9000000000001</v>
      </c>
      <c r="J39">
        <f t="shared" si="1"/>
        <v>1.9500000000000013</v>
      </c>
      <c r="K39">
        <v>32</v>
      </c>
      <c r="L39">
        <v>3.6701999999999999</v>
      </c>
      <c r="M39">
        <v>15363.5</v>
      </c>
      <c r="R39">
        <f t="shared" si="2"/>
        <v>1.9500000000000013</v>
      </c>
      <c r="S39">
        <v>32</v>
      </c>
      <c r="T39">
        <v>0.407142</v>
      </c>
      <c r="U39">
        <v>6243.36</v>
      </c>
      <c r="Z39">
        <f t="shared" si="3"/>
        <v>1.9500000000000013</v>
      </c>
      <c r="AA39">
        <v>32</v>
      </c>
      <c r="AB39">
        <v>-2.5112700000000001</v>
      </c>
      <c r="AC39">
        <v>2780.83</v>
      </c>
      <c r="AH39">
        <f t="shared" si="4"/>
        <v>1.9500000000000013</v>
      </c>
      <c r="AI39">
        <v>32</v>
      </c>
      <c r="AJ39">
        <v>4.7886100000000003</v>
      </c>
      <c r="AK39">
        <v>18382.900000000001</v>
      </c>
      <c r="AP39">
        <f t="shared" si="5"/>
        <v>1.9500000000000013</v>
      </c>
      <c r="AQ39">
        <v>32</v>
      </c>
      <c r="AR39">
        <v>0.237482</v>
      </c>
      <c r="AS39">
        <v>2643.32</v>
      </c>
      <c r="AX39">
        <f t="shared" si="6"/>
        <v>1.9500000000000013</v>
      </c>
      <c r="AY39">
        <v>32</v>
      </c>
      <c r="AZ39">
        <v>6.1782000000000004</v>
      </c>
      <c r="BA39">
        <v>3054.04</v>
      </c>
      <c r="BF39">
        <f t="shared" si="7"/>
        <v>1.9500000000000013</v>
      </c>
      <c r="BG39">
        <v>32</v>
      </c>
      <c r="BH39">
        <v>43.822099999999999</v>
      </c>
      <c r="BI39">
        <v>410632</v>
      </c>
      <c r="BN39">
        <f t="shared" si="8"/>
        <v>1.9500000000000013</v>
      </c>
      <c r="BO39">
        <v>32</v>
      </c>
      <c r="BP39">
        <v>-0.668848</v>
      </c>
      <c r="BQ39">
        <v>1008.66</v>
      </c>
      <c r="BV39">
        <f t="shared" si="9"/>
        <v>1.9500000000000013</v>
      </c>
      <c r="BW39">
        <v>32</v>
      </c>
      <c r="BX39">
        <v>1.0861400000000001</v>
      </c>
      <c r="BY39">
        <v>6701.28</v>
      </c>
    </row>
    <row r="40" spans="2:77" x14ac:dyDescent="0.2">
      <c r="B40">
        <f t="shared" si="0"/>
        <v>2.0000000000000013</v>
      </c>
      <c r="C40">
        <v>33</v>
      </c>
      <c r="D40">
        <v>-3.3451599999999999</v>
      </c>
      <c r="E40" s="3">
        <v>763.62800000000004</v>
      </c>
      <c r="J40">
        <f t="shared" si="1"/>
        <v>2.0000000000000013</v>
      </c>
      <c r="K40">
        <v>33</v>
      </c>
      <c r="L40">
        <v>2.7151800000000001</v>
      </c>
      <c r="M40">
        <v>13285.3</v>
      </c>
      <c r="R40">
        <f t="shared" si="2"/>
        <v>2.0000000000000013</v>
      </c>
      <c r="S40">
        <v>33</v>
      </c>
      <c r="T40">
        <v>2.6735399999999999E-2</v>
      </c>
      <c r="U40">
        <v>5176.47</v>
      </c>
      <c r="Z40">
        <f t="shared" si="3"/>
        <v>2.0000000000000013</v>
      </c>
      <c r="AA40">
        <v>33</v>
      </c>
      <c r="AB40">
        <v>-2.6899099999999998</v>
      </c>
      <c r="AC40">
        <v>2580.66</v>
      </c>
      <c r="AH40">
        <f t="shared" si="4"/>
        <v>2.0000000000000013</v>
      </c>
      <c r="AI40">
        <v>33</v>
      </c>
      <c r="AJ40">
        <v>3.6572200000000001</v>
      </c>
      <c r="AK40">
        <v>15585.9</v>
      </c>
      <c r="AP40">
        <f t="shared" si="5"/>
        <v>2.0000000000000013</v>
      </c>
      <c r="AQ40">
        <v>33</v>
      </c>
      <c r="AR40">
        <v>6.9686700000000004E-2</v>
      </c>
      <c r="AS40">
        <v>2393.3000000000002</v>
      </c>
      <c r="AX40">
        <f t="shared" si="6"/>
        <v>2.0000000000000013</v>
      </c>
      <c r="AY40">
        <v>33</v>
      </c>
      <c r="AZ40">
        <v>5.9958400000000003</v>
      </c>
      <c r="BA40">
        <v>2438.58</v>
      </c>
      <c r="BF40">
        <f t="shared" si="7"/>
        <v>2.0000000000000013</v>
      </c>
      <c r="BG40">
        <v>33</v>
      </c>
      <c r="BH40">
        <v>10.689</v>
      </c>
      <c r="BI40">
        <v>132615</v>
      </c>
      <c r="BN40">
        <f t="shared" si="8"/>
        <v>2.0000000000000013</v>
      </c>
      <c r="BO40">
        <v>33</v>
      </c>
      <c r="BP40">
        <v>-0.805002</v>
      </c>
      <c r="BQ40">
        <v>1022.54</v>
      </c>
      <c r="BV40">
        <f t="shared" si="9"/>
        <v>2.0000000000000013</v>
      </c>
      <c r="BW40">
        <v>33</v>
      </c>
      <c r="BX40">
        <v>0.66955299999999995</v>
      </c>
      <c r="BY40">
        <v>5814.99</v>
      </c>
    </row>
    <row r="41" spans="2:77" x14ac:dyDescent="0.2">
      <c r="B41">
        <f t="shared" si="0"/>
        <v>2.0500000000000012</v>
      </c>
      <c r="C41">
        <v>34</v>
      </c>
      <c r="D41">
        <v>-3.3809900000000002</v>
      </c>
      <c r="E41" s="3">
        <v>347.42399999999998</v>
      </c>
      <c r="J41">
        <f t="shared" si="1"/>
        <v>2.0500000000000012</v>
      </c>
      <c r="K41">
        <v>34</v>
      </c>
      <c r="L41">
        <v>1.91249</v>
      </c>
      <c r="M41">
        <v>11426.6</v>
      </c>
      <c r="R41">
        <f t="shared" si="2"/>
        <v>2.0500000000000012</v>
      </c>
      <c r="S41">
        <v>34</v>
      </c>
      <c r="T41">
        <v>-0.27897</v>
      </c>
      <c r="U41">
        <v>4240.26</v>
      </c>
      <c r="Z41">
        <f t="shared" si="3"/>
        <v>2.0500000000000012</v>
      </c>
      <c r="AA41">
        <v>34</v>
      </c>
      <c r="AB41">
        <v>-2.8525299999999998</v>
      </c>
      <c r="AC41">
        <v>2425.86</v>
      </c>
      <c r="AH41">
        <f t="shared" si="4"/>
        <v>2.0500000000000012</v>
      </c>
      <c r="AI41">
        <v>34</v>
      </c>
      <c r="AJ41">
        <v>2.7228300000000001</v>
      </c>
      <c r="AK41">
        <v>13201.6</v>
      </c>
      <c r="AP41">
        <f t="shared" si="5"/>
        <v>2.0500000000000012</v>
      </c>
      <c r="AQ41">
        <v>34</v>
      </c>
      <c r="AR41">
        <v>-7.9226199999999997E-2</v>
      </c>
      <c r="AS41">
        <v>2192.44</v>
      </c>
      <c r="AX41">
        <f t="shared" si="6"/>
        <v>2.0500000000000012</v>
      </c>
      <c r="AY41">
        <v>34</v>
      </c>
      <c r="AZ41">
        <v>5.8528500000000001</v>
      </c>
      <c r="BA41">
        <v>1978.44</v>
      </c>
      <c r="BF41">
        <f t="shared" si="7"/>
        <v>2.0500000000000012</v>
      </c>
      <c r="BG41">
        <v>34</v>
      </c>
      <c r="BH41">
        <v>0.68205499999999997</v>
      </c>
      <c r="BI41">
        <v>38052</v>
      </c>
      <c r="BN41">
        <f t="shared" si="8"/>
        <v>2.0500000000000012</v>
      </c>
      <c r="BO41">
        <v>34</v>
      </c>
      <c r="BP41">
        <v>-0.93676999999999999</v>
      </c>
      <c r="BQ41">
        <v>999.54</v>
      </c>
      <c r="BV41">
        <f t="shared" si="9"/>
        <v>2.0500000000000012</v>
      </c>
      <c r="BW41">
        <v>34</v>
      </c>
      <c r="BX41">
        <v>0.31511400000000001</v>
      </c>
      <c r="BY41">
        <v>5105.6499999999996</v>
      </c>
    </row>
    <row r="42" spans="2:77" x14ac:dyDescent="0.2">
      <c r="B42">
        <f t="shared" si="0"/>
        <v>2.100000000000001</v>
      </c>
      <c r="C42">
        <v>35</v>
      </c>
      <c r="D42">
        <v>-3.3915500000000001</v>
      </c>
      <c r="E42" s="3">
        <v>-6.1354100000000003</v>
      </c>
      <c r="J42">
        <f t="shared" si="1"/>
        <v>2.100000000000001</v>
      </c>
      <c r="K42">
        <v>35</v>
      </c>
      <c r="L42">
        <v>1.2405999999999999</v>
      </c>
      <c r="M42">
        <v>9784.4500000000007</v>
      </c>
      <c r="R42">
        <f t="shared" si="2"/>
        <v>2.100000000000001</v>
      </c>
      <c r="S42">
        <v>35</v>
      </c>
      <c r="T42">
        <v>-0.52143899999999999</v>
      </c>
      <c r="U42">
        <v>3418.92</v>
      </c>
      <c r="Z42">
        <f t="shared" si="3"/>
        <v>2.100000000000001</v>
      </c>
      <c r="AA42">
        <v>35</v>
      </c>
      <c r="AB42">
        <v>-3.0025300000000001</v>
      </c>
      <c r="AC42">
        <v>2308.7600000000002</v>
      </c>
      <c r="AH42">
        <f t="shared" si="4"/>
        <v>2.100000000000001</v>
      </c>
      <c r="AI42">
        <v>35</v>
      </c>
      <c r="AJ42">
        <v>1.95078</v>
      </c>
      <c r="AK42">
        <v>11190</v>
      </c>
      <c r="AP42">
        <f t="shared" si="5"/>
        <v>2.100000000000001</v>
      </c>
      <c r="AQ42">
        <v>35</v>
      </c>
      <c r="AR42">
        <v>-0.213062</v>
      </c>
      <c r="AS42">
        <v>2032.56</v>
      </c>
      <c r="AX42">
        <f t="shared" si="6"/>
        <v>2.100000000000001</v>
      </c>
      <c r="AY42">
        <v>35</v>
      </c>
      <c r="AZ42">
        <v>5.7387699999999997</v>
      </c>
      <c r="BA42">
        <v>1633.16</v>
      </c>
      <c r="BF42">
        <f t="shared" si="7"/>
        <v>2.100000000000001</v>
      </c>
      <c r="BG42">
        <v>35</v>
      </c>
      <c r="BH42">
        <v>-1.8908799999999999</v>
      </c>
      <c r="BI42">
        <v>8287.74</v>
      </c>
      <c r="BN42">
        <f t="shared" si="8"/>
        <v>2.100000000000001</v>
      </c>
      <c r="BO42">
        <v>35</v>
      </c>
      <c r="BP42">
        <v>-1.0612900000000001</v>
      </c>
      <c r="BQ42">
        <v>961.80700000000002</v>
      </c>
      <c r="BV42">
        <f t="shared" si="9"/>
        <v>2.100000000000001</v>
      </c>
      <c r="BW42">
        <v>35</v>
      </c>
      <c r="BX42">
        <v>1.02218E-2</v>
      </c>
      <c r="BY42">
        <v>4522.1400000000003</v>
      </c>
    </row>
    <row r="43" spans="2:77" x14ac:dyDescent="0.2">
      <c r="B43">
        <f t="shared" si="0"/>
        <v>2.1500000000000008</v>
      </c>
      <c r="C43">
        <v>36</v>
      </c>
      <c r="D43">
        <v>-3.3816700000000002</v>
      </c>
      <c r="E43" s="3">
        <v>-306.28300000000002</v>
      </c>
      <c r="J43">
        <f t="shared" si="1"/>
        <v>2.1500000000000008</v>
      </c>
      <c r="K43">
        <v>36</v>
      </c>
      <c r="L43">
        <v>0.68042800000000003</v>
      </c>
      <c r="M43">
        <v>8337.7199999999993</v>
      </c>
      <c r="R43">
        <f t="shared" si="2"/>
        <v>2.1500000000000008</v>
      </c>
      <c r="S43">
        <v>36</v>
      </c>
      <c r="T43">
        <v>-0.71042000000000005</v>
      </c>
      <c r="U43">
        <v>2699.64</v>
      </c>
      <c r="Z43">
        <f t="shared" si="3"/>
        <v>2.1500000000000008</v>
      </c>
      <c r="AA43">
        <v>36</v>
      </c>
      <c r="AB43">
        <v>-3.14263</v>
      </c>
      <c r="AC43">
        <v>2221.31</v>
      </c>
      <c r="AH43">
        <f t="shared" si="4"/>
        <v>2.1500000000000008</v>
      </c>
      <c r="AI43">
        <v>36</v>
      </c>
      <c r="AJ43">
        <v>1.31145</v>
      </c>
      <c r="AK43">
        <v>9509.5300000000007</v>
      </c>
      <c r="AP43">
        <f t="shared" si="5"/>
        <v>2.1500000000000008</v>
      </c>
      <c r="AQ43">
        <v>36</v>
      </c>
      <c r="AR43">
        <v>-0.33480700000000002</v>
      </c>
      <c r="AS43">
        <v>1904.75</v>
      </c>
      <c r="AX43">
        <f t="shared" si="6"/>
        <v>2.1500000000000008</v>
      </c>
      <c r="AY43">
        <v>36</v>
      </c>
      <c r="AZ43">
        <v>5.6461199999999998</v>
      </c>
      <c r="BA43">
        <v>1370.46</v>
      </c>
      <c r="BF43">
        <f t="shared" si="7"/>
        <v>2.1500000000000008</v>
      </c>
      <c r="BG43">
        <v>36</v>
      </c>
      <c r="BH43">
        <v>-2.3022200000000002</v>
      </c>
      <c r="BI43">
        <v>209.66800000000001</v>
      </c>
      <c r="BN43">
        <f t="shared" si="8"/>
        <v>2.1500000000000008</v>
      </c>
      <c r="BO43">
        <v>36</v>
      </c>
      <c r="BP43">
        <v>-1.17774</v>
      </c>
      <c r="BQ43">
        <v>918.65300000000002</v>
      </c>
      <c r="BV43">
        <f t="shared" si="9"/>
        <v>2.1500000000000008</v>
      </c>
      <c r="BW43">
        <v>36</v>
      </c>
      <c r="BX43">
        <v>-0.254108</v>
      </c>
      <c r="BY43">
        <v>4028.1</v>
      </c>
    </row>
    <row r="44" spans="2:77" x14ac:dyDescent="0.2">
      <c r="B44">
        <f t="shared" si="0"/>
        <v>2.2000000000000006</v>
      </c>
      <c r="C44">
        <v>37</v>
      </c>
      <c r="D44">
        <v>-3.35527</v>
      </c>
      <c r="E44" s="3">
        <v>-561.08699999999999</v>
      </c>
      <c r="J44">
        <f t="shared" si="1"/>
        <v>2.2000000000000006</v>
      </c>
      <c r="K44">
        <v>37</v>
      </c>
      <c r="L44">
        <v>0.21560599999999999</v>
      </c>
      <c r="M44">
        <v>7062.82</v>
      </c>
      <c r="R44">
        <f t="shared" si="2"/>
        <v>2.2000000000000006</v>
      </c>
      <c r="S44">
        <v>37</v>
      </c>
      <c r="T44">
        <v>-0.85427399999999998</v>
      </c>
      <c r="U44">
        <v>2071.7399999999998</v>
      </c>
      <c r="Z44">
        <f t="shared" si="3"/>
        <v>2.2000000000000006</v>
      </c>
      <c r="AA44">
        <v>37</v>
      </c>
      <c r="AB44">
        <v>-3.2748499999999998</v>
      </c>
      <c r="AC44">
        <v>2155.6999999999998</v>
      </c>
      <c r="AH44">
        <f t="shared" si="4"/>
        <v>2.2000000000000006</v>
      </c>
      <c r="AI44">
        <v>37</v>
      </c>
      <c r="AJ44">
        <v>0.77986299999999997</v>
      </c>
      <c r="AK44">
        <v>8117.17</v>
      </c>
      <c r="AP44">
        <f t="shared" si="5"/>
        <v>2.2000000000000006</v>
      </c>
      <c r="AQ44">
        <v>37</v>
      </c>
      <c r="AR44">
        <v>-0.44672600000000001</v>
      </c>
      <c r="AS44">
        <v>1801.18</v>
      </c>
      <c r="AX44">
        <f t="shared" si="6"/>
        <v>2.2000000000000006</v>
      </c>
      <c r="AY44">
        <v>37</v>
      </c>
      <c r="AZ44">
        <v>5.5696700000000003</v>
      </c>
      <c r="BA44">
        <v>1166.1500000000001</v>
      </c>
      <c r="BF44">
        <f t="shared" si="7"/>
        <v>2.2000000000000006</v>
      </c>
      <c r="BG44">
        <v>37</v>
      </c>
      <c r="BH44">
        <v>-2.2094</v>
      </c>
      <c r="BI44">
        <v>-1220.6400000000001</v>
      </c>
      <c r="BN44">
        <f t="shared" si="8"/>
        <v>2.2000000000000006</v>
      </c>
      <c r="BO44">
        <v>37</v>
      </c>
      <c r="BP44">
        <v>-1.28613</v>
      </c>
      <c r="BQ44">
        <v>874.18</v>
      </c>
      <c r="BV44">
        <f t="shared" si="9"/>
        <v>2.2000000000000006</v>
      </c>
      <c r="BW44">
        <v>37</v>
      </c>
      <c r="BX44">
        <v>-0.48443199999999997</v>
      </c>
      <c r="BY44">
        <v>3600.17</v>
      </c>
    </row>
    <row r="45" spans="2:77" x14ac:dyDescent="0.2">
      <c r="B45">
        <f t="shared" si="0"/>
        <v>2.2500000000000004</v>
      </c>
      <c r="C45">
        <v>38</v>
      </c>
      <c r="D45">
        <v>-3.3155899999999998</v>
      </c>
      <c r="E45">
        <v>-777.50699999999995</v>
      </c>
      <c r="J45">
        <f t="shared" si="1"/>
        <v>2.2500000000000004</v>
      </c>
      <c r="K45">
        <v>38</v>
      </c>
      <c r="L45">
        <v>-0.167772</v>
      </c>
      <c r="M45">
        <v>5939.2</v>
      </c>
      <c r="R45">
        <f t="shared" si="2"/>
        <v>2.2500000000000004</v>
      </c>
      <c r="S45">
        <v>38</v>
      </c>
      <c r="T45">
        <v>-0.96019299999999996</v>
      </c>
      <c r="U45">
        <v>1525.95</v>
      </c>
      <c r="Z45">
        <f t="shared" si="3"/>
        <v>2.2500000000000004</v>
      </c>
      <c r="AA45">
        <v>38</v>
      </c>
      <c r="AB45">
        <v>-3.4006099999999999</v>
      </c>
      <c r="AC45">
        <v>2104.81</v>
      </c>
      <c r="AH45">
        <f t="shared" si="4"/>
        <v>2.2500000000000004</v>
      </c>
      <c r="AI45">
        <v>38</v>
      </c>
      <c r="AJ45">
        <v>0.33531499999999997</v>
      </c>
      <c r="AK45">
        <v>6969.85</v>
      </c>
      <c r="AP45">
        <f t="shared" si="5"/>
        <v>2.2500000000000004</v>
      </c>
      <c r="AQ45">
        <v>38</v>
      </c>
      <c r="AR45">
        <v>-0.55051399999999995</v>
      </c>
      <c r="AS45">
        <v>1715.74</v>
      </c>
      <c r="AX45">
        <f t="shared" si="6"/>
        <v>2.2500000000000004</v>
      </c>
      <c r="AY45">
        <v>38</v>
      </c>
      <c r="AZ45">
        <v>5.5057700000000001</v>
      </c>
      <c r="BA45">
        <v>1002.84</v>
      </c>
      <c r="BF45">
        <f t="shared" si="7"/>
        <v>2.2500000000000004</v>
      </c>
      <c r="BG45">
        <v>38</v>
      </c>
      <c r="BH45">
        <v>-2.0754700000000001</v>
      </c>
      <c r="BI45">
        <v>-937.00800000000004</v>
      </c>
      <c r="BN45">
        <f t="shared" si="8"/>
        <v>2.2500000000000004</v>
      </c>
      <c r="BO45">
        <v>38</v>
      </c>
      <c r="BP45">
        <v>-1.3868</v>
      </c>
      <c r="BQ45">
        <v>830.34400000000005</v>
      </c>
      <c r="BV45">
        <f t="shared" si="9"/>
        <v>2.2500000000000004</v>
      </c>
      <c r="BW45">
        <v>38</v>
      </c>
      <c r="BX45">
        <v>-0.68577900000000003</v>
      </c>
      <c r="BY45">
        <v>3224.8</v>
      </c>
    </row>
    <row r="46" spans="2:77" x14ac:dyDescent="0.2">
      <c r="B46">
        <f t="shared" si="0"/>
        <v>2.3000000000000003</v>
      </c>
      <c r="C46">
        <v>39</v>
      </c>
      <c r="D46">
        <v>-3.2652700000000001</v>
      </c>
      <c r="E46">
        <v>-961.47299999999996</v>
      </c>
      <c r="J46">
        <f t="shared" si="1"/>
        <v>2.3000000000000003</v>
      </c>
      <c r="K46">
        <v>39</v>
      </c>
      <c r="L46">
        <v>-0.48160399999999998</v>
      </c>
      <c r="M46">
        <v>4950.17</v>
      </c>
      <c r="R46">
        <f t="shared" si="2"/>
        <v>2.3000000000000003</v>
      </c>
      <c r="S46">
        <v>39</v>
      </c>
      <c r="T46">
        <v>-1.0343800000000001</v>
      </c>
      <c r="U46">
        <v>1053.79</v>
      </c>
      <c r="Z46">
        <f t="shared" si="3"/>
        <v>2.3000000000000003</v>
      </c>
      <c r="AA46">
        <v>39</v>
      </c>
      <c r="AB46">
        <v>-3.52088</v>
      </c>
      <c r="AC46">
        <v>2062.5500000000002</v>
      </c>
      <c r="AH46">
        <f t="shared" si="4"/>
        <v>2.3000000000000003</v>
      </c>
      <c r="AI46">
        <v>39</v>
      </c>
      <c r="AJ46">
        <v>-3.9064500000000002E-2</v>
      </c>
      <c r="AK46">
        <v>6026.85</v>
      </c>
      <c r="AP46">
        <f t="shared" si="5"/>
        <v>2.3000000000000003</v>
      </c>
      <c r="AQ46">
        <v>39</v>
      </c>
      <c r="AR46">
        <v>-0.64744699999999999</v>
      </c>
      <c r="AS46">
        <v>1643.96</v>
      </c>
      <c r="AX46">
        <f t="shared" si="6"/>
        <v>2.3000000000000003</v>
      </c>
      <c r="AY46">
        <v>39</v>
      </c>
      <c r="AZ46">
        <v>5.4518599999999999</v>
      </c>
      <c r="BA46">
        <v>868.38</v>
      </c>
      <c r="BF46">
        <f t="shared" si="7"/>
        <v>2.3000000000000003</v>
      </c>
      <c r="BG46">
        <v>39</v>
      </c>
      <c r="BH46">
        <v>-1.99834</v>
      </c>
      <c r="BI46">
        <v>-400.31299999999999</v>
      </c>
      <c r="BN46">
        <f t="shared" si="8"/>
        <v>2.3000000000000003</v>
      </c>
      <c r="BO46">
        <v>39</v>
      </c>
      <c r="BP46">
        <v>-1.4802299999999999</v>
      </c>
      <c r="BQ46">
        <v>788.16200000000003</v>
      </c>
      <c r="BV46">
        <f t="shared" si="9"/>
        <v>2.3000000000000003</v>
      </c>
      <c r="BW46">
        <v>39</v>
      </c>
      <c r="BX46">
        <v>-0.862259</v>
      </c>
      <c r="BY46">
        <v>2894.83</v>
      </c>
    </row>
    <row r="47" spans="2:77" x14ac:dyDescent="0.2">
      <c r="B47">
        <f t="shared" si="0"/>
        <v>2.35</v>
      </c>
      <c r="C47">
        <v>40</v>
      </c>
      <c r="D47">
        <v>-3.2064599999999999</v>
      </c>
      <c r="E47">
        <v>-1117.97</v>
      </c>
      <c r="J47">
        <f t="shared" si="1"/>
        <v>2.35</v>
      </c>
      <c r="K47">
        <v>40</v>
      </c>
      <c r="L47">
        <v>-0.73614900000000005</v>
      </c>
      <c r="M47">
        <v>4081.96</v>
      </c>
      <c r="R47">
        <f t="shared" si="2"/>
        <v>2.35</v>
      </c>
      <c r="S47">
        <v>40</v>
      </c>
      <c r="T47">
        <v>-1.0821499999999999</v>
      </c>
      <c r="U47">
        <v>647.32899999999995</v>
      </c>
      <c r="Z47">
        <f t="shared" si="3"/>
        <v>2.35</v>
      </c>
      <c r="AA47">
        <v>40</v>
      </c>
      <c r="AB47">
        <v>-3.63625</v>
      </c>
      <c r="AC47">
        <v>2023.95</v>
      </c>
      <c r="AH47">
        <f t="shared" si="4"/>
        <v>2.35</v>
      </c>
      <c r="AI47">
        <v>40</v>
      </c>
      <c r="AJ47">
        <v>-0.35685099999999997</v>
      </c>
      <c r="AK47">
        <v>5251.84</v>
      </c>
      <c r="AP47">
        <f t="shared" si="5"/>
        <v>2.35</v>
      </c>
      <c r="AQ47">
        <v>40</v>
      </c>
      <c r="AR47">
        <v>-0.73850400000000005</v>
      </c>
      <c r="AS47">
        <v>1582.68</v>
      </c>
      <c r="AX47">
        <f t="shared" si="6"/>
        <v>2.35</v>
      </c>
      <c r="AY47">
        <v>40</v>
      </c>
      <c r="AZ47">
        <v>5.40611</v>
      </c>
      <c r="BA47">
        <v>754.42100000000005</v>
      </c>
      <c r="BF47">
        <f t="shared" si="7"/>
        <v>2.35</v>
      </c>
      <c r="BG47">
        <v>40</v>
      </c>
      <c r="BH47">
        <v>-1.97916</v>
      </c>
      <c r="BI47">
        <v>38.938000000000002</v>
      </c>
      <c r="BN47">
        <f t="shared" si="8"/>
        <v>2.35</v>
      </c>
      <c r="BO47">
        <v>40</v>
      </c>
      <c r="BP47">
        <v>-1.5669599999999999</v>
      </c>
      <c r="BQ47">
        <v>748.18399999999997</v>
      </c>
      <c r="BV47">
        <f t="shared" si="9"/>
        <v>2.35</v>
      </c>
      <c r="BW47">
        <v>40</v>
      </c>
      <c r="BX47">
        <v>-1.0174099999999999</v>
      </c>
      <c r="BY47">
        <v>2606.42</v>
      </c>
    </row>
    <row r="48" spans="2:77" x14ac:dyDescent="0.2">
      <c r="B48">
        <f t="shared" si="0"/>
        <v>2.4</v>
      </c>
      <c r="C48">
        <v>41</v>
      </c>
      <c r="D48">
        <v>-3.14093</v>
      </c>
      <c r="E48">
        <v>-1251.1199999999999</v>
      </c>
      <c r="J48">
        <f t="shared" si="1"/>
        <v>2.4</v>
      </c>
      <c r="K48">
        <v>41</v>
      </c>
      <c r="L48">
        <v>-0.94030000000000002</v>
      </c>
      <c r="M48">
        <v>3322.67</v>
      </c>
      <c r="R48">
        <f t="shared" si="2"/>
        <v>2.4</v>
      </c>
      <c r="S48">
        <v>41</v>
      </c>
      <c r="T48">
        <v>-1.10808</v>
      </c>
      <c r="U48">
        <v>299.06</v>
      </c>
      <c r="Z48">
        <f t="shared" si="3"/>
        <v>2.4</v>
      </c>
      <c r="AA48">
        <v>41</v>
      </c>
      <c r="AB48">
        <v>-3.74701</v>
      </c>
      <c r="AC48">
        <v>1985.21</v>
      </c>
      <c r="AH48">
        <f t="shared" si="4"/>
        <v>2.4</v>
      </c>
      <c r="AI48">
        <v>41</v>
      </c>
      <c r="AJ48">
        <v>-0.62888999999999995</v>
      </c>
      <c r="AK48">
        <v>4614.16</v>
      </c>
      <c r="AP48">
        <f t="shared" si="5"/>
        <v>2.4</v>
      </c>
      <c r="AQ48">
        <v>41</v>
      </c>
      <c r="AR48">
        <v>-0.82445299999999999</v>
      </c>
      <c r="AS48">
        <v>1529.62</v>
      </c>
      <c r="AX48">
        <f t="shared" si="6"/>
        <v>2.4</v>
      </c>
      <c r="AY48">
        <v>41</v>
      </c>
      <c r="AZ48">
        <v>5.3672199999999997</v>
      </c>
      <c r="BA48">
        <v>655.31500000000005</v>
      </c>
      <c r="BF48">
        <f t="shared" si="7"/>
        <v>2.4</v>
      </c>
      <c r="BG48">
        <v>41</v>
      </c>
      <c r="BH48">
        <v>-2.00135</v>
      </c>
      <c r="BI48">
        <v>343.21100000000001</v>
      </c>
      <c r="BN48">
        <f t="shared" si="8"/>
        <v>2.4</v>
      </c>
      <c r="BO48">
        <v>41</v>
      </c>
      <c r="BP48">
        <v>-1.6475500000000001</v>
      </c>
      <c r="BQ48">
        <v>710.69100000000003</v>
      </c>
      <c r="BV48">
        <f t="shared" si="9"/>
        <v>2.4</v>
      </c>
      <c r="BW48">
        <v>41</v>
      </c>
      <c r="BX48">
        <v>-1.1543699999999999</v>
      </c>
      <c r="BY48">
        <v>2356.91</v>
      </c>
    </row>
    <row r="49" spans="2:77" x14ac:dyDescent="0.2">
      <c r="B49">
        <f t="shared" si="0"/>
        <v>2.4499999999999997</v>
      </c>
      <c r="C49">
        <v>42</v>
      </c>
      <c r="D49">
        <v>-3.0701299999999998</v>
      </c>
      <c r="E49">
        <v>-1364.31</v>
      </c>
      <c r="J49">
        <f t="shared" si="1"/>
        <v>2.4499999999999997</v>
      </c>
      <c r="K49">
        <v>42</v>
      </c>
      <c r="L49">
        <v>-1.1017699999999999</v>
      </c>
      <c r="M49">
        <v>2661.36</v>
      </c>
      <c r="R49">
        <f t="shared" si="2"/>
        <v>2.4499999999999997</v>
      </c>
      <c r="S49">
        <v>42</v>
      </c>
      <c r="T49">
        <v>-1.1160300000000001</v>
      </c>
      <c r="U49">
        <v>1.93706</v>
      </c>
      <c r="Z49">
        <f t="shared" si="3"/>
        <v>2.4499999999999997</v>
      </c>
      <c r="AA49">
        <v>42</v>
      </c>
      <c r="AB49">
        <v>-3.8532799999999998</v>
      </c>
      <c r="AC49">
        <v>1943.68</v>
      </c>
      <c r="AH49">
        <f t="shared" si="4"/>
        <v>2.4499999999999997</v>
      </c>
      <c r="AI49">
        <v>42</v>
      </c>
      <c r="AJ49">
        <v>-0.86384099999999997</v>
      </c>
      <c r="AK49">
        <v>4088.95</v>
      </c>
      <c r="AP49">
        <f t="shared" si="5"/>
        <v>2.4499999999999997</v>
      </c>
      <c r="AQ49">
        <v>42</v>
      </c>
      <c r="AR49">
        <v>-0.90590400000000004</v>
      </c>
      <c r="AS49">
        <v>1483.06</v>
      </c>
      <c r="AX49">
        <f t="shared" si="6"/>
        <v>2.4499999999999997</v>
      </c>
      <c r="AY49">
        <v>42</v>
      </c>
      <c r="AZ49">
        <v>5.3341900000000004</v>
      </c>
      <c r="BA49">
        <v>567.38599999999997</v>
      </c>
      <c r="BF49">
        <f t="shared" si="7"/>
        <v>2.4499999999999997</v>
      </c>
      <c r="BG49">
        <v>42</v>
      </c>
      <c r="BH49">
        <v>-2.0499800000000001</v>
      </c>
      <c r="BI49">
        <v>541.69600000000003</v>
      </c>
      <c r="BN49">
        <f t="shared" si="8"/>
        <v>2.4499999999999997</v>
      </c>
      <c r="BO49">
        <v>42</v>
      </c>
      <c r="BP49">
        <v>-1.7225200000000001</v>
      </c>
      <c r="BQ49">
        <v>675.77800000000002</v>
      </c>
      <c r="BV49">
        <f t="shared" si="9"/>
        <v>2.4499999999999997</v>
      </c>
      <c r="BW49">
        <v>42</v>
      </c>
      <c r="BX49">
        <v>-1.2759400000000001</v>
      </c>
      <c r="BY49">
        <v>2143.4899999999998</v>
      </c>
    </row>
    <row r="50" spans="2:77" x14ac:dyDescent="0.2">
      <c r="B50">
        <f t="shared" si="0"/>
        <v>2.4999999999999996</v>
      </c>
      <c r="C50">
        <v>43</v>
      </c>
      <c r="D50">
        <v>-2.99526</v>
      </c>
      <c r="E50">
        <v>-1460.24</v>
      </c>
      <c r="J50">
        <f t="shared" si="1"/>
        <v>2.4999999999999996</v>
      </c>
      <c r="K50">
        <v>43</v>
      </c>
      <c r="L50">
        <v>-1.2272400000000001</v>
      </c>
      <c r="M50">
        <v>2087.6999999999998</v>
      </c>
      <c r="R50">
        <f t="shared" si="2"/>
        <v>2.4999999999999996</v>
      </c>
      <c r="S50">
        <v>43</v>
      </c>
      <c r="T50">
        <v>-1.1092900000000001</v>
      </c>
      <c r="U50">
        <v>-250.58500000000001</v>
      </c>
      <c r="Z50">
        <f t="shared" si="3"/>
        <v>2.4999999999999996</v>
      </c>
      <c r="AA50">
        <v>43</v>
      </c>
      <c r="AB50">
        <v>-3.95505</v>
      </c>
      <c r="AC50">
        <v>1897.69</v>
      </c>
      <c r="AH50">
        <f t="shared" si="4"/>
        <v>2.4999999999999996</v>
      </c>
      <c r="AI50">
        <v>43</v>
      </c>
      <c r="AJ50">
        <v>-1.0686500000000001</v>
      </c>
      <c r="AK50">
        <v>3656.45</v>
      </c>
      <c r="AP50">
        <f t="shared" si="5"/>
        <v>2.4999999999999996</v>
      </c>
      <c r="AQ50">
        <v>43</v>
      </c>
      <c r="AR50">
        <v>-0.983348</v>
      </c>
      <c r="AS50">
        <v>1441.58</v>
      </c>
      <c r="AX50">
        <f t="shared" si="6"/>
        <v>2.4999999999999996</v>
      </c>
      <c r="AY50">
        <v>43</v>
      </c>
      <c r="AZ50">
        <v>5.3062500000000004</v>
      </c>
      <c r="BA50">
        <v>488.495</v>
      </c>
      <c r="BF50">
        <f t="shared" si="7"/>
        <v>2.4999999999999996</v>
      </c>
      <c r="BG50">
        <v>43</v>
      </c>
      <c r="BH50">
        <v>-2.1144599999999998</v>
      </c>
      <c r="BI50">
        <v>665.80499999999995</v>
      </c>
      <c r="BN50">
        <f t="shared" si="8"/>
        <v>2.4999999999999996</v>
      </c>
      <c r="BO50">
        <v>43</v>
      </c>
      <c r="BP50">
        <v>-1.7923800000000001</v>
      </c>
      <c r="BQ50">
        <v>643.40200000000004</v>
      </c>
      <c r="BV50">
        <f t="shared" si="9"/>
        <v>2.4999999999999996</v>
      </c>
      <c r="BW50">
        <v>43</v>
      </c>
      <c r="BX50">
        <v>-1.3845799999999999</v>
      </c>
      <c r="BY50">
        <v>1962.69</v>
      </c>
    </row>
    <row r="51" spans="2:77" x14ac:dyDescent="0.2">
      <c r="B51">
        <f t="shared" si="0"/>
        <v>2.5499999999999994</v>
      </c>
      <c r="C51">
        <v>44</v>
      </c>
      <c r="D51">
        <v>-2.9173200000000001</v>
      </c>
      <c r="E51">
        <v>-1541.09</v>
      </c>
      <c r="J51">
        <f t="shared" si="1"/>
        <v>2.5499999999999994</v>
      </c>
      <c r="K51">
        <v>44</v>
      </c>
      <c r="L51">
        <v>-1.3224499999999999</v>
      </c>
      <c r="M51">
        <v>1591.77</v>
      </c>
      <c r="R51">
        <f t="shared" si="2"/>
        <v>2.5499999999999994</v>
      </c>
      <c r="S51">
        <v>44</v>
      </c>
      <c r="T51">
        <v>-1.0906</v>
      </c>
      <c r="U51">
        <v>-464.48500000000001</v>
      </c>
      <c r="Z51">
        <f t="shared" si="3"/>
        <v>2.5499999999999994</v>
      </c>
      <c r="AA51">
        <v>44</v>
      </c>
      <c r="AB51">
        <v>-4.0522400000000003</v>
      </c>
      <c r="AC51">
        <v>1846.44</v>
      </c>
      <c r="AH51">
        <f t="shared" si="4"/>
        <v>2.5499999999999994</v>
      </c>
      <c r="AI51">
        <v>44</v>
      </c>
      <c r="AJ51">
        <v>-1.24892</v>
      </c>
      <c r="AK51">
        <v>3300.91</v>
      </c>
      <c r="AP51">
        <f t="shared" si="5"/>
        <v>2.5499999999999994</v>
      </c>
      <c r="AQ51">
        <v>44</v>
      </c>
      <c r="AR51">
        <v>-1.05718</v>
      </c>
      <c r="AS51">
        <v>1403.93</v>
      </c>
      <c r="AX51">
        <f t="shared" si="6"/>
        <v>2.5499999999999994</v>
      </c>
      <c r="AY51">
        <v>44</v>
      </c>
      <c r="AZ51">
        <v>5.2827599999999997</v>
      </c>
      <c r="BA51">
        <v>417.755</v>
      </c>
      <c r="BF51">
        <f t="shared" si="7"/>
        <v>2.5499999999999994</v>
      </c>
      <c r="BG51">
        <v>44</v>
      </c>
      <c r="BH51">
        <v>-2.1876899999999999</v>
      </c>
      <c r="BI51">
        <v>738.16600000000005</v>
      </c>
      <c r="BN51">
        <f t="shared" si="8"/>
        <v>2.5499999999999994</v>
      </c>
      <c r="BO51">
        <v>44</v>
      </c>
      <c r="BP51">
        <v>-1.8575999999999999</v>
      </c>
      <c r="BQ51">
        <v>613.40899999999999</v>
      </c>
      <c r="BV51">
        <f t="shared" si="9"/>
        <v>2.5499999999999994</v>
      </c>
      <c r="BW51">
        <v>44</v>
      </c>
      <c r="BX51">
        <v>-1.4823900000000001</v>
      </c>
      <c r="BY51">
        <v>1810.39</v>
      </c>
    </row>
    <row r="52" spans="2:77" x14ac:dyDescent="0.2">
      <c r="B52">
        <f t="shared" si="0"/>
        <v>2.5999999999999992</v>
      </c>
      <c r="C52">
        <v>45</v>
      </c>
      <c r="D52">
        <v>-2.8371499999999998</v>
      </c>
      <c r="E52">
        <v>-1608.54</v>
      </c>
      <c r="J52">
        <f t="shared" si="1"/>
        <v>2.5999999999999992</v>
      </c>
      <c r="K52">
        <v>45</v>
      </c>
      <c r="L52">
        <v>-1.39232</v>
      </c>
      <c r="M52">
        <v>1164.0999999999999</v>
      </c>
      <c r="R52">
        <f t="shared" si="2"/>
        <v>2.5999999999999992</v>
      </c>
      <c r="S52">
        <v>45</v>
      </c>
      <c r="T52">
        <v>-1.06226</v>
      </c>
      <c r="U52">
        <v>-645.13599999999997</v>
      </c>
      <c r="Z52">
        <f t="shared" si="3"/>
        <v>2.5999999999999992</v>
      </c>
      <c r="AA52">
        <v>45</v>
      </c>
      <c r="AB52">
        <v>-4.1447599999999998</v>
      </c>
      <c r="AC52">
        <v>1789.82</v>
      </c>
      <c r="AH52">
        <f t="shared" si="4"/>
        <v>2.5999999999999992</v>
      </c>
      <c r="AI52">
        <v>45</v>
      </c>
      <c r="AJ52">
        <v>-1.4092100000000001</v>
      </c>
      <c r="AK52">
        <v>3009.4</v>
      </c>
      <c r="AP52">
        <f t="shared" si="5"/>
        <v>2.5999999999999992</v>
      </c>
      <c r="AQ52">
        <v>45</v>
      </c>
      <c r="AR52">
        <v>-1.12771</v>
      </c>
      <c r="AS52">
        <v>1369</v>
      </c>
      <c r="AX52">
        <f t="shared" si="6"/>
        <v>2.5999999999999992</v>
      </c>
      <c r="AY52">
        <v>45</v>
      </c>
      <c r="AZ52">
        <v>5.2631300000000003</v>
      </c>
      <c r="BA52">
        <v>355.29199999999997</v>
      </c>
      <c r="BF52">
        <f t="shared" si="7"/>
        <v>2.5999999999999992</v>
      </c>
      <c r="BG52">
        <v>45</v>
      </c>
      <c r="BH52">
        <v>-2.2648700000000002</v>
      </c>
      <c r="BI52">
        <v>774.10400000000004</v>
      </c>
      <c r="BN52">
        <f t="shared" si="8"/>
        <v>2.5999999999999992</v>
      </c>
      <c r="BO52">
        <v>45</v>
      </c>
      <c r="BP52">
        <v>-1.91858</v>
      </c>
      <c r="BQ52">
        <v>585.55499999999995</v>
      </c>
      <c r="BV52">
        <f t="shared" si="9"/>
        <v>2.5999999999999992</v>
      </c>
      <c r="BW52">
        <v>45</v>
      </c>
      <c r="BX52">
        <v>-1.57115</v>
      </c>
      <c r="BY52">
        <v>1682.11</v>
      </c>
    </row>
    <row r="53" spans="2:77" x14ac:dyDescent="0.2">
      <c r="B53">
        <f t="shared" si="0"/>
        <v>2.649999999999999</v>
      </c>
      <c r="C53">
        <v>46</v>
      </c>
      <c r="D53">
        <v>-2.75549</v>
      </c>
      <c r="E53">
        <v>-1663.92</v>
      </c>
      <c r="J53">
        <f t="shared" si="1"/>
        <v>2.649999999999999</v>
      </c>
      <c r="K53">
        <v>46</v>
      </c>
      <c r="L53">
        <v>-1.4410000000000001</v>
      </c>
      <c r="M53">
        <v>795.85199999999998</v>
      </c>
      <c r="R53">
        <f t="shared" si="2"/>
        <v>2.649999999999999</v>
      </c>
      <c r="S53">
        <v>46</v>
      </c>
      <c r="T53">
        <v>-1.0261800000000001</v>
      </c>
      <c r="U53">
        <v>-797.27700000000004</v>
      </c>
      <c r="Z53">
        <f t="shared" si="3"/>
        <v>2.649999999999999</v>
      </c>
      <c r="AA53">
        <v>46</v>
      </c>
      <c r="AB53">
        <v>-4.2325299999999997</v>
      </c>
      <c r="AC53">
        <v>1728.2</v>
      </c>
      <c r="AH53">
        <f t="shared" si="4"/>
        <v>2.649999999999999</v>
      </c>
      <c r="AI53">
        <v>46</v>
      </c>
      <c r="AJ53">
        <v>-1.55321</v>
      </c>
      <c r="AK53">
        <v>2770.85</v>
      </c>
      <c r="AP53">
        <f t="shared" si="5"/>
        <v>2.649999999999999</v>
      </c>
      <c r="AQ53">
        <v>46</v>
      </c>
      <c r="AR53">
        <v>-1.1951700000000001</v>
      </c>
      <c r="AS53">
        <v>1335.77</v>
      </c>
      <c r="AX53">
        <f t="shared" si="6"/>
        <v>2.649999999999999</v>
      </c>
      <c r="AY53">
        <v>46</v>
      </c>
      <c r="AZ53">
        <v>5.2467699999999997</v>
      </c>
      <c r="BA53">
        <v>301.964</v>
      </c>
      <c r="BF53">
        <f t="shared" si="7"/>
        <v>2.649999999999999</v>
      </c>
      <c r="BG53">
        <v>46</v>
      </c>
      <c r="BH53">
        <v>-2.3427899999999999</v>
      </c>
      <c r="BI53">
        <v>784.35199999999998</v>
      </c>
      <c r="BN53">
        <f t="shared" si="8"/>
        <v>2.649999999999999</v>
      </c>
      <c r="BO53">
        <v>46</v>
      </c>
      <c r="BP53">
        <v>-1.9756899999999999</v>
      </c>
      <c r="BQ53">
        <v>559.51900000000001</v>
      </c>
      <c r="BV53">
        <f t="shared" si="9"/>
        <v>2.649999999999999</v>
      </c>
      <c r="BW53">
        <v>46</v>
      </c>
      <c r="BX53">
        <v>-1.65228</v>
      </c>
      <c r="BY53">
        <v>1573.37</v>
      </c>
    </row>
    <row r="54" spans="2:77" x14ac:dyDescent="0.2">
      <c r="B54">
        <f t="shared" si="0"/>
        <v>2.6999999999999988</v>
      </c>
      <c r="C54">
        <v>47</v>
      </c>
      <c r="D54">
        <v>-2.6729400000000001</v>
      </c>
      <c r="E54">
        <v>-1708.27</v>
      </c>
      <c r="J54">
        <f t="shared" si="1"/>
        <v>2.6999999999999988</v>
      </c>
      <c r="K54">
        <v>47</v>
      </c>
      <c r="L54">
        <v>-1.4720299999999999</v>
      </c>
      <c r="M54">
        <v>478.93200000000002</v>
      </c>
      <c r="R54">
        <f t="shared" si="2"/>
        <v>2.6999999999999988</v>
      </c>
      <c r="S54">
        <v>47</v>
      </c>
      <c r="T54">
        <v>-0.98395900000000003</v>
      </c>
      <c r="U54">
        <v>-925.02</v>
      </c>
      <c r="Z54">
        <f t="shared" si="3"/>
        <v>2.6999999999999988</v>
      </c>
      <c r="AA54">
        <v>47</v>
      </c>
      <c r="AB54">
        <v>-4.3155099999999997</v>
      </c>
      <c r="AC54">
        <v>1662.32</v>
      </c>
      <c r="AH54">
        <f t="shared" si="4"/>
        <v>2.6999999999999988</v>
      </c>
      <c r="AI54">
        <v>47</v>
      </c>
      <c r="AJ54">
        <v>-1.68388</v>
      </c>
      <c r="AK54">
        <v>2575.44</v>
      </c>
      <c r="AP54">
        <f t="shared" si="5"/>
        <v>2.6999999999999988</v>
      </c>
      <c r="AQ54">
        <v>47</v>
      </c>
      <c r="AR54">
        <v>-1.2597400000000001</v>
      </c>
      <c r="AS54">
        <v>1303.3800000000001</v>
      </c>
      <c r="AX54">
        <f t="shared" si="6"/>
        <v>2.6999999999999988</v>
      </c>
      <c r="AY54">
        <v>47</v>
      </c>
      <c r="AZ54">
        <v>5.2330899999999998</v>
      </c>
      <c r="BA54">
        <v>259.02600000000001</v>
      </c>
      <c r="BF54">
        <f t="shared" si="7"/>
        <v>2.6999999999999988</v>
      </c>
      <c r="BG54">
        <v>47</v>
      </c>
      <c r="BH54">
        <v>-2.4193099999999998</v>
      </c>
      <c r="BI54">
        <v>776.84299999999996</v>
      </c>
      <c r="BN54">
        <f t="shared" si="8"/>
        <v>2.6999999999999988</v>
      </c>
      <c r="BO54">
        <v>47</v>
      </c>
      <c r="BP54">
        <v>-2.0292500000000002</v>
      </c>
      <c r="BQ54">
        <v>534.92700000000002</v>
      </c>
      <c r="BV54">
        <f t="shared" si="9"/>
        <v>2.6999999999999988</v>
      </c>
      <c r="BW54">
        <v>47</v>
      </c>
      <c r="BX54">
        <v>-1.72695</v>
      </c>
      <c r="BY54">
        <v>1480.1</v>
      </c>
    </row>
    <row r="55" spans="2:77" x14ac:dyDescent="0.2">
      <c r="B55">
        <f t="shared" si="0"/>
        <v>2.7499999999999987</v>
      </c>
      <c r="C55">
        <v>48</v>
      </c>
      <c r="D55">
        <v>-2.5900500000000002</v>
      </c>
      <c r="E55">
        <v>-1742.42</v>
      </c>
      <c r="J55">
        <f t="shared" si="1"/>
        <v>2.7499999999999987</v>
      </c>
      <c r="K55">
        <v>48</v>
      </c>
      <c r="L55">
        <v>-1.4883299999999999</v>
      </c>
      <c r="M55">
        <v>206.149</v>
      </c>
      <c r="R55">
        <f t="shared" si="2"/>
        <v>2.7499999999999987</v>
      </c>
      <c r="S55">
        <v>48</v>
      </c>
      <c r="T55">
        <v>-0.93690399999999996</v>
      </c>
      <c r="U55">
        <v>-1031.8800000000001</v>
      </c>
      <c r="Z55">
        <f t="shared" si="3"/>
        <v>2.7499999999999987</v>
      </c>
      <c r="AA55">
        <v>48</v>
      </c>
      <c r="AB55">
        <v>-4.3936900000000003</v>
      </c>
      <c r="AC55">
        <v>1593.12</v>
      </c>
      <c r="AH55">
        <f t="shared" si="4"/>
        <v>2.7499999999999987</v>
      </c>
      <c r="AI55">
        <v>48</v>
      </c>
      <c r="AJ55">
        <v>-1.8035699999999999</v>
      </c>
      <c r="AK55">
        <v>2414.3000000000002</v>
      </c>
      <c r="AP55">
        <f t="shared" si="5"/>
        <v>2.7499999999999987</v>
      </c>
      <c r="AQ55">
        <v>48</v>
      </c>
      <c r="AR55">
        <v>-1.3215600000000001</v>
      </c>
      <c r="AS55">
        <v>1271.0999999999999</v>
      </c>
      <c r="AX55">
        <f t="shared" si="6"/>
        <v>2.7499999999999987</v>
      </c>
      <c r="AY55">
        <v>48</v>
      </c>
      <c r="AZ55">
        <v>5.2214499999999999</v>
      </c>
      <c r="BA55">
        <v>227.75200000000001</v>
      </c>
      <c r="BF55">
        <f t="shared" si="7"/>
        <v>2.7499999999999987</v>
      </c>
      <c r="BG55">
        <v>48</v>
      </c>
      <c r="BH55">
        <v>-2.4930699999999999</v>
      </c>
      <c r="BI55">
        <v>757.649</v>
      </c>
      <c r="BN55">
        <f t="shared" si="8"/>
        <v>2.7499999999999987</v>
      </c>
      <c r="BO55">
        <v>48</v>
      </c>
      <c r="BP55">
        <v>-2.0794899999999998</v>
      </c>
      <c r="BQ55">
        <v>511.37799999999999</v>
      </c>
      <c r="BV55">
        <f t="shared" si="9"/>
        <v>2.7499999999999987</v>
      </c>
      <c r="BW55">
        <v>48</v>
      </c>
      <c r="BX55">
        <v>-1.79603</v>
      </c>
      <c r="BY55">
        <v>1398.88</v>
      </c>
    </row>
    <row r="56" spans="2:77" x14ac:dyDescent="0.2">
      <c r="B56">
        <f t="shared" si="0"/>
        <v>2.7999999999999985</v>
      </c>
      <c r="C56">
        <v>49</v>
      </c>
      <c r="D56">
        <v>-2.5072999999999999</v>
      </c>
      <c r="E56">
        <v>-1767.07</v>
      </c>
      <c r="J56">
        <f t="shared" si="1"/>
        <v>2.7999999999999985</v>
      </c>
      <c r="K56">
        <v>49</v>
      </c>
      <c r="L56">
        <v>-1.4923900000000001</v>
      </c>
      <c r="M56">
        <v>-28.726099999999999</v>
      </c>
      <c r="R56">
        <f t="shared" si="2"/>
        <v>2.7999999999999985</v>
      </c>
      <c r="S56">
        <v>49</v>
      </c>
      <c r="T56">
        <v>-0.88610800000000001</v>
      </c>
      <c r="U56">
        <v>-1120.81</v>
      </c>
      <c r="Z56">
        <f t="shared" si="3"/>
        <v>2.7999999999999985</v>
      </c>
      <c r="AA56">
        <v>49</v>
      </c>
      <c r="AB56">
        <v>-4.4671200000000004</v>
      </c>
      <c r="AC56">
        <v>1521.65</v>
      </c>
      <c r="AH56">
        <f t="shared" si="4"/>
        <v>2.7999999999999985</v>
      </c>
      <c r="AI56">
        <v>49</v>
      </c>
      <c r="AJ56">
        <v>-1.91412</v>
      </c>
      <c r="AK56">
        <v>2279.48</v>
      </c>
      <c r="AP56">
        <f t="shared" si="5"/>
        <v>2.7999999999999985</v>
      </c>
      <c r="AQ56">
        <v>49</v>
      </c>
      <c r="AR56">
        <v>-1.3807100000000001</v>
      </c>
      <c r="AS56">
        <v>1238.3800000000001</v>
      </c>
      <c r="AX56">
        <f t="shared" si="6"/>
        <v>2.7999999999999985</v>
      </c>
      <c r="AY56">
        <v>49</v>
      </c>
      <c r="AZ56">
        <v>5.2111999999999998</v>
      </c>
      <c r="BA56">
        <v>209.07400000000001</v>
      </c>
      <c r="BF56">
        <f t="shared" si="7"/>
        <v>2.7999999999999985</v>
      </c>
      <c r="BG56">
        <v>49</v>
      </c>
      <c r="BH56">
        <v>-2.56331</v>
      </c>
      <c r="BI56">
        <v>731.45</v>
      </c>
      <c r="BN56">
        <f t="shared" si="8"/>
        <v>2.7999999999999985</v>
      </c>
      <c r="BO56">
        <v>49</v>
      </c>
      <c r="BP56">
        <v>-2.12662</v>
      </c>
      <c r="BQ56">
        <v>488.47699999999998</v>
      </c>
      <c r="BV56">
        <f t="shared" si="9"/>
        <v>2.7999999999999985</v>
      </c>
      <c r="BW56">
        <v>49</v>
      </c>
      <c r="BX56">
        <v>-1.86026</v>
      </c>
      <c r="BY56">
        <v>1327.05</v>
      </c>
    </row>
    <row r="57" spans="2:77" x14ac:dyDescent="0.2">
      <c r="B57">
        <f t="shared" si="0"/>
        <v>2.8499999999999983</v>
      </c>
      <c r="C57">
        <v>50</v>
      </c>
      <c r="D57">
        <v>-2.4251</v>
      </c>
      <c r="E57">
        <v>-1782.85</v>
      </c>
      <c r="J57">
        <f t="shared" si="1"/>
        <v>2.8499999999999983</v>
      </c>
      <c r="K57">
        <v>50</v>
      </c>
      <c r="L57">
        <v>-1.48628</v>
      </c>
      <c r="M57">
        <v>-230.95699999999999</v>
      </c>
      <c r="R57">
        <f t="shared" si="2"/>
        <v>2.8499999999999983</v>
      </c>
      <c r="S57">
        <v>50</v>
      </c>
      <c r="T57">
        <v>-0.83247499999999997</v>
      </c>
      <c r="U57">
        <v>-1194.28</v>
      </c>
      <c r="Z57">
        <f t="shared" si="3"/>
        <v>2.8499999999999983</v>
      </c>
      <c r="AA57">
        <v>50</v>
      </c>
      <c r="AB57">
        <v>-4.5358799999999997</v>
      </c>
      <c r="AC57">
        <v>1448.95</v>
      </c>
      <c r="AH57">
        <f t="shared" si="4"/>
        <v>2.8499999999999983</v>
      </c>
      <c r="AI57">
        <v>50</v>
      </c>
      <c r="AJ57">
        <v>-2.0169100000000002</v>
      </c>
      <c r="AK57">
        <v>2164</v>
      </c>
      <c r="AP57">
        <f t="shared" si="5"/>
        <v>2.8499999999999983</v>
      </c>
      <c r="AQ57">
        <v>50</v>
      </c>
      <c r="AR57">
        <v>-1.43727</v>
      </c>
      <c r="AS57">
        <v>1204.8699999999999</v>
      </c>
      <c r="AX57">
        <f t="shared" si="6"/>
        <v>2.8499999999999983</v>
      </c>
      <c r="AY57">
        <v>50</v>
      </c>
      <c r="AZ57">
        <v>5.2017100000000003</v>
      </c>
      <c r="BA57">
        <v>203.297</v>
      </c>
      <c r="BF57">
        <f t="shared" si="7"/>
        <v>2.8499999999999983</v>
      </c>
      <c r="BG57">
        <v>50</v>
      </c>
      <c r="BH57">
        <v>-2.62967</v>
      </c>
      <c r="BI57">
        <v>701.78599999999994</v>
      </c>
      <c r="BN57">
        <f t="shared" si="8"/>
        <v>2.8499999999999983</v>
      </c>
      <c r="BO57">
        <v>50</v>
      </c>
      <c r="BP57">
        <v>-2.1707999999999998</v>
      </c>
      <c r="BQ57">
        <v>465.86500000000001</v>
      </c>
      <c r="BV57">
        <f t="shared" si="9"/>
        <v>2.8499999999999983</v>
      </c>
      <c r="BW57">
        <v>50</v>
      </c>
      <c r="BX57">
        <v>-1.9201699999999999</v>
      </c>
      <c r="BY57">
        <v>1262.73</v>
      </c>
    </row>
    <row r="58" spans="2:77" x14ac:dyDescent="0.2">
      <c r="B58">
        <f t="shared" si="0"/>
        <v>2.8999999999999981</v>
      </c>
      <c r="C58">
        <v>51</v>
      </c>
      <c r="D58">
        <v>-2.3438400000000001</v>
      </c>
      <c r="E58">
        <v>-1790.36</v>
      </c>
      <c r="J58">
        <f t="shared" si="1"/>
        <v>2.8999999999999981</v>
      </c>
      <c r="K58">
        <v>51</v>
      </c>
      <c r="L58">
        <v>-1.47173</v>
      </c>
      <c r="M58">
        <v>-404.90800000000002</v>
      </c>
      <c r="R58">
        <f t="shared" si="2"/>
        <v>2.8999999999999981</v>
      </c>
      <c r="S58">
        <v>51</v>
      </c>
      <c r="T58">
        <v>-0.77676199999999995</v>
      </c>
      <c r="U58">
        <v>-1254.33</v>
      </c>
      <c r="Z58">
        <f t="shared" si="3"/>
        <v>2.8999999999999981</v>
      </c>
      <c r="AA58">
        <v>51</v>
      </c>
      <c r="AB58">
        <v>-4.6001099999999999</v>
      </c>
      <c r="AC58">
        <v>1376</v>
      </c>
      <c r="AH58">
        <f t="shared" si="4"/>
        <v>2.8999999999999981</v>
      </c>
      <c r="AI58">
        <v>51</v>
      </c>
      <c r="AJ58">
        <v>-2.1129600000000002</v>
      </c>
      <c r="AK58">
        <v>2062.0100000000002</v>
      </c>
      <c r="AP58">
        <f t="shared" si="5"/>
        <v>2.8999999999999981</v>
      </c>
      <c r="AQ58">
        <v>51</v>
      </c>
      <c r="AR58">
        <v>-1.4912700000000001</v>
      </c>
      <c r="AS58">
        <v>1170.3499999999999</v>
      </c>
      <c r="AX58">
        <f t="shared" si="6"/>
        <v>2.8999999999999981</v>
      </c>
      <c r="AY58">
        <v>51</v>
      </c>
      <c r="AZ58">
        <v>5.1923599999999999</v>
      </c>
      <c r="BA58">
        <v>209.928</v>
      </c>
      <c r="BF58">
        <f t="shared" si="7"/>
        <v>2.8999999999999981</v>
      </c>
      <c r="BG58">
        <v>51</v>
      </c>
      <c r="BH58">
        <v>-2.6920999999999999</v>
      </c>
      <c r="BI58">
        <v>671.20899999999995</v>
      </c>
      <c r="BN58">
        <f t="shared" si="8"/>
        <v>2.8999999999999981</v>
      </c>
      <c r="BO58">
        <v>51</v>
      </c>
      <c r="BP58">
        <v>-2.2121400000000002</v>
      </c>
      <c r="BQ58">
        <v>443.25599999999997</v>
      </c>
      <c r="BV58">
        <f t="shared" si="9"/>
        <v>2.8999999999999981</v>
      </c>
      <c r="BW58">
        <v>51</v>
      </c>
      <c r="BX58">
        <v>-1.9762500000000001</v>
      </c>
      <c r="BY58">
        <v>1204.7</v>
      </c>
    </row>
    <row r="59" spans="2:77" x14ac:dyDescent="0.2">
      <c r="B59">
        <f t="shared" si="0"/>
        <v>2.949999999999998</v>
      </c>
      <c r="C59">
        <v>52</v>
      </c>
      <c r="D59">
        <v>-2.2638199999999999</v>
      </c>
      <c r="E59">
        <v>-1790.19</v>
      </c>
      <c r="J59">
        <f t="shared" si="1"/>
        <v>2.949999999999998</v>
      </c>
      <c r="K59">
        <v>52</v>
      </c>
      <c r="L59">
        <v>-1.4502299999999999</v>
      </c>
      <c r="M59">
        <v>-554.154</v>
      </c>
      <c r="R59">
        <f t="shared" si="2"/>
        <v>2.949999999999998</v>
      </c>
      <c r="S59">
        <v>52</v>
      </c>
      <c r="T59">
        <v>-0.71960199999999996</v>
      </c>
      <c r="U59">
        <v>-1302.67</v>
      </c>
      <c r="Z59">
        <f t="shared" si="3"/>
        <v>2.949999999999998</v>
      </c>
      <c r="AA59">
        <v>52</v>
      </c>
      <c r="AB59">
        <v>-4.6599700000000004</v>
      </c>
      <c r="AC59">
        <v>1303.69</v>
      </c>
      <c r="AH59">
        <f t="shared" si="4"/>
        <v>2.949999999999998</v>
      </c>
      <c r="AI59">
        <v>52</v>
      </c>
      <c r="AJ59">
        <v>-2.2029899999999998</v>
      </c>
      <c r="AK59">
        <v>1968.86</v>
      </c>
      <c r="AP59">
        <f t="shared" si="5"/>
        <v>2.949999999999998</v>
      </c>
      <c r="AQ59">
        <v>52</v>
      </c>
      <c r="AR59">
        <v>-1.54278</v>
      </c>
      <c r="AS59">
        <v>1134.75</v>
      </c>
      <c r="AX59">
        <f t="shared" si="6"/>
        <v>2.949999999999998</v>
      </c>
      <c r="AY59">
        <v>52</v>
      </c>
      <c r="AZ59">
        <v>5.18262</v>
      </c>
      <c r="BA59">
        <v>227.65199999999999</v>
      </c>
      <c r="BF59">
        <f t="shared" si="7"/>
        <v>2.949999999999998</v>
      </c>
      <c r="BG59">
        <v>52</v>
      </c>
      <c r="BH59">
        <v>-2.75075</v>
      </c>
      <c r="BI59">
        <v>641.43100000000004</v>
      </c>
      <c r="BN59">
        <f t="shared" si="8"/>
        <v>2.949999999999998</v>
      </c>
      <c r="BO59">
        <v>52</v>
      </c>
      <c r="BP59">
        <v>-2.2507299999999999</v>
      </c>
      <c r="BQ59">
        <v>420.46499999999997</v>
      </c>
      <c r="BV59">
        <f t="shared" si="9"/>
        <v>2.949999999999998</v>
      </c>
      <c r="BW59">
        <v>52</v>
      </c>
      <c r="BX59">
        <v>-2.0288900000000001</v>
      </c>
      <c r="BY59">
        <v>1152.3</v>
      </c>
    </row>
    <row r="60" spans="2:77" x14ac:dyDescent="0.2">
      <c r="B60">
        <f t="shared" si="0"/>
        <v>2.9999999999999978</v>
      </c>
      <c r="C60">
        <v>53</v>
      </c>
      <c r="D60">
        <v>-2.18533</v>
      </c>
      <c r="E60">
        <v>-1783.02</v>
      </c>
      <c r="J60">
        <f t="shared" si="1"/>
        <v>2.9999999999999978</v>
      </c>
      <c r="K60">
        <v>53</v>
      </c>
      <c r="L60">
        <v>-1.42303</v>
      </c>
      <c r="M60">
        <v>-681.61599999999999</v>
      </c>
      <c r="R60">
        <f t="shared" si="2"/>
        <v>2.9999999999999978</v>
      </c>
      <c r="S60">
        <v>53</v>
      </c>
      <c r="T60">
        <v>-0.66152500000000003</v>
      </c>
      <c r="U60">
        <v>-1340.73</v>
      </c>
      <c r="Z60">
        <f t="shared" si="3"/>
        <v>2.9999999999999978</v>
      </c>
      <c r="AA60">
        <v>53</v>
      </c>
      <c r="AB60">
        <v>-4.7156700000000003</v>
      </c>
      <c r="AC60">
        <v>1232.77</v>
      </c>
      <c r="AH60">
        <f t="shared" si="4"/>
        <v>2.9999999999999978</v>
      </c>
      <c r="AI60">
        <v>53</v>
      </c>
      <c r="AJ60">
        <v>-2.2875100000000002</v>
      </c>
      <c r="AK60">
        <v>1881.12</v>
      </c>
      <c r="AP60">
        <f t="shared" si="5"/>
        <v>2.9999999999999978</v>
      </c>
      <c r="AQ60">
        <v>53</v>
      </c>
      <c r="AR60">
        <v>-1.5918099999999999</v>
      </c>
      <c r="AS60">
        <v>1098.1500000000001</v>
      </c>
      <c r="AX60">
        <f t="shared" si="6"/>
        <v>2.9999999999999978</v>
      </c>
      <c r="AY60">
        <v>53</v>
      </c>
      <c r="AZ60">
        <v>5.1720699999999997</v>
      </c>
      <c r="BA60">
        <v>254.441</v>
      </c>
      <c r="BF60">
        <f t="shared" si="7"/>
        <v>2.9999999999999978</v>
      </c>
      <c r="BG60">
        <v>53</v>
      </c>
      <c r="BH60">
        <v>-2.8058399999999999</v>
      </c>
      <c r="BI60">
        <v>613.452</v>
      </c>
      <c r="BN60">
        <f t="shared" si="8"/>
        <v>2.9999999999999978</v>
      </c>
      <c r="BO60">
        <v>53</v>
      </c>
      <c r="BP60">
        <v>-2.2866599999999999</v>
      </c>
      <c r="BQ60">
        <v>397.42399999999998</v>
      </c>
      <c r="BV60">
        <f t="shared" si="9"/>
        <v>2.9999999999999978</v>
      </c>
      <c r="BW60">
        <v>53</v>
      </c>
      <c r="BX60">
        <v>-2.0784400000000001</v>
      </c>
      <c r="BY60">
        <v>1105.2</v>
      </c>
    </row>
    <row r="61" spans="2:77" x14ac:dyDescent="0.2">
      <c r="B61">
        <f t="shared" si="0"/>
        <v>3.0499999999999976</v>
      </c>
      <c r="C61">
        <v>54</v>
      </c>
      <c r="D61">
        <v>-2.1086200000000002</v>
      </c>
      <c r="E61">
        <v>-1769.56</v>
      </c>
      <c r="J61">
        <f t="shared" si="1"/>
        <v>3.0499999999999976</v>
      </c>
      <c r="K61">
        <v>54</v>
      </c>
      <c r="L61">
        <v>-1.3912100000000001</v>
      </c>
      <c r="M61">
        <v>-789.71100000000001</v>
      </c>
      <c r="R61">
        <f t="shared" si="2"/>
        <v>3.0499999999999976</v>
      </c>
      <c r="S61">
        <v>54</v>
      </c>
      <c r="T61">
        <v>-0.60298099999999999</v>
      </c>
      <c r="U61">
        <v>-1369.73</v>
      </c>
      <c r="Z61">
        <f t="shared" si="3"/>
        <v>3.0499999999999976</v>
      </c>
      <c r="AA61">
        <v>54</v>
      </c>
      <c r="AB61">
        <v>-4.7674000000000003</v>
      </c>
      <c r="AC61">
        <v>1163.8399999999999</v>
      </c>
      <c r="AH61">
        <f t="shared" si="4"/>
        <v>3.0499999999999976</v>
      </c>
      <c r="AI61">
        <v>54</v>
      </c>
      <c r="AJ61">
        <v>-2.3669099999999998</v>
      </c>
      <c r="AK61">
        <v>1796.53</v>
      </c>
      <c r="AP61">
        <f t="shared" si="5"/>
        <v>3.0499999999999976</v>
      </c>
      <c r="AQ61">
        <v>54</v>
      </c>
      <c r="AR61">
        <v>-1.63842</v>
      </c>
      <c r="AS61">
        <v>1060.7</v>
      </c>
      <c r="AX61">
        <f t="shared" si="6"/>
        <v>3.0499999999999976</v>
      </c>
      <c r="AY61">
        <v>54</v>
      </c>
      <c r="AZ61">
        <v>5.16038</v>
      </c>
      <c r="BA61">
        <v>287.77</v>
      </c>
      <c r="BF61">
        <f t="shared" si="7"/>
        <v>3.0499999999999976</v>
      </c>
      <c r="BG61">
        <v>54</v>
      </c>
      <c r="BH61">
        <v>-2.8576899999999998</v>
      </c>
      <c r="BI61">
        <v>587.71100000000001</v>
      </c>
      <c r="BN61">
        <f t="shared" si="8"/>
        <v>3.0499999999999976</v>
      </c>
      <c r="BO61">
        <v>54</v>
      </c>
      <c r="BP61">
        <v>-2.3199800000000002</v>
      </c>
      <c r="BQ61">
        <v>374.19099999999997</v>
      </c>
      <c r="BV61">
        <f t="shared" si="9"/>
        <v>3.0499999999999976</v>
      </c>
      <c r="BW61">
        <v>54</v>
      </c>
      <c r="BX61">
        <v>-2.1252399999999998</v>
      </c>
      <c r="BY61">
        <v>1063.29</v>
      </c>
    </row>
    <row r="62" spans="2:77" x14ac:dyDescent="0.2">
      <c r="B62">
        <f t="shared" si="0"/>
        <v>3.0999999999999974</v>
      </c>
      <c r="C62">
        <v>55</v>
      </c>
      <c r="D62">
        <v>-2.0338599999999998</v>
      </c>
      <c r="E62">
        <v>-1750.58</v>
      </c>
      <c r="J62">
        <f t="shared" si="1"/>
        <v>3.0999999999999974</v>
      </c>
      <c r="K62">
        <v>55</v>
      </c>
      <c r="L62">
        <v>-1.3556900000000001</v>
      </c>
      <c r="M62">
        <v>-880.48199999999997</v>
      </c>
      <c r="R62">
        <f t="shared" si="2"/>
        <v>3.0999999999999974</v>
      </c>
      <c r="S62">
        <v>55</v>
      </c>
      <c r="T62">
        <v>-0.54434499999999997</v>
      </c>
      <c r="U62">
        <v>-1390.76</v>
      </c>
      <c r="Z62">
        <f t="shared" si="3"/>
        <v>3.0999999999999974</v>
      </c>
      <c r="AA62">
        <v>55</v>
      </c>
      <c r="AB62">
        <v>-4.81541</v>
      </c>
      <c r="AC62">
        <v>1097.3599999999999</v>
      </c>
      <c r="AH62">
        <f t="shared" si="4"/>
        <v>3.0999999999999974</v>
      </c>
      <c r="AI62">
        <v>55</v>
      </c>
      <c r="AJ62">
        <v>-2.4414400000000001</v>
      </c>
      <c r="AK62">
        <v>1713.84</v>
      </c>
      <c r="AP62">
        <f t="shared" si="5"/>
        <v>3.0999999999999974</v>
      </c>
      <c r="AQ62">
        <v>55</v>
      </c>
      <c r="AR62">
        <v>-1.68266</v>
      </c>
      <c r="AS62">
        <v>1022.64</v>
      </c>
      <c r="AX62">
        <f t="shared" si="6"/>
        <v>3.0999999999999974</v>
      </c>
      <c r="AY62">
        <v>55</v>
      </c>
      <c r="AZ62">
        <v>5.1473800000000001</v>
      </c>
      <c r="BA62">
        <v>324.89299999999997</v>
      </c>
      <c r="BF62">
        <f t="shared" si="7"/>
        <v>3.0999999999999974</v>
      </c>
      <c r="BG62">
        <v>55</v>
      </c>
      <c r="BH62">
        <v>-2.9066000000000001</v>
      </c>
      <c r="BI62">
        <v>564.23400000000004</v>
      </c>
      <c r="BN62">
        <f t="shared" si="8"/>
        <v>3.0999999999999974</v>
      </c>
      <c r="BO62">
        <v>55</v>
      </c>
      <c r="BP62">
        <v>-2.3507699999999998</v>
      </c>
      <c r="BQ62">
        <v>350.93900000000002</v>
      </c>
      <c r="BV62">
        <f t="shared" si="9"/>
        <v>3.0999999999999974</v>
      </c>
      <c r="BW62">
        <v>55</v>
      </c>
      <c r="BX62">
        <v>-2.1696</v>
      </c>
      <c r="BY62">
        <v>1026.49</v>
      </c>
    </row>
    <row r="63" spans="2:77" x14ac:dyDescent="0.2">
      <c r="B63">
        <f t="shared" si="0"/>
        <v>3.1499999999999972</v>
      </c>
      <c r="C63">
        <v>56</v>
      </c>
      <c r="D63">
        <v>-1.9612099999999999</v>
      </c>
      <c r="E63">
        <v>-1726.92</v>
      </c>
      <c r="J63">
        <f t="shared" si="1"/>
        <v>3.1499999999999972</v>
      </c>
      <c r="K63">
        <v>56</v>
      </c>
      <c r="L63">
        <v>-1.3172900000000001</v>
      </c>
      <c r="M63">
        <v>-955.72299999999996</v>
      </c>
      <c r="R63">
        <f t="shared" si="2"/>
        <v>3.1499999999999972</v>
      </c>
      <c r="S63">
        <v>56</v>
      </c>
      <c r="T63">
        <v>-0.48593399999999998</v>
      </c>
      <c r="U63">
        <v>-1404.79</v>
      </c>
      <c r="Z63">
        <f t="shared" si="3"/>
        <v>3.1499999999999972</v>
      </c>
      <c r="AA63">
        <v>56</v>
      </c>
      <c r="AB63">
        <v>-4.8599100000000002</v>
      </c>
      <c r="AC63">
        <v>1033.6400000000001</v>
      </c>
      <c r="AH63">
        <f t="shared" si="4"/>
        <v>3.1499999999999972</v>
      </c>
      <c r="AI63">
        <v>56</v>
      </c>
      <c r="AJ63">
        <v>-2.5113400000000001</v>
      </c>
      <c r="AK63">
        <v>1632.7</v>
      </c>
      <c r="AP63">
        <f t="shared" si="5"/>
        <v>3.1499999999999972</v>
      </c>
      <c r="AQ63">
        <v>56</v>
      </c>
      <c r="AR63">
        <v>-1.72458</v>
      </c>
      <c r="AS63">
        <v>984.274</v>
      </c>
      <c r="AX63">
        <f t="shared" si="6"/>
        <v>3.1499999999999972</v>
      </c>
      <c r="AY63">
        <v>56</v>
      </c>
      <c r="AZ63">
        <v>5.1330200000000001</v>
      </c>
      <c r="BA63">
        <v>363.13600000000002</v>
      </c>
      <c r="BF63">
        <f t="shared" si="7"/>
        <v>3.1499999999999972</v>
      </c>
      <c r="BG63">
        <v>56</v>
      </c>
      <c r="BH63">
        <v>-2.9528300000000001</v>
      </c>
      <c r="BI63">
        <v>542.77700000000004</v>
      </c>
      <c r="BN63">
        <f t="shared" si="8"/>
        <v>3.1499999999999972</v>
      </c>
      <c r="BO63">
        <v>56</v>
      </c>
      <c r="BP63">
        <v>-2.37913</v>
      </c>
      <c r="BQ63">
        <v>327.94099999999997</v>
      </c>
      <c r="BV63">
        <f t="shared" si="9"/>
        <v>3.1499999999999972</v>
      </c>
      <c r="BW63">
        <v>56</v>
      </c>
      <c r="BX63">
        <v>-2.2118000000000002</v>
      </c>
      <c r="BY63">
        <v>994.68</v>
      </c>
    </row>
    <row r="64" spans="2:77" x14ac:dyDescent="0.2">
      <c r="B64">
        <f t="shared" si="0"/>
        <v>3.1999999999999971</v>
      </c>
      <c r="C64">
        <v>57</v>
      </c>
      <c r="D64">
        <v>-1.8907799999999999</v>
      </c>
      <c r="E64">
        <v>-1699.46</v>
      </c>
      <c r="J64">
        <f t="shared" si="1"/>
        <v>3.1999999999999971</v>
      </c>
      <c r="K64">
        <v>57</v>
      </c>
      <c r="L64">
        <v>-1.27671</v>
      </c>
      <c r="M64">
        <v>-1017.07</v>
      </c>
      <c r="R64">
        <f t="shared" si="2"/>
        <v>3.1999999999999971</v>
      </c>
      <c r="S64">
        <v>57</v>
      </c>
      <c r="T64">
        <v>-0.428008</v>
      </c>
      <c r="U64">
        <v>-1412.74</v>
      </c>
      <c r="Z64">
        <f t="shared" si="3"/>
        <v>3.1999999999999971</v>
      </c>
      <c r="AA64">
        <v>57</v>
      </c>
      <c r="AB64">
        <v>-4.9011399999999998</v>
      </c>
      <c r="AC64">
        <v>972.86500000000001</v>
      </c>
      <c r="AH64">
        <f t="shared" si="4"/>
        <v>3.1999999999999971</v>
      </c>
      <c r="AI64">
        <v>57</v>
      </c>
      <c r="AJ64">
        <v>-2.57681</v>
      </c>
      <c r="AK64">
        <v>1553.41</v>
      </c>
      <c r="AP64">
        <f t="shared" si="5"/>
        <v>3.1999999999999971</v>
      </c>
      <c r="AQ64">
        <v>57</v>
      </c>
      <c r="AR64">
        <v>-1.7642500000000001</v>
      </c>
      <c r="AS64">
        <v>945.95100000000002</v>
      </c>
      <c r="AX64">
        <f t="shared" si="6"/>
        <v>3.1999999999999971</v>
      </c>
      <c r="AY64">
        <v>57</v>
      </c>
      <c r="AZ64">
        <v>5.1173200000000003</v>
      </c>
      <c r="BA64">
        <v>400.15</v>
      </c>
      <c r="BF64">
        <f t="shared" si="7"/>
        <v>3.1999999999999971</v>
      </c>
      <c r="BG64">
        <v>57</v>
      </c>
      <c r="BH64">
        <v>-2.9966300000000001</v>
      </c>
      <c r="BI64">
        <v>522.952</v>
      </c>
      <c r="BN64">
        <f t="shared" si="8"/>
        <v>3.1999999999999971</v>
      </c>
      <c r="BO64">
        <v>57</v>
      </c>
      <c r="BP64">
        <v>-2.40516</v>
      </c>
      <c r="BQ64">
        <v>305.53500000000003</v>
      </c>
      <c r="BV64">
        <f t="shared" si="9"/>
        <v>3.1999999999999971</v>
      </c>
      <c r="BW64">
        <v>57</v>
      </c>
      <c r="BX64">
        <v>-2.2521100000000001</v>
      </c>
      <c r="BY64">
        <v>967.62</v>
      </c>
    </row>
    <row r="65" spans="2:77" x14ac:dyDescent="0.2">
      <c r="B65">
        <f t="shared" si="0"/>
        <v>3.2499999999999969</v>
      </c>
      <c r="C65">
        <v>58</v>
      </c>
      <c r="D65">
        <v>-1.8226199999999999</v>
      </c>
      <c r="E65">
        <v>-1669.1</v>
      </c>
      <c r="J65">
        <f t="shared" si="1"/>
        <v>3.2499999999999969</v>
      </c>
      <c r="K65">
        <v>58</v>
      </c>
      <c r="L65">
        <v>-1.2345299999999999</v>
      </c>
      <c r="M65">
        <v>-1066.08</v>
      </c>
      <c r="R65">
        <f t="shared" si="2"/>
        <v>3.2499999999999969</v>
      </c>
      <c r="S65">
        <v>58</v>
      </c>
      <c r="T65">
        <v>-0.37077900000000003</v>
      </c>
      <c r="U65">
        <v>-1415.51</v>
      </c>
      <c r="Z65">
        <f t="shared" si="3"/>
        <v>3.2499999999999969</v>
      </c>
      <c r="AA65">
        <v>58</v>
      </c>
      <c r="AB65">
        <v>-4.9393200000000004</v>
      </c>
      <c r="AC65">
        <v>915.11900000000003</v>
      </c>
      <c r="AH65">
        <f t="shared" si="4"/>
        <v>3.2499999999999969</v>
      </c>
      <c r="AI65">
        <v>58</v>
      </c>
      <c r="AJ65">
        <v>-2.6381000000000001</v>
      </c>
      <c r="AK65">
        <v>1476.74</v>
      </c>
      <c r="AP65">
        <f t="shared" si="5"/>
        <v>3.2499999999999969</v>
      </c>
      <c r="AQ65">
        <v>58</v>
      </c>
      <c r="AR65">
        <v>-1.80176</v>
      </c>
      <c r="AS65">
        <v>908.04</v>
      </c>
      <c r="AX65">
        <f t="shared" si="6"/>
        <v>3.2499999999999969</v>
      </c>
      <c r="AY65">
        <v>58</v>
      </c>
      <c r="AZ65">
        <v>5.1004399999999999</v>
      </c>
      <c r="BA65">
        <v>434.10700000000003</v>
      </c>
      <c r="BF65">
        <f t="shared" si="7"/>
        <v>3.2499999999999969</v>
      </c>
      <c r="BG65">
        <v>58</v>
      </c>
      <c r="BH65">
        <v>-3.0381800000000001</v>
      </c>
      <c r="BI65">
        <v>504.33</v>
      </c>
      <c r="BN65">
        <f t="shared" si="8"/>
        <v>3.2499999999999969</v>
      </c>
      <c r="BO65">
        <v>58</v>
      </c>
      <c r="BP65">
        <v>-2.4290099999999999</v>
      </c>
      <c r="BQ65">
        <v>284.09399999999999</v>
      </c>
      <c r="BV65">
        <f t="shared" si="9"/>
        <v>3.2499999999999969</v>
      </c>
      <c r="BW65">
        <v>58</v>
      </c>
      <c r="BX65">
        <v>-2.2907899999999999</v>
      </c>
      <c r="BY65">
        <v>944.94299999999998</v>
      </c>
    </row>
    <row r="66" spans="2:77" x14ac:dyDescent="0.2">
      <c r="B66">
        <f t="shared" si="0"/>
        <v>3.2999999999999967</v>
      </c>
      <c r="C66">
        <v>59</v>
      </c>
      <c r="D66">
        <v>-1.75678</v>
      </c>
      <c r="E66">
        <v>-1636.74</v>
      </c>
      <c r="J66">
        <f t="shared" si="1"/>
        <v>3.2999999999999967</v>
      </c>
      <c r="K66">
        <v>59</v>
      </c>
      <c r="L66">
        <v>-1.1912799999999999</v>
      </c>
      <c r="M66">
        <v>-1104.26</v>
      </c>
      <c r="R66">
        <f t="shared" si="2"/>
        <v>3.2999999999999967</v>
      </c>
      <c r="S66">
        <v>59</v>
      </c>
      <c r="T66">
        <v>-0.314417</v>
      </c>
      <c r="U66">
        <v>-1413.95</v>
      </c>
      <c r="Z66">
        <f t="shared" si="3"/>
        <v>3.2999999999999967</v>
      </c>
      <c r="AA66">
        <v>59</v>
      </c>
      <c r="AB66">
        <v>-4.9746800000000002</v>
      </c>
      <c r="AC66">
        <v>860.37800000000004</v>
      </c>
      <c r="AH66">
        <f t="shared" si="4"/>
        <v>3.2999999999999967</v>
      </c>
      <c r="AI66">
        <v>59</v>
      </c>
      <c r="AJ66">
        <v>-2.6954600000000002</v>
      </c>
      <c r="AK66">
        <v>1403.7</v>
      </c>
      <c r="AP66">
        <f t="shared" si="5"/>
        <v>3.2999999999999967</v>
      </c>
      <c r="AQ66">
        <v>59</v>
      </c>
      <c r="AR66">
        <v>-1.83718</v>
      </c>
      <c r="AS66">
        <v>870.92399999999998</v>
      </c>
      <c r="AX66">
        <f t="shared" si="6"/>
        <v>3.2999999999999967</v>
      </c>
      <c r="AY66">
        <v>59</v>
      </c>
      <c r="AZ66">
        <v>5.0825399999999998</v>
      </c>
      <c r="BA66">
        <v>463.81</v>
      </c>
      <c r="BF66">
        <f t="shared" si="7"/>
        <v>3.2999999999999967</v>
      </c>
      <c r="BG66">
        <v>59</v>
      </c>
      <c r="BH66">
        <v>-3.0776500000000002</v>
      </c>
      <c r="BI66">
        <v>486.517</v>
      </c>
      <c r="BN66">
        <f t="shared" si="8"/>
        <v>3.2999999999999967</v>
      </c>
      <c r="BO66">
        <v>59</v>
      </c>
      <c r="BP66">
        <v>-2.4508399999999999</v>
      </c>
      <c r="BQ66">
        <v>263.99099999999999</v>
      </c>
      <c r="BV66">
        <f t="shared" si="9"/>
        <v>3.2999999999999967</v>
      </c>
      <c r="BW66">
        <v>59</v>
      </c>
      <c r="BX66">
        <v>-2.3280400000000001</v>
      </c>
      <c r="BY66">
        <v>926.15800000000002</v>
      </c>
    </row>
    <row r="67" spans="2:77" x14ac:dyDescent="0.2">
      <c r="B67">
        <f t="shared" si="0"/>
        <v>3.3499999999999965</v>
      </c>
      <c r="C67">
        <v>60</v>
      </c>
      <c r="D67">
        <v>-1.6932400000000001</v>
      </c>
      <c r="E67">
        <v>-1603.24</v>
      </c>
      <c r="J67">
        <f t="shared" si="1"/>
        <v>3.3499999999999965</v>
      </c>
      <c r="K67">
        <v>60</v>
      </c>
      <c r="L67">
        <v>-1.14737</v>
      </c>
      <c r="M67">
        <v>-1133.1099999999999</v>
      </c>
      <c r="R67">
        <f t="shared" si="2"/>
        <v>3.3499999999999965</v>
      </c>
      <c r="S67">
        <v>60</v>
      </c>
      <c r="T67">
        <v>-0.259048</v>
      </c>
      <c r="U67">
        <v>-1408.87</v>
      </c>
      <c r="Z67">
        <f t="shared" si="3"/>
        <v>3.3499999999999965</v>
      </c>
      <c r="AA67">
        <v>60</v>
      </c>
      <c r="AB67">
        <v>-5.0073999999999996</v>
      </c>
      <c r="AC67">
        <v>808.54899999999998</v>
      </c>
      <c r="AH67">
        <f t="shared" si="4"/>
        <v>3.3499999999999965</v>
      </c>
      <c r="AI67">
        <v>60</v>
      </c>
      <c r="AJ67">
        <v>-2.7491599999999998</v>
      </c>
      <c r="AK67">
        <v>1335.4</v>
      </c>
      <c r="AP67">
        <f t="shared" si="5"/>
        <v>3.3499999999999965</v>
      </c>
      <c r="AQ67">
        <v>60</v>
      </c>
      <c r="AR67">
        <v>-1.8706400000000001</v>
      </c>
      <c r="AS67">
        <v>834.98500000000001</v>
      </c>
      <c r="AX67">
        <f t="shared" si="6"/>
        <v>3.3499999999999965</v>
      </c>
      <c r="AY67">
        <v>60</v>
      </c>
      <c r="AZ67">
        <v>5.0638399999999999</v>
      </c>
      <c r="BA67">
        <v>488.72199999999998</v>
      </c>
      <c r="BF67">
        <f t="shared" si="7"/>
        <v>3.3499999999999965</v>
      </c>
      <c r="BG67">
        <v>60</v>
      </c>
      <c r="BH67">
        <v>-3.1151300000000002</v>
      </c>
      <c r="BI67">
        <v>469.20299999999997</v>
      </c>
      <c r="BN67">
        <f t="shared" si="8"/>
        <v>3.3499999999999965</v>
      </c>
      <c r="BO67">
        <v>60</v>
      </c>
      <c r="BP67">
        <v>-2.4708100000000002</v>
      </c>
      <c r="BQ67">
        <v>245.565</v>
      </c>
      <c r="BV67">
        <f t="shared" si="9"/>
        <v>3.3499999999999965</v>
      </c>
      <c r="BW67">
        <v>60</v>
      </c>
      <c r="BX67">
        <v>-2.3640599999999998</v>
      </c>
      <c r="BY67">
        <v>910.68700000000001</v>
      </c>
    </row>
    <row r="68" spans="2:77" x14ac:dyDescent="0.2">
      <c r="B68">
        <f t="shared" si="0"/>
        <v>3.3999999999999964</v>
      </c>
      <c r="C68">
        <v>61</v>
      </c>
      <c r="D68">
        <v>-1.63195</v>
      </c>
      <c r="E68">
        <v>-1569.35</v>
      </c>
      <c r="J68">
        <f t="shared" si="1"/>
        <v>3.3999999999999964</v>
      </c>
      <c r="K68">
        <v>61</v>
      </c>
      <c r="L68">
        <v>-1.10317</v>
      </c>
      <c r="M68">
        <v>-1154.1199999999999</v>
      </c>
      <c r="R68">
        <f t="shared" si="2"/>
        <v>3.3999999999999964</v>
      </c>
      <c r="S68">
        <v>61</v>
      </c>
      <c r="T68">
        <v>-0.204762</v>
      </c>
      <c r="U68">
        <v>-1401.09</v>
      </c>
      <c r="Z68">
        <f t="shared" si="3"/>
        <v>3.3999999999999964</v>
      </c>
      <c r="AA68">
        <v>61</v>
      </c>
      <c r="AB68">
        <v>-5.0376799999999999</v>
      </c>
      <c r="AC68">
        <v>759.48699999999997</v>
      </c>
      <c r="AH68">
        <f t="shared" si="4"/>
        <v>3.3999999999999964</v>
      </c>
      <c r="AI68">
        <v>61</v>
      </c>
      <c r="AJ68">
        <v>-2.7995299999999999</v>
      </c>
      <c r="AK68">
        <v>1272.9100000000001</v>
      </c>
      <c r="AP68">
        <f t="shared" si="5"/>
        <v>3.3999999999999964</v>
      </c>
      <c r="AQ68">
        <v>61</v>
      </c>
      <c r="AR68">
        <v>-1.90222</v>
      </c>
      <c r="AS68">
        <v>800.58299999999997</v>
      </c>
      <c r="AX68">
        <f t="shared" si="6"/>
        <v>3.3999999999999964</v>
      </c>
      <c r="AY68">
        <v>61</v>
      </c>
      <c r="AZ68">
        <v>5.0445599999999997</v>
      </c>
      <c r="BA68">
        <v>508.91500000000002</v>
      </c>
      <c r="BF68">
        <f t="shared" si="7"/>
        <v>3.3999999999999964</v>
      </c>
      <c r="BG68">
        <v>61</v>
      </c>
      <c r="BH68">
        <v>-3.1507299999999998</v>
      </c>
      <c r="BI68">
        <v>452.18200000000002</v>
      </c>
      <c r="BN68">
        <f t="shared" si="8"/>
        <v>3.3999999999999964</v>
      </c>
      <c r="BO68">
        <v>61</v>
      </c>
      <c r="BP68">
        <v>-2.4891399999999999</v>
      </c>
      <c r="BQ68">
        <v>229.09899999999999</v>
      </c>
      <c r="BV68">
        <f t="shared" si="9"/>
        <v>3.3999999999999964</v>
      </c>
      <c r="BW68">
        <v>61</v>
      </c>
      <c r="BX68">
        <v>-2.3989799999999999</v>
      </c>
      <c r="BY68">
        <v>897.91200000000003</v>
      </c>
    </row>
    <row r="69" spans="2:77" x14ac:dyDescent="0.2">
      <c r="B69">
        <f t="shared" si="0"/>
        <v>3.4499999999999962</v>
      </c>
      <c r="C69">
        <v>62</v>
      </c>
      <c r="D69">
        <v>-1.5728599999999999</v>
      </c>
      <c r="E69">
        <v>-1535.76</v>
      </c>
      <c r="J69">
        <f t="shared" si="1"/>
        <v>3.4499999999999962</v>
      </c>
      <c r="K69">
        <v>62</v>
      </c>
      <c r="L69">
        <v>-1.0589500000000001</v>
      </c>
      <c r="M69">
        <v>-1168.76</v>
      </c>
      <c r="R69">
        <f t="shared" si="2"/>
        <v>3.4499999999999962</v>
      </c>
      <c r="S69">
        <v>62</v>
      </c>
      <c r="T69">
        <v>-0.151617</v>
      </c>
      <c r="U69">
        <v>-1391.34</v>
      </c>
      <c r="Z69">
        <f t="shared" si="3"/>
        <v>3.4499999999999962</v>
      </c>
      <c r="AA69">
        <v>62</v>
      </c>
      <c r="AB69">
        <v>-5.0656999999999996</v>
      </c>
      <c r="AC69">
        <v>713.01700000000005</v>
      </c>
      <c r="AH69">
        <f t="shared" si="4"/>
        <v>3.4499999999999962</v>
      </c>
      <c r="AI69">
        <v>62</v>
      </c>
      <c r="AJ69">
        <v>-2.8468900000000001</v>
      </c>
      <c r="AK69">
        <v>1217.0999999999999</v>
      </c>
      <c r="AP69">
        <f t="shared" si="5"/>
        <v>3.4499999999999962</v>
      </c>
      <c r="AQ69">
        <v>62</v>
      </c>
      <c r="AR69">
        <v>-1.93207</v>
      </c>
      <c r="AS69">
        <v>768.04</v>
      </c>
      <c r="AX69">
        <f t="shared" si="6"/>
        <v>3.4499999999999962</v>
      </c>
      <c r="AY69">
        <v>62</v>
      </c>
      <c r="AZ69">
        <v>5.0248699999999999</v>
      </c>
      <c r="BA69">
        <v>524.96199999999999</v>
      </c>
      <c r="BF69">
        <f t="shared" si="7"/>
        <v>3.4499999999999962</v>
      </c>
      <c r="BG69">
        <v>62</v>
      </c>
      <c r="BH69">
        <v>-3.18451</v>
      </c>
      <c r="BI69">
        <v>435.35500000000002</v>
      </c>
      <c r="BN69">
        <f t="shared" si="8"/>
        <v>3.4499999999999962</v>
      </c>
      <c r="BO69">
        <v>62</v>
      </c>
      <c r="BP69">
        <v>-2.5060199999999999</v>
      </c>
      <c r="BQ69">
        <v>214.79599999999999</v>
      </c>
      <c r="BV69">
        <f t="shared" si="9"/>
        <v>3.4499999999999962</v>
      </c>
      <c r="BW69">
        <v>62</v>
      </c>
      <c r="BX69">
        <v>-2.4329499999999999</v>
      </c>
      <c r="BY69">
        <v>887.21299999999997</v>
      </c>
    </row>
    <row r="70" spans="2:77" x14ac:dyDescent="0.2">
      <c r="B70">
        <f t="shared" si="0"/>
        <v>3.499999999999996</v>
      </c>
      <c r="C70">
        <v>63</v>
      </c>
      <c r="D70">
        <v>-1.5158799999999999</v>
      </c>
      <c r="E70">
        <v>-1502.98</v>
      </c>
      <c r="J70">
        <f t="shared" si="1"/>
        <v>3.499999999999996</v>
      </c>
      <c r="K70">
        <v>63</v>
      </c>
      <c r="L70">
        <v>-1.01492</v>
      </c>
      <c r="M70">
        <v>-1178.46</v>
      </c>
      <c r="R70">
        <f t="shared" si="2"/>
        <v>3.499999999999996</v>
      </c>
      <c r="S70">
        <v>63</v>
      </c>
      <c r="T70">
        <v>-9.9638699999999997E-2</v>
      </c>
      <c r="U70">
        <v>-1380.32</v>
      </c>
      <c r="Z70">
        <f t="shared" si="3"/>
        <v>3.499999999999996</v>
      </c>
      <c r="AA70">
        <v>63</v>
      </c>
      <c r="AB70">
        <v>-5.0916100000000002</v>
      </c>
      <c r="AC70">
        <v>668.95</v>
      </c>
      <c r="AH70">
        <f t="shared" si="4"/>
        <v>3.499999999999996</v>
      </c>
      <c r="AI70">
        <v>63</v>
      </c>
      <c r="AJ70">
        <v>-2.89161</v>
      </c>
      <c r="AK70">
        <v>1168.55</v>
      </c>
      <c r="AP70">
        <f t="shared" si="5"/>
        <v>3.499999999999996</v>
      </c>
      <c r="AQ70">
        <v>63</v>
      </c>
      <c r="AR70">
        <v>-1.9602999999999999</v>
      </c>
      <c r="AS70">
        <v>737.61699999999996</v>
      </c>
      <c r="AX70">
        <f t="shared" si="6"/>
        <v>3.499999999999996</v>
      </c>
      <c r="AY70">
        <v>63</v>
      </c>
      <c r="AZ70">
        <v>5.0049400000000004</v>
      </c>
      <c r="BA70">
        <v>537.79</v>
      </c>
      <c r="BF70">
        <f t="shared" si="7"/>
        <v>3.499999999999996</v>
      </c>
      <c r="BG70">
        <v>63</v>
      </c>
      <c r="BH70">
        <v>-3.2165400000000002</v>
      </c>
      <c r="BI70">
        <v>418.71499999999997</v>
      </c>
      <c r="BN70">
        <f t="shared" si="8"/>
        <v>3.499999999999996</v>
      </c>
      <c r="BO70">
        <v>63</v>
      </c>
      <c r="BP70">
        <v>-2.5216699999999999</v>
      </c>
      <c r="BQ70">
        <v>202.77</v>
      </c>
      <c r="BV70">
        <f t="shared" si="9"/>
        <v>3.499999999999996</v>
      </c>
      <c r="BW70">
        <v>63</v>
      </c>
      <c r="BX70">
        <v>-2.4660500000000001</v>
      </c>
      <c r="BY70">
        <v>878.01300000000003</v>
      </c>
    </row>
    <row r="71" spans="2:77" x14ac:dyDescent="0.2">
      <c r="B71">
        <f t="shared" si="0"/>
        <v>3.5499999999999958</v>
      </c>
      <c r="C71">
        <v>64</v>
      </c>
      <c r="D71">
        <v>-1.4609099999999999</v>
      </c>
      <c r="E71">
        <v>-1471.35</v>
      </c>
      <c r="J71">
        <f t="shared" si="1"/>
        <v>3.5499999999999958</v>
      </c>
      <c r="K71">
        <v>64</v>
      </c>
      <c r="L71">
        <v>-0.97123599999999999</v>
      </c>
      <c r="M71">
        <v>-1184.5999999999999</v>
      </c>
      <c r="R71">
        <f t="shared" si="2"/>
        <v>3.5499999999999958</v>
      </c>
      <c r="S71">
        <v>64</v>
      </c>
      <c r="T71">
        <v>-4.88298E-2</v>
      </c>
      <c r="U71">
        <v>-1368.63</v>
      </c>
      <c r="Z71">
        <f t="shared" si="3"/>
        <v>3.5499999999999958</v>
      </c>
      <c r="AA71">
        <v>64</v>
      </c>
      <c r="AB71">
        <v>-5.1155600000000003</v>
      </c>
      <c r="AC71">
        <v>627.10199999999998</v>
      </c>
      <c r="AH71">
        <f t="shared" si="4"/>
        <v>3.5499999999999958</v>
      </c>
      <c r="AI71">
        <v>64</v>
      </c>
      <c r="AJ71">
        <v>-2.9340199999999999</v>
      </c>
      <c r="AK71">
        <v>1127.56</v>
      </c>
      <c r="AP71">
        <f t="shared" si="5"/>
        <v>3.5499999999999958</v>
      </c>
      <c r="AQ71">
        <v>64</v>
      </c>
      <c r="AR71">
        <v>-1.9870399999999999</v>
      </c>
      <c r="AS71">
        <v>709.50400000000002</v>
      </c>
      <c r="AX71">
        <f t="shared" si="6"/>
        <v>3.5499999999999958</v>
      </c>
      <c r="AY71">
        <v>64</v>
      </c>
      <c r="AZ71">
        <v>4.9848600000000003</v>
      </c>
      <c r="BA71">
        <v>548.51499999999999</v>
      </c>
      <c r="BF71">
        <f t="shared" si="7"/>
        <v>3.5499999999999958</v>
      </c>
      <c r="BG71">
        <v>64</v>
      </c>
      <c r="BH71">
        <v>-3.2468900000000001</v>
      </c>
      <c r="BI71">
        <v>402.32499999999999</v>
      </c>
      <c r="BN71">
        <f t="shared" si="8"/>
        <v>3.5499999999999958</v>
      </c>
      <c r="BO71">
        <v>64</v>
      </c>
      <c r="BP71">
        <v>-2.5362900000000002</v>
      </c>
      <c r="BQ71">
        <v>193.041</v>
      </c>
      <c r="BV71">
        <f t="shared" si="9"/>
        <v>3.5499999999999958</v>
      </c>
      <c r="BW71">
        <v>64</v>
      </c>
      <c r="BX71">
        <v>-2.4983499999999998</v>
      </c>
      <c r="BY71">
        <v>869.79100000000005</v>
      </c>
    </row>
    <row r="72" spans="2:77" x14ac:dyDescent="0.2">
      <c r="B72">
        <f t="shared" si="0"/>
        <v>3.5999999999999956</v>
      </c>
      <c r="C72">
        <v>65</v>
      </c>
      <c r="D72">
        <v>-1.40785</v>
      </c>
      <c r="E72">
        <v>-1441.05</v>
      </c>
      <c r="J72">
        <f t="shared" si="1"/>
        <v>3.5999999999999956</v>
      </c>
      <c r="K72">
        <v>65</v>
      </c>
      <c r="L72">
        <v>-0.92799399999999999</v>
      </c>
      <c r="M72">
        <v>-1188.44</v>
      </c>
      <c r="R72">
        <f t="shared" si="2"/>
        <v>3.5999999999999956</v>
      </c>
      <c r="S72">
        <v>65</v>
      </c>
      <c r="T72">
        <v>8.2806399999999999E-4</v>
      </c>
      <c r="U72">
        <v>-1356.78</v>
      </c>
      <c r="Z72">
        <f t="shared" si="3"/>
        <v>3.5999999999999956</v>
      </c>
      <c r="AA72">
        <v>65</v>
      </c>
      <c r="AB72">
        <v>-5.1376799999999996</v>
      </c>
      <c r="AC72">
        <v>587.30999999999995</v>
      </c>
      <c r="AH72">
        <f t="shared" si="4"/>
        <v>3.5999999999999956</v>
      </c>
      <c r="AI72">
        <v>65</v>
      </c>
      <c r="AJ72">
        <v>-2.9744799999999998</v>
      </c>
      <c r="AK72">
        <v>1094.03</v>
      </c>
      <c r="AP72">
        <f t="shared" si="5"/>
        <v>3.5999999999999956</v>
      </c>
      <c r="AQ72">
        <v>65</v>
      </c>
      <c r="AR72">
        <v>-2.0124200000000001</v>
      </c>
      <c r="AS72">
        <v>683.79700000000003</v>
      </c>
      <c r="AX72">
        <f t="shared" si="6"/>
        <v>3.5999999999999956</v>
      </c>
      <c r="AY72">
        <v>65</v>
      </c>
      <c r="AZ72">
        <v>4.96469</v>
      </c>
      <c r="BA72">
        <v>558.28399999999999</v>
      </c>
      <c r="BF72">
        <f t="shared" si="7"/>
        <v>3.5999999999999956</v>
      </c>
      <c r="BG72">
        <v>65</v>
      </c>
      <c r="BH72">
        <v>-3.27563</v>
      </c>
      <c r="BI72">
        <v>386.29300000000001</v>
      </c>
      <c r="BN72">
        <f t="shared" si="8"/>
        <v>3.5999999999999956</v>
      </c>
      <c r="BO72">
        <v>65</v>
      </c>
      <c r="BP72">
        <v>-2.5500699999999998</v>
      </c>
      <c r="BQ72">
        <v>185.53</v>
      </c>
      <c r="BV72">
        <f t="shared" si="9"/>
        <v>3.5999999999999956</v>
      </c>
      <c r="BW72">
        <v>65</v>
      </c>
      <c r="BX72">
        <v>-2.5299</v>
      </c>
      <c r="BY72">
        <v>862.09500000000003</v>
      </c>
    </row>
    <row r="73" spans="2:77" x14ac:dyDescent="0.2">
      <c r="B73">
        <f t="shared" ref="B73:B107" si="10">B72+0.05</f>
        <v>3.6499999999999955</v>
      </c>
      <c r="C73">
        <v>66</v>
      </c>
      <c r="D73">
        <v>-1.35659</v>
      </c>
      <c r="E73">
        <v>-1412.03</v>
      </c>
      <c r="J73">
        <f t="shared" ref="J73:J107" si="11">J72+0.05</f>
        <v>3.6499999999999955</v>
      </c>
      <c r="K73">
        <v>66</v>
      </c>
      <c r="L73">
        <v>-0.885243</v>
      </c>
      <c r="M73">
        <v>-1191.1099999999999</v>
      </c>
      <c r="R73">
        <f t="shared" ref="R73:R107" si="12">R72+0.05</f>
        <v>3.6499999999999955</v>
      </c>
      <c r="S73">
        <v>66</v>
      </c>
      <c r="T73">
        <v>4.93684E-2</v>
      </c>
      <c r="U73">
        <v>-1345.14</v>
      </c>
      <c r="Z73">
        <f t="shared" ref="Z73:Z107" si="13">Z72+0.05</f>
        <v>3.6499999999999955</v>
      </c>
      <c r="AA73">
        <v>66</v>
      </c>
      <c r="AB73">
        <v>-5.1581000000000001</v>
      </c>
      <c r="AC73">
        <v>549.44500000000005</v>
      </c>
      <c r="AH73">
        <f t="shared" ref="AH73:AH107" si="14">AH72+0.05</f>
        <v>3.6499999999999955</v>
      </c>
      <c r="AI73">
        <v>66</v>
      </c>
      <c r="AJ73">
        <v>-3.01329</v>
      </c>
      <c r="AK73">
        <v>1067.54</v>
      </c>
      <c r="AP73">
        <f t="shared" ref="AP73:AP107" si="15">AP72+0.05</f>
        <v>3.6499999999999955</v>
      </c>
      <c r="AQ73">
        <v>66</v>
      </c>
      <c r="AR73">
        <v>-2.0365600000000001</v>
      </c>
      <c r="AS73">
        <v>660.48400000000004</v>
      </c>
      <c r="AX73">
        <f t="shared" ref="AX73:AX107" si="16">AX72+0.05</f>
        <v>3.6499999999999955</v>
      </c>
      <c r="AY73">
        <v>66</v>
      </c>
      <c r="AZ73">
        <v>4.9444600000000003</v>
      </c>
      <c r="BA73">
        <v>568.12300000000005</v>
      </c>
      <c r="BF73">
        <f t="shared" ref="BF73:BF107" si="17">BF72+0.05</f>
        <v>3.6499999999999955</v>
      </c>
      <c r="BG73">
        <v>66</v>
      </c>
      <c r="BH73">
        <v>-3.3028200000000001</v>
      </c>
      <c r="BI73">
        <v>370.74099999999999</v>
      </c>
      <c r="BN73">
        <f t="shared" ref="BN73:BN107" si="18">BN72+0.05</f>
        <v>3.6499999999999955</v>
      </c>
      <c r="BO73">
        <v>66</v>
      </c>
      <c r="BP73">
        <v>-2.5631900000000001</v>
      </c>
      <c r="BQ73">
        <v>180.06899999999999</v>
      </c>
      <c r="BV73">
        <f t="shared" ref="BV73:BV107" si="19">BV72+0.05</f>
        <v>3.6499999999999955</v>
      </c>
      <c r="BW73">
        <v>66</v>
      </c>
      <c r="BX73">
        <v>-2.56074</v>
      </c>
      <c r="BY73">
        <v>854.524</v>
      </c>
    </row>
    <row r="74" spans="2:77" x14ac:dyDescent="0.2">
      <c r="B74">
        <f t="shared" si="10"/>
        <v>3.6999999999999953</v>
      </c>
      <c r="C74">
        <v>67</v>
      </c>
      <c r="D74">
        <v>-1.3070600000000001</v>
      </c>
      <c r="E74">
        <v>-1384.02</v>
      </c>
      <c r="J74">
        <f t="shared" si="11"/>
        <v>3.6999999999999953</v>
      </c>
      <c r="K74">
        <v>67</v>
      </c>
      <c r="L74">
        <v>-0.84299299999999999</v>
      </c>
      <c r="M74">
        <v>-1193.58</v>
      </c>
      <c r="R74">
        <f t="shared" si="12"/>
        <v>3.6999999999999953</v>
      </c>
      <c r="S74">
        <v>67</v>
      </c>
      <c r="T74">
        <v>9.6834000000000003E-2</v>
      </c>
      <c r="U74">
        <v>-1333.94</v>
      </c>
      <c r="Z74">
        <f t="shared" si="13"/>
        <v>3.6999999999999953</v>
      </c>
      <c r="AA74">
        <v>67</v>
      </c>
      <c r="AB74">
        <v>-5.1769299999999996</v>
      </c>
      <c r="AC74">
        <v>513.41700000000003</v>
      </c>
      <c r="AH74">
        <f t="shared" si="14"/>
        <v>3.6999999999999953</v>
      </c>
      <c r="AI74">
        <v>67</v>
      </c>
      <c r="AJ74">
        <v>-3.0507499999999999</v>
      </c>
      <c r="AK74">
        <v>1047.3</v>
      </c>
      <c r="AP74">
        <f t="shared" si="15"/>
        <v>3.6999999999999953</v>
      </c>
      <c r="AQ74">
        <v>67</v>
      </c>
      <c r="AR74">
        <v>-2.05959</v>
      </c>
      <c r="AS74">
        <v>639.447</v>
      </c>
      <c r="AX74">
        <f t="shared" si="16"/>
        <v>3.6999999999999953</v>
      </c>
      <c r="AY74">
        <v>67</v>
      </c>
      <c r="AZ74">
        <v>4.9241400000000004</v>
      </c>
      <c r="BA74">
        <v>578.82600000000002</v>
      </c>
      <c r="BF74">
        <f t="shared" si="17"/>
        <v>3.6999999999999953</v>
      </c>
      <c r="BG74">
        <v>67</v>
      </c>
      <c r="BH74">
        <v>-3.32857</v>
      </c>
      <c r="BI74">
        <v>355.78500000000003</v>
      </c>
      <c r="BN74">
        <f t="shared" si="18"/>
        <v>3.6999999999999953</v>
      </c>
      <c r="BO74">
        <v>67</v>
      </c>
      <c r="BP74">
        <v>-2.5758200000000002</v>
      </c>
      <c r="BQ74">
        <v>176.40299999999999</v>
      </c>
      <c r="BV74">
        <f t="shared" si="19"/>
        <v>3.6999999999999953</v>
      </c>
      <c r="BW74">
        <v>67</v>
      </c>
      <c r="BX74">
        <v>-2.5908899999999999</v>
      </c>
      <c r="BY74">
        <v>846.71199999999999</v>
      </c>
    </row>
    <row r="75" spans="2:77" x14ac:dyDescent="0.2">
      <c r="B75">
        <f t="shared" si="10"/>
        <v>3.7499999999999951</v>
      </c>
      <c r="C75">
        <v>68</v>
      </c>
      <c r="D75">
        <v>-1.2591600000000001</v>
      </c>
      <c r="E75">
        <v>-1356.59</v>
      </c>
      <c r="J75">
        <f t="shared" si="11"/>
        <v>3.7499999999999951</v>
      </c>
      <c r="K75">
        <v>68</v>
      </c>
      <c r="L75">
        <v>-0.80122400000000005</v>
      </c>
      <c r="M75">
        <v>-1196.55</v>
      </c>
      <c r="R75">
        <f t="shared" si="12"/>
        <v>3.7499999999999951</v>
      </c>
      <c r="S75">
        <v>68</v>
      </c>
      <c r="T75">
        <v>0.14327100000000001</v>
      </c>
      <c r="U75">
        <v>-1323.24</v>
      </c>
      <c r="Z75">
        <f t="shared" si="13"/>
        <v>3.7499999999999951</v>
      </c>
      <c r="AA75">
        <v>68</v>
      </c>
      <c r="AB75">
        <v>-5.1942700000000004</v>
      </c>
      <c r="AC75">
        <v>479.18299999999999</v>
      </c>
      <c r="AH75">
        <f t="shared" si="14"/>
        <v>3.7499999999999951</v>
      </c>
      <c r="AI75">
        <v>68</v>
      </c>
      <c r="AJ75">
        <v>-3.0870799999999998</v>
      </c>
      <c r="AK75">
        <v>1032.25</v>
      </c>
      <c r="AP75">
        <f t="shared" si="15"/>
        <v>3.7499999999999951</v>
      </c>
      <c r="AQ75">
        <v>68</v>
      </c>
      <c r="AR75">
        <v>-2.0815999999999999</v>
      </c>
      <c r="AS75">
        <v>620.45000000000005</v>
      </c>
      <c r="AX75">
        <f t="shared" si="16"/>
        <v>3.7499999999999951</v>
      </c>
      <c r="AY75">
        <v>68</v>
      </c>
      <c r="AZ75">
        <v>4.9036999999999997</v>
      </c>
      <c r="BA75">
        <v>590.87400000000002</v>
      </c>
      <c r="BF75">
        <f t="shared" si="17"/>
        <v>3.7499999999999951</v>
      </c>
      <c r="BG75">
        <v>68</v>
      </c>
      <c r="BH75">
        <v>-3.3529399999999998</v>
      </c>
      <c r="BI75">
        <v>341.51299999999998</v>
      </c>
      <c r="BN75">
        <f t="shared" si="18"/>
        <v>3.7499999999999951</v>
      </c>
      <c r="BO75">
        <v>68</v>
      </c>
      <c r="BP75">
        <v>-2.58806</v>
      </c>
      <c r="BQ75">
        <v>174.2</v>
      </c>
      <c r="BV75">
        <f t="shared" si="19"/>
        <v>3.7499999999999951</v>
      </c>
      <c r="BW75">
        <v>68</v>
      </c>
      <c r="BX75">
        <v>-2.6203400000000001</v>
      </c>
      <c r="BY75">
        <v>838.29700000000003</v>
      </c>
    </row>
    <row r="76" spans="2:77" x14ac:dyDescent="0.2">
      <c r="B76">
        <f t="shared" si="10"/>
        <v>3.7999999999999949</v>
      </c>
      <c r="C76">
        <v>69</v>
      </c>
      <c r="D76">
        <v>-1.21285</v>
      </c>
      <c r="E76">
        <v>-1329.12</v>
      </c>
      <c r="J76">
        <f t="shared" si="11"/>
        <v>3.7999999999999949</v>
      </c>
      <c r="K76">
        <v>69</v>
      </c>
      <c r="L76">
        <v>-0.75989799999999996</v>
      </c>
      <c r="M76">
        <v>-1200.45</v>
      </c>
      <c r="R76">
        <f t="shared" si="12"/>
        <v>3.7999999999999949</v>
      </c>
      <c r="S76">
        <v>69</v>
      </c>
      <c r="T76">
        <v>0.188724</v>
      </c>
      <c r="U76">
        <v>-1312.95</v>
      </c>
      <c r="Z76">
        <f t="shared" si="13"/>
        <v>3.7999999999999949</v>
      </c>
      <c r="AA76">
        <v>69</v>
      </c>
      <c r="AB76">
        <v>-5.2102300000000001</v>
      </c>
      <c r="AC76">
        <v>446.74700000000001</v>
      </c>
      <c r="AH76">
        <f t="shared" si="14"/>
        <v>3.7999999999999949</v>
      </c>
      <c r="AI76">
        <v>69</v>
      </c>
      <c r="AJ76">
        <v>-3.1224699999999999</v>
      </c>
      <c r="AK76">
        <v>1021.06</v>
      </c>
      <c r="AP76">
        <f t="shared" si="15"/>
        <v>3.7999999999999949</v>
      </c>
      <c r="AQ76">
        <v>69</v>
      </c>
      <c r="AR76">
        <v>-2.1027</v>
      </c>
      <c r="AS76">
        <v>603.15300000000002</v>
      </c>
      <c r="AX76">
        <f t="shared" si="16"/>
        <v>3.7999999999999949</v>
      </c>
      <c r="AY76">
        <v>69</v>
      </c>
      <c r="AZ76">
        <v>4.8830999999999998</v>
      </c>
      <c r="BA76">
        <v>604.39</v>
      </c>
      <c r="BF76">
        <f t="shared" si="17"/>
        <v>3.7999999999999949</v>
      </c>
      <c r="BG76">
        <v>69</v>
      </c>
      <c r="BH76">
        <v>-3.37602</v>
      </c>
      <c r="BI76">
        <v>327.96699999999998</v>
      </c>
      <c r="BN76">
        <f t="shared" si="18"/>
        <v>3.7999999999999949</v>
      </c>
      <c r="BO76">
        <v>69</v>
      </c>
      <c r="BP76">
        <v>-2.6000299999999998</v>
      </c>
      <c r="BQ76">
        <v>173.071</v>
      </c>
      <c r="BV76">
        <f t="shared" si="19"/>
        <v>3.7999999999999949</v>
      </c>
      <c r="BW76">
        <v>69</v>
      </c>
      <c r="BX76">
        <v>-2.6490900000000002</v>
      </c>
      <c r="BY76">
        <v>828.90099999999995</v>
      </c>
    </row>
    <row r="77" spans="2:77" x14ac:dyDescent="0.2">
      <c r="B77">
        <f t="shared" si="10"/>
        <v>3.8499999999999948</v>
      </c>
      <c r="C77">
        <v>70</v>
      </c>
      <c r="D77">
        <v>-1.1680999999999999</v>
      </c>
      <c r="E77">
        <v>-1300.8599999999999</v>
      </c>
      <c r="J77">
        <f t="shared" si="11"/>
        <v>3.8499999999999948</v>
      </c>
      <c r="K77">
        <v>70</v>
      </c>
      <c r="L77">
        <v>-0.71896899999999997</v>
      </c>
      <c r="M77">
        <v>-1205.4000000000001</v>
      </c>
      <c r="R77">
        <f t="shared" si="12"/>
        <v>3.8499999999999948</v>
      </c>
      <c r="S77">
        <v>70</v>
      </c>
      <c r="T77">
        <v>0.23322699999999999</v>
      </c>
      <c r="U77">
        <v>-1302.77</v>
      </c>
      <c r="Z77">
        <f t="shared" si="13"/>
        <v>3.8499999999999948</v>
      </c>
      <c r="AA77">
        <v>70</v>
      </c>
      <c r="AB77">
        <v>-5.2249100000000004</v>
      </c>
      <c r="AC77">
        <v>416.15199999999999</v>
      </c>
      <c r="AH77">
        <f t="shared" si="14"/>
        <v>3.8499999999999948</v>
      </c>
      <c r="AI77">
        <v>70</v>
      </c>
      <c r="AJ77">
        <v>-3.15706</v>
      </c>
      <c r="AK77">
        <v>1012.29</v>
      </c>
      <c r="AP77">
        <f t="shared" si="15"/>
        <v>3.8499999999999948</v>
      </c>
      <c r="AQ77">
        <v>70</v>
      </c>
      <c r="AR77">
        <v>-2.1229499999999999</v>
      </c>
      <c r="AS77">
        <v>587.12599999999998</v>
      </c>
      <c r="AX77">
        <f t="shared" si="16"/>
        <v>3.8499999999999948</v>
      </c>
      <c r="AY77">
        <v>70</v>
      </c>
      <c r="AZ77">
        <v>4.8622800000000002</v>
      </c>
      <c r="BA77">
        <v>619.14</v>
      </c>
      <c r="BF77">
        <f t="shared" si="17"/>
        <v>3.8499999999999948</v>
      </c>
      <c r="BG77">
        <v>70</v>
      </c>
      <c r="BH77">
        <v>-3.3978999999999999</v>
      </c>
      <c r="BI77">
        <v>315.13200000000001</v>
      </c>
      <c r="BN77">
        <f t="shared" si="18"/>
        <v>3.8499999999999948</v>
      </c>
      <c r="BO77">
        <v>70</v>
      </c>
      <c r="BP77">
        <v>-2.6117900000000001</v>
      </c>
      <c r="BQ77">
        <v>172.58</v>
      </c>
      <c r="BV77">
        <f t="shared" si="19"/>
        <v>3.8499999999999948</v>
      </c>
      <c r="BW77">
        <v>70</v>
      </c>
      <c r="BX77">
        <v>-2.6771099999999999</v>
      </c>
      <c r="BY77">
        <v>818.10699999999997</v>
      </c>
    </row>
    <row r="78" spans="2:77" x14ac:dyDescent="0.2">
      <c r="B78">
        <f t="shared" si="10"/>
        <v>3.8999999999999946</v>
      </c>
      <c r="C78">
        <v>71</v>
      </c>
      <c r="D78">
        <v>-1.1249100000000001</v>
      </c>
      <c r="E78">
        <v>-1270.97</v>
      </c>
      <c r="J78">
        <f t="shared" si="11"/>
        <v>3.8999999999999946</v>
      </c>
      <c r="K78">
        <v>71</v>
      </c>
      <c r="L78">
        <v>-0.67839499999999997</v>
      </c>
      <c r="M78">
        <v>-1211.1500000000001</v>
      </c>
      <c r="R78">
        <f t="shared" si="12"/>
        <v>3.8999999999999946</v>
      </c>
      <c r="S78">
        <v>71</v>
      </c>
      <c r="T78">
        <v>0.27680199999999999</v>
      </c>
      <c r="U78">
        <v>-1292.25</v>
      </c>
      <c r="Z78">
        <f t="shared" si="13"/>
        <v>3.8999999999999946</v>
      </c>
      <c r="AA78">
        <v>71</v>
      </c>
      <c r="AB78">
        <v>-5.2384000000000004</v>
      </c>
      <c r="AC78">
        <v>387.47500000000002</v>
      </c>
      <c r="AH78">
        <f t="shared" si="14"/>
        <v>3.8999999999999946</v>
      </c>
      <c r="AI78">
        <v>71</v>
      </c>
      <c r="AJ78">
        <v>-3.1909299999999998</v>
      </c>
      <c r="AK78">
        <v>1004.38</v>
      </c>
      <c r="AP78">
        <f t="shared" si="15"/>
        <v>3.8999999999999946</v>
      </c>
      <c r="AQ78">
        <v>71</v>
      </c>
      <c r="AR78">
        <v>-2.1424099999999999</v>
      </c>
      <c r="AS78">
        <v>571.86900000000003</v>
      </c>
      <c r="AX78">
        <f t="shared" si="16"/>
        <v>3.8999999999999946</v>
      </c>
      <c r="AY78">
        <v>71</v>
      </c>
      <c r="AZ78">
        <v>4.8412300000000004</v>
      </c>
      <c r="BA78">
        <v>634.56700000000001</v>
      </c>
      <c r="BF78">
        <f t="shared" si="17"/>
        <v>3.8999999999999946</v>
      </c>
      <c r="BG78">
        <v>71</v>
      </c>
      <c r="BH78">
        <v>-3.41865</v>
      </c>
      <c r="BI78">
        <v>302.93200000000002</v>
      </c>
      <c r="BN78">
        <f t="shared" si="18"/>
        <v>3.8999999999999946</v>
      </c>
      <c r="BO78">
        <v>71</v>
      </c>
      <c r="BP78">
        <v>-2.62337</v>
      </c>
      <c r="BQ78">
        <v>172.27500000000001</v>
      </c>
      <c r="BV78">
        <f t="shared" si="19"/>
        <v>3.8999999999999946</v>
      </c>
      <c r="BW78">
        <v>71</v>
      </c>
      <c r="BX78">
        <v>-2.70438</v>
      </c>
      <c r="BY78">
        <v>805.46500000000003</v>
      </c>
    </row>
    <row r="79" spans="2:77" x14ac:dyDescent="0.2">
      <c r="B79">
        <f t="shared" si="10"/>
        <v>3.9499999999999944</v>
      </c>
      <c r="C79">
        <v>72</v>
      </c>
      <c r="D79">
        <v>-1.08331</v>
      </c>
      <c r="E79">
        <v>-1238.6400000000001</v>
      </c>
      <c r="J79">
        <f t="shared" si="11"/>
        <v>3.9499999999999944</v>
      </c>
      <c r="K79">
        <v>72</v>
      </c>
      <c r="L79">
        <v>-0.63814800000000005</v>
      </c>
      <c r="M79">
        <v>-1217.07</v>
      </c>
      <c r="R79">
        <f t="shared" si="12"/>
        <v>3.9499999999999944</v>
      </c>
      <c r="S79">
        <v>72</v>
      </c>
      <c r="T79">
        <v>0.31945299999999999</v>
      </c>
      <c r="U79">
        <v>-1280.81</v>
      </c>
      <c r="Z79">
        <f t="shared" si="13"/>
        <v>3.9499999999999944</v>
      </c>
      <c r="AA79">
        <v>72</v>
      </c>
      <c r="AB79">
        <v>-5.2507900000000003</v>
      </c>
      <c r="AC79">
        <v>360.81200000000001</v>
      </c>
      <c r="AH79">
        <f t="shared" si="14"/>
        <v>3.9499999999999944</v>
      </c>
      <c r="AI79">
        <v>72</v>
      </c>
      <c r="AJ79">
        <v>-3.2240799999999998</v>
      </c>
      <c r="AK79">
        <v>995.83299999999997</v>
      </c>
      <c r="AP79">
        <f t="shared" si="15"/>
        <v>3.9499999999999944</v>
      </c>
      <c r="AQ79">
        <v>72</v>
      </c>
      <c r="AR79">
        <v>-2.1611099999999999</v>
      </c>
      <c r="AS79">
        <v>556.84799999999996</v>
      </c>
      <c r="AX79">
        <f t="shared" si="16"/>
        <v>3.9499999999999944</v>
      </c>
      <c r="AY79">
        <v>72</v>
      </c>
      <c r="AZ79">
        <v>4.8199399999999999</v>
      </c>
      <c r="BA79">
        <v>649.86300000000006</v>
      </c>
      <c r="BF79">
        <f t="shared" si="17"/>
        <v>3.9499999999999944</v>
      </c>
      <c r="BG79">
        <v>72</v>
      </c>
      <c r="BH79">
        <v>-3.4383499999999998</v>
      </c>
      <c r="BI79">
        <v>291.23</v>
      </c>
      <c r="BN79">
        <f t="shared" si="18"/>
        <v>3.9499999999999944</v>
      </c>
      <c r="BO79">
        <v>72</v>
      </c>
      <c r="BP79">
        <v>-2.6347800000000001</v>
      </c>
      <c r="BQ79">
        <v>171.708</v>
      </c>
      <c r="BV79">
        <f t="shared" si="19"/>
        <v>3.9499999999999944</v>
      </c>
      <c r="BW79">
        <v>72</v>
      </c>
      <c r="BX79">
        <v>-2.7308400000000002</v>
      </c>
      <c r="BY79">
        <v>790.49800000000005</v>
      </c>
    </row>
    <row r="80" spans="2:77" x14ac:dyDescent="0.2">
      <c r="B80">
        <f t="shared" si="10"/>
        <v>3.9999999999999942</v>
      </c>
      <c r="C80">
        <v>73</v>
      </c>
      <c r="D80">
        <v>-1.0433399999999999</v>
      </c>
      <c r="E80">
        <v>-1203.0999999999999</v>
      </c>
      <c r="J80">
        <f t="shared" si="11"/>
        <v>3.9999999999999942</v>
      </c>
      <c r="K80">
        <v>73</v>
      </c>
      <c r="L80">
        <v>-0.59822900000000001</v>
      </c>
      <c r="M80">
        <v>-1222.24</v>
      </c>
      <c r="R80">
        <f t="shared" si="12"/>
        <v>3.9999999999999942</v>
      </c>
      <c r="S80">
        <v>73</v>
      </c>
      <c r="T80">
        <v>0.36116199999999998</v>
      </c>
      <c r="U80">
        <v>-1267.75</v>
      </c>
      <c r="Z80">
        <f t="shared" si="13"/>
        <v>3.9999999999999942</v>
      </c>
      <c r="AA80">
        <v>73</v>
      </c>
      <c r="AB80">
        <v>-5.2621900000000004</v>
      </c>
      <c r="AC80">
        <v>336.25900000000001</v>
      </c>
      <c r="AH80">
        <f t="shared" si="14"/>
        <v>3.9999999999999942</v>
      </c>
      <c r="AI80">
        <v>73</v>
      </c>
      <c r="AJ80">
        <v>-3.25651</v>
      </c>
      <c r="AK80">
        <v>985.26900000000001</v>
      </c>
      <c r="AP80">
        <f t="shared" si="15"/>
        <v>3.9999999999999942</v>
      </c>
      <c r="AQ80">
        <v>73</v>
      </c>
      <c r="AR80">
        <v>-2.17909</v>
      </c>
      <c r="AS80">
        <v>541.53200000000004</v>
      </c>
      <c r="AX80">
        <f t="shared" si="16"/>
        <v>3.9999999999999942</v>
      </c>
      <c r="AY80">
        <v>73</v>
      </c>
      <c r="AZ80">
        <v>4.7984400000000003</v>
      </c>
      <c r="BA80">
        <v>664.06399999999996</v>
      </c>
      <c r="BF80">
        <f t="shared" si="17"/>
        <v>3.9999999999999942</v>
      </c>
      <c r="BG80">
        <v>73</v>
      </c>
      <c r="BH80">
        <v>-3.4570400000000001</v>
      </c>
      <c r="BI80">
        <v>279.84300000000002</v>
      </c>
      <c r="BN80">
        <f t="shared" si="18"/>
        <v>3.9999999999999942</v>
      </c>
      <c r="BO80">
        <v>73</v>
      </c>
      <c r="BP80">
        <v>-2.6459800000000002</v>
      </c>
      <c r="BQ80">
        <v>170.471</v>
      </c>
      <c r="BV80">
        <f t="shared" si="19"/>
        <v>3.9999999999999942</v>
      </c>
      <c r="BW80">
        <v>73</v>
      </c>
      <c r="BX80">
        <v>-2.7564299999999999</v>
      </c>
      <c r="BY80">
        <v>772.745</v>
      </c>
    </row>
    <row r="81" spans="2:77" x14ac:dyDescent="0.2">
      <c r="B81">
        <f t="shared" si="10"/>
        <v>4.0499999999999945</v>
      </c>
      <c r="C81">
        <v>74</v>
      </c>
      <c r="D81">
        <v>-1.00509</v>
      </c>
      <c r="E81">
        <v>-1163.79</v>
      </c>
      <c r="J81">
        <f t="shared" si="11"/>
        <v>4.0499999999999945</v>
      </c>
      <c r="K81">
        <v>74</v>
      </c>
      <c r="L81">
        <v>-0.55867299999999998</v>
      </c>
      <c r="M81">
        <v>-1225.46</v>
      </c>
      <c r="R81">
        <f t="shared" si="12"/>
        <v>4.0499999999999945</v>
      </c>
      <c r="S81">
        <v>74</v>
      </c>
      <c r="T81">
        <v>0.40188800000000002</v>
      </c>
      <c r="U81">
        <v>-1252.3800000000001</v>
      </c>
      <c r="Z81">
        <f t="shared" si="13"/>
        <v>4.0499999999999945</v>
      </c>
      <c r="AA81">
        <v>74</v>
      </c>
      <c r="AB81">
        <v>-5.2726899999999999</v>
      </c>
      <c r="AC81">
        <v>313.89299999999997</v>
      </c>
      <c r="AH81">
        <f t="shared" si="14"/>
        <v>4.0499999999999945</v>
      </c>
      <c r="AI81">
        <v>74</v>
      </c>
      <c r="AJ81">
        <v>-3.2881300000000002</v>
      </c>
      <c r="AK81">
        <v>971.548</v>
      </c>
      <c r="AP81">
        <f t="shared" si="15"/>
        <v>4.0499999999999945</v>
      </c>
      <c r="AQ81">
        <v>74</v>
      </c>
      <c r="AR81">
        <v>-2.1963300000000001</v>
      </c>
      <c r="AS81">
        <v>525.43700000000001</v>
      </c>
      <c r="AX81">
        <f t="shared" si="16"/>
        <v>4.0499999999999945</v>
      </c>
      <c r="AY81">
        <v>74</v>
      </c>
      <c r="AZ81">
        <v>4.7767799999999996</v>
      </c>
      <c r="BA81">
        <v>676.17100000000005</v>
      </c>
      <c r="BF81">
        <f t="shared" si="17"/>
        <v>4.0499999999999945</v>
      </c>
      <c r="BG81">
        <v>74</v>
      </c>
      <c r="BH81">
        <v>-3.4747599999999998</v>
      </c>
      <c r="BI81">
        <v>268.56400000000002</v>
      </c>
      <c r="BN81">
        <f t="shared" si="18"/>
        <v>4.0499999999999945</v>
      </c>
      <c r="BO81">
        <v>74</v>
      </c>
      <c r="BP81">
        <v>-2.65693</v>
      </c>
      <c r="BQ81">
        <v>168.23</v>
      </c>
      <c r="BV81">
        <f t="shared" si="19"/>
        <v>4.0499999999999945</v>
      </c>
      <c r="BW81">
        <v>74</v>
      </c>
      <c r="BX81">
        <v>-2.7810700000000002</v>
      </c>
      <c r="BY81">
        <v>751.79899999999998</v>
      </c>
    </row>
    <row r="82" spans="2:77" x14ac:dyDescent="0.2">
      <c r="B82">
        <f t="shared" si="10"/>
        <v>4.0999999999999943</v>
      </c>
      <c r="C82">
        <v>75</v>
      </c>
      <c r="D82">
        <v>-0.96862499999999996</v>
      </c>
      <c r="E82">
        <v>-1120.4100000000001</v>
      </c>
      <c r="J82">
        <f t="shared" si="11"/>
        <v>4.0999999999999943</v>
      </c>
      <c r="K82">
        <v>75</v>
      </c>
      <c r="L82">
        <v>-0.51955499999999999</v>
      </c>
      <c r="M82">
        <v>-1225.42</v>
      </c>
      <c r="R82">
        <f t="shared" si="12"/>
        <v>4.0999999999999943</v>
      </c>
      <c r="S82">
        <v>75</v>
      </c>
      <c r="T82">
        <v>0.44157299999999999</v>
      </c>
      <c r="U82">
        <v>-1234.06</v>
      </c>
      <c r="Z82">
        <f t="shared" si="13"/>
        <v>4.0999999999999943</v>
      </c>
      <c r="AA82">
        <v>75</v>
      </c>
      <c r="AB82">
        <v>-5.2823799999999999</v>
      </c>
      <c r="AC82">
        <v>293.74599999999998</v>
      </c>
      <c r="AH82">
        <f t="shared" si="14"/>
        <v>4.0999999999999943</v>
      </c>
      <c r="AI82">
        <v>75</v>
      </c>
      <c r="AJ82">
        <v>-3.31887</v>
      </c>
      <c r="AK82">
        <v>953.86099999999999</v>
      </c>
      <c r="AP82">
        <f t="shared" si="15"/>
        <v>4.0999999999999943</v>
      </c>
      <c r="AQ82">
        <v>75</v>
      </c>
      <c r="AR82">
        <v>-2.2128299999999999</v>
      </c>
      <c r="AS82">
        <v>508.17599999999999</v>
      </c>
      <c r="AX82">
        <f t="shared" si="16"/>
        <v>4.0999999999999943</v>
      </c>
      <c r="AY82">
        <v>75</v>
      </c>
      <c r="AZ82">
        <v>4.7550499999999998</v>
      </c>
      <c r="BA82">
        <v>685.28499999999997</v>
      </c>
      <c r="BF82">
        <f t="shared" si="17"/>
        <v>4.0999999999999943</v>
      </c>
      <c r="BG82">
        <v>75</v>
      </c>
      <c r="BH82">
        <v>-3.4915400000000001</v>
      </c>
      <c r="BI82">
        <v>257.19299999999998</v>
      </c>
      <c r="BN82">
        <f t="shared" si="18"/>
        <v>4.0999999999999943</v>
      </c>
      <c r="BO82">
        <v>75</v>
      </c>
      <c r="BP82">
        <v>-2.66757</v>
      </c>
      <c r="BQ82">
        <v>164.755</v>
      </c>
      <c r="BV82">
        <f t="shared" si="19"/>
        <v>4.0999999999999943</v>
      </c>
      <c r="BW82">
        <v>75</v>
      </c>
      <c r="BX82">
        <v>-2.8046899999999999</v>
      </c>
      <c r="BY82">
        <v>727.37699999999995</v>
      </c>
    </row>
    <row r="83" spans="2:77" x14ac:dyDescent="0.2">
      <c r="B83">
        <f t="shared" si="10"/>
        <v>4.1499999999999941</v>
      </c>
      <c r="C83">
        <v>76</v>
      </c>
      <c r="D83">
        <v>-0.93404200000000004</v>
      </c>
      <c r="E83">
        <v>-1073.02</v>
      </c>
      <c r="J83">
        <f t="shared" si="11"/>
        <v>4.1499999999999941</v>
      </c>
      <c r="K83">
        <v>76</v>
      </c>
      <c r="L83">
        <v>-0.480985</v>
      </c>
      <c r="M83">
        <v>-1220.8800000000001</v>
      </c>
      <c r="R83">
        <f t="shared" si="12"/>
        <v>4.1499999999999941</v>
      </c>
      <c r="S83">
        <v>76</v>
      </c>
      <c r="T83">
        <v>0.48014000000000001</v>
      </c>
      <c r="U83">
        <v>-1212.31</v>
      </c>
      <c r="Z83">
        <f t="shared" si="13"/>
        <v>4.1499999999999941</v>
      </c>
      <c r="AA83">
        <v>76</v>
      </c>
      <c r="AB83">
        <v>-5.2913600000000001</v>
      </c>
      <c r="AC83">
        <v>275.78199999999998</v>
      </c>
      <c r="AH83">
        <f t="shared" si="14"/>
        <v>4.1499999999999941</v>
      </c>
      <c r="AI83">
        <v>76</v>
      </c>
      <c r="AJ83">
        <v>-3.3485999999999998</v>
      </c>
      <c r="AK83">
        <v>931.81899999999996</v>
      </c>
      <c r="AP83">
        <f t="shared" si="15"/>
        <v>4.1499999999999941</v>
      </c>
      <c r="AQ83">
        <v>76</v>
      </c>
      <c r="AR83">
        <v>-2.2285599999999999</v>
      </c>
      <c r="AS83">
        <v>489.512</v>
      </c>
      <c r="AX83">
        <f t="shared" si="16"/>
        <v>4.1499999999999941</v>
      </c>
      <c r="AY83">
        <v>76</v>
      </c>
      <c r="AZ83">
        <v>4.7333499999999997</v>
      </c>
      <c r="BA83">
        <v>690.74099999999999</v>
      </c>
      <c r="BF83">
        <f t="shared" si="17"/>
        <v>4.1499999999999941</v>
      </c>
      <c r="BG83">
        <v>76</v>
      </c>
      <c r="BH83">
        <v>-3.50739</v>
      </c>
      <c r="BI83">
        <v>245.58199999999999</v>
      </c>
      <c r="BN83">
        <f t="shared" si="18"/>
        <v>4.1499999999999941</v>
      </c>
      <c r="BO83">
        <v>76</v>
      </c>
      <c r="BP83">
        <v>-2.67781</v>
      </c>
      <c r="BQ83">
        <v>159.94900000000001</v>
      </c>
      <c r="BV83">
        <f t="shared" si="19"/>
        <v>4.1499999999999941</v>
      </c>
      <c r="BW83">
        <v>76</v>
      </c>
      <c r="BX83">
        <v>-2.8271799999999998</v>
      </c>
      <c r="BY83">
        <v>699.37699999999995</v>
      </c>
    </row>
    <row r="84" spans="2:77" x14ac:dyDescent="0.2">
      <c r="B84">
        <f t="shared" si="10"/>
        <v>4.199999999999994</v>
      </c>
      <c r="C84">
        <v>77</v>
      </c>
      <c r="D84">
        <v>-0.90141099999999996</v>
      </c>
      <c r="E84">
        <v>-1022.17</v>
      </c>
      <c r="J84">
        <f t="shared" si="11"/>
        <v>4.199999999999994</v>
      </c>
      <c r="K84">
        <v>77</v>
      </c>
      <c r="L84">
        <v>-0.443108</v>
      </c>
      <c r="M84">
        <v>-1210.8900000000001</v>
      </c>
      <c r="R84">
        <f t="shared" si="12"/>
        <v>4.199999999999994</v>
      </c>
      <c r="S84">
        <v>77</v>
      </c>
      <c r="T84">
        <v>0.51750700000000005</v>
      </c>
      <c r="U84">
        <v>-1186.97</v>
      </c>
      <c r="Z84">
        <f t="shared" si="13"/>
        <v>4.199999999999994</v>
      </c>
      <c r="AA84">
        <v>77</v>
      </c>
      <c r="AB84">
        <v>-5.29969</v>
      </c>
      <c r="AC84">
        <v>259.86900000000003</v>
      </c>
      <c r="AH84">
        <f t="shared" si="14"/>
        <v>4.199999999999994</v>
      </c>
      <c r="AI84">
        <v>77</v>
      </c>
      <c r="AJ84">
        <v>-3.3772199999999999</v>
      </c>
      <c r="AK84">
        <v>905.51300000000003</v>
      </c>
      <c r="AP84">
        <f t="shared" si="15"/>
        <v>4.199999999999994</v>
      </c>
      <c r="AQ84">
        <v>77</v>
      </c>
      <c r="AR84">
        <v>-2.24349</v>
      </c>
      <c r="AS84">
        <v>469.40300000000002</v>
      </c>
      <c r="AX84">
        <f t="shared" si="16"/>
        <v>4.199999999999994</v>
      </c>
      <c r="AY84">
        <v>77</v>
      </c>
      <c r="AZ84">
        <v>4.7118000000000002</v>
      </c>
      <c r="BA84">
        <v>692.24099999999999</v>
      </c>
      <c r="BF84">
        <f t="shared" si="17"/>
        <v>4.199999999999994</v>
      </c>
      <c r="BG84">
        <v>77</v>
      </c>
      <c r="BH84">
        <v>-3.5223200000000001</v>
      </c>
      <c r="BI84">
        <v>233.68199999999999</v>
      </c>
      <c r="BN84">
        <f t="shared" si="18"/>
        <v>4.199999999999994</v>
      </c>
      <c r="BO84">
        <v>77</v>
      </c>
      <c r="BP84">
        <v>-2.6875900000000001</v>
      </c>
      <c r="BQ84">
        <v>153.87200000000001</v>
      </c>
      <c r="BV84">
        <f t="shared" si="19"/>
        <v>4.199999999999994</v>
      </c>
      <c r="BW84">
        <v>77</v>
      </c>
      <c r="BX84">
        <v>-2.8484799999999999</v>
      </c>
      <c r="BY84">
        <v>667.94600000000003</v>
      </c>
    </row>
    <row r="85" spans="2:77" x14ac:dyDescent="0.2">
      <c r="B85">
        <f t="shared" si="10"/>
        <v>4.2499999999999938</v>
      </c>
      <c r="C85">
        <v>78</v>
      </c>
      <c r="D85">
        <v>-0.87077599999999999</v>
      </c>
      <c r="E85">
        <v>-968.87900000000002</v>
      </c>
      <c r="J85">
        <f t="shared" si="11"/>
        <v>4.2499999999999938</v>
      </c>
      <c r="K85">
        <v>78</v>
      </c>
      <c r="L85">
        <v>-0.40608100000000003</v>
      </c>
      <c r="M85">
        <v>-1195.05</v>
      </c>
      <c r="R85">
        <f t="shared" si="12"/>
        <v>4.2499999999999938</v>
      </c>
      <c r="S85">
        <v>78</v>
      </c>
      <c r="T85">
        <v>0.553593</v>
      </c>
      <c r="U85">
        <v>-1158.25</v>
      </c>
      <c r="Z85">
        <f t="shared" si="13"/>
        <v>4.2499999999999938</v>
      </c>
      <c r="AA85">
        <v>78</v>
      </c>
      <c r="AB85">
        <v>-5.3074700000000004</v>
      </c>
      <c r="AC85">
        <v>245.76400000000001</v>
      </c>
      <c r="AH85">
        <f t="shared" si="14"/>
        <v>4.2499999999999938</v>
      </c>
      <c r="AI85">
        <v>78</v>
      </c>
      <c r="AJ85">
        <v>-3.40463</v>
      </c>
      <c r="AK85">
        <v>875.55399999999997</v>
      </c>
      <c r="AP85">
        <f t="shared" si="15"/>
        <v>4.2499999999999938</v>
      </c>
      <c r="AQ85">
        <v>78</v>
      </c>
      <c r="AR85">
        <v>-2.2576100000000001</v>
      </c>
      <c r="AS85">
        <v>448.04599999999999</v>
      </c>
      <c r="AX85">
        <f t="shared" si="16"/>
        <v>4.2499999999999938</v>
      </c>
      <c r="AY85">
        <v>78</v>
      </c>
      <c r="AZ85">
        <v>4.6905299999999999</v>
      </c>
      <c r="BA85">
        <v>689.96500000000003</v>
      </c>
      <c r="BF85">
        <f t="shared" si="17"/>
        <v>4.2499999999999938</v>
      </c>
      <c r="BG85">
        <v>78</v>
      </c>
      <c r="BH85">
        <v>-3.5363199999999999</v>
      </c>
      <c r="BI85">
        <v>221.58199999999999</v>
      </c>
      <c r="BN85">
        <f t="shared" si="18"/>
        <v>4.2499999999999938</v>
      </c>
      <c r="BO85">
        <v>78</v>
      </c>
      <c r="BP85">
        <v>-2.6968399999999999</v>
      </c>
      <c r="BQ85">
        <v>146.74700000000001</v>
      </c>
      <c r="BV85">
        <f t="shared" si="19"/>
        <v>4.2499999999999938</v>
      </c>
      <c r="BW85">
        <v>78</v>
      </c>
      <c r="BX85">
        <v>-2.8685100000000001</v>
      </c>
      <c r="BY85">
        <v>633.53300000000002</v>
      </c>
    </row>
    <row r="86" spans="2:77" x14ac:dyDescent="0.2">
      <c r="B86">
        <f t="shared" si="10"/>
        <v>4.2999999999999936</v>
      </c>
      <c r="C86">
        <v>79</v>
      </c>
      <c r="D86" s="3">
        <v>-0.84214100000000003</v>
      </c>
      <c r="E86">
        <v>-914.75400000000002</v>
      </c>
      <c r="J86">
        <f t="shared" si="11"/>
        <v>4.2999999999999936</v>
      </c>
      <c r="K86">
        <v>79</v>
      </c>
      <c r="L86">
        <v>-0.37005900000000003</v>
      </c>
      <c r="M86">
        <v>-1173.7</v>
      </c>
      <c r="R86">
        <f t="shared" si="12"/>
        <v>4.2999999999999936</v>
      </c>
      <c r="S86">
        <v>79</v>
      </c>
      <c r="T86">
        <v>0.588337</v>
      </c>
      <c r="U86">
        <v>-1126.8900000000001</v>
      </c>
      <c r="Z86">
        <f t="shared" si="13"/>
        <v>4.2999999999999936</v>
      </c>
      <c r="AA86">
        <v>79</v>
      </c>
      <c r="AB86">
        <v>-5.3147399999999996</v>
      </c>
      <c r="AC86">
        <v>233.08799999999999</v>
      </c>
      <c r="AH86">
        <f t="shared" si="14"/>
        <v>4.2999999999999936</v>
      </c>
      <c r="AI86">
        <v>79</v>
      </c>
      <c r="AJ86">
        <v>-3.4307599999999998</v>
      </c>
      <c r="AK86">
        <v>843.072</v>
      </c>
      <c r="AP86">
        <f t="shared" si="15"/>
        <v>4.2999999999999936</v>
      </c>
      <c r="AQ86">
        <v>79</v>
      </c>
      <c r="AR86">
        <v>-2.2709000000000001</v>
      </c>
      <c r="AS86">
        <v>425.904</v>
      </c>
      <c r="AX86">
        <f t="shared" si="16"/>
        <v>4.2999999999999936</v>
      </c>
      <c r="AY86">
        <v>79</v>
      </c>
      <c r="AZ86">
        <v>4.6696299999999997</v>
      </c>
      <c r="BA86">
        <v>684.64800000000002</v>
      </c>
      <c r="BF86">
        <f t="shared" si="17"/>
        <v>4.2999999999999936</v>
      </c>
      <c r="BG86">
        <v>79</v>
      </c>
      <c r="BH86">
        <v>-3.5494300000000001</v>
      </c>
      <c r="BI86">
        <v>209.54900000000001</v>
      </c>
      <c r="BN86">
        <f t="shared" si="18"/>
        <v>4.2999999999999936</v>
      </c>
      <c r="BO86">
        <v>79</v>
      </c>
      <c r="BP86">
        <v>-2.70553</v>
      </c>
      <c r="BQ86">
        <v>138.95599999999999</v>
      </c>
      <c r="BV86">
        <f t="shared" si="19"/>
        <v>4.2999999999999936</v>
      </c>
      <c r="BW86">
        <v>79</v>
      </c>
      <c r="BX86">
        <v>-2.8872200000000001</v>
      </c>
      <c r="BY86">
        <v>596.92999999999995</v>
      </c>
    </row>
    <row r="87" spans="2:77" x14ac:dyDescent="0.2">
      <c r="B87">
        <f t="shared" si="10"/>
        <v>4.3499999999999934</v>
      </c>
      <c r="C87">
        <v>80</v>
      </c>
      <c r="D87">
        <v>-0.81545400000000001</v>
      </c>
      <c r="E87">
        <v>-861.89400000000001</v>
      </c>
      <c r="J87">
        <f t="shared" si="11"/>
        <v>4.3499999999999934</v>
      </c>
      <c r="K87">
        <v>80</v>
      </c>
      <c r="L87">
        <v>-0.33516800000000002</v>
      </c>
      <c r="M87">
        <v>-1148.1300000000001</v>
      </c>
      <c r="R87">
        <f t="shared" si="12"/>
        <v>4.3499999999999934</v>
      </c>
      <c r="S87">
        <v>80</v>
      </c>
      <c r="T87">
        <v>0.62170800000000004</v>
      </c>
      <c r="U87">
        <v>-1094.17</v>
      </c>
      <c r="Z87">
        <f t="shared" si="13"/>
        <v>4.3499999999999934</v>
      </c>
      <c r="AA87">
        <v>80</v>
      </c>
      <c r="AB87">
        <v>-5.3215700000000004</v>
      </c>
      <c r="AC87">
        <v>221.32599999999999</v>
      </c>
      <c r="AH87">
        <f t="shared" si="14"/>
        <v>4.3499999999999934</v>
      </c>
      <c r="AI87">
        <v>80</v>
      </c>
      <c r="AJ87">
        <v>-3.4555899999999999</v>
      </c>
      <c r="AK87">
        <v>809.67399999999998</v>
      </c>
      <c r="AP87">
        <f t="shared" si="15"/>
        <v>4.3499999999999934</v>
      </c>
      <c r="AQ87">
        <v>80</v>
      </c>
      <c r="AR87">
        <v>-2.2833600000000001</v>
      </c>
      <c r="AS87">
        <v>403.71800000000002</v>
      </c>
      <c r="AX87">
        <f t="shared" si="16"/>
        <v>4.3499999999999934</v>
      </c>
      <c r="AY87">
        <v>80</v>
      </c>
      <c r="AZ87">
        <v>4.6491600000000002</v>
      </c>
      <c r="BA87">
        <v>677.61400000000003</v>
      </c>
      <c r="BF87">
        <f t="shared" si="17"/>
        <v>4.3499999999999934</v>
      </c>
      <c r="BG87">
        <v>80</v>
      </c>
      <c r="BH87">
        <v>-3.56168</v>
      </c>
      <c r="BI87">
        <v>198.047</v>
      </c>
      <c r="BN87">
        <f t="shared" si="18"/>
        <v>4.3499999999999934</v>
      </c>
      <c r="BO87">
        <v>80</v>
      </c>
      <c r="BP87">
        <v>-2.7136399999999998</v>
      </c>
      <c r="BQ87">
        <v>131.024</v>
      </c>
      <c r="BV87">
        <f t="shared" si="19"/>
        <v>4.3499999999999934</v>
      </c>
      <c r="BW87">
        <v>80</v>
      </c>
      <c r="BX87">
        <v>-2.9045899999999998</v>
      </c>
      <c r="BY87">
        <v>559.28099999999995</v>
      </c>
    </row>
    <row r="88" spans="2:77" x14ac:dyDescent="0.2">
      <c r="B88">
        <f t="shared" si="10"/>
        <v>4.3999999999999932</v>
      </c>
      <c r="C88">
        <v>81</v>
      </c>
      <c r="D88">
        <v>-0.79059500000000005</v>
      </c>
      <c r="E88">
        <v>-812.83100000000002</v>
      </c>
      <c r="J88">
        <f t="shared" si="11"/>
        <v>4.3999999999999932</v>
      </c>
      <c r="K88">
        <v>81</v>
      </c>
      <c r="L88">
        <v>-0.30147499999999999</v>
      </c>
      <c r="M88">
        <v>-1120.6400000000001</v>
      </c>
      <c r="R88">
        <f t="shared" si="12"/>
        <v>4.3999999999999932</v>
      </c>
      <c r="S88">
        <v>81</v>
      </c>
      <c r="T88">
        <v>0.65372200000000003</v>
      </c>
      <c r="U88">
        <v>-1061.8900000000001</v>
      </c>
      <c r="Z88">
        <f t="shared" si="13"/>
        <v>4.3999999999999932</v>
      </c>
      <c r="AA88">
        <v>81</v>
      </c>
      <c r="AB88">
        <v>-5.3279699999999997</v>
      </c>
      <c r="AC88">
        <v>209.82499999999999</v>
      </c>
      <c r="AH88">
        <f t="shared" si="14"/>
        <v>4.3999999999999932</v>
      </c>
      <c r="AI88">
        <v>81</v>
      </c>
      <c r="AJ88">
        <v>-3.4791500000000002</v>
      </c>
      <c r="AK88">
        <v>777.35</v>
      </c>
      <c r="AP88">
        <f t="shared" si="15"/>
        <v>4.3999999999999932</v>
      </c>
      <c r="AQ88">
        <v>81</v>
      </c>
      <c r="AR88">
        <v>-2.2950300000000001</v>
      </c>
      <c r="AS88">
        <v>382.48700000000002</v>
      </c>
      <c r="AX88">
        <f t="shared" si="16"/>
        <v>4.3999999999999932</v>
      </c>
      <c r="AY88">
        <v>81</v>
      </c>
      <c r="AZ88">
        <v>4.6291399999999996</v>
      </c>
      <c r="BA88">
        <v>670.74400000000003</v>
      </c>
      <c r="BF88">
        <f t="shared" si="17"/>
        <v>4.3999999999999932</v>
      </c>
      <c r="BG88">
        <v>81</v>
      </c>
      <c r="BH88">
        <v>-3.5731299999999999</v>
      </c>
      <c r="BI88">
        <v>187.732</v>
      </c>
      <c r="BN88">
        <f t="shared" si="18"/>
        <v>4.3999999999999932</v>
      </c>
      <c r="BO88">
        <v>81</v>
      </c>
      <c r="BP88">
        <v>-2.7212000000000001</v>
      </c>
      <c r="BQ88">
        <v>123.57899999999999</v>
      </c>
      <c r="BV88">
        <f t="shared" si="19"/>
        <v>4.3999999999999932</v>
      </c>
      <c r="BW88">
        <v>81</v>
      </c>
      <c r="BX88">
        <v>-2.9206500000000002</v>
      </c>
      <c r="BY88">
        <v>522.06299999999999</v>
      </c>
    </row>
    <row r="89" spans="2:77" x14ac:dyDescent="0.2">
      <c r="B89">
        <f t="shared" si="10"/>
        <v>4.4499999999999931</v>
      </c>
      <c r="C89">
        <v>82</v>
      </c>
      <c r="D89">
        <v>-0.76737200000000005</v>
      </c>
      <c r="E89">
        <v>-770.35900000000004</v>
      </c>
      <c r="J89">
        <f t="shared" si="11"/>
        <v>4.4499999999999931</v>
      </c>
      <c r="K89">
        <v>82</v>
      </c>
      <c r="L89">
        <v>-0.26896399999999998</v>
      </c>
      <c r="M89">
        <v>-1094.47</v>
      </c>
      <c r="R89">
        <f t="shared" si="12"/>
        <v>4.4499999999999931</v>
      </c>
      <c r="S89">
        <v>82</v>
      </c>
      <c r="T89">
        <v>0.68445699999999998</v>
      </c>
      <c r="U89">
        <v>-1032.33</v>
      </c>
      <c r="Z89">
        <f t="shared" si="13"/>
        <v>4.4499999999999931</v>
      </c>
      <c r="AA89">
        <v>82</v>
      </c>
      <c r="AB89">
        <v>-5.3339600000000003</v>
      </c>
      <c r="AC89">
        <v>197.81399999999999</v>
      </c>
      <c r="AH89">
        <f t="shared" si="14"/>
        <v>4.4499999999999931</v>
      </c>
      <c r="AI89">
        <v>82</v>
      </c>
      <c r="AJ89">
        <v>-3.5015399999999999</v>
      </c>
      <c r="AK89">
        <v>748.31600000000003</v>
      </c>
      <c r="AP89">
        <f t="shared" si="15"/>
        <v>4.4499999999999931</v>
      </c>
      <c r="AQ89">
        <v>82</v>
      </c>
      <c r="AR89">
        <v>-2.3059799999999999</v>
      </c>
      <c r="AS89">
        <v>363.41399999999999</v>
      </c>
      <c r="AX89">
        <f t="shared" si="16"/>
        <v>4.4499999999999931</v>
      </c>
      <c r="AY89">
        <v>82</v>
      </c>
      <c r="AZ89">
        <v>4.6095199999999998</v>
      </c>
      <c r="BA89">
        <v>666.35599999999999</v>
      </c>
      <c r="BF89">
        <f t="shared" si="17"/>
        <v>4.4499999999999931</v>
      </c>
      <c r="BG89">
        <v>82</v>
      </c>
      <c r="BH89">
        <v>-3.5838899999999998</v>
      </c>
      <c r="BI89">
        <v>179.41900000000001</v>
      </c>
      <c r="BN89">
        <f t="shared" si="18"/>
        <v>4.4499999999999931</v>
      </c>
      <c r="BO89">
        <v>82</v>
      </c>
      <c r="BP89">
        <v>-2.7282700000000002</v>
      </c>
      <c r="BQ89">
        <v>117.31100000000001</v>
      </c>
      <c r="BV89">
        <f t="shared" si="19"/>
        <v>4.4499999999999931</v>
      </c>
      <c r="BW89">
        <v>82</v>
      </c>
      <c r="BX89">
        <v>-2.93546</v>
      </c>
      <c r="BY89">
        <v>487.024</v>
      </c>
    </row>
    <row r="90" spans="2:77" x14ac:dyDescent="0.2">
      <c r="B90">
        <f t="shared" si="10"/>
        <v>4.4999999999999929</v>
      </c>
      <c r="C90">
        <v>83</v>
      </c>
      <c r="D90">
        <v>-0.74551500000000004</v>
      </c>
      <c r="E90">
        <v>-737.28700000000003</v>
      </c>
      <c r="J90">
        <f t="shared" si="11"/>
        <v>4.4999999999999929</v>
      </c>
      <c r="K90">
        <v>83</v>
      </c>
      <c r="L90">
        <v>-0.237513</v>
      </c>
      <c r="M90">
        <v>-1073.6300000000001</v>
      </c>
      <c r="R90">
        <f t="shared" si="12"/>
        <v>4.4999999999999929</v>
      </c>
      <c r="S90">
        <v>83</v>
      </c>
      <c r="T90">
        <v>0.71405600000000002</v>
      </c>
      <c r="U90">
        <v>-1008</v>
      </c>
      <c r="Z90">
        <f t="shared" si="13"/>
        <v>4.4999999999999929</v>
      </c>
      <c r="AA90">
        <v>83</v>
      </c>
      <c r="AB90">
        <v>-5.3395099999999998</v>
      </c>
      <c r="AC90">
        <v>184.441</v>
      </c>
      <c r="AH90">
        <f t="shared" si="14"/>
        <v>4.4999999999999929</v>
      </c>
      <c r="AI90">
        <v>83</v>
      </c>
      <c r="AJ90">
        <v>-3.52291</v>
      </c>
      <c r="AK90">
        <v>724.79399999999998</v>
      </c>
      <c r="AP90">
        <f t="shared" si="15"/>
        <v>4.4999999999999929</v>
      </c>
      <c r="AQ90">
        <v>83</v>
      </c>
      <c r="AR90">
        <v>-2.31629</v>
      </c>
      <c r="AS90">
        <v>347.81</v>
      </c>
      <c r="AX90">
        <f t="shared" si="16"/>
        <v>4.4999999999999929</v>
      </c>
      <c r="AY90">
        <v>83</v>
      </c>
      <c r="AZ90">
        <v>4.5901800000000001</v>
      </c>
      <c r="BA90">
        <v>666.98900000000003</v>
      </c>
      <c r="BF90">
        <f t="shared" si="17"/>
        <v>4.4999999999999929</v>
      </c>
      <c r="BG90">
        <v>83</v>
      </c>
      <c r="BH90">
        <v>-3.5941399999999999</v>
      </c>
      <c r="BI90">
        <v>174.01900000000001</v>
      </c>
      <c r="BN90">
        <f t="shared" si="18"/>
        <v>4.4999999999999929</v>
      </c>
      <c r="BO90">
        <v>83</v>
      </c>
      <c r="BP90">
        <v>-2.7349399999999999</v>
      </c>
      <c r="BQ90">
        <v>112.9</v>
      </c>
      <c r="BV90">
        <f t="shared" si="19"/>
        <v>4.4999999999999929</v>
      </c>
      <c r="BW90">
        <v>83</v>
      </c>
      <c r="BX90">
        <v>-2.9491299999999998</v>
      </c>
      <c r="BY90">
        <v>456.06799999999998</v>
      </c>
    </row>
    <row r="91" spans="2:77" x14ac:dyDescent="0.2">
      <c r="B91">
        <f t="shared" si="10"/>
        <v>4.5499999999999927</v>
      </c>
      <c r="C91">
        <v>84</v>
      </c>
      <c r="D91">
        <v>-0.72468600000000005</v>
      </c>
      <c r="E91">
        <v>-716.08199999999999</v>
      </c>
      <c r="J91">
        <f t="shared" si="11"/>
        <v>4.5499999999999927</v>
      </c>
      <c r="K91">
        <v>84</v>
      </c>
      <c r="L91">
        <v>-0.20688300000000001</v>
      </c>
      <c r="M91">
        <v>-1062.51</v>
      </c>
      <c r="R91">
        <f t="shared" si="12"/>
        <v>4.5499999999999927</v>
      </c>
      <c r="S91">
        <v>84</v>
      </c>
      <c r="T91">
        <v>0.74273</v>
      </c>
      <c r="U91">
        <v>-991.34699999999998</v>
      </c>
      <c r="Z91">
        <f t="shared" si="13"/>
        <v>4.5499999999999927</v>
      </c>
      <c r="AA91">
        <v>84</v>
      </c>
      <c r="AB91">
        <v>-5.3445900000000002</v>
      </c>
      <c r="AC91">
        <v>168.83699999999999</v>
      </c>
      <c r="AH91">
        <f t="shared" si="14"/>
        <v>4.5499999999999927</v>
      </c>
      <c r="AI91">
        <v>84</v>
      </c>
      <c r="AJ91">
        <v>-3.5434600000000001</v>
      </c>
      <c r="AK91">
        <v>708.70100000000002</v>
      </c>
      <c r="AP91">
        <f t="shared" si="15"/>
        <v>4.5499999999999927</v>
      </c>
      <c r="AQ91">
        <v>84</v>
      </c>
      <c r="AR91">
        <v>-2.3260999999999998</v>
      </c>
      <c r="AS91">
        <v>336.93799999999999</v>
      </c>
      <c r="AX91">
        <f t="shared" si="16"/>
        <v>4.5499999999999927</v>
      </c>
      <c r="AY91">
        <v>84</v>
      </c>
      <c r="AZ91">
        <v>4.5709400000000002</v>
      </c>
      <c r="BA91">
        <v>675.06100000000004</v>
      </c>
      <c r="BF91">
        <f t="shared" si="17"/>
        <v>4.5499999999999927</v>
      </c>
      <c r="BG91">
        <v>84</v>
      </c>
      <c r="BH91">
        <v>-3.60406</v>
      </c>
      <c r="BI91">
        <v>172.42400000000001</v>
      </c>
      <c r="BN91">
        <f t="shared" si="18"/>
        <v>4.5499999999999927</v>
      </c>
      <c r="BO91">
        <v>84</v>
      </c>
      <c r="BP91">
        <v>-2.7413500000000002</v>
      </c>
      <c r="BQ91">
        <v>110.94799999999999</v>
      </c>
      <c r="BV91">
        <f t="shared" si="19"/>
        <v>4.5499999999999927</v>
      </c>
      <c r="BW91">
        <v>84</v>
      </c>
      <c r="BX91">
        <v>-2.9618500000000001</v>
      </c>
      <c r="BY91">
        <v>431.07499999999999</v>
      </c>
    </row>
    <row r="92" spans="2:77" x14ac:dyDescent="0.2">
      <c r="B92">
        <f t="shared" si="10"/>
        <v>4.5999999999999925</v>
      </c>
      <c r="C92">
        <v>85</v>
      </c>
      <c r="D92">
        <v>-0.70450100000000004</v>
      </c>
      <c r="E92">
        <v>-708.40800000000002</v>
      </c>
      <c r="J92">
        <f t="shared" si="11"/>
        <v>4.5999999999999925</v>
      </c>
      <c r="K92">
        <v>85</v>
      </c>
      <c r="L92">
        <v>-0.17671899999999999</v>
      </c>
      <c r="M92">
        <v>-1065.27</v>
      </c>
      <c r="R92">
        <f t="shared" si="12"/>
        <v>4.5999999999999925</v>
      </c>
      <c r="S92">
        <v>85</v>
      </c>
      <c r="T92">
        <v>0.77074699999999996</v>
      </c>
      <c r="U92">
        <v>-984.23699999999997</v>
      </c>
      <c r="Z92">
        <f t="shared" si="13"/>
        <v>4.5999999999999925</v>
      </c>
      <c r="AA92">
        <v>85</v>
      </c>
      <c r="AB92">
        <v>-5.3491299999999997</v>
      </c>
      <c r="AC92">
        <v>150.20099999999999</v>
      </c>
      <c r="AH92">
        <f t="shared" si="14"/>
        <v>4.5999999999999925</v>
      </c>
      <c r="AI92">
        <v>85</v>
      </c>
      <c r="AJ92">
        <v>-3.56345</v>
      </c>
      <c r="AK92">
        <v>701.255</v>
      </c>
      <c r="AP92">
        <f t="shared" si="15"/>
        <v>4.5999999999999925</v>
      </c>
      <c r="AQ92">
        <v>85</v>
      </c>
      <c r="AR92">
        <v>-2.3355800000000002</v>
      </c>
      <c r="AS92">
        <v>331.79199999999997</v>
      </c>
      <c r="AX92">
        <f t="shared" si="16"/>
        <v>4.5999999999999925</v>
      </c>
      <c r="AY92">
        <v>85</v>
      </c>
      <c r="AZ92">
        <v>4.5515600000000003</v>
      </c>
      <c r="BA92">
        <v>692.375</v>
      </c>
      <c r="BF92">
        <f t="shared" si="17"/>
        <v>4.5999999999999925</v>
      </c>
      <c r="BG92">
        <v>85</v>
      </c>
      <c r="BH92">
        <v>-3.6139100000000002</v>
      </c>
      <c r="BI92">
        <v>175.35900000000001</v>
      </c>
      <c r="BN92">
        <f t="shared" si="18"/>
        <v>4.5999999999999925</v>
      </c>
      <c r="BO92">
        <v>85</v>
      </c>
      <c r="BP92">
        <v>-2.7476600000000002</v>
      </c>
      <c r="BQ92">
        <v>111.877</v>
      </c>
      <c r="BV92">
        <f t="shared" si="19"/>
        <v>4.5999999999999925</v>
      </c>
      <c r="BW92">
        <v>85</v>
      </c>
      <c r="BX92">
        <v>-2.9738199999999999</v>
      </c>
      <c r="BY92">
        <v>413.63200000000001</v>
      </c>
    </row>
    <row r="93" spans="2:77" x14ac:dyDescent="0.2">
      <c r="B93">
        <f t="shared" si="10"/>
        <v>4.6499999999999924</v>
      </c>
      <c r="C93">
        <v>86</v>
      </c>
      <c r="D93">
        <v>-0.68455600000000005</v>
      </c>
      <c r="E93">
        <v>-714.52</v>
      </c>
      <c r="J93">
        <f t="shared" si="11"/>
        <v>4.6499999999999924</v>
      </c>
      <c r="K93">
        <v>86</v>
      </c>
      <c r="L93">
        <v>-0.14657500000000001</v>
      </c>
      <c r="M93">
        <v>-1085.01</v>
      </c>
      <c r="R93">
        <f t="shared" si="12"/>
        <v>4.6499999999999924</v>
      </c>
      <c r="S93">
        <v>86</v>
      </c>
      <c r="T93">
        <v>0.79840100000000003</v>
      </c>
      <c r="U93">
        <v>-987.31600000000003</v>
      </c>
      <c r="Z93">
        <f t="shared" si="13"/>
        <v>4.6499999999999924</v>
      </c>
      <c r="AA93">
        <v>86</v>
      </c>
      <c r="AB93">
        <v>-5.35304</v>
      </c>
      <c r="AC93">
        <v>127.928</v>
      </c>
      <c r="AH93">
        <f t="shared" si="14"/>
        <v>4.6499999999999924</v>
      </c>
      <c r="AI93">
        <v>86</v>
      </c>
      <c r="AJ93">
        <v>-3.5831400000000002</v>
      </c>
      <c r="AK93">
        <v>702.47199999999998</v>
      </c>
      <c r="AP93">
        <f t="shared" si="15"/>
        <v>4.6499999999999924</v>
      </c>
      <c r="AQ93">
        <v>86</v>
      </c>
      <c r="AR93">
        <v>-2.3449</v>
      </c>
      <c r="AS93">
        <v>332.80399999999997</v>
      </c>
      <c r="AX93">
        <f t="shared" si="16"/>
        <v>4.6499999999999924</v>
      </c>
      <c r="AY93">
        <v>86</v>
      </c>
      <c r="AZ93">
        <v>4.5317600000000002</v>
      </c>
      <c r="BA93">
        <v>719.44899999999996</v>
      </c>
      <c r="BF93">
        <f t="shared" si="17"/>
        <v>4.6499999999999924</v>
      </c>
      <c r="BG93">
        <v>86</v>
      </c>
      <c r="BH93">
        <v>-3.6239499999999998</v>
      </c>
      <c r="BI93">
        <v>183.155</v>
      </c>
      <c r="BN93">
        <f t="shared" si="18"/>
        <v>4.6499999999999924</v>
      </c>
      <c r="BO93">
        <v>86</v>
      </c>
      <c r="BP93">
        <v>-2.7540399999999998</v>
      </c>
      <c r="BQ93">
        <v>115.81100000000001</v>
      </c>
      <c r="BV93">
        <f t="shared" si="19"/>
        <v>4.6499999999999924</v>
      </c>
      <c r="BW93">
        <v>86</v>
      </c>
      <c r="BX93">
        <v>-2.98529</v>
      </c>
      <c r="BY93">
        <v>404.67500000000001</v>
      </c>
    </row>
    <row r="94" spans="2:77" x14ac:dyDescent="0.2">
      <c r="B94">
        <f t="shared" si="10"/>
        <v>4.6999999999999922</v>
      </c>
      <c r="C94">
        <v>87</v>
      </c>
      <c r="D94">
        <v>-0.66448600000000002</v>
      </c>
      <c r="E94">
        <v>-732.49400000000003</v>
      </c>
      <c r="J94">
        <f t="shared" si="11"/>
        <v>4.6999999999999922</v>
      </c>
      <c r="K94">
        <v>87</v>
      </c>
      <c r="L94">
        <v>-0.115962</v>
      </c>
      <c r="M94">
        <v>-1122.42</v>
      </c>
      <c r="R94">
        <f t="shared" si="12"/>
        <v>4.6999999999999922</v>
      </c>
      <c r="S94">
        <v>87</v>
      </c>
      <c r="T94">
        <v>0.82596899999999995</v>
      </c>
      <c r="U94">
        <v>-999.08199999999999</v>
      </c>
      <c r="Z94">
        <f t="shared" si="13"/>
        <v>4.6999999999999922</v>
      </c>
      <c r="AA94">
        <v>87</v>
      </c>
      <c r="AB94">
        <v>-5.3562399999999997</v>
      </c>
      <c r="AC94">
        <v>101.774</v>
      </c>
      <c r="AH94">
        <f t="shared" si="14"/>
        <v>4.6999999999999922</v>
      </c>
      <c r="AI94">
        <v>87</v>
      </c>
      <c r="AJ94">
        <v>-3.6027499999999999</v>
      </c>
      <c r="AK94">
        <v>710.54100000000005</v>
      </c>
      <c r="AP94">
        <f t="shared" si="15"/>
        <v>4.6999999999999922</v>
      </c>
      <c r="AQ94">
        <v>87</v>
      </c>
      <c r="AR94">
        <v>-2.3542200000000002</v>
      </c>
      <c r="AS94">
        <v>339.45</v>
      </c>
      <c r="AX94">
        <f t="shared" si="16"/>
        <v>4.6999999999999922</v>
      </c>
      <c r="AY94">
        <v>87</v>
      </c>
      <c r="AZ94">
        <v>4.5113099999999999</v>
      </c>
      <c r="BA94">
        <v>754.64300000000003</v>
      </c>
      <c r="BF94">
        <f t="shared" si="17"/>
        <v>4.6999999999999922</v>
      </c>
      <c r="BG94">
        <v>87</v>
      </c>
      <c r="BH94">
        <v>-3.6344500000000002</v>
      </c>
      <c r="BI94">
        <v>195.45500000000001</v>
      </c>
      <c r="BN94">
        <f t="shared" si="18"/>
        <v>4.6999999999999922</v>
      </c>
      <c r="BO94">
        <v>87</v>
      </c>
      <c r="BP94">
        <v>-2.76065</v>
      </c>
      <c r="BQ94">
        <v>122.42400000000001</v>
      </c>
      <c r="BV94">
        <f t="shared" si="19"/>
        <v>4.6999999999999922</v>
      </c>
      <c r="BW94">
        <v>87</v>
      </c>
      <c r="BX94">
        <v>-2.9965000000000002</v>
      </c>
      <c r="BY94">
        <v>403.99900000000002</v>
      </c>
    </row>
    <row r="95" spans="2:77" x14ac:dyDescent="0.2">
      <c r="B95">
        <f t="shared" si="10"/>
        <v>4.749999999999992</v>
      </c>
      <c r="C95">
        <v>88</v>
      </c>
      <c r="D95">
        <v>-0.64402700000000002</v>
      </c>
      <c r="E95">
        <v>-757.24800000000005</v>
      </c>
      <c r="J95">
        <f t="shared" si="11"/>
        <v>4.749999999999992</v>
      </c>
      <c r="K95">
        <v>88</v>
      </c>
      <c r="L95">
        <v>-8.4439799999999995E-2</v>
      </c>
      <c r="M95">
        <v>-1173.8399999999999</v>
      </c>
      <c r="R95">
        <f t="shared" si="12"/>
        <v>4.749999999999992</v>
      </c>
      <c r="S95">
        <v>88</v>
      </c>
      <c r="T95">
        <v>0.853634</v>
      </c>
      <c r="U95">
        <v>-1014.67</v>
      </c>
      <c r="Z95">
        <f t="shared" si="13"/>
        <v>4.749999999999992</v>
      </c>
      <c r="AA95">
        <v>88</v>
      </c>
      <c r="AB95">
        <v>-5.3586299999999998</v>
      </c>
      <c r="AC95">
        <v>72.078999999999994</v>
      </c>
      <c r="AH95">
        <f t="shared" si="14"/>
        <v>4.749999999999992</v>
      </c>
      <c r="AI95">
        <v>88</v>
      </c>
      <c r="AJ95">
        <v>-3.62242</v>
      </c>
      <c r="AK95">
        <v>721.06600000000003</v>
      </c>
      <c r="AP95">
        <f t="shared" si="15"/>
        <v>4.749999999999992</v>
      </c>
      <c r="AQ95">
        <v>88</v>
      </c>
      <c r="AR95">
        <v>-2.36368</v>
      </c>
      <c r="AS95">
        <v>349.75200000000001</v>
      </c>
      <c r="AX95">
        <f t="shared" si="16"/>
        <v>4.749999999999992</v>
      </c>
      <c r="AY95">
        <v>88</v>
      </c>
      <c r="AZ95">
        <v>4.4900399999999996</v>
      </c>
      <c r="BA95">
        <v>793.05399999999997</v>
      </c>
      <c r="BF95">
        <f t="shared" si="17"/>
        <v>4.749999999999992</v>
      </c>
      <c r="BG95">
        <v>88</v>
      </c>
      <c r="BH95">
        <v>-3.6456</v>
      </c>
      <c r="BI95">
        <v>210.82</v>
      </c>
      <c r="BN95">
        <f t="shared" si="18"/>
        <v>4.749999999999992</v>
      </c>
      <c r="BO95">
        <v>88</v>
      </c>
      <c r="BP95">
        <v>-2.7675999999999998</v>
      </c>
      <c r="BQ95">
        <v>130.73699999999999</v>
      </c>
      <c r="BV95">
        <f t="shared" si="19"/>
        <v>4.749999999999992</v>
      </c>
      <c r="BW95">
        <v>88</v>
      </c>
      <c r="BX95">
        <v>-3.0076700000000001</v>
      </c>
      <c r="BY95">
        <v>409.62599999999998</v>
      </c>
    </row>
    <row r="96" spans="2:77" x14ac:dyDescent="0.2">
      <c r="B96">
        <f t="shared" si="10"/>
        <v>4.7999999999999918</v>
      </c>
      <c r="C96">
        <v>89</v>
      </c>
      <c r="D96">
        <v>-0.62312000000000001</v>
      </c>
      <c r="E96">
        <v>-779.32100000000003</v>
      </c>
      <c r="J96">
        <f t="shared" si="11"/>
        <v>4.7999999999999918</v>
      </c>
      <c r="K96">
        <v>89</v>
      </c>
      <c r="L96">
        <v>-5.1777299999999998E-2</v>
      </c>
      <c r="M96">
        <v>-1228.22</v>
      </c>
      <c r="R96">
        <f t="shared" si="12"/>
        <v>4.7999999999999918</v>
      </c>
      <c r="S96">
        <v>89</v>
      </c>
      <c r="T96">
        <v>0.88137699999999997</v>
      </c>
      <c r="U96">
        <v>-1024.21</v>
      </c>
      <c r="Z96">
        <f t="shared" si="13"/>
        <v>4.7999999999999918</v>
      </c>
      <c r="AA96">
        <v>89</v>
      </c>
      <c r="AB96">
        <v>-5.3601599999999996</v>
      </c>
      <c r="AC96">
        <v>40.041400000000003</v>
      </c>
      <c r="AH96">
        <f t="shared" si="14"/>
        <v>4.7999999999999918</v>
      </c>
      <c r="AI96">
        <v>89</v>
      </c>
      <c r="AJ96">
        <v>-3.6421100000000002</v>
      </c>
      <c r="AK96">
        <v>726.15300000000002</v>
      </c>
      <c r="AP96">
        <f t="shared" si="15"/>
        <v>4.7999999999999918</v>
      </c>
      <c r="AQ96">
        <v>89</v>
      </c>
      <c r="AR96">
        <v>-2.3733300000000002</v>
      </c>
      <c r="AS96">
        <v>359.63400000000001</v>
      </c>
      <c r="AX96">
        <f t="shared" si="16"/>
        <v>4.7999999999999918</v>
      </c>
      <c r="AY96">
        <v>89</v>
      </c>
      <c r="AZ96">
        <v>4.4680200000000001</v>
      </c>
      <c r="BA96">
        <v>825.14700000000005</v>
      </c>
      <c r="BF96">
        <f t="shared" si="17"/>
        <v>4.7999999999999918</v>
      </c>
      <c r="BG96">
        <v>89</v>
      </c>
      <c r="BH96">
        <v>-3.6574900000000001</v>
      </c>
      <c r="BI96">
        <v>226.22900000000001</v>
      </c>
      <c r="BN96">
        <f t="shared" si="18"/>
        <v>4.7999999999999918</v>
      </c>
      <c r="BO96">
        <v>89</v>
      </c>
      <c r="BP96">
        <v>-2.7749299999999999</v>
      </c>
      <c r="BQ96">
        <v>138.86099999999999</v>
      </c>
      <c r="BV96">
        <f t="shared" si="19"/>
        <v>4.7999999999999918</v>
      </c>
      <c r="BW96">
        <v>89</v>
      </c>
      <c r="BX96">
        <v>-3.01891</v>
      </c>
      <c r="BY96">
        <v>416.99799999999999</v>
      </c>
    </row>
    <row r="97" spans="2:77" x14ac:dyDescent="0.2">
      <c r="B97">
        <f t="shared" si="10"/>
        <v>4.8499999999999917</v>
      </c>
      <c r="C97">
        <v>90</v>
      </c>
      <c r="D97">
        <v>-0.60203899999999999</v>
      </c>
      <c r="E97">
        <v>-783.34299999999996</v>
      </c>
      <c r="J97">
        <f t="shared" si="11"/>
        <v>4.8499999999999917</v>
      </c>
      <c r="K97">
        <v>90</v>
      </c>
      <c r="L97">
        <v>-1.8193399999999998E-2</v>
      </c>
      <c r="M97">
        <v>-1262.6199999999999</v>
      </c>
      <c r="R97">
        <f t="shared" si="12"/>
        <v>4.8499999999999917</v>
      </c>
      <c r="S97">
        <v>90</v>
      </c>
      <c r="T97">
        <v>0.90882499999999999</v>
      </c>
      <c r="U97">
        <v>-1010.76</v>
      </c>
      <c r="Z97">
        <f t="shared" si="13"/>
        <v>4.8499999999999917</v>
      </c>
      <c r="AA97">
        <v>90</v>
      </c>
      <c r="AB97">
        <v>-5.3608099999999999</v>
      </c>
      <c r="AC97">
        <v>8.0813500000000005</v>
      </c>
      <c r="AH97">
        <f t="shared" si="14"/>
        <v>4.8499999999999917</v>
      </c>
      <c r="AI97">
        <v>90</v>
      </c>
      <c r="AJ97">
        <v>-3.66153</v>
      </c>
      <c r="AK97">
        <v>713.33799999999997</v>
      </c>
      <c r="AP97">
        <f t="shared" si="15"/>
        <v>4.8499999999999917</v>
      </c>
      <c r="AQ97">
        <v>90</v>
      </c>
      <c r="AR97">
        <v>-2.38307</v>
      </c>
      <c r="AS97">
        <v>362.13499999999999</v>
      </c>
      <c r="AX97">
        <f t="shared" si="16"/>
        <v>4.8499999999999917</v>
      </c>
      <c r="AY97">
        <v>90</v>
      </c>
      <c r="AZ97">
        <v>4.4456199999999999</v>
      </c>
      <c r="BA97">
        <v>835.11500000000001</v>
      </c>
      <c r="BF97">
        <f t="shared" si="17"/>
        <v>4.8499999999999917</v>
      </c>
      <c r="BG97">
        <v>90</v>
      </c>
      <c r="BH97">
        <v>-3.6699799999999998</v>
      </c>
      <c r="BI97">
        <v>236.465</v>
      </c>
      <c r="BN97">
        <f t="shared" si="18"/>
        <v>4.8499999999999917</v>
      </c>
      <c r="BO97">
        <v>90</v>
      </c>
      <c r="BP97">
        <v>-2.7825600000000001</v>
      </c>
      <c r="BQ97">
        <v>143.67400000000001</v>
      </c>
      <c r="BV97">
        <f t="shared" si="19"/>
        <v>4.8499999999999917</v>
      </c>
      <c r="BW97">
        <v>90</v>
      </c>
      <c r="BX97">
        <v>-3.03016</v>
      </c>
      <c r="BY97">
        <v>417.99</v>
      </c>
    </row>
    <row r="98" spans="2:77" x14ac:dyDescent="0.2">
      <c r="B98">
        <f t="shared" si="10"/>
        <v>4.8999999999999915</v>
      </c>
      <c r="C98">
        <v>91</v>
      </c>
      <c r="D98">
        <v>-0.58155500000000004</v>
      </c>
      <c r="E98">
        <v>-746.22299999999996</v>
      </c>
      <c r="J98">
        <f t="shared" si="11"/>
        <v>4.8999999999999915</v>
      </c>
      <c r="K98">
        <v>91</v>
      </c>
      <c r="L98">
        <v>1.52655E-2</v>
      </c>
      <c r="M98">
        <v>-1236.22</v>
      </c>
      <c r="R98">
        <f t="shared" si="12"/>
        <v>4.8999999999999915</v>
      </c>
      <c r="S98">
        <v>91</v>
      </c>
      <c r="T98">
        <v>0.93504399999999999</v>
      </c>
      <c r="U98">
        <v>-947.72500000000002</v>
      </c>
      <c r="Z98">
        <f t="shared" si="13"/>
        <v>4.8999999999999915</v>
      </c>
      <c r="AA98">
        <v>91</v>
      </c>
      <c r="AB98">
        <v>-5.3606400000000001</v>
      </c>
      <c r="AC98">
        <v>-19.713799999999999</v>
      </c>
      <c r="AH98">
        <f t="shared" si="14"/>
        <v>4.8999999999999915</v>
      </c>
      <c r="AI98">
        <v>91</v>
      </c>
      <c r="AJ98">
        <v>-3.67998</v>
      </c>
      <c r="AK98">
        <v>664.346</v>
      </c>
      <c r="AP98">
        <f t="shared" si="15"/>
        <v>4.8999999999999915</v>
      </c>
      <c r="AQ98">
        <v>91</v>
      </c>
      <c r="AR98">
        <v>-2.39256</v>
      </c>
      <c r="AS98">
        <v>346.43200000000002</v>
      </c>
      <c r="AX98">
        <f t="shared" si="16"/>
        <v>4.8999999999999915</v>
      </c>
      <c r="AY98">
        <v>91</v>
      </c>
      <c r="AZ98">
        <v>4.4237299999999999</v>
      </c>
      <c r="BA98">
        <v>798.93200000000002</v>
      </c>
      <c r="BF98">
        <f t="shared" si="17"/>
        <v>4.8999999999999915</v>
      </c>
      <c r="BG98">
        <v>91</v>
      </c>
      <c r="BH98">
        <v>-3.6825700000000001</v>
      </c>
      <c r="BI98">
        <v>233.40299999999999</v>
      </c>
      <c r="BN98">
        <f t="shared" si="18"/>
        <v>4.8999999999999915</v>
      </c>
      <c r="BO98">
        <v>91</v>
      </c>
      <c r="BP98">
        <v>-2.7901699999999998</v>
      </c>
      <c r="BQ98">
        <v>140.42699999999999</v>
      </c>
      <c r="BV98">
        <f t="shared" si="19"/>
        <v>4.8999999999999915</v>
      </c>
      <c r="BW98">
        <v>91</v>
      </c>
      <c r="BX98">
        <v>-3.0411100000000002</v>
      </c>
      <c r="BY98">
        <v>399.73</v>
      </c>
    </row>
    <row r="99" spans="2:77" x14ac:dyDescent="0.2">
      <c r="B99">
        <f t="shared" si="10"/>
        <v>4.9499999999999913</v>
      </c>
      <c r="C99">
        <v>92</v>
      </c>
      <c r="D99">
        <v>-0.56314799999999998</v>
      </c>
      <c r="E99">
        <v>-635.12099999999998</v>
      </c>
      <c r="J99">
        <f t="shared" si="11"/>
        <v>4.9499999999999913</v>
      </c>
      <c r="K99">
        <v>92</v>
      </c>
      <c r="L99">
        <v>4.6199900000000002E-2</v>
      </c>
      <c r="M99">
        <v>-1083.56</v>
      </c>
      <c r="R99">
        <f t="shared" si="12"/>
        <v>4.9499999999999913</v>
      </c>
      <c r="S99">
        <v>92</v>
      </c>
      <c r="T99">
        <v>0.95826900000000004</v>
      </c>
      <c r="U99">
        <v>-796.15499999999997</v>
      </c>
      <c r="Z99">
        <f t="shared" si="13"/>
        <v>4.9499999999999913</v>
      </c>
      <c r="AA99">
        <v>92</v>
      </c>
      <c r="AB99">
        <v>-5.3598600000000003</v>
      </c>
      <c r="AC99">
        <v>-37.040700000000001</v>
      </c>
      <c r="AH99">
        <f t="shared" si="14"/>
        <v>4.9499999999999913</v>
      </c>
      <c r="AI99">
        <v>92</v>
      </c>
      <c r="AJ99">
        <v>-3.6962000000000002</v>
      </c>
      <c r="AK99">
        <v>553.68799999999999</v>
      </c>
      <c r="AP99">
        <f t="shared" si="15"/>
        <v>4.9499999999999913</v>
      </c>
      <c r="AQ99">
        <v>92</v>
      </c>
      <c r="AR99">
        <v>-2.4011300000000002</v>
      </c>
      <c r="AS99">
        <v>296.71499999999997</v>
      </c>
      <c r="AX99">
        <f t="shared" si="16"/>
        <v>4.9499999999999913</v>
      </c>
      <c r="AY99">
        <v>92</v>
      </c>
      <c r="AZ99">
        <v>4.4039900000000003</v>
      </c>
      <c r="BA99">
        <v>682.09500000000003</v>
      </c>
      <c r="BF99">
        <f t="shared" si="17"/>
        <v>4.9499999999999913</v>
      </c>
      <c r="BG99">
        <v>92</v>
      </c>
      <c r="BH99">
        <v>-3.6942699999999999</v>
      </c>
      <c r="BI99">
        <v>205.17400000000001</v>
      </c>
      <c r="BN99">
        <f t="shared" si="18"/>
        <v>4.9499999999999913</v>
      </c>
      <c r="BO99">
        <v>92</v>
      </c>
      <c r="BP99">
        <v>-2.79718</v>
      </c>
      <c r="BQ99">
        <v>122.27800000000001</v>
      </c>
      <c r="BV99">
        <f t="shared" si="19"/>
        <v>4.9499999999999913</v>
      </c>
      <c r="BW99">
        <v>92</v>
      </c>
      <c r="BX99">
        <v>-3.0510100000000002</v>
      </c>
      <c r="BY99">
        <v>343.23099999999999</v>
      </c>
    </row>
    <row r="100" spans="2:77" x14ac:dyDescent="0.2">
      <c r="B100">
        <f t="shared" si="10"/>
        <v>4.9999999999999911</v>
      </c>
      <c r="C100">
        <v>93</v>
      </c>
      <c r="D100">
        <v>-0.549257</v>
      </c>
      <c r="E100">
        <v>-405.51100000000002</v>
      </c>
      <c r="J100">
        <f t="shared" si="11"/>
        <v>4.9999999999999911</v>
      </c>
      <c r="K100">
        <v>93</v>
      </c>
      <c r="L100">
        <v>7.0203100000000004E-2</v>
      </c>
      <c r="M100">
        <v>-710.37900000000002</v>
      </c>
      <c r="R100">
        <f t="shared" si="12"/>
        <v>4.9999999999999911</v>
      </c>
      <c r="S100">
        <v>93</v>
      </c>
      <c r="T100">
        <v>0.97558900000000004</v>
      </c>
      <c r="U100">
        <v>-502.66399999999999</v>
      </c>
      <c r="Z100">
        <f t="shared" si="13"/>
        <v>4.9999999999999911</v>
      </c>
      <c r="AA100">
        <v>93</v>
      </c>
      <c r="AB100">
        <v>-5.3588699999999996</v>
      </c>
      <c r="AC100">
        <v>-34.727600000000002</v>
      </c>
      <c r="AH100">
        <f t="shared" si="14"/>
        <v>4.9999999999999911</v>
      </c>
      <c r="AI100">
        <v>93</v>
      </c>
      <c r="AJ100">
        <v>-3.7082000000000002</v>
      </c>
      <c r="AK100">
        <v>347.11500000000001</v>
      </c>
      <c r="AP100">
        <f t="shared" si="15"/>
        <v>4.9999999999999911</v>
      </c>
      <c r="AQ100">
        <v>93</v>
      </c>
      <c r="AR100">
        <v>-2.4076399999999998</v>
      </c>
      <c r="AS100">
        <v>190.98099999999999</v>
      </c>
      <c r="AX100">
        <f t="shared" si="16"/>
        <v>4.9999999999999911</v>
      </c>
      <c r="AY100">
        <v>93</v>
      </c>
      <c r="AZ100">
        <v>4.3890500000000001</v>
      </c>
      <c r="BA100">
        <v>437.012</v>
      </c>
      <c r="BF100">
        <f t="shared" si="17"/>
        <v>4.9999999999999911</v>
      </c>
      <c r="BG100">
        <v>93</v>
      </c>
      <c r="BH100">
        <v>-3.7033700000000001</v>
      </c>
      <c r="BI100">
        <v>135.10400000000001</v>
      </c>
      <c r="BN100">
        <f t="shared" si="18"/>
        <v>4.9999999999999911</v>
      </c>
      <c r="BO100">
        <v>93</v>
      </c>
      <c r="BP100">
        <v>-2.8025799999999998</v>
      </c>
      <c r="BQ100">
        <v>79.744500000000002</v>
      </c>
      <c r="BV100">
        <f t="shared" si="19"/>
        <v>4.9999999999999911</v>
      </c>
      <c r="BW100">
        <v>93</v>
      </c>
      <c r="BX100">
        <v>-3.0585599999999999</v>
      </c>
      <c r="BY100">
        <v>221.90199999999999</v>
      </c>
    </row>
    <row r="101" spans="2:77" x14ac:dyDescent="0.2">
      <c r="B101">
        <f t="shared" si="10"/>
        <v>5.0499999999999909</v>
      </c>
      <c r="C101">
        <v>94</v>
      </c>
      <c r="D101">
        <v>-0.54356499999999996</v>
      </c>
      <c r="E101" s="3">
        <v>-1.6490899999999999E-10</v>
      </c>
      <c r="J101">
        <f t="shared" si="11"/>
        <v>5.0499999999999909</v>
      </c>
      <c r="K101">
        <v>94</v>
      </c>
      <c r="L101">
        <v>8.0244399999999994E-2</v>
      </c>
      <c r="M101" s="3">
        <v>-2.9364300000000001E-10</v>
      </c>
      <c r="R101">
        <f t="shared" si="12"/>
        <v>5.0499999999999909</v>
      </c>
      <c r="S101">
        <v>94</v>
      </c>
      <c r="T101">
        <v>0.98261900000000002</v>
      </c>
      <c r="U101" s="3">
        <v>-2.02111E-10</v>
      </c>
      <c r="Z101">
        <f t="shared" si="13"/>
        <v>5.0499999999999909</v>
      </c>
      <c r="AA101">
        <v>94</v>
      </c>
      <c r="AB101">
        <v>-5.3583299999999996</v>
      </c>
      <c r="AC101" s="3">
        <v>-1.7984499999999999E-11</v>
      </c>
      <c r="AH101">
        <f t="shared" si="14"/>
        <v>5.0499999999999909</v>
      </c>
      <c r="AI101">
        <v>94</v>
      </c>
      <c r="AJ101">
        <v>-3.71305</v>
      </c>
      <c r="AK101" s="3">
        <v>1.39146E-10</v>
      </c>
      <c r="AP101">
        <f t="shared" si="15"/>
        <v>5.0499999999999909</v>
      </c>
      <c r="AQ101">
        <v>94</v>
      </c>
      <c r="AR101">
        <v>-2.4103300000000001</v>
      </c>
      <c r="AS101" s="3">
        <v>7.8423799999999995E-11</v>
      </c>
      <c r="AX101">
        <f t="shared" si="16"/>
        <v>5.0499999999999909</v>
      </c>
      <c r="AY101">
        <v>94</v>
      </c>
      <c r="AZ101">
        <v>4.3829099999999999</v>
      </c>
      <c r="BA101" s="3">
        <v>1.7870299999999999E-10</v>
      </c>
      <c r="BF101">
        <f t="shared" si="17"/>
        <v>5.0499999999999909</v>
      </c>
      <c r="BG101">
        <v>94</v>
      </c>
      <c r="BH101">
        <v>-3.7072099999999999</v>
      </c>
      <c r="BI101" s="3">
        <v>5.6776899999999997E-11</v>
      </c>
      <c r="BN101">
        <f t="shared" si="18"/>
        <v>5.0499999999999909</v>
      </c>
      <c r="BO101">
        <v>94</v>
      </c>
      <c r="BP101">
        <v>-2.8048299999999999</v>
      </c>
      <c r="BQ101" s="3">
        <v>3.3140899999999997E-11</v>
      </c>
      <c r="BV101">
        <f t="shared" si="19"/>
        <v>5.0499999999999909</v>
      </c>
      <c r="BW101">
        <v>94</v>
      </c>
      <c r="BX101">
        <v>-3.06169</v>
      </c>
      <c r="BY101" s="3">
        <v>9.1665300000000006E-11</v>
      </c>
    </row>
    <row r="102" spans="2:77" x14ac:dyDescent="0.2">
      <c r="B102">
        <f t="shared" si="10"/>
        <v>5.0999999999999908</v>
      </c>
      <c r="C102">
        <v>95</v>
      </c>
      <c r="D102">
        <v>-0.54356499999999996</v>
      </c>
      <c r="E102">
        <v>0</v>
      </c>
      <c r="J102">
        <f t="shared" si="11"/>
        <v>5.0999999999999908</v>
      </c>
      <c r="K102">
        <v>95</v>
      </c>
      <c r="L102">
        <v>8.0244399999999994E-2</v>
      </c>
      <c r="M102">
        <v>0</v>
      </c>
      <c r="R102">
        <f t="shared" si="12"/>
        <v>5.0999999999999908</v>
      </c>
      <c r="S102">
        <v>95</v>
      </c>
      <c r="T102">
        <v>0.98261900000000002</v>
      </c>
      <c r="U102">
        <v>0</v>
      </c>
      <c r="Z102">
        <f t="shared" si="13"/>
        <v>5.0999999999999908</v>
      </c>
      <c r="AA102">
        <v>95</v>
      </c>
      <c r="AB102">
        <v>-5.3583299999999996</v>
      </c>
      <c r="AC102">
        <v>0</v>
      </c>
      <c r="AH102">
        <f t="shared" si="14"/>
        <v>5.0999999999999908</v>
      </c>
      <c r="AI102">
        <v>95</v>
      </c>
      <c r="AJ102">
        <v>-3.71305</v>
      </c>
      <c r="AK102">
        <v>0</v>
      </c>
      <c r="AP102">
        <f t="shared" si="15"/>
        <v>5.0999999999999908</v>
      </c>
      <c r="AQ102">
        <v>95</v>
      </c>
      <c r="AR102">
        <v>-2.4103300000000001</v>
      </c>
      <c r="AS102">
        <v>0</v>
      </c>
      <c r="AX102">
        <f t="shared" si="16"/>
        <v>5.0999999999999908</v>
      </c>
      <c r="AY102">
        <v>95</v>
      </c>
      <c r="AZ102">
        <v>4.3829099999999999</v>
      </c>
      <c r="BA102">
        <v>0</v>
      </c>
      <c r="BF102">
        <f t="shared" si="17"/>
        <v>5.0999999999999908</v>
      </c>
      <c r="BG102">
        <v>95</v>
      </c>
      <c r="BH102">
        <v>-3.7072099999999999</v>
      </c>
      <c r="BI102">
        <v>0</v>
      </c>
      <c r="BN102">
        <f t="shared" si="18"/>
        <v>5.0999999999999908</v>
      </c>
      <c r="BO102">
        <v>95</v>
      </c>
      <c r="BP102">
        <v>-2.8048299999999999</v>
      </c>
      <c r="BQ102">
        <v>0</v>
      </c>
      <c r="BV102">
        <f t="shared" si="19"/>
        <v>5.0999999999999908</v>
      </c>
      <c r="BW102">
        <v>95</v>
      </c>
      <c r="BX102">
        <v>-3.06169</v>
      </c>
      <c r="BY102">
        <v>0</v>
      </c>
    </row>
    <row r="103" spans="2:77" x14ac:dyDescent="0.2">
      <c r="B103">
        <f t="shared" si="10"/>
        <v>5.1499999999999906</v>
      </c>
      <c r="C103">
        <v>96</v>
      </c>
      <c r="D103">
        <v>-0.54356499999999996</v>
      </c>
      <c r="E103">
        <v>0</v>
      </c>
      <c r="J103">
        <f t="shared" si="11"/>
        <v>5.1499999999999906</v>
      </c>
      <c r="K103">
        <v>96</v>
      </c>
      <c r="L103">
        <v>8.0244399999999994E-2</v>
      </c>
      <c r="M103">
        <v>0</v>
      </c>
      <c r="R103">
        <f t="shared" si="12"/>
        <v>5.1499999999999906</v>
      </c>
      <c r="S103">
        <v>96</v>
      </c>
      <c r="T103">
        <v>0.98261900000000002</v>
      </c>
      <c r="U103">
        <v>0</v>
      </c>
      <c r="Z103">
        <f t="shared" si="13"/>
        <v>5.1499999999999906</v>
      </c>
      <c r="AA103">
        <v>96</v>
      </c>
      <c r="AB103">
        <v>-5.3583299999999996</v>
      </c>
      <c r="AC103">
        <v>0</v>
      </c>
      <c r="AH103">
        <f t="shared" si="14"/>
        <v>5.1499999999999906</v>
      </c>
      <c r="AI103">
        <v>96</v>
      </c>
      <c r="AJ103">
        <v>-3.71305</v>
      </c>
      <c r="AK103">
        <v>0</v>
      </c>
      <c r="AP103">
        <f t="shared" si="15"/>
        <v>5.1499999999999906</v>
      </c>
      <c r="AQ103">
        <v>96</v>
      </c>
      <c r="AR103">
        <v>-2.4103300000000001</v>
      </c>
      <c r="AS103">
        <v>0</v>
      </c>
      <c r="AX103">
        <f t="shared" si="16"/>
        <v>5.1499999999999906</v>
      </c>
      <c r="AY103">
        <v>96</v>
      </c>
      <c r="AZ103">
        <v>4.3829099999999999</v>
      </c>
      <c r="BA103">
        <v>0</v>
      </c>
      <c r="BF103">
        <f t="shared" si="17"/>
        <v>5.1499999999999906</v>
      </c>
      <c r="BG103">
        <v>96</v>
      </c>
      <c r="BH103">
        <v>-3.7072099999999999</v>
      </c>
      <c r="BI103">
        <v>0</v>
      </c>
      <c r="BN103">
        <f t="shared" si="18"/>
        <v>5.1499999999999906</v>
      </c>
      <c r="BO103">
        <v>96</v>
      </c>
      <c r="BP103">
        <v>-2.8048299999999999</v>
      </c>
      <c r="BQ103">
        <v>0</v>
      </c>
      <c r="BV103">
        <f t="shared" si="19"/>
        <v>5.1499999999999906</v>
      </c>
      <c r="BW103">
        <v>96</v>
      </c>
      <c r="BX103">
        <v>-3.06169</v>
      </c>
      <c r="BY103">
        <v>0</v>
      </c>
    </row>
    <row r="104" spans="2:77" x14ac:dyDescent="0.2">
      <c r="B104">
        <f t="shared" si="10"/>
        <v>5.1999999999999904</v>
      </c>
      <c r="C104">
        <v>97</v>
      </c>
      <c r="D104">
        <v>-0.54356499999999996</v>
      </c>
      <c r="E104">
        <v>0</v>
      </c>
      <c r="J104">
        <f t="shared" si="11"/>
        <v>5.1999999999999904</v>
      </c>
      <c r="K104">
        <v>97</v>
      </c>
      <c r="L104">
        <v>8.0244399999999994E-2</v>
      </c>
      <c r="M104">
        <v>0</v>
      </c>
      <c r="R104">
        <f t="shared" si="12"/>
        <v>5.1999999999999904</v>
      </c>
      <c r="S104">
        <v>97</v>
      </c>
      <c r="T104">
        <v>0.98261900000000002</v>
      </c>
      <c r="U104">
        <v>0</v>
      </c>
      <c r="Z104">
        <f t="shared" si="13"/>
        <v>5.1999999999999904</v>
      </c>
      <c r="AA104">
        <v>97</v>
      </c>
      <c r="AB104">
        <v>-5.3583299999999996</v>
      </c>
      <c r="AC104">
        <v>0</v>
      </c>
      <c r="AH104">
        <f t="shared" si="14"/>
        <v>5.1999999999999904</v>
      </c>
      <c r="AI104">
        <v>97</v>
      </c>
      <c r="AJ104">
        <v>-3.71305</v>
      </c>
      <c r="AK104">
        <v>0</v>
      </c>
      <c r="AP104">
        <f t="shared" si="15"/>
        <v>5.1999999999999904</v>
      </c>
      <c r="AQ104">
        <v>97</v>
      </c>
      <c r="AR104">
        <v>-2.4103300000000001</v>
      </c>
      <c r="AS104">
        <v>0</v>
      </c>
      <c r="AX104">
        <f t="shared" si="16"/>
        <v>5.1999999999999904</v>
      </c>
      <c r="AY104">
        <v>97</v>
      </c>
      <c r="AZ104">
        <v>4.3829099999999999</v>
      </c>
      <c r="BA104">
        <v>0</v>
      </c>
      <c r="BF104">
        <f t="shared" si="17"/>
        <v>5.1999999999999904</v>
      </c>
      <c r="BG104">
        <v>97</v>
      </c>
      <c r="BH104">
        <v>-3.7072099999999999</v>
      </c>
      <c r="BI104">
        <v>0</v>
      </c>
      <c r="BN104">
        <f t="shared" si="18"/>
        <v>5.1999999999999904</v>
      </c>
      <c r="BO104">
        <v>97</v>
      </c>
      <c r="BP104">
        <v>-2.8048299999999999</v>
      </c>
      <c r="BQ104">
        <v>0</v>
      </c>
      <c r="BV104">
        <f t="shared" si="19"/>
        <v>5.1999999999999904</v>
      </c>
      <c r="BW104">
        <v>97</v>
      </c>
      <c r="BX104">
        <v>-3.06169</v>
      </c>
      <c r="BY104">
        <v>0</v>
      </c>
    </row>
    <row r="105" spans="2:77" x14ac:dyDescent="0.2">
      <c r="B105">
        <f t="shared" si="10"/>
        <v>5.2499999999999902</v>
      </c>
      <c r="C105">
        <v>98</v>
      </c>
      <c r="D105">
        <v>-0.54356499999999996</v>
      </c>
      <c r="E105">
        <v>0</v>
      </c>
      <c r="J105">
        <f t="shared" si="11"/>
        <v>5.2499999999999902</v>
      </c>
      <c r="K105">
        <v>98</v>
      </c>
      <c r="L105">
        <v>8.0244399999999994E-2</v>
      </c>
      <c r="M105">
        <v>0</v>
      </c>
      <c r="R105">
        <f t="shared" si="12"/>
        <v>5.2499999999999902</v>
      </c>
      <c r="S105">
        <v>98</v>
      </c>
      <c r="T105">
        <v>0.98261900000000002</v>
      </c>
      <c r="U105">
        <v>0</v>
      </c>
      <c r="Z105">
        <f t="shared" si="13"/>
        <v>5.2499999999999902</v>
      </c>
      <c r="AA105">
        <v>98</v>
      </c>
      <c r="AB105">
        <v>-5.3583299999999996</v>
      </c>
      <c r="AC105">
        <v>0</v>
      </c>
      <c r="AH105">
        <f t="shared" si="14"/>
        <v>5.2499999999999902</v>
      </c>
      <c r="AI105">
        <v>98</v>
      </c>
      <c r="AJ105">
        <v>-3.71305</v>
      </c>
      <c r="AK105">
        <v>0</v>
      </c>
      <c r="AP105">
        <f t="shared" si="15"/>
        <v>5.2499999999999902</v>
      </c>
      <c r="AQ105">
        <v>98</v>
      </c>
      <c r="AR105">
        <v>-2.4103300000000001</v>
      </c>
      <c r="AS105">
        <v>0</v>
      </c>
      <c r="AX105">
        <f t="shared" si="16"/>
        <v>5.2499999999999902</v>
      </c>
      <c r="AY105">
        <v>98</v>
      </c>
      <c r="AZ105">
        <v>4.3829099999999999</v>
      </c>
      <c r="BA105">
        <v>0</v>
      </c>
      <c r="BF105">
        <f t="shared" si="17"/>
        <v>5.2499999999999902</v>
      </c>
      <c r="BG105">
        <v>98</v>
      </c>
      <c r="BH105">
        <v>-3.7072099999999999</v>
      </c>
      <c r="BI105">
        <v>0</v>
      </c>
      <c r="BN105">
        <f t="shared" si="18"/>
        <v>5.2499999999999902</v>
      </c>
      <c r="BO105">
        <v>98</v>
      </c>
      <c r="BP105">
        <v>-2.8048299999999999</v>
      </c>
      <c r="BQ105">
        <v>0</v>
      </c>
      <c r="BV105">
        <f t="shared" si="19"/>
        <v>5.2499999999999902</v>
      </c>
      <c r="BW105">
        <v>98</v>
      </c>
      <c r="BX105">
        <v>-3.06169</v>
      </c>
      <c r="BY105">
        <v>0</v>
      </c>
    </row>
    <row r="106" spans="2:77" x14ac:dyDescent="0.2">
      <c r="B106">
        <f t="shared" si="10"/>
        <v>5.2999999999999901</v>
      </c>
      <c r="C106">
        <v>99</v>
      </c>
      <c r="D106">
        <v>-0.54356499999999996</v>
      </c>
      <c r="E106">
        <v>0</v>
      </c>
      <c r="J106">
        <f t="shared" si="11"/>
        <v>5.2999999999999901</v>
      </c>
      <c r="K106">
        <v>99</v>
      </c>
      <c r="L106">
        <v>8.0244399999999994E-2</v>
      </c>
      <c r="M106">
        <v>0</v>
      </c>
      <c r="R106">
        <f t="shared" si="12"/>
        <v>5.2999999999999901</v>
      </c>
      <c r="S106">
        <v>99</v>
      </c>
      <c r="T106">
        <v>0.98261900000000002</v>
      </c>
      <c r="U106">
        <v>0</v>
      </c>
      <c r="Z106">
        <f t="shared" si="13"/>
        <v>5.2999999999999901</v>
      </c>
      <c r="AA106">
        <v>99</v>
      </c>
      <c r="AB106">
        <v>-5.3583299999999996</v>
      </c>
      <c r="AC106">
        <v>0</v>
      </c>
      <c r="AH106">
        <f t="shared" si="14"/>
        <v>5.2999999999999901</v>
      </c>
      <c r="AI106">
        <v>99</v>
      </c>
      <c r="AJ106">
        <v>-3.71305</v>
      </c>
      <c r="AK106">
        <v>0</v>
      </c>
      <c r="AP106">
        <f t="shared" si="15"/>
        <v>5.2999999999999901</v>
      </c>
      <c r="AQ106">
        <v>99</v>
      </c>
      <c r="AR106">
        <v>-2.4103300000000001</v>
      </c>
      <c r="AS106">
        <v>0</v>
      </c>
      <c r="AX106">
        <f t="shared" si="16"/>
        <v>5.2999999999999901</v>
      </c>
      <c r="AY106">
        <v>99</v>
      </c>
      <c r="AZ106">
        <v>4.3829099999999999</v>
      </c>
      <c r="BA106">
        <v>0</v>
      </c>
      <c r="BF106">
        <f t="shared" si="17"/>
        <v>5.2999999999999901</v>
      </c>
      <c r="BG106">
        <v>99</v>
      </c>
      <c r="BH106">
        <v>-3.7072099999999999</v>
      </c>
      <c r="BI106">
        <v>0</v>
      </c>
      <c r="BN106">
        <f t="shared" si="18"/>
        <v>5.2999999999999901</v>
      </c>
      <c r="BO106">
        <v>99</v>
      </c>
      <c r="BP106">
        <v>-2.8048299999999999</v>
      </c>
      <c r="BQ106">
        <v>0</v>
      </c>
      <c r="BV106">
        <f t="shared" si="19"/>
        <v>5.2999999999999901</v>
      </c>
      <c r="BW106">
        <v>99</v>
      </c>
      <c r="BX106">
        <v>-3.06169</v>
      </c>
      <c r="BY106">
        <v>0</v>
      </c>
    </row>
    <row r="107" spans="2:77" x14ac:dyDescent="0.2">
      <c r="B107">
        <f t="shared" si="10"/>
        <v>5.3499999999999899</v>
      </c>
      <c r="C107">
        <v>100</v>
      </c>
      <c r="D107">
        <v>-0.54356499999999996</v>
      </c>
      <c r="E107">
        <v>0</v>
      </c>
      <c r="J107">
        <f t="shared" si="11"/>
        <v>5.3499999999999899</v>
      </c>
      <c r="K107">
        <v>100</v>
      </c>
      <c r="L107">
        <v>8.0244399999999994E-2</v>
      </c>
      <c r="M107">
        <v>0</v>
      </c>
      <c r="R107">
        <f t="shared" si="12"/>
        <v>5.3499999999999899</v>
      </c>
      <c r="S107">
        <v>100</v>
      </c>
      <c r="T107">
        <v>0.98261900000000002</v>
      </c>
      <c r="U107">
        <v>0</v>
      </c>
      <c r="Z107">
        <f t="shared" si="13"/>
        <v>5.3499999999999899</v>
      </c>
      <c r="AA107">
        <v>100</v>
      </c>
      <c r="AB107">
        <v>-5.3583299999999996</v>
      </c>
      <c r="AC107">
        <v>0</v>
      </c>
      <c r="AH107">
        <f t="shared" si="14"/>
        <v>5.3499999999999899</v>
      </c>
      <c r="AI107">
        <v>100</v>
      </c>
      <c r="AJ107">
        <v>-3.71305</v>
      </c>
      <c r="AK107">
        <v>0</v>
      </c>
      <c r="AP107">
        <f t="shared" si="15"/>
        <v>5.3499999999999899</v>
      </c>
      <c r="AQ107">
        <v>100</v>
      </c>
      <c r="AR107">
        <v>-2.4103300000000001</v>
      </c>
      <c r="AS107">
        <v>0</v>
      </c>
      <c r="AX107">
        <f t="shared" si="16"/>
        <v>5.3499999999999899</v>
      </c>
      <c r="AY107">
        <v>100</v>
      </c>
      <c r="AZ107">
        <v>4.3829099999999999</v>
      </c>
      <c r="BA107">
        <v>0</v>
      </c>
      <c r="BF107">
        <f t="shared" si="17"/>
        <v>5.3499999999999899</v>
      </c>
      <c r="BG107">
        <v>100</v>
      </c>
      <c r="BH107">
        <v>-3.7072099999999999</v>
      </c>
      <c r="BI107">
        <v>0</v>
      </c>
      <c r="BN107">
        <f t="shared" si="18"/>
        <v>5.3499999999999899</v>
      </c>
      <c r="BO107">
        <v>100</v>
      </c>
      <c r="BP107">
        <v>-2.8048299999999999</v>
      </c>
      <c r="BQ107">
        <v>0</v>
      </c>
      <c r="BV107">
        <f t="shared" si="19"/>
        <v>5.3499999999999899</v>
      </c>
      <c r="BW107">
        <v>100</v>
      </c>
      <c r="BX107">
        <v>-3.06169</v>
      </c>
      <c r="BY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LiKNaCl MTP 18C</vt:lpstr>
      <vt:lpstr>LiCl-KCl</vt:lpstr>
      <vt:lpstr>LiCl-NaCl</vt:lpstr>
      <vt:lpstr>KCl-NaCl</vt:lpstr>
      <vt:lpstr>LiKNaCl ternaries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2025-12-04T21:33:19Z</dcterms:modified>
</cp:coreProperties>
</file>