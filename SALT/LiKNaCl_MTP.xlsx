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7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beeler/projects/spreadsheets/SALT/"/>
    </mc:Choice>
  </mc:AlternateContent>
  <xr:revisionPtr revIDLastSave="0" documentId="13_ncr:1_{595815D9-B74C-C940-B45A-0824D11EB1D3}" xr6:coauthVersionLast="47" xr6:coauthVersionMax="47" xr10:uidLastSave="{00000000-0000-0000-0000-000000000000}"/>
  <bookViews>
    <workbookView xWindow="4060" yWindow="1180" windowWidth="26860" windowHeight="19440" xr2:uid="{263A2D24-7DC2-114A-B34B-DF7FAD104BF4}"/>
  </bookViews>
  <sheets>
    <sheet name="LiKNaCl MTP 18C" sheetId="1" r:id="rId1"/>
    <sheet name="LiCl-KCl" sheetId="3" r:id="rId2"/>
    <sheet name="LiCl-NaCl" sheetId="4" r:id="rId3"/>
    <sheet name="KCl-NaCl" sheetId="5" r:id="rId4"/>
    <sheet name="LiKNaCl ternaries" sheetId="6" r:id="rId5"/>
    <sheet name="rdfs" sheetId="9" r:id="rId6"/>
    <sheet name="viscosity" sheetId="7" r:id="rId7"/>
    <sheet name="therm cond" sheetId="8" r:id="rId8"/>
    <sheet name="dimer EvsR" sheetId="2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4" i="6" l="1"/>
  <c r="H47" i="3"/>
  <c r="H46" i="3"/>
  <c r="G70" i="8"/>
  <c r="X35" i="8"/>
  <c r="X34" i="8"/>
  <c r="K34" i="8"/>
  <c r="X38" i="8"/>
  <c r="X30" i="8"/>
  <c r="X29" i="8"/>
  <c r="X31" i="8" s="1"/>
  <c r="X28" i="8"/>
  <c r="K37" i="8"/>
  <c r="K65" i="8"/>
  <c r="G72" i="8"/>
  <c r="G71" i="8"/>
  <c r="G73" i="8" s="1"/>
  <c r="K61" i="8" s="1"/>
  <c r="K62" i="8" s="1"/>
  <c r="O50" i="8"/>
  <c r="O51" i="8"/>
  <c r="O52" i="8"/>
  <c r="O53" i="8"/>
  <c r="O54" i="8"/>
  <c r="O49" i="8"/>
  <c r="H30" i="8"/>
  <c r="H29" i="8"/>
  <c r="H28" i="8"/>
  <c r="O38" i="8"/>
  <c r="O39" i="8"/>
  <c r="O40" i="8"/>
  <c r="O41" i="8"/>
  <c r="O42" i="8"/>
  <c r="O37" i="8"/>
  <c r="R80" i="7"/>
  <c r="S80" i="7" s="1"/>
  <c r="R77" i="7"/>
  <c r="S77" i="7" s="1"/>
  <c r="R76" i="7"/>
  <c r="S76" i="7" s="1"/>
  <c r="R75" i="7"/>
  <c r="S75" i="7" s="1"/>
  <c r="R74" i="7"/>
  <c r="S74" i="7" s="1"/>
  <c r="R73" i="7"/>
  <c r="S73" i="7" s="1"/>
  <c r="S81" i="7" s="1"/>
  <c r="R72" i="7"/>
  <c r="S72" i="7" s="1"/>
  <c r="R71" i="7"/>
  <c r="S71" i="7" s="1"/>
  <c r="R70" i="7"/>
  <c r="S70" i="7" s="1"/>
  <c r="R69" i="7"/>
  <c r="S69" i="7" s="1"/>
  <c r="R68" i="7"/>
  <c r="S68" i="7" s="1"/>
  <c r="R61" i="7"/>
  <c r="S61" i="7" s="1"/>
  <c r="R58" i="7"/>
  <c r="S58" i="7" s="1"/>
  <c r="R57" i="7"/>
  <c r="S57" i="7" s="1"/>
  <c r="R56" i="7"/>
  <c r="S56" i="7" s="1"/>
  <c r="R55" i="7"/>
  <c r="S55" i="7" s="1"/>
  <c r="R54" i="7"/>
  <c r="S54" i="7" s="1"/>
  <c r="R53" i="7"/>
  <c r="S53" i="7" s="1"/>
  <c r="R52" i="7"/>
  <c r="S52" i="7" s="1"/>
  <c r="R51" i="7"/>
  <c r="S51" i="7" s="1"/>
  <c r="R50" i="7"/>
  <c r="S50" i="7" s="1"/>
  <c r="R49" i="7"/>
  <c r="S49" i="7" s="1"/>
  <c r="J61" i="7"/>
  <c r="K61" i="7" s="1"/>
  <c r="J58" i="7"/>
  <c r="K58" i="7" s="1"/>
  <c r="J57" i="7"/>
  <c r="K57" i="7" s="1"/>
  <c r="J56" i="7"/>
  <c r="K56" i="7" s="1"/>
  <c r="J55" i="7"/>
  <c r="K55" i="7" s="1"/>
  <c r="J54" i="7"/>
  <c r="K54" i="7" s="1"/>
  <c r="K62" i="7" s="1"/>
  <c r="J53" i="7"/>
  <c r="K53" i="7" s="1"/>
  <c r="J52" i="7"/>
  <c r="K52" i="7" s="1"/>
  <c r="J51" i="7"/>
  <c r="K51" i="7" s="1"/>
  <c r="J50" i="7"/>
  <c r="K50" i="7" s="1"/>
  <c r="J49" i="7"/>
  <c r="K49" i="7" s="1"/>
  <c r="B53" i="7"/>
  <c r="B52" i="7"/>
  <c r="B51" i="7"/>
  <c r="B50" i="7"/>
  <c r="B49" i="7"/>
  <c r="B48" i="7"/>
  <c r="S40" i="7"/>
  <c r="T40" i="7" s="1"/>
  <c r="S37" i="7"/>
  <c r="T37" i="7" s="1"/>
  <c r="S36" i="7"/>
  <c r="T36" i="7" s="1"/>
  <c r="S35" i="7"/>
  <c r="T35" i="7" s="1"/>
  <c r="S34" i="7"/>
  <c r="T34" i="7" s="1"/>
  <c r="S33" i="7"/>
  <c r="T33" i="7" s="1"/>
  <c r="T41" i="7" s="1"/>
  <c r="S32" i="7"/>
  <c r="T32" i="7" s="1"/>
  <c r="S31" i="7"/>
  <c r="T31" i="7" s="1"/>
  <c r="S30" i="7"/>
  <c r="T30" i="7" s="1"/>
  <c r="S29" i="7"/>
  <c r="T29" i="7" s="1"/>
  <c r="S28" i="7"/>
  <c r="T28" i="7" s="1"/>
  <c r="K21" i="7"/>
  <c r="K66" i="8" l="1"/>
  <c r="K67" i="8" s="1"/>
  <c r="X39" i="8"/>
  <c r="X40" i="8" s="1"/>
  <c r="H31" i="8"/>
  <c r="K38" i="8"/>
  <c r="K39" i="8" s="1"/>
  <c r="S62" i="7"/>
  <c r="F46" i="6" a="1"/>
  <c r="F46" i="6" s="1"/>
  <c r="H46" i="6" s="1"/>
  <c r="F47" i="6" a="1"/>
  <c r="F47" i="6" s="1"/>
  <c r="H47" i="6" s="1"/>
  <c r="F48" i="6" a="1"/>
  <c r="F48" i="6" s="1"/>
  <c r="H48" i="6" s="1"/>
  <c r="F49" i="6" a="1"/>
  <c r="F49" i="6" s="1"/>
  <c r="H49" i="6" s="1"/>
  <c r="F50" i="6" a="1"/>
  <c r="F50" i="6" s="1"/>
  <c r="H50" i="6" s="1"/>
  <c r="F51" i="6" a="1"/>
  <c r="F51" i="6" s="1"/>
  <c r="H51" i="6" s="1"/>
  <c r="F52" i="6" a="1"/>
  <c r="F52" i="6" s="1"/>
  <c r="H52" i="6" s="1"/>
  <c r="F53" i="6" a="1"/>
  <c r="F53" i="6" s="1"/>
  <c r="H53" i="6" s="1"/>
  <c r="F54" i="6" a="1"/>
  <c r="F54" i="6" s="1"/>
  <c r="H54" i="6" s="1"/>
  <c r="F55" i="6" a="1"/>
  <c r="F55" i="6" s="1"/>
  <c r="H55" i="6" s="1"/>
  <c r="F56" i="6" a="1"/>
  <c r="F56" i="6" s="1"/>
  <c r="H56" i="6" s="1"/>
  <c r="F57" i="6" a="1"/>
  <c r="F57" i="6" s="1"/>
  <c r="H57" i="6" s="1"/>
  <c r="F45" i="6" a="1"/>
  <c r="F45" i="6" s="1"/>
  <c r="H45" i="6" s="1"/>
  <c r="O30" i="6"/>
  <c r="O33" i="6"/>
  <c r="F49" i="5" a="1"/>
  <c r="F49" i="5" s="1"/>
  <c r="H49" i="5" s="1"/>
  <c r="F39" i="5" a="1"/>
  <c r="F39" i="5" s="1"/>
  <c r="H39" i="5" s="1"/>
  <c r="F48" i="5" a="1"/>
  <c r="F48" i="5" s="1"/>
  <c r="H48" i="5" s="1"/>
  <c r="F47" i="5" a="1"/>
  <c r="F47" i="5" s="1"/>
  <c r="H47" i="5" s="1"/>
  <c r="F46" i="5" a="1"/>
  <c r="F46" i="5" s="1"/>
  <c r="H46" i="5" s="1"/>
  <c r="F45" i="5" a="1"/>
  <c r="F45" i="5" s="1"/>
  <c r="H45" i="5" s="1"/>
  <c r="F44" i="5" a="1"/>
  <c r="F44" i="5" s="1"/>
  <c r="H44" i="5" s="1"/>
  <c r="F43" i="5" a="1"/>
  <c r="F43" i="5" s="1"/>
  <c r="H43" i="5" s="1"/>
  <c r="F42" i="5" a="1"/>
  <c r="F42" i="5" s="1"/>
  <c r="H42" i="5" s="1"/>
  <c r="F41" i="5" a="1"/>
  <c r="F41" i="5" s="1"/>
  <c r="H41" i="5" s="1"/>
  <c r="F40" i="5" a="1"/>
  <c r="F40" i="5" s="1"/>
  <c r="H40" i="5" s="1"/>
  <c r="O24" i="5"/>
  <c r="O34" i="5"/>
  <c r="M34" i="5"/>
  <c r="N34" i="5" s="1"/>
  <c r="C34" i="5"/>
  <c r="B34" i="5"/>
  <c r="A34" i="5"/>
  <c r="O33" i="5"/>
  <c r="M33" i="5"/>
  <c r="N33" i="5" s="1"/>
  <c r="C33" i="5"/>
  <c r="B33" i="5"/>
  <c r="A33" i="5"/>
  <c r="O32" i="5"/>
  <c r="M32" i="5"/>
  <c r="N32" i="5" s="1"/>
  <c r="C32" i="5"/>
  <c r="B32" i="5"/>
  <c r="A32" i="5"/>
  <c r="O31" i="5"/>
  <c r="M31" i="5"/>
  <c r="N31" i="5" s="1"/>
  <c r="C31" i="5"/>
  <c r="B31" i="5"/>
  <c r="A31" i="5"/>
  <c r="O30" i="5"/>
  <c r="M30" i="5"/>
  <c r="N30" i="5" s="1"/>
  <c r="C30" i="5"/>
  <c r="B30" i="5"/>
  <c r="A30" i="5"/>
  <c r="O29" i="5"/>
  <c r="M29" i="5"/>
  <c r="N29" i="5" s="1"/>
  <c r="C29" i="5"/>
  <c r="B29" i="5"/>
  <c r="A29" i="5"/>
  <c r="O28" i="5"/>
  <c r="M28" i="5"/>
  <c r="N28" i="5" s="1"/>
  <c r="C28" i="5"/>
  <c r="B28" i="5"/>
  <c r="A28" i="5"/>
  <c r="O27" i="5"/>
  <c r="M27" i="5"/>
  <c r="N27" i="5" s="1"/>
  <c r="C27" i="5"/>
  <c r="B27" i="5"/>
  <c r="A27" i="5"/>
  <c r="O26" i="5"/>
  <c r="M26" i="5"/>
  <c r="N26" i="5" s="1"/>
  <c r="C26" i="5"/>
  <c r="B26" i="5"/>
  <c r="A26" i="5"/>
  <c r="O25" i="5"/>
  <c r="M25" i="5"/>
  <c r="N25" i="5" s="1"/>
  <c r="C25" i="5"/>
  <c r="B25" i="5"/>
  <c r="A25" i="5"/>
  <c r="M24" i="5"/>
  <c r="N24" i="5" s="1"/>
  <c r="C24" i="5"/>
  <c r="B24" i="5"/>
  <c r="A24" i="5"/>
  <c r="F40" i="4" a="1"/>
  <c r="F40" i="4" s="1"/>
  <c r="H40" i="4" s="1"/>
  <c r="F41" i="4" a="1"/>
  <c r="F41" i="4" s="1"/>
  <c r="H41" i="4" s="1"/>
  <c r="F42" i="4" a="1"/>
  <c r="F42" i="4" s="1"/>
  <c r="H42" i="4" s="1"/>
  <c r="F43" i="4" a="1"/>
  <c r="F43" i="4" s="1"/>
  <c r="H43" i="4" s="1"/>
  <c r="F44" i="4" a="1"/>
  <c r="F44" i="4" s="1"/>
  <c r="H44" i="4" s="1"/>
  <c r="F45" i="4" a="1"/>
  <c r="F45" i="4" s="1"/>
  <c r="H45" i="4" s="1"/>
  <c r="F46" i="4" a="1"/>
  <c r="F46" i="4" s="1"/>
  <c r="H46" i="4" s="1"/>
  <c r="F47" i="4" a="1"/>
  <c r="F47" i="4" s="1"/>
  <c r="H47" i="4" s="1"/>
  <c r="F48" i="4" a="1"/>
  <c r="F48" i="4" s="1"/>
  <c r="H48" i="4" s="1"/>
  <c r="F49" i="4" a="1"/>
  <c r="F49" i="4" s="1"/>
  <c r="H49" i="4" s="1"/>
  <c r="F39" i="4" a="1"/>
  <c r="F39" i="4" s="1"/>
  <c r="H39" i="4" s="1"/>
  <c r="O34" i="4"/>
  <c r="M34" i="4"/>
  <c r="N34" i="4" s="1"/>
  <c r="C34" i="4"/>
  <c r="B34" i="4"/>
  <c r="A34" i="4"/>
  <c r="O33" i="4"/>
  <c r="M33" i="4"/>
  <c r="N33" i="4" s="1"/>
  <c r="C33" i="4"/>
  <c r="B33" i="4"/>
  <c r="A33" i="4"/>
  <c r="O32" i="4"/>
  <c r="M32" i="4"/>
  <c r="N32" i="4" s="1"/>
  <c r="C32" i="4"/>
  <c r="B32" i="4"/>
  <c r="A32" i="4"/>
  <c r="O31" i="4"/>
  <c r="M31" i="4"/>
  <c r="N31" i="4" s="1"/>
  <c r="C31" i="4"/>
  <c r="B31" i="4"/>
  <c r="A31" i="4"/>
  <c r="O30" i="4"/>
  <c r="M30" i="4"/>
  <c r="N30" i="4" s="1"/>
  <c r="C30" i="4"/>
  <c r="B30" i="4"/>
  <c r="A30" i="4"/>
  <c r="O29" i="4"/>
  <c r="M29" i="4"/>
  <c r="N29" i="4" s="1"/>
  <c r="C29" i="4"/>
  <c r="B29" i="4"/>
  <c r="A29" i="4"/>
  <c r="O28" i="4"/>
  <c r="M28" i="4"/>
  <c r="N28" i="4" s="1"/>
  <c r="C28" i="4"/>
  <c r="B28" i="4"/>
  <c r="A28" i="4"/>
  <c r="O27" i="4"/>
  <c r="M27" i="4"/>
  <c r="N27" i="4" s="1"/>
  <c r="C27" i="4"/>
  <c r="B27" i="4"/>
  <c r="A27" i="4"/>
  <c r="O26" i="4"/>
  <c r="M26" i="4"/>
  <c r="N26" i="4" s="1"/>
  <c r="C26" i="4"/>
  <c r="B26" i="4"/>
  <c r="A26" i="4"/>
  <c r="O25" i="4"/>
  <c r="M25" i="4"/>
  <c r="N25" i="4" s="1"/>
  <c r="C25" i="4"/>
  <c r="B25" i="4"/>
  <c r="A25" i="4"/>
  <c r="O24" i="4"/>
  <c r="M24" i="4"/>
  <c r="N24" i="4" s="1"/>
  <c r="C24" i="4"/>
  <c r="B24" i="4"/>
  <c r="A24" i="4"/>
  <c r="F41" i="3" a="1"/>
  <c r="F41" i="3" s="1"/>
  <c r="H41" i="3" s="1"/>
  <c r="F42" i="3" a="1"/>
  <c r="F42" i="3" s="1"/>
  <c r="H42" i="3" s="1"/>
  <c r="F43" i="3" a="1"/>
  <c r="F43" i="3" s="1"/>
  <c r="H43" i="3" s="1"/>
  <c r="F44" i="3" a="1"/>
  <c r="F44" i="3" s="1"/>
  <c r="H44" i="3" s="1"/>
  <c r="F45" i="3" a="1"/>
  <c r="F45" i="3" s="1"/>
  <c r="H45" i="3" s="1"/>
  <c r="F46" i="3" a="1"/>
  <c r="F46" i="3" s="1"/>
  <c r="F47" i="3" a="1"/>
  <c r="F47" i="3" s="1"/>
  <c r="F48" i="3" a="1"/>
  <c r="F48" i="3" s="1"/>
  <c r="H48" i="3" s="1"/>
  <c r="F49" i="3" a="1"/>
  <c r="F49" i="3" s="1"/>
  <c r="H49" i="3" s="1"/>
  <c r="F50" i="3" a="1"/>
  <c r="F50" i="3" s="1"/>
  <c r="H50" i="3" s="1"/>
  <c r="F40" i="3" a="1"/>
  <c r="F40" i="3" s="1"/>
  <c r="H40" i="3" s="1"/>
  <c r="K33" i="8" l="1"/>
  <c r="O35" i="3"/>
  <c r="M35" i="3"/>
  <c r="N35" i="3" s="1"/>
  <c r="C35" i="3"/>
  <c r="B35" i="3"/>
  <c r="A35" i="3"/>
  <c r="O34" i="3"/>
  <c r="M34" i="3"/>
  <c r="N34" i="3" s="1"/>
  <c r="C34" i="3"/>
  <c r="B34" i="3"/>
  <c r="A34" i="3"/>
  <c r="O33" i="3"/>
  <c r="M33" i="3"/>
  <c r="N33" i="3" s="1"/>
  <c r="C33" i="3"/>
  <c r="B33" i="3"/>
  <c r="A33" i="3"/>
  <c r="O32" i="3"/>
  <c r="M32" i="3"/>
  <c r="N32" i="3" s="1"/>
  <c r="C32" i="3"/>
  <c r="B32" i="3"/>
  <c r="A32" i="3"/>
  <c r="O31" i="3"/>
  <c r="M31" i="3"/>
  <c r="N31" i="3" s="1"/>
  <c r="C31" i="3"/>
  <c r="B31" i="3"/>
  <c r="A31" i="3"/>
  <c r="O30" i="3"/>
  <c r="M30" i="3"/>
  <c r="N30" i="3" s="1"/>
  <c r="C30" i="3"/>
  <c r="B30" i="3"/>
  <c r="A30" i="3"/>
  <c r="O29" i="3"/>
  <c r="M29" i="3"/>
  <c r="N29" i="3" s="1"/>
  <c r="C29" i="3"/>
  <c r="B29" i="3"/>
  <c r="A29" i="3"/>
  <c r="O28" i="3"/>
  <c r="M28" i="3"/>
  <c r="N28" i="3" s="1"/>
  <c r="C28" i="3"/>
  <c r="B28" i="3"/>
  <c r="A28" i="3"/>
  <c r="O27" i="3"/>
  <c r="M27" i="3"/>
  <c r="N27" i="3" s="1"/>
  <c r="C27" i="3"/>
  <c r="B27" i="3"/>
  <c r="A27" i="3"/>
  <c r="O26" i="3"/>
  <c r="M26" i="3"/>
  <c r="N26" i="3" s="1"/>
  <c r="C26" i="3"/>
  <c r="B26" i="3"/>
  <c r="A26" i="3"/>
  <c r="O25" i="3"/>
  <c r="M25" i="3"/>
  <c r="N25" i="3" s="1"/>
  <c r="C25" i="3"/>
  <c r="B25" i="3"/>
  <c r="A25" i="3"/>
  <c r="S20" i="7"/>
  <c r="T20" i="7" s="1"/>
  <c r="S17" i="7"/>
  <c r="T17" i="7" s="1"/>
  <c r="S16" i="7"/>
  <c r="T16" i="7" s="1"/>
  <c r="S15" i="7"/>
  <c r="T15" i="7" s="1"/>
  <c r="S14" i="7"/>
  <c r="T14" i="7" s="1"/>
  <c r="S13" i="7"/>
  <c r="T13" i="7" s="1"/>
  <c r="T21" i="7" s="1"/>
  <c r="S12" i="7"/>
  <c r="T12" i="7" s="1"/>
  <c r="S11" i="7"/>
  <c r="T11" i="7" s="1"/>
  <c r="S10" i="7"/>
  <c r="T10" i="7" s="1"/>
  <c r="S9" i="7"/>
  <c r="T9" i="7" s="1"/>
  <c r="S8" i="7"/>
  <c r="T8" i="7" s="1"/>
  <c r="B13" i="7"/>
  <c r="B9" i="7"/>
  <c r="B10" i="7"/>
  <c r="B11" i="7"/>
  <c r="B12" i="7"/>
  <c r="B8" i="7"/>
  <c r="O39" i="6"/>
  <c r="M39" i="6"/>
  <c r="N39" i="6" s="1"/>
  <c r="C39" i="6"/>
  <c r="B39" i="6"/>
  <c r="A39" i="6"/>
  <c r="O38" i="6"/>
  <c r="M38" i="6"/>
  <c r="N38" i="6" s="1"/>
  <c r="C38" i="6"/>
  <c r="B38" i="6"/>
  <c r="A38" i="6"/>
  <c r="O37" i="6"/>
  <c r="M37" i="6"/>
  <c r="N37" i="6" s="1"/>
  <c r="C37" i="6"/>
  <c r="B37" i="6"/>
  <c r="A37" i="6"/>
  <c r="O36" i="6"/>
  <c r="M36" i="6"/>
  <c r="N36" i="6" s="1"/>
  <c r="C36" i="6"/>
  <c r="B36" i="6"/>
  <c r="A36" i="6"/>
  <c r="O35" i="6"/>
  <c r="M35" i="6"/>
  <c r="N35" i="6" s="1"/>
  <c r="C35" i="6"/>
  <c r="B35" i="6"/>
  <c r="A35" i="6"/>
  <c r="O34" i="6"/>
  <c r="M34" i="6"/>
  <c r="N34" i="6" s="1"/>
  <c r="C34" i="6"/>
  <c r="B34" i="6"/>
  <c r="A34" i="6"/>
  <c r="M33" i="6"/>
  <c r="N33" i="6" s="1"/>
  <c r="C33" i="6"/>
  <c r="B33" i="6"/>
  <c r="A33" i="6"/>
  <c r="O32" i="6"/>
  <c r="M32" i="6"/>
  <c r="N32" i="6" s="1"/>
  <c r="C32" i="6"/>
  <c r="B32" i="6"/>
  <c r="A32" i="6"/>
  <c r="O31" i="6"/>
  <c r="M31" i="6"/>
  <c r="N31" i="6" s="1"/>
  <c r="C31" i="6"/>
  <c r="B31" i="6"/>
  <c r="A31" i="6"/>
  <c r="M30" i="6"/>
  <c r="N30" i="6" s="1"/>
  <c r="C30" i="6"/>
  <c r="B30" i="6"/>
  <c r="A30" i="6"/>
  <c r="O29" i="6"/>
  <c r="M29" i="6"/>
  <c r="N29" i="6" s="1"/>
  <c r="C29" i="6"/>
  <c r="B29" i="6"/>
  <c r="A29" i="6"/>
  <c r="O28" i="6"/>
  <c r="M28" i="6"/>
  <c r="N28" i="6" s="1"/>
  <c r="C28" i="6"/>
  <c r="B28" i="6"/>
  <c r="A28" i="6"/>
  <c r="O27" i="6"/>
  <c r="M27" i="6"/>
  <c r="N27" i="6" s="1"/>
  <c r="C27" i="6"/>
  <c r="B27" i="6"/>
  <c r="A27" i="6"/>
  <c r="J20" i="7"/>
  <c r="K20" i="7" s="1"/>
  <c r="J9" i="7"/>
  <c r="K9" i="7" s="1"/>
  <c r="J10" i="7"/>
  <c r="K10" i="7" s="1"/>
  <c r="J11" i="7"/>
  <c r="K11" i="7" s="1"/>
  <c r="J12" i="7"/>
  <c r="K12" i="7" s="1"/>
  <c r="J13" i="7"/>
  <c r="K13" i="7" s="1"/>
  <c r="J14" i="7"/>
  <c r="K14" i="7" s="1"/>
  <c r="J15" i="7"/>
  <c r="K15" i="7"/>
  <c r="J16" i="7"/>
  <c r="K16" i="7"/>
  <c r="J17" i="7"/>
  <c r="K17" i="7" s="1"/>
  <c r="J8" i="7"/>
  <c r="K8" i="7" s="1"/>
  <c r="C9" i="3" l="1"/>
  <c r="C10" i="3"/>
  <c r="C11" i="3"/>
  <c r="C12" i="3"/>
  <c r="C13" i="3"/>
  <c r="C14" i="3"/>
  <c r="C15" i="3"/>
  <c r="C16" i="3"/>
  <c r="C17" i="3"/>
  <c r="C18" i="3"/>
  <c r="C8" i="3"/>
  <c r="C9" i="5"/>
  <c r="C10" i="5"/>
  <c r="C11" i="5"/>
  <c r="C12" i="5"/>
  <c r="C13" i="5"/>
  <c r="C14" i="5"/>
  <c r="C15" i="5"/>
  <c r="C16" i="5"/>
  <c r="C17" i="5"/>
  <c r="C18" i="5"/>
  <c r="C8" i="5"/>
  <c r="B9" i="5"/>
  <c r="B10" i="5"/>
  <c r="B11" i="5"/>
  <c r="B12" i="5"/>
  <c r="B13" i="5"/>
  <c r="B14" i="5"/>
  <c r="B15" i="5"/>
  <c r="B16" i="5"/>
  <c r="B17" i="5"/>
  <c r="B18" i="5"/>
  <c r="B8" i="5"/>
  <c r="A9" i="5"/>
  <c r="A10" i="5"/>
  <c r="A11" i="5"/>
  <c r="A12" i="5"/>
  <c r="A13" i="5"/>
  <c r="A14" i="5"/>
  <c r="A15" i="5"/>
  <c r="A16" i="5"/>
  <c r="A17" i="5"/>
  <c r="A18" i="5"/>
  <c r="A8" i="5"/>
  <c r="A8" i="4"/>
  <c r="C8" i="4"/>
  <c r="B9" i="4"/>
  <c r="B10" i="4"/>
  <c r="B11" i="4"/>
  <c r="B12" i="4"/>
  <c r="B13" i="4"/>
  <c r="B14" i="4"/>
  <c r="B15" i="4"/>
  <c r="B16" i="4"/>
  <c r="B17" i="4"/>
  <c r="B18" i="4"/>
  <c r="B8" i="4"/>
  <c r="A18" i="4"/>
  <c r="A17" i="4"/>
  <c r="A16" i="4"/>
  <c r="A15" i="4"/>
  <c r="A14" i="4"/>
  <c r="A13" i="4"/>
  <c r="A12" i="4"/>
  <c r="A11" i="4"/>
  <c r="A10" i="4"/>
  <c r="A9" i="4"/>
  <c r="A9" i="3"/>
  <c r="A10" i="3"/>
  <c r="A11" i="3"/>
  <c r="A12" i="3"/>
  <c r="A13" i="3"/>
  <c r="A14" i="3"/>
  <c r="A15" i="3"/>
  <c r="A16" i="3"/>
  <c r="A17" i="3"/>
  <c r="A18" i="3"/>
  <c r="A8" i="3"/>
  <c r="M20" i="6" l="1"/>
  <c r="N20" i="6" s="1"/>
  <c r="O20" i="6"/>
  <c r="A20" i="6"/>
  <c r="B20" i="6"/>
  <c r="C20" i="6"/>
  <c r="M19" i="6"/>
  <c r="N19" i="6" s="1"/>
  <c r="A14" i="6"/>
  <c r="B14" i="6"/>
  <c r="C14" i="6"/>
  <c r="M14" i="6"/>
  <c r="N14" i="6" s="1"/>
  <c r="A9" i="6" l="1"/>
  <c r="A10" i="6"/>
  <c r="A11" i="6"/>
  <c r="A12" i="6"/>
  <c r="A13" i="6"/>
  <c r="A15" i="6"/>
  <c r="A16" i="6"/>
  <c r="A17" i="6"/>
  <c r="A18" i="6"/>
  <c r="A19" i="6"/>
  <c r="A8" i="6"/>
  <c r="K17" i="1"/>
  <c r="L17" i="1" s="1"/>
  <c r="B8" i="6"/>
  <c r="C8" i="6"/>
  <c r="C16" i="6"/>
  <c r="C17" i="6"/>
  <c r="C18" i="6"/>
  <c r="C19" i="6"/>
  <c r="B16" i="6"/>
  <c r="B17" i="6"/>
  <c r="B18" i="6"/>
  <c r="B19" i="6"/>
  <c r="B9" i="6"/>
  <c r="B10" i="6"/>
  <c r="B11" i="6"/>
  <c r="B12" i="6"/>
  <c r="B13" i="6"/>
  <c r="B15" i="6"/>
  <c r="O19" i="6"/>
  <c r="O18" i="6"/>
  <c r="M18" i="6"/>
  <c r="N18" i="6" s="1"/>
  <c r="O17" i="6"/>
  <c r="M17" i="6"/>
  <c r="N17" i="6" s="1"/>
  <c r="O16" i="6"/>
  <c r="M16" i="6"/>
  <c r="N16" i="6" s="1"/>
  <c r="O15" i="6"/>
  <c r="M15" i="6"/>
  <c r="N15" i="6" s="1"/>
  <c r="C15" i="6"/>
  <c r="O13" i="6"/>
  <c r="M13" i="6"/>
  <c r="N13" i="6" s="1"/>
  <c r="C13" i="6"/>
  <c r="O12" i="6"/>
  <c r="M12" i="6"/>
  <c r="N12" i="6" s="1"/>
  <c r="C12" i="6"/>
  <c r="O11" i="6"/>
  <c r="M11" i="6"/>
  <c r="N11" i="6" s="1"/>
  <c r="C11" i="6"/>
  <c r="O10" i="6"/>
  <c r="M10" i="6"/>
  <c r="N10" i="6" s="1"/>
  <c r="C10" i="6"/>
  <c r="O9" i="6"/>
  <c r="M9" i="6"/>
  <c r="N9" i="6" s="1"/>
  <c r="C9" i="6"/>
  <c r="O8" i="6"/>
  <c r="M8" i="6"/>
  <c r="N8" i="6" s="1"/>
  <c r="C9" i="4" l="1"/>
  <c r="C10" i="4"/>
  <c r="C11" i="4"/>
  <c r="C12" i="4"/>
  <c r="C13" i="4"/>
  <c r="C14" i="4"/>
  <c r="C15" i="4"/>
  <c r="C16" i="4"/>
  <c r="C17" i="4"/>
  <c r="C18" i="4"/>
  <c r="O18" i="5"/>
  <c r="M18" i="5"/>
  <c r="N18" i="5" s="1"/>
  <c r="O17" i="5"/>
  <c r="M17" i="5"/>
  <c r="N17" i="5" s="1"/>
  <c r="O16" i="5"/>
  <c r="M16" i="5"/>
  <c r="N16" i="5" s="1"/>
  <c r="O15" i="5"/>
  <c r="M15" i="5"/>
  <c r="N15" i="5" s="1"/>
  <c r="O14" i="5"/>
  <c r="M14" i="5"/>
  <c r="N14" i="5" s="1"/>
  <c r="O13" i="5"/>
  <c r="M13" i="5"/>
  <c r="N13" i="5" s="1"/>
  <c r="O12" i="5"/>
  <c r="M12" i="5"/>
  <c r="N12" i="5" s="1"/>
  <c r="O11" i="5"/>
  <c r="M11" i="5"/>
  <c r="N11" i="5" s="1"/>
  <c r="O10" i="5"/>
  <c r="M10" i="5"/>
  <c r="N10" i="5" s="1"/>
  <c r="O9" i="5"/>
  <c r="M9" i="5"/>
  <c r="N9" i="5" s="1"/>
  <c r="O8" i="5"/>
  <c r="M8" i="5"/>
  <c r="N8" i="5" s="1"/>
  <c r="O18" i="4"/>
  <c r="M18" i="4"/>
  <c r="N18" i="4" s="1"/>
  <c r="O17" i="4"/>
  <c r="M17" i="4"/>
  <c r="N17" i="4" s="1"/>
  <c r="O16" i="4"/>
  <c r="M16" i="4"/>
  <c r="N16" i="4" s="1"/>
  <c r="O15" i="4"/>
  <c r="M15" i="4"/>
  <c r="N15" i="4" s="1"/>
  <c r="O14" i="4"/>
  <c r="M14" i="4"/>
  <c r="N14" i="4" s="1"/>
  <c r="O13" i="4"/>
  <c r="M13" i="4"/>
  <c r="N13" i="4" s="1"/>
  <c r="O12" i="4"/>
  <c r="M12" i="4"/>
  <c r="N12" i="4" s="1"/>
  <c r="O11" i="4"/>
  <c r="M11" i="4"/>
  <c r="N11" i="4" s="1"/>
  <c r="O10" i="4"/>
  <c r="M10" i="4"/>
  <c r="N10" i="4" s="1"/>
  <c r="O9" i="4"/>
  <c r="M9" i="4"/>
  <c r="N9" i="4" s="1"/>
  <c r="O8" i="4"/>
  <c r="M8" i="4"/>
  <c r="N8" i="4" s="1"/>
  <c r="B9" i="3"/>
  <c r="B10" i="3"/>
  <c r="B11" i="3"/>
  <c r="B12" i="3"/>
  <c r="B13" i="3"/>
  <c r="BV11" i="2"/>
  <c r="BV12" i="2"/>
  <c r="BV13" i="2"/>
  <c r="BV14" i="2"/>
  <c r="BV15" i="2" s="1"/>
  <c r="BV16" i="2" s="1"/>
  <c r="BV17" i="2" s="1"/>
  <c r="BV18" i="2" s="1"/>
  <c r="BV19" i="2" s="1"/>
  <c r="BV20" i="2" s="1"/>
  <c r="BV21" i="2" s="1"/>
  <c r="BV22" i="2" s="1"/>
  <c r="BV23" i="2" s="1"/>
  <c r="BV24" i="2" s="1"/>
  <c r="BV25" i="2" s="1"/>
  <c r="BV26" i="2" s="1"/>
  <c r="BV27" i="2" s="1"/>
  <c r="BV28" i="2" s="1"/>
  <c r="BV29" i="2" s="1"/>
  <c r="BV30" i="2" s="1"/>
  <c r="BV31" i="2" s="1"/>
  <c r="BV32" i="2" s="1"/>
  <c r="BV33" i="2" s="1"/>
  <c r="BV34" i="2" s="1"/>
  <c r="BV35" i="2" s="1"/>
  <c r="BV36" i="2" s="1"/>
  <c r="BV37" i="2" s="1"/>
  <c r="BV38" i="2" s="1"/>
  <c r="BV39" i="2" s="1"/>
  <c r="BV40" i="2" s="1"/>
  <c r="BV41" i="2" s="1"/>
  <c r="BV42" i="2" s="1"/>
  <c r="BV43" i="2" s="1"/>
  <c r="BV44" i="2" s="1"/>
  <c r="BV45" i="2" s="1"/>
  <c r="BV46" i="2" s="1"/>
  <c r="BV47" i="2" s="1"/>
  <c r="BV48" i="2" s="1"/>
  <c r="BV49" i="2" s="1"/>
  <c r="BV50" i="2" s="1"/>
  <c r="BV51" i="2" s="1"/>
  <c r="BV52" i="2" s="1"/>
  <c r="BV53" i="2" s="1"/>
  <c r="BV54" i="2" s="1"/>
  <c r="BV55" i="2" s="1"/>
  <c r="BV56" i="2" s="1"/>
  <c r="BV57" i="2" s="1"/>
  <c r="BV58" i="2" s="1"/>
  <c r="BV59" i="2" s="1"/>
  <c r="BV60" i="2" s="1"/>
  <c r="BV61" i="2" s="1"/>
  <c r="BV62" i="2" s="1"/>
  <c r="BV63" i="2" s="1"/>
  <c r="BV64" i="2" s="1"/>
  <c r="BV65" i="2" s="1"/>
  <c r="BV66" i="2" s="1"/>
  <c r="BV67" i="2" s="1"/>
  <c r="BV68" i="2" s="1"/>
  <c r="BV69" i="2" s="1"/>
  <c r="BV70" i="2" s="1"/>
  <c r="BV71" i="2" s="1"/>
  <c r="BV72" i="2" s="1"/>
  <c r="BV73" i="2" s="1"/>
  <c r="BV74" i="2" s="1"/>
  <c r="BV75" i="2" s="1"/>
  <c r="BV76" i="2" s="1"/>
  <c r="BV77" i="2" s="1"/>
  <c r="BV78" i="2" s="1"/>
  <c r="BV79" i="2" s="1"/>
  <c r="BV80" i="2" s="1"/>
  <c r="BV81" i="2" s="1"/>
  <c r="BV82" i="2" s="1"/>
  <c r="BV83" i="2" s="1"/>
  <c r="BV84" i="2" s="1"/>
  <c r="BV85" i="2" s="1"/>
  <c r="BV86" i="2" s="1"/>
  <c r="BV87" i="2" s="1"/>
  <c r="BV88" i="2" s="1"/>
  <c r="BV89" i="2" s="1"/>
  <c r="BV90" i="2" s="1"/>
  <c r="BV91" i="2" s="1"/>
  <c r="BV92" i="2" s="1"/>
  <c r="BV93" i="2" s="1"/>
  <c r="BV94" i="2" s="1"/>
  <c r="BV95" i="2" s="1"/>
  <c r="BV96" i="2" s="1"/>
  <c r="BV97" i="2" s="1"/>
  <c r="BV98" i="2" s="1"/>
  <c r="BV99" i="2" s="1"/>
  <c r="BV100" i="2" s="1"/>
  <c r="BV101" i="2" s="1"/>
  <c r="BV102" i="2" s="1"/>
  <c r="BV103" i="2" s="1"/>
  <c r="BV104" i="2" s="1"/>
  <c r="BV105" i="2" s="1"/>
  <c r="BV106" i="2" s="1"/>
  <c r="BV107" i="2" s="1"/>
  <c r="BN11" i="2"/>
  <c r="BN12" i="2" s="1"/>
  <c r="BN13" i="2" s="1"/>
  <c r="BN14" i="2" s="1"/>
  <c r="BN15" i="2" s="1"/>
  <c r="BN16" i="2" s="1"/>
  <c r="BN17" i="2" s="1"/>
  <c r="BN18" i="2" s="1"/>
  <c r="BN19" i="2" s="1"/>
  <c r="BN20" i="2" s="1"/>
  <c r="BN21" i="2" s="1"/>
  <c r="BN22" i="2" s="1"/>
  <c r="BN23" i="2" s="1"/>
  <c r="BN24" i="2" s="1"/>
  <c r="BN25" i="2" s="1"/>
  <c r="BN26" i="2" s="1"/>
  <c r="BN27" i="2" s="1"/>
  <c r="BN28" i="2" s="1"/>
  <c r="BN29" i="2" s="1"/>
  <c r="BN30" i="2" s="1"/>
  <c r="BN31" i="2" s="1"/>
  <c r="BN32" i="2" s="1"/>
  <c r="BN33" i="2" s="1"/>
  <c r="BN34" i="2" s="1"/>
  <c r="BN35" i="2" s="1"/>
  <c r="BN36" i="2" s="1"/>
  <c r="BN37" i="2" s="1"/>
  <c r="BN38" i="2" s="1"/>
  <c r="BN39" i="2" s="1"/>
  <c r="BN40" i="2" s="1"/>
  <c r="BN41" i="2" s="1"/>
  <c r="BN42" i="2" s="1"/>
  <c r="BN43" i="2" s="1"/>
  <c r="BN44" i="2" s="1"/>
  <c r="BN45" i="2" s="1"/>
  <c r="BN46" i="2" s="1"/>
  <c r="BN47" i="2" s="1"/>
  <c r="BN48" i="2" s="1"/>
  <c r="BN49" i="2" s="1"/>
  <c r="BN50" i="2" s="1"/>
  <c r="BN51" i="2" s="1"/>
  <c r="BN52" i="2" s="1"/>
  <c r="BN53" i="2" s="1"/>
  <c r="BN54" i="2" s="1"/>
  <c r="BN55" i="2" s="1"/>
  <c r="BN56" i="2" s="1"/>
  <c r="BN57" i="2" s="1"/>
  <c r="BN58" i="2" s="1"/>
  <c r="BN59" i="2" s="1"/>
  <c r="BN60" i="2" s="1"/>
  <c r="BN61" i="2" s="1"/>
  <c r="BN62" i="2" s="1"/>
  <c r="BN63" i="2" s="1"/>
  <c r="BN64" i="2" s="1"/>
  <c r="BN65" i="2" s="1"/>
  <c r="BN66" i="2" s="1"/>
  <c r="BN67" i="2" s="1"/>
  <c r="BN68" i="2" s="1"/>
  <c r="BN69" i="2" s="1"/>
  <c r="BN70" i="2" s="1"/>
  <c r="BN71" i="2" s="1"/>
  <c r="BN72" i="2" s="1"/>
  <c r="BN73" i="2" s="1"/>
  <c r="BN74" i="2" s="1"/>
  <c r="BN75" i="2" s="1"/>
  <c r="BN76" i="2" s="1"/>
  <c r="BN77" i="2" s="1"/>
  <c r="BN78" i="2" s="1"/>
  <c r="BN79" i="2" s="1"/>
  <c r="BN80" i="2" s="1"/>
  <c r="BN81" i="2" s="1"/>
  <c r="BN82" i="2" s="1"/>
  <c r="BN83" i="2" s="1"/>
  <c r="BN84" i="2" s="1"/>
  <c r="BN85" i="2" s="1"/>
  <c r="BN86" i="2" s="1"/>
  <c r="BN87" i="2" s="1"/>
  <c r="BN88" i="2" s="1"/>
  <c r="BN89" i="2" s="1"/>
  <c r="BN90" i="2" s="1"/>
  <c r="BN91" i="2" s="1"/>
  <c r="BN92" i="2" s="1"/>
  <c r="BN93" i="2" s="1"/>
  <c r="BN94" i="2" s="1"/>
  <c r="BN95" i="2" s="1"/>
  <c r="BN96" i="2" s="1"/>
  <c r="BN97" i="2" s="1"/>
  <c r="BN98" i="2" s="1"/>
  <c r="BN99" i="2" s="1"/>
  <c r="BN100" i="2" s="1"/>
  <c r="BN101" i="2" s="1"/>
  <c r="BN102" i="2" s="1"/>
  <c r="BN103" i="2" s="1"/>
  <c r="BN104" i="2" s="1"/>
  <c r="BN105" i="2" s="1"/>
  <c r="BN106" i="2" s="1"/>
  <c r="BN107" i="2" s="1"/>
  <c r="BF11" i="2"/>
  <c r="BF12" i="2"/>
  <c r="BF13" i="2" s="1"/>
  <c r="BF14" i="2" s="1"/>
  <c r="BF15" i="2" s="1"/>
  <c r="BF16" i="2" s="1"/>
  <c r="BF17" i="2" s="1"/>
  <c r="BF18" i="2" s="1"/>
  <c r="BF19" i="2" s="1"/>
  <c r="BF20" i="2" s="1"/>
  <c r="BF21" i="2" s="1"/>
  <c r="BF22" i="2" s="1"/>
  <c r="BF23" i="2" s="1"/>
  <c r="BF24" i="2" s="1"/>
  <c r="BF25" i="2" s="1"/>
  <c r="BF26" i="2" s="1"/>
  <c r="BF27" i="2" s="1"/>
  <c r="BF28" i="2" s="1"/>
  <c r="BF29" i="2" s="1"/>
  <c r="BF30" i="2" s="1"/>
  <c r="BF31" i="2" s="1"/>
  <c r="BF32" i="2" s="1"/>
  <c r="BF33" i="2" s="1"/>
  <c r="BF34" i="2" s="1"/>
  <c r="BF35" i="2" s="1"/>
  <c r="BF36" i="2" s="1"/>
  <c r="BF37" i="2" s="1"/>
  <c r="BF38" i="2" s="1"/>
  <c r="BF39" i="2" s="1"/>
  <c r="BF40" i="2" s="1"/>
  <c r="BF41" i="2" s="1"/>
  <c r="BF42" i="2" s="1"/>
  <c r="BF43" i="2" s="1"/>
  <c r="BF44" i="2" s="1"/>
  <c r="BF45" i="2" s="1"/>
  <c r="BF46" i="2" s="1"/>
  <c r="BF47" i="2" s="1"/>
  <c r="BF48" i="2" s="1"/>
  <c r="BF49" i="2" s="1"/>
  <c r="BF50" i="2" s="1"/>
  <c r="BF51" i="2" s="1"/>
  <c r="BF52" i="2" s="1"/>
  <c r="BF53" i="2" s="1"/>
  <c r="BF54" i="2" s="1"/>
  <c r="BF55" i="2" s="1"/>
  <c r="BF56" i="2" s="1"/>
  <c r="BF57" i="2" s="1"/>
  <c r="BF58" i="2" s="1"/>
  <c r="BF59" i="2" s="1"/>
  <c r="BF60" i="2" s="1"/>
  <c r="BF61" i="2" s="1"/>
  <c r="BF62" i="2" s="1"/>
  <c r="BF63" i="2" s="1"/>
  <c r="BF64" i="2" s="1"/>
  <c r="BF65" i="2" s="1"/>
  <c r="BF66" i="2" s="1"/>
  <c r="BF67" i="2" s="1"/>
  <c r="BF68" i="2" s="1"/>
  <c r="BF69" i="2" s="1"/>
  <c r="BF70" i="2" s="1"/>
  <c r="BF71" i="2" s="1"/>
  <c r="BF72" i="2" s="1"/>
  <c r="BF73" i="2" s="1"/>
  <c r="BF74" i="2" s="1"/>
  <c r="BF75" i="2" s="1"/>
  <c r="BF76" i="2" s="1"/>
  <c r="BF77" i="2" s="1"/>
  <c r="BF78" i="2" s="1"/>
  <c r="BF79" i="2" s="1"/>
  <c r="BF80" i="2" s="1"/>
  <c r="BF81" i="2" s="1"/>
  <c r="BF82" i="2" s="1"/>
  <c r="BF83" i="2" s="1"/>
  <c r="BF84" i="2" s="1"/>
  <c r="BF85" i="2" s="1"/>
  <c r="BF86" i="2" s="1"/>
  <c r="BF87" i="2" s="1"/>
  <c r="BF88" i="2" s="1"/>
  <c r="BF89" i="2" s="1"/>
  <c r="BF90" i="2" s="1"/>
  <c r="BF91" i="2" s="1"/>
  <c r="BF92" i="2" s="1"/>
  <c r="BF93" i="2" s="1"/>
  <c r="BF94" i="2" s="1"/>
  <c r="BF95" i="2" s="1"/>
  <c r="BF96" i="2" s="1"/>
  <c r="BF97" i="2" s="1"/>
  <c r="BF98" i="2" s="1"/>
  <c r="BF99" i="2" s="1"/>
  <c r="BF100" i="2" s="1"/>
  <c r="BF101" i="2" s="1"/>
  <c r="BF102" i="2" s="1"/>
  <c r="BF103" i="2" s="1"/>
  <c r="BF104" i="2" s="1"/>
  <c r="BF105" i="2" s="1"/>
  <c r="BF106" i="2" s="1"/>
  <c r="BF107" i="2" s="1"/>
  <c r="BV7" i="2"/>
  <c r="BV8" i="2" s="1"/>
  <c r="BV9" i="2" s="1"/>
  <c r="BV10" i="2" s="1"/>
  <c r="BN7" i="2"/>
  <c r="BN8" i="2" s="1"/>
  <c r="BN9" i="2" s="1"/>
  <c r="BN10" i="2" s="1"/>
  <c r="BF7" i="2"/>
  <c r="BF8" i="2" s="1"/>
  <c r="BF9" i="2" s="1"/>
  <c r="BF10" i="2" s="1"/>
  <c r="O18" i="3"/>
  <c r="M18" i="3"/>
  <c r="N18" i="3" s="1"/>
  <c r="B15" i="3"/>
  <c r="B16" i="3"/>
  <c r="B17" i="3"/>
  <c r="B18" i="3"/>
  <c r="B14" i="3"/>
  <c r="B8" i="3"/>
  <c r="M9" i="3"/>
  <c r="N9" i="3" s="1"/>
  <c r="O9" i="3" l="1"/>
  <c r="M10" i="3"/>
  <c r="N10" i="3" s="1"/>
  <c r="O10" i="3"/>
  <c r="M11" i="3"/>
  <c r="O11" i="3"/>
  <c r="M12" i="3"/>
  <c r="N12" i="3" s="1"/>
  <c r="O12" i="3"/>
  <c r="M13" i="3"/>
  <c r="N13" i="3" s="1"/>
  <c r="O13" i="3"/>
  <c r="M14" i="3"/>
  <c r="N14" i="3" s="1"/>
  <c r="O14" i="3"/>
  <c r="M15" i="3"/>
  <c r="N15" i="3" s="1"/>
  <c r="O15" i="3"/>
  <c r="M16" i="3"/>
  <c r="N16" i="3" s="1"/>
  <c r="O16" i="3"/>
  <c r="M17" i="3"/>
  <c r="N17" i="3" s="1"/>
  <c r="O17" i="3"/>
  <c r="O8" i="3"/>
  <c r="M8" i="3"/>
  <c r="N8" i="3" s="1"/>
  <c r="N11" i="3" l="1"/>
  <c r="O34" i="1"/>
  <c r="O12" i="1"/>
  <c r="Q7" i="1" l="1"/>
  <c r="Q8" i="1"/>
  <c r="Q9" i="1"/>
  <c r="Q6" i="1"/>
  <c r="Q29" i="1"/>
  <c r="Q30" i="1"/>
  <c r="Q31" i="1"/>
  <c r="Q28" i="1"/>
  <c r="Q18" i="1"/>
  <c r="Q19" i="1"/>
  <c r="Q20" i="1"/>
  <c r="Q17" i="1"/>
  <c r="K20" i="1"/>
  <c r="G11" i="1" l="1" a="1"/>
  <c r="G11" i="1" s="1"/>
  <c r="G12" i="1" s="1"/>
  <c r="G33" i="1" a="1"/>
  <c r="G33" i="1" s="1"/>
  <c r="G34" i="1" s="1"/>
  <c r="M31" i="1"/>
  <c r="L33" i="1" s="1" a="1"/>
  <c r="L33" i="1" s="1"/>
  <c r="L34" i="1" s="1"/>
  <c r="K31" i="1"/>
  <c r="L31" i="1" s="1"/>
  <c r="R31" i="1" s="1"/>
  <c r="M30" i="1"/>
  <c r="K30" i="1"/>
  <c r="L30" i="1" s="1"/>
  <c r="M29" i="1"/>
  <c r="K29" i="1"/>
  <c r="L29" i="1" s="1"/>
  <c r="M28" i="1"/>
  <c r="K28" i="1"/>
  <c r="L28" i="1" s="1"/>
  <c r="G22" i="1" a="1"/>
  <c r="G22" i="1" s="1"/>
  <c r="G23" i="1" s="1"/>
  <c r="M6" i="1"/>
  <c r="K9" i="1"/>
  <c r="L20" i="1"/>
  <c r="R20" i="1" s="1"/>
  <c r="M20" i="1"/>
  <c r="M19" i="1"/>
  <c r="K19" i="1"/>
  <c r="L19" i="1" s="1"/>
  <c r="M18" i="1"/>
  <c r="K18" i="1"/>
  <c r="L18" i="1" s="1"/>
  <c r="M17" i="1"/>
  <c r="L22" i="1" s="1" a="1"/>
  <c r="L22" i="1" s="1"/>
  <c r="L23" i="1" s="1"/>
  <c r="N10" i="1" l="1"/>
  <c r="L9" i="1"/>
  <c r="S9" i="1" s="1"/>
  <c r="R28" i="1"/>
  <c r="S28" i="1"/>
  <c r="S17" i="1"/>
  <c r="R17" i="1"/>
  <c r="S18" i="1"/>
  <c r="R18" i="1"/>
  <c r="R19" i="1"/>
  <c r="S19" i="1"/>
  <c r="S20" i="1"/>
  <c r="S31" i="1"/>
  <c r="R30" i="1"/>
  <c r="S30" i="1"/>
  <c r="R29" i="1"/>
  <c r="S29" i="1"/>
  <c r="AX10" i="2"/>
  <c r="AX11" i="2"/>
  <c r="AX12" i="2" s="1"/>
  <c r="AX13" i="2" s="1"/>
  <c r="AX14" i="2" s="1"/>
  <c r="AX15" i="2" s="1"/>
  <c r="AX16" i="2" s="1"/>
  <c r="AX17" i="2" s="1"/>
  <c r="AX18" i="2" s="1"/>
  <c r="AX19" i="2" s="1"/>
  <c r="AX20" i="2" s="1"/>
  <c r="AX21" i="2" s="1"/>
  <c r="AX22" i="2" s="1"/>
  <c r="AX23" i="2" s="1"/>
  <c r="AX24" i="2" s="1"/>
  <c r="AX25" i="2" s="1"/>
  <c r="AX26" i="2" s="1"/>
  <c r="AX27" i="2" s="1"/>
  <c r="AX28" i="2" s="1"/>
  <c r="AX29" i="2" s="1"/>
  <c r="AX30" i="2" s="1"/>
  <c r="AX31" i="2" s="1"/>
  <c r="AX32" i="2" s="1"/>
  <c r="AX33" i="2" s="1"/>
  <c r="AX34" i="2" s="1"/>
  <c r="AX35" i="2" s="1"/>
  <c r="AX36" i="2" s="1"/>
  <c r="AX37" i="2" s="1"/>
  <c r="AX38" i="2" s="1"/>
  <c r="AX39" i="2" s="1"/>
  <c r="AX40" i="2" s="1"/>
  <c r="AX41" i="2" s="1"/>
  <c r="AX42" i="2" s="1"/>
  <c r="AX43" i="2" s="1"/>
  <c r="AX44" i="2" s="1"/>
  <c r="AX45" i="2" s="1"/>
  <c r="AX46" i="2" s="1"/>
  <c r="AX47" i="2" s="1"/>
  <c r="AX48" i="2" s="1"/>
  <c r="AX49" i="2" s="1"/>
  <c r="AX50" i="2" s="1"/>
  <c r="AX51" i="2" s="1"/>
  <c r="AX52" i="2" s="1"/>
  <c r="AX53" i="2" s="1"/>
  <c r="AX54" i="2" s="1"/>
  <c r="AX55" i="2" s="1"/>
  <c r="AX56" i="2" s="1"/>
  <c r="AX57" i="2" s="1"/>
  <c r="AX58" i="2" s="1"/>
  <c r="AX59" i="2" s="1"/>
  <c r="AX60" i="2" s="1"/>
  <c r="AX61" i="2" s="1"/>
  <c r="AX62" i="2" s="1"/>
  <c r="AX63" i="2" s="1"/>
  <c r="AX64" i="2" s="1"/>
  <c r="AX65" i="2" s="1"/>
  <c r="AX66" i="2" s="1"/>
  <c r="AX67" i="2" s="1"/>
  <c r="AX68" i="2" s="1"/>
  <c r="AX69" i="2" s="1"/>
  <c r="AX70" i="2" s="1"/>
  <c r="AX71" i="2" s="1"/>
  <c r="AX72" i="2" s="1"/>
  <c r="AX73" i="2" s="1"/>
  <c r="AX74" i="2" s="1"/>
  <c r="AX75" i="2" s="1"/>
  <c r="AX76" i="2" s="1"/>
  <c r="AX77" i="2" s="1"/>
  <c r="AX78" i="2" s="1"/>
  <c r="AX79" i="2" s="1"/>
  <c r="AX80" i="2" s="1"/>
  <c r="AX81" i="2" s="1"/>
  <c r="AX82" i="2" s="1"/>
  <c r="AX83" i="2" s="1"/>
  <c r="AX84" i="2" s="1"/>
  <c r="AX85" i="2" s="1"/>
  <c r="AX86" i="2" s="1"/>
  <c r="AX87" i="2" s="1"/>
  <c r="AX88" i="2" s="1"/>
  <c r="AX89" i="2" s="1"/>
  <c r="AX90" i="2" s="1"/>
  <c r="AX91" i="2" s="1"/>
  <c r="AX92" i="2" s="1"/>
  <c r="AX93" i="2" s="1"/>
  <c r="AX94" i="2" s="1"/>
  <c r="AX95" i="2" s="1"/>
  <c r="AX96" i="2" s="1"/>
  <c r="AX97" i="2" s="1"/>
  <c r="AX98" i="2" s="1"/>
  <c r="AX99" i="2" s="1"/>
  <c r="AX100" i="2" s="1"/>
  <c r="AX101" i="2" s="1"/>
  <c r="AX102" i="2" s="1"/>
  <c r="AX103" i="2" s="1"/>
  <c r="AX104" i="2" s="1"/>
  <c r="AX105" i="2" s="1"/>
  <c r="AX106" i="2" s="1"/>
  <c r="AX107" i="2" s="1"/>
  <c r="AP10" i="2"/>
  <c r="AP11" i="2"/>
  <c r="AP12" i="2" s="1"/>
  <c r="AP13" i="2" s="1"/>
  <c r="AP14" i="2" s="1"/>
  <c r="AP15" i="2" s="1"/>
  <c r="AP16" i="2" s="1"/>
  <c r="AP17" i="2" s="1"/>
  <c r="AP18" i="2" s="1"/>
  <c r="AP19" i="2" s="1"/>
  <c r="AP20" i="2" s="1"/>
  <c r="AP21" i="2" s="1"/>
  <c r="AP22" i="2" s="1"/>
  <c r="AP23" i="2" s="1"/>
  <c r="AP24" i="2" s="1"/>
  <c r="AP25" i="2" s="1"/>
  <c r="AP26" i="2" s="1"/>
  <c r="AP27" i="2" s="1"/>
  <c r="AP28" i="2" s="1"/>
  <c r="AP29" i="2" s="1"/>
  <c r="AP30" i="2" s="1"/>
  <c r="AP31" i="2" s="1"/>
  <c r="AP32" i="2" s="1"/>
  <c r="AP33" i="2" s="1"/>
  <c r="AP34" i="2" s="1"/>
  <c r="AP35" i="2" s="1"/>
  <c r="AP36" i="2" s="1"/>
  <c r="AP37" i="2" s="1"/>
  <c r="AP38" i="2" s="1"/>
  <c r="AP39" i="2" s="1"/>
  <c r="AP40" i="2" s="1"/>
  <c r="AP41" i="2" s="1"/>
  <c r="AP42" i="2" s="1"/>
  <c r="AP43" i="2" s="1"/>
  <c r="AP44" i="2" s="1"/>
  <c r="AP45" i="2" s="1"/>
  <c r="AP46" i="2" s="1"/>
  <c r="AP47" i="2" s="1"/>
  <c r="AP48" i="2" s="1"/>
  <c r="AP49" i="2" s="1"/>
  <c r="AP50" i="2" s="1"/>
  <c r="AP51" i="2" s="1"/>
  <c r="AP52" i="2" s="1"/>
  <c r="AP53" i="2" s="1"/>
  <c r="AP54" i="2" s="1"/>
  <c r="AP55" i="2" s="1"/>
  <c r="AP56" i="2" s="1"/>
  <c r="AP57" i="2" s="1"/>
  <c r="AP58" i="2" s="1"/>
  <c r="AP59" i="2" s="1"/>
  <c r="AP60" i="2" s="1"/>
  <c r="AP61" i="2" s="1"/>
  <c r="AP62" i="2" s="1"/>
  <c r="AP63" i="2" s="1"/>
  <c r="AP64" i="2" s="1"/>
  <c r="AP65" i="2" s="1"/>
  <c r="AP66" i="2" s="1"/>
  <c r="AP67" i="2" s="1"/>
  <c r="AP68" i="2" s="1"/>
  <c r="AP69" i="2" s="1"/>
  <c r="AP70" i="2" s="1"/>
  <c r="AP71" i="2" s="1"/>
  <c r="AP72" i="2" s="1"/>
  <c r="AP73" i="2" s="1"/>
  <c r="AP74" i="2" s="1"/>
  <c r="AP75" i="2" s="1"/>
  <c r="AP76" i="2" s="1"/>
  <c r="AP77" i="2" s="1"/>
  <c r="AP78" i="2" s="1"/>
  <c r="AP79" i="2" s="1"/>
  <c r="AP80" i="2" s="1"/>
  <c r="AP81" i="2" s="1"/>
  <c r="AP82" i="2" s="1"/>
  <c r="AP83" i="2" s="1"/>
  <c r="AP84" i="2" s="1"/>
  <c r="AP85" i="2" s="1"/>
  <c r="AP86" i="2" s="1"/>
  <c r="AP87" i="2" s="1"/>
  <c r="AP88" i="2" s="1"/>
  <c r="AP89" i="2" s="1"/>
  <c r="AP90" i="2" s="1"/>
  <c r="AP91" i="2" s="1"/>
  <c r="AP92" i="2" s="1"/>
  <c r="AP93" i="2" s="1"/>
  <c r="AP94" i="2" s="1"/>
  <c r="AP95" i="2" s="1"/>
  <c r="AP96" i="2" s="1"/>
  <c r="AP97" i="2" s="1"/>
  <c r="AP98" i="2" s="1"/>
  <c r="AP99" i="2" s="1"/>
  <c r="AP100" i="2" s="1"/>
  <c r="AP101" i="2" s="1"/>
  <c r="AP102" i="2" s="1"/>
  <c r="AP103" i="2" s="1"/>
  <c r="AP104" i="2" s="1"/>
  <c r="AP105" i="2" s="1"/>
  <c r="AP106" i="2" s="1"/>
  <c r="AP107" i="2" s="1"/>
  <c r="AX7" i="2"/>
  <c r="AX8" i="2" s="1"/>
  <c r="AX9" i="2" s="1"/>
  <c r="AP7" i="2"/>
  <c r="AP8" i="2" s="1"/>
  <c r="AP9" i="2" s="1"/>
  <c r="AH9" i="2"/>
  <c r="AH10" i="2"/>
  <c r="AH11" i="2"/>
  <c r="AH12" i="2"/>
  <c r="AH13" i="2"/>
  <c r="AH14" i="2"/>
  <c r="AH15" i="2"/>
  <c r="AH16" i="2"/>
  <c r="AH17" i="2"/>
  <c r="AH18" i="2"/>
  <c r="AH19" i="2" s="1"/>
  <c r="AH20" i="2" s="1"/>
  <c r="AH21" i="2" s="1"/>
  <c r="AH22" i="2" s="1"/>
  <c r="AH23" i="2" s="1"/>
  <c r="AH24" i="2" s="1"/>
  <c r="AH25" i="2" s="1"/>
  <c r="AH26" i="2" s="1"/>
  <c r="AH27" i="2" s="1"/>
  <c r="AH28" i="2" s="1"/>
  <c r="AH29" i="2" s="1"/>
  <c r="AH30" i="2" s="1"/>
  <c r="AH31" i="2" s="1"/>
  <c r="AH32" i="2" s="1"/>
  <c r="AH33" i="2" s="1"/>
  <c r="AH34" i="2" s="1"/>
  <c r="AH35" i="2" s="1"/>
  <c r="AH36" i="2" s="1"/>
  <c r="AH37" i="2" s="1"/>
  <c r="AH38" i="2" s="1"/>
  <c r="AH39" i="2" s="1"/>
  <c r="AH40" i="2" s="1"/>
  <c r="AH41" i="2" s="1"/>
  <c r="AH42" i="2" s="1"/>
  <c r="AH43" i="2" s="1"/>
  <c r="AH44" i="2" s="1"/>
  <c r="AH45" i="2" s="1"/>
  <c r="AH46" i="2" s="1"/>
  <c r="AH47" i="2" s="1"/>
  <c r="AH48" i="2" s="1"/>
  <c r="AH49" i="2" s="1"/>
  <c r="AH50" i="2" s="1"/>
  <c r="AH51" i="2" s="1"/>
  <c r="AH52" i="2" s="1"/>
  <c r="AH53" i="2" s="1"/>
  <c r="AH54" i="2" s="1"/>
  <c r="AH55" i="2" s="1"/>
  <c r="AH56" i="2" s="1"/>
  <c r="AH57" i="2" s="1"/>
  <c r="AH58" i="2" s="1"/>
  <c r="AH59" i="2" s="1"/>
  <c r="AH60" i="2" s="1"/>
  <c r="AH61" i="2" s="1"/>
  <c r="AH62" i="2" s="1"/>
  <c r="AH63" i="2" s="1"/>
  <c r="AH64" i="2" s="1"/>
  <c r="AH65" i="2" s="1"/>
  <c r="AH66" i="2" s="1"/>
  <c r="AH67" i="2" s="1"/>
  <c r="AH68" i="2" s="1"/>
  <c r="AH69" i="2" s="1"/>
  <c r="AH70" i="2" s="1"/>
  <c r="AH71" i="2" s="1"/>
  <c r="AH72" i="2" s="1"/>
  <c r="AH73" i="2" s="1"/>
  <c r="AH74" i="2" s="1"/>
  <c r="AH75" i="2" s="1"/>
  <c r="AH76" i="2" s="1"/>
  <c r="AH77" i="2" s="1"/>
  <c r="AH78" i="2" s="1"/>
  <c r="AH79" i="2" s="1"/>
  <c r="AH80" i="2" s="1"/>
  <c r="AH81" i="2" s="1"/>
  <c r="AH82" i="2" s="1"/>
  <c r="AH83" i="2" s="1"/>
  <c r="AH84" i="2" s="1"/>
  <c r="AH85" i="2" s="1"/>
  <c r="AH86" i="2" s="1"/>
  <c r="AH87" i="2" s="1"/>
  <c r="AH88" i="2" s="1"/>
  <c r="AH89" i="2" s="1"/>
  <c r="AH90" i="2" s="1"/>
  <c r="AH91" i="2" s="1"/>
  <c r="AH92" i="2" s="1"/>
  <c r="AH93" i="2" s="1"/>
  <c r="AH94" i="2" s="1"/>
  <c r="AH95" i="2" s="1"/>
  <c r="AH96" i="2" s="1"/>
  <c r="AH97" i="2" s="1"/>
  <c r="AH98" i="2" s="1"/>
  <c r="AH99" i="2" s="1"/>
  <c r="AH100" i="2" s="1"/>
  <c r="AH101" i="2" s="1"/>
  <c r="AH102" i="2" s="1"/>
  <c r="AH103" i="2" s="1"/>
  <c r="AH104" i="2" s="1"/>
  <c r="AH105" i="2" s="1"/>
  <c r="AH106" i="2" s="1"/>
  <c r="AH107" i="2" s="1"/>
  <c r="AH8" i="2"/>
  <c r="AH7" i="2"/>
  <c r="Z10" i="2"/>
  <c r="Z11" i="2"/>
  <c r="Z12" i="2" s="1"/>
  <c r="Z13" i="2" s="1"/>
  <c r="Z14" i="2" s="1"/>
  <c r="Z15" i="2" s="1"/>
  <c r="Z16" i="2" s="1"/>
  <c r="Z17" i="2" s="1"/>
  <c r="Z18" i="2" s="1"/>
  <c r="Z19" i="2" s="1"/>
  <c r="Z20" i="2" s="1"/>
  <c r="Z21" i="2" s="1"/>
  <c r="Z22" i="2" s="1"/>
  <c r="Z23" i="2" s="1"/>
  <c r="Z24" i="2" s="1"/>
  <c r="Z25" i="2" s="1"/>
  <c r="Z26" i="2" s="1"/>
  <c r="Z27" i="2" s="1"/>
  <c r="Z28" i="2" s="1"/>
  <c r="Z29" i="2" s="1"/>
  <c r="Z30" i="2" s="1"/>
  <c r="Z31" i="2" s="1"/>
  <c r="Z32" i="2" s="1"/>
  <c r="Z33" i="2" s="1"/>
  <c r="Z34" i="2" s="1"/>
  <c r="Z35" i="2" s="1"/>
  <c r="Z36" i="2" s="1"/>
  <c r="Z37" i="2" s="1"/>
  <c r="Z38" i="2" s="1"/>
  <c r="Z39" i="2" s="1"/>
  <c r="Z40" i="2" s="1"/>
  <c r="Z41" i="2" s="1"/>
  <c r="Z42" i="2" s="1"/>
  <c r="Z43" i="2" s="1"/>
  <c r="Z44" i="2" s="1"/>
  <c r="Z45" i="2" s="1"/>
  <c r="Z46" i="2" s="1"/>
  <c r="Z47" i="2" s="1"/>
  <c r="Z48" i="2" s="1"/>
  <c r="Z49" i="2" s="1"/>
  <c r="Z50" i="2" s="1"/>
  <c r="Z51" i="2" s="1"/>
  <c r="Z52" i="2" s="1"/>
  <c r="Z53" i="2" s="1"/>
  <c r="Z54" i="2" s="1"/>
  <c r="Z55" i="2" s="1"/>
  <c r="Z56" i="2" s="1"/>
  <c r="Z57" i="2" s="1"/>
  <c r="Z58" i="2" s="1"/>
  <c r="Z59" i="2" s="1"/>
  <c r="Z60" i="2" s="1"/>
  <c r="Z61" i="2" s="1"/>
  <c r="Z62" i="2" s="1"/>
  <c r="Z63" i="2" s="1"/>
  <c r="Z64" i="2" s="1"/>
  <c r="Z65" i="2" s="1"/>
  <c r="Z66" i="2" s="1"/>
  <c r="Z67" i="2" s="1"/>
  <c r="Z68" i="2" s="1"/>
  <c r="Z69" i="2" s="1"/>
  <c r="Z70" i="2" s="1"/>
  <c r="Z71" i="2" s="1"/>
  <c r="Z72" i="2" s="1"/>
  <c r="Z73" i="2" s="1"/>
  <c r="Z74" i="2" s="1"/>
  <c r="Z75" i="2" s="1"/>
  <c r="Z76" i="2" s="1"/>
  <c r="Z77" i="2" s="1"/>
  <c r="Z78" i="2" s="1"/>
  <c r="Z79" i="2" s="1"/>
  <c r="Z80" i="2" s="1"/>
  <c r="Z81" i="2" s="1"/>
  <c r="Z82" i="2" s="1"/>
  <c r="Z83" i="2" s="1"/>
  <c r="Z84" i="2" s="1"/>
  <c r="Z85" i="2" s="1"/>
  <c r="Z86" i="2" s="1"/>
  <c r="Z87" i="2" s="1"/>
  <c r="Z88" i="2" s="1"/>
  <c r="Z89" i="2" s="1"/>
  <c r="Z90" i="2" s="1"/>
  <c r="Z91" i="2" s="1"/>
  <c r="Z92" i="2" s="1"/>
  <c r="Z93" i="2" s="1"/>
  <c r="Z94" i="2" s="1"/>
  <c r="Z95" i="2" s="1"/>
  <c r="Z96" i="2" s="1"/>
  <c r="Z97" i="2" s="1"/>
  <c r="Z98" i="2" s="1"/>
  <c r="Z99" i="2" s="1"/>
  <c r="Z100" i="2" s="1"/>
  <c r="Z101" i="2" s="1"/>
  <c r="Z102" i="2" s="1"/>
  <c r="Z103" i="2" s="1"/>
  <c r="Z104" i="2" s="1"/>
  <c r="Z105" i="2" s="1"/>
  <c r="Z106" i="2" s="1"/>
  <c r="Z107" i="2" s="1"/>
  <c r="Z7" i="2"/>
  <c r="Z8" i="2" s="1"/>
  <c r="Z9" i="2" s="1"/>
  <c r="R10" i="2"/>
  <c r="R11" i="2"/>
  <c r="R12" i="2" s="1"/>
  <c r="R13" i="2" s="1"/>
  <c r="R14" i="2" s="1"/>
  <c r="R15" i="2" s="1"/>
  <c r="R16" i="2" s="1"/>
  <c r="R17" i="2" s="1"/>
  <c r="R18" i="2" s="1"/>
  <c r="R19" i="2" s="1"/>
  <c r="R20" i="2" s="1"/>
  <c r="R21" i="2" s="1"/>
  <c r="R22" i="2" s="1"/>
  <c r="R23" i="2" s="1"/>
  <c r="R24" i="2" s="1"/>
  <c r="R25" i="2" s="1"/>
  <c r="R26" i="2" s="1"/>
  <c r="R27" i="2" s="1"/>
  <c r="R28" i="2" s="1"/>
  <c r="R29" i="2" s="1"/>
  <c r="R30" i="2" s="1"/>
  <c r="R31" i="2" s="1"/>
  <c r="R32" i="2" s="1"/>
  <c r="R33" i="2" s="1"/>
  <c r="R34" i="2" s="1"/>
  <c r="R35" i="2" s="1"/>
  <c r="R36" i="2" s="1"/>
  <c r="R37" i="2" s="1"/>
  <c r="R38" i="2" s="1"/>
  <c r="R39" i="2" s="1"/>
  <c r="R40" i="2" s="1"/>
  <c r="R41" i="2" s="1"/>
  <c r="R42" i="2" s="1"/>
  <c r="R43" i="2" s="1"/>
  <c r="R44" i="2" s="1"/>
  <c r="R45" i="2" s="1"/>
  <c r="R46" i="2" s="1"/>
  <c r="R47" i="2" s="1"/>
  <c r="R48" i="2" s="1"/>
  <c r="R49" i="2" s="1"/>
  <c r="R50" i="2" s="1"/>
  <c r="R51" i="2" s="1"/>
  <c r="R52" i="2" s="1"/>
  <c r="R53" i="2" s="1"/>
  <c r="R54" i="2" s="1"/>
  <c r="R55" i="2" s="1"/>
  <c r="R56" i="2" s="1"/>
  <c r="R57" i="2" s="1"/>
  <c r="R58" i="2" s="1"/>
  <c r="R59" i="2" s="1"/>
  <c r="R60" i="2" s="1"/>
  <c r="R61" i="2" s="1"/>
  <c r="R62" i="2" s="1"/>
  <c r="R63" i="2" s="1"/>
  <c r="R64" i="2" s="1"/>
  <c r="R65" i="2" s="1"/>
  <c r="R66" i="2" s="1"/>
  <c r="R67" i="2" s="1"/>
  <c r="R68" i="2" s="1"/>
  <c r="R69" i="2" s="1"/>
  <c r="R70" i="2" s="1"/>
  <c r="R71" i="2" s="1"/>
  <c r="R72" i="2" s="1"/>
  <c r="R73" i="2" s="1"/>
  <c r="R74" i="2" s="1"/>
  <c r="R75" i="2" s="1"/>
  <c r="R76" i="2" s="1"/>
  <c r="R77" i="2" s="1"/>
  <c r="R78" i="2" s="1"/>
  <c r="R79" i="2" s="1"/>
  <c r="R80" i="2" s="1"/>
  <c r="R81" i="2" s="1"/>
  <c r="R82" i="2" s="1"/>
  <c r="R83" i="2" s="1"/>
  <c r="R84" i="2" s="1"/>
  <c r="R85" i="2" s="1"/>
  <c r="R86" i="2" s="1"/>
  <c r="R87" i="2" s="1"/>
  <c r="R88" i="2" s="1"/>
  <c r="R89" i="2" s="1"/>
  <c r="R90" i="2" s="1"/>
  <c r="R91" i="2" s="1"/>
  <c r="R92" i="2" s="1"/>
  <c r="R93" i="2" s="1"/>
  <c r="R94" i="2" s="1"/>
  <c r="R95" i="2" s="1"/>
  <c r="R96" i="2" s="1"/>
  <c r="R97" i="2" s="1"/>
  <c r="R98" i="2" s="1"/>
  <c r="R99" i="2" s="1"/>
  <c r="R100" i="2" s="1"/>
  <c r="R101" i="2" s="1"/>
  <c r="R102" i="2" s="1"/>
  <c r="R103" i="2" s="1"/>
  <c r="R104" i="2" s="1"/>
  <c r="R105" i="2" s="1"/>
  <c r="R106" i="2" s="1"/>
  <c r="R107" i="2" s="1"/>
  <c r="R7" i="2"/>
  <c r="R8" i="2" s="1"/>
  <c r="R9" i="2" s="1"/>
  <c r="J9" i="2"/>
  <c r="J10" i="2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7" i="2"/>
  <c r="J8" i="2" s="1"/>
  <c r="B9" i="2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8" i="2"/>
  <c r="B7" i="2"/>
  <c r="M7" i="1"/>
  <c r="M8" i="1"/>
  <c r="M9" i="1"/>
  <c r="L11" i="1" s="1" a="1"/>
  <c r="L11" i="1" s="1"/>
  <c r="L12" i="1" s="1"/>
  <c r="K8" i="1"/>
  <c r="L8" i="1" s="1"/>
  <c r="K6" i="1"/>
  <c r="L6" i="1" s="1"/>
  <c r="R6" i="1" s="1"/>
  <c r="K7" i="1"/>
  <c r="L7" i="1" s="1"/>
  <c r="R9" i="1" l="1"/>
  <c r="R7" i="1"/>
  <c r="S7" i="1"/>
  <c r="S6" i="1"/>
  <c r="R8" i="1"/>
  <c r="S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<sst xmlns="http://schemas.openxmlformats.org/spreadsheetml/2006/main" count="543" uniqueCount="93">
  <si>
    <t>LiCl</t>
  </si>
  <si>
    <t>TimeStep</t>
  </si>
  <si>
    <t>v_T</t>
  </si>
  <si>
    <t>v_E</t>
  </si>
  <si>
    <t>v_V</t>
  </si>
  <si>
    <t>v_P</t>
  </si>
  <si>
    <t>c_nat[1]</t>
  </si>
  <si>
    <t>c_nat[2]</t>
  </si>
  <si>
    <t>c_nat[3]</t>
  </si>
  <si>
    <t>c_nat[4]</t>
  </si>
  <si>
    <t>Li</t>
  </si>
  <si>
    <t>K</t>
  </si>
  <si>
    <t>Na</t>
  </si>
  <si>
    <t>Cl</t>
  </si>
  <si>
    <t>mass</t>
  </si>
  <si>
    <t>total mass</t>
  </si>
  <si>
    <t>density</t>
  </si>
  <si>
    <t>KCl</t>
  </si>
  <si>
    <t>DFT</t>
  </si>
  <si>
    <t>EXPT</t>
  </si>
  <si>
    <t>CTE</t>
  </si>
  <si>
    <t>TE</t>
  </si>
  <si>
    <t>Cp</t>
  </si>
  <si>
    <t>LiCl EvsR</t>
  </si>
  <si>
    <t>#</t>
  </si>
  <si>
    <t>Time-averaged</t>
  </si>
  <si>
    <t>data</t>
  </si>
  <si>
    <t>for</t>
  </si>
  <si>
    <t>fix</t>
  </si>
  <si>
    <t>c_PE</t>
  </si>
  <si>
    <t>c_P</t>
  </si>
  <si>
    <t>KCl EvsR</t>
  </si>
  <si>
    <t>NaCl EvsR</t>
  </si>
  <si>
    <t>LiLi EvsR</t>
  </si>
  <si>
    <t>KK EvsR</t>
  </si>
  <si>
    <t>ClCl EvsR</t>
  </si>
  <si>
    <t>NaNa EvsR</t>
  </si>
  <si>
    <t>NaCl</t>
  </si>
  <si>
    <t>error-MD-DFT</t>
  </si>
  <si>
    <t>error MD-expt</t>
  </si>
  <si>
    <t>LiCl-KCl</t>
  </si>
  <si>
    <t>xKCl</t>
  </si>
  <si>
    <t>Expt Cp</t>
  </si>
  <si>
    <t>DFT Cp</t>
  </si>
  <si>
    <t>LiK EvsR</t>
  </si>
  <si>
    <t>LiNa EvsR</t>
  </si>
  <si>
    <t>KNa EvsR</t>
  </si>
  <si>
    <t>KCl-NaCl</t>
  </si>
  <si>
    <t>xNaCl</t>
  </si>
  <si>
    <t>xLiCl</t>
  </si>
  <si>
    <t>V</t>
  </si>
  <si>
    <t>v_density</t>
  </si>
  <si>
    <t>v_VV</t>
  </si>
  <si>
    <t>v_rVis</t>
  </si>
  <si>
    <t>viscosity (Pa-s)</t>
  </si>
  <si>
    <t>vis (cP)</t>
  </si>
  <si>
    <t>Ternary</t>
  </si>
  <si>
    <t>1500K</t>
  </si>
  <si>
    <t>1200 K</t>
  </si>
  <si>
    <t>J/mol-K</t>
  </si>
  <si>
    <t>v_Lx</t>
  </si>
  <si>
    <t>v_Ly</t>
  </si>
  <si>
    <t>v_Lz</t>
  </si>
  <si>
    <t>f_ave</t>
  </si>
  <si>
    <t>avg slope</t>
  </si>
  <si>
    <t>K/Ang</t>
  </si>
  <si>
    <t>flux</t>
  </si>
  <si>
    <t>eV/ps</t>
  </si>
  <si>
    <t>flux/area</t>
  </si>
  <si>
    <t>eV/Ang^2/ps</t>
  </si>
  <si>
    <t>eV/Ang-ps-K</t>
  </si>
  <si>
    <t>rdf</t>
  </si>
  <si>
    <t>r</t>
  </si>
  <si>
    <t>g(r)</t>
  </si>
  <si>
    <t>atom</t>
  </si>
  <si>
    <t>types</t>
  </si>
  <si>
    <t>averaged</t>
  </si>
  <si>
    <t>over</t>
  </si>
  <si>
    <t>timesteps</t>
  </si>
  <si>
    <t>100000-200000</t>
  </si>
  <si>
    <t>KCl NaCl 50/50</t>
  </si>
  <si>
    <t>7.12E-01</t>
  </si>
  <si>
    <t>avg</t>
  </si>
  <si>
    <t>max</t>
  </si>
  <si>
    <t>min</t>
  </si>
  <si>
    <t>9.03E-01</t>
  </si>
  <si>
    <t>0.582LiCl-0.418KCl</t>
  </si>
  <si>
    <t>delta</t>
  </si>
  <si>
    <t>W/m-K</t>
  </si>
  <si>
    <t>8lz</t>
  </si>
  <si>
    <t>shot delT</t>
  </si>
  <si>
    <t>shot dT</t>
  </si>
  <si>
    <t>333_1500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</si>
</sst>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E+00"/>
    <numFmt numFmtId="166" formatCode="0.0000"/>
    <numFmt numFmtId="167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165" fontId="0" fillId="0" borderId="0" xfId="0" applyNumberFormat="1"/>
    <xf numFmtId="11" fontId="0" fillId="0" borderId="0" xfId="0" applyNumberFormat="1"/>
    <xf numFmtId="2" fontId="0" fillId="0" borderId="0" xfId="0" applyNumberFormat="1"/>
    <xf numFmtId="0" fontId="0" fillId="0" borderId="0" xfId="0" quotePrefix="1"/>
    <xf numFmtId="16" fontId="0" fillId="0" borderId="0" xfId="0" applyNumberFormat="1"/>
    <xf numFmtId="166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quotePrefix="1" applyFont="1"/>
    <xf numFmtId="11" fontId="3" fillId="0" borderId="0" xfId="0" applyNumberFormat="1" applyFont="1"/>
    <xf numFmtId="0" fontId="0" fillId="0" borderId="1" xfId="0" applyBorder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18C'!$O$6:$O$9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'LiKNaCl MTP 18C'!$Q$6:$Q$9</c:f>
              <c:numCache>
                <c:formatCode>0.000</c:formatCode>
                <c:ptCount val="4"/>
                <c:pt idx="0">
                  <c:v>1.2304999999999999</c:v>
                </c:pt>
                <c:pt idx="1">
                  <c:v>1.2738</c:v>
                </c:pt>
                <c:pt idx="2">
                  <c:v>1.3170999999999999</c:v>
                </c:pt>
                <c:pt idx="3">
                  <c:v>1.3603999999999998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5E-E24B-8C5A-6213D80BF17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18C'!$O$6:$O$9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'LiKNaCl MTP 18C'!$P$6:$P$9</c:f>
              <c:numCache>
                <c:formatCode>0.000</c:formatCode>
                <c:ptCount val="4"/>
                <c:pt idx="0">
                  <c:v>1.2958796517248168</c:v>
                </c:pt>
                <c:pt idx="1">
                  <c:v>1.3370693256097848</c:v>
                </c:pt>
                <c:pt idx="2">
                  <c:v>1.3854045245553943</c:v>
                </c:pt>
                <c:pt idx="3">
                  <c:v>1.4003834985078594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5E-E24B-8C5A-6213D80BF174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18C'!$C$6:$C$9</c:f>
              <c:numCache>
                <c:formatCode>General</c:formatCode>
                <c:ptCount val="4"/>
                <c:pt idx="0">
                  <c:v>1498.58</c:v>
                </c:pt>
                <c:pt idx="1">
                  <c:v>1398.7</c:v>
                </c:pt>
                <c:pt idx="2">
                  <c:v>1301.18</c:v>
                </c:pt>
                <c:pt idx="3">
                  <c:v>1199.46</c:v>
                </c:pt>
              </c:numCache>
            </c:numRef>
          </c:xVal>
          <c:yVal>
            <c:numRef>
              <c:f>'LiKNaCl MTP 18C'!$L$6:$L$9</c:f>
              <c:numCache>
                <c:formatCode>General</c:formatCode>
                <c:ptCount val="4"/>
                <c:pt idx="0">
                  <c:v>1.362561942692883</c:v>
                </c:pt>
                <c:pt idx="1">
                  <c:v>1.3874074539089045</c:v>
                </c:pt>
                <c:pt idx="2">
                  <c:v>1.4185048850958353</c:v>
                </c:pt>
                <c:pt idx="3">
                  <c:v>1.4742078176253917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5E-E24B-8C5A-6213D80BF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45680"/>
        <c:axId val="1328327520"/>
      </c:scatterChart>
      <c:valAx>
        <c:axId val="178845680"/>
        <c:scaling>
          <c:orientation val="minMax"/>
          <c:min val="1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327520"/>
        <c:crosses val="autoZero"/>
        <c:crossBetween val="midCat"/>
      </c:valAx>
      <c:valAx>
        <c:axId val="1328327520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845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'LiKNaCl MTP 18C'!$B$40:$B$139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</c:numCache>
            </c:numRef>
          </c:xVal>
          <c:yVal>
            <c:numRef>
              <c:f>'LiKNaCl MTP 18C'!$D$40:$D$139</c:f>
              <c:numCache>
                <c:formatCode>General</c:formatCode>
                <c:ptCount val="100"/>
                <c:pt idx="0">
                  <c:v>-4133.18</c:v>
                </c:pt>
                <c:pt idx="1">
                  <c:v>-4144.75</c:v>
                </c:pt>
                <c:pt idx="2">
                  <c:v>-4140.93</c:v>
                </c:pt>
                <c:pt idx="3">
                  <c:v>-4154.13</c:v>
                </c:pt>
                <c:pt idx="4">
                  <c:v>-4145.66</c:v>
                </c:pt>
                <c:pt idx="5">
                  <c:v>-4140.12</c:v>
                </c:pt>
                <c:pt idx="6">
                  <c:v>-4138.3999999999996</c:v>
                </c:pt>
                <c:pt idx="7">
                  <c:v>-4135.2700000000004</c:v>
                </c:pt>
                <c:pt idx="8">
                  <c:v>-4149.5</c:v>
                </c:pt>
                <c:pt idx="9">
                  <c:v>-4143.37</c:v>
                </c:pt>
                <c:pt idx="10">
                  <c:v>-4149.6899999999996</c:v>
                </c:pt>
                <c:pt idx="11">
                  <c:v>-4139.59</c:v>
                </c:pt>
                <c:pt idx="12">
                  <c:v>-4143.34</c:v>
                </c:pt>
                <c:pt idx="13">
                  <c:v>-4143.1099999999997</c:v>
                </c:pt>
                <c:pt idx="14">
                  <c:v>-4141.08</c:v>
                </c:pt>
                <c:pt idx="15">
                  <c:v>-4145.76</c:v>
                </c:pt>
                <c:pt idx="16">
                  <c:v>-4138.4399999999996</c:v>
                </c:pt>
                <c:pt idx="17">
                  <c:v>-4142.2299999999996</c:v>
                </c:pt>
                <c:pt idx="18">
                  <c:v>-4147.3</c:v>
                </c:pt>
                <c:pt idx="19">
                  <c:v>-4147.66</c:v>
                </c:pt>
                <c:pt idx="20">
                  <c:v>-4146.62</c:v>
                </c:pt>
                <c:pt idx="21">
                  <c:v>-4139.58</c:v>
                </c:pt>
                <c:pt idx="22">
                  <c:v>-4136.3100000000004</c:v>
                </c:pt>
                <c:pt idx="23">
                  <c:v>-4140.04</c:v>
                </c:pt>
                <c:pt idx="24">
                  <c:v>-4147.25</c:v>
                </c:pt>
                <c:pt idx="25">
                  <c:v>-4140.5200000000004</c:v>
                </c:pt>
                <c:pt idx="26">
                  <c:v>-4147.04</c:v>
                </c:pt>
                <c:pt idx="27">
                  <c:v>-4147.46</c:v>
                </c:pt>
                <c:pt idx="28">
                  <c:v>-4148.99</c:v>
                </c:pt>
                <c:pt idx="29">
                  <c:v>-4146.47</c:v>
                </c:pt>
                <c:pt idx="30">
                  <c:v>-4136.47</c:v>
                </c:pt>
                <c:pt idx="31">
                  <c:v>-4132.16</c:v>
                </c:pt>
                <c:pt idx="32">
                  <c:v>-4143.08</c:v>
                </c:pt>
                <c:pt idx="33">
                  <c:v>-4143.8100000000004</c:v>
                </c:pt>
                <c:pt idx="34">
                  <c:v>-4145.16</c:v>
                </c:pt>
                <c:pt idx="35">
                  <c:v>-4139.57</c:v>
                </c:pt>
                <c:pt idx="36">
                  <c:v>-4146.66</c:v>
                </c:pt>
                <c:pt idx="37">
                  <c:v>-4136.8999999999996</c:v>
                </c:pt>
                <c:pt idx="38">
                  <c:v>-4142.78</c:v>
                </c:pt>
                <c:pt idx="39">
                  <c:v>-4155.8999999999996</c:v>
                </c:pt>
                <c:pt idx="40">
                  <c:v>-4152.7299999999996</c:v>
                </c:pt>
                <c:pt idx="41">
                  <c:v>-4144.92</c:v>
                </c:pt>
                <c:pt idx="42">
                  <c:v>-4144.99</c:v>
                </c:pt>
                <c:pt idx="43">
                  <c:v>-4145.57</c:v>
                </c:pt>
                <c:pt idx="44">
                  <c:v>-4142.24</c:v>
                </c:pt>
                <c:pt idx="45">
                  <c:v>-4141.71</c:v>
                </c:pt>
                <c:pt idx="46">
                  <c:v>-4153.3999999999996</c:v>
                </c:pt>
                <c:pt idx="47">
                  <c:v>-4137.07</c:v>
                </c:pt>
                <c:pt idx="48">
                  <c:v>-4144.6899999999996</c:v>
                </c:pt>
                <c:pt idx="49">
                  <c:v>-4154.8100000000004</c:v>
                </c:pt>
                <c:pt idx="50">
                  <c:v>-4139.4799999999996</c:v>
                </c:pt>
                <c:pt idx="51">
                  <c:v>-4147.24</c:v>
                </c:pt>
                <c:pt idx="52">
                  <c:v>-4144.63</c:v>
                </c:pt>
                <c:pt idx="53">
                  <c:v>-4138.82</c:v>
                </c:pt>
                <c:pt idx="54">
                  <c:v>-4141.95</c:v>
                </c:pt>
                <c:pt idx="55">
                  <c:v>-4141.84</c:v>
                </c:pt>
                <c:pt idx="56">
                  <c:v>-4144.63</c:v>
                </c:pt>
                <c:pt idx="57">
                  <c:v>-4145.76</c:v>
                </c:pt>
                <c:pt idx="58">
                  <c:v>-4146.26</c:v>
                </c:pt>
                <c:pt idx="59">
                  <c:v>-4150.26</c:v>
                </c:pt>
                <c:pt idx="60">
                  <c:v>-4140.1899999999996</c:v>
                </c:pt>
                <c:pt idx="61">
                  <c:v>-4143.1000000000004</c:v>
                </c:pt>
                <c:pt idx="62">
                  <c:v>-4142.96</c:v>
                </c:pt>
                <c:pt idx="63">
                  <c:v>-4139.54</c:v>
                </c:pt>
                <c:pt idx="64">
                  <c:v>-4138.1000000000004</c:v>
                </c:pt>
                <c:pt idx="65">
                  <c:v>-4137.99</c:v>
                </c:pt>
                <c:pt idx="66">
                  <c:v>-4153.1499999999996</c:v>
                </c:pt>
                <c:pt idx="67">
                  <c:v>-4143.12</c:v>
                </c:pt>
                <c:pt idx="68">
                  <c:v>-4149.17</c:v>
                </c:pt>
                <c:pt idx="69">
                  <c:v>-4150.6000000000004</c:v>
                </c:pt>
                <c:pt idx="70">
                  <c:v>-4142.9399999999996</c:v>
                </c:pt>
                <c:pt idx="71">
                  <c:v>-4144.34</c:v>
                </c:pt>
                <c:pt idx="72">
                  <c:v>-4146.01</c:v>
                </c:pt>
                <c:pt idx="73">
                  <c:v>-4135.42</c:v>
                </c:pt>
                <c:pt idx="74">
                  <c:v>-4142.3100000000004</c:v>
                </c:pt>
                <c:pt idx="75">
                  <c:v>-4146.1400000000003</c:v>
                </c:pt>
                <c:pt idx="76">
                  <c:v>-4141.99</c:v>
                </c:pt>
                <c:pt idx="77">
                  <c:v>-4144.04</c:v>
                </c:pt>
                <c:pt idx="78">
                  <c:v>-4147.0600000000004</c:v>
                </c:pt>
                <c:pt idx="79">
                  <c:v>-4138.45</c:v>
                </c:pt>
                <c:pt idx="80">
                  <c:v>-4141.4799999999996</c:v>
                </c:pt>
                <c:pt idx="81">
                  <c:v>-4147.8999999999996</c:v>
                </c:pt>
                <c:pt idx="82">
                  <c:v>-4142.8599999999997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E2-7D45-A0D3-769D829DE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4675839"/>
        <c:axId val="254612848"/>
      </c:scatterChart>
      <c:valAx>
        <c:axId val="204467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612848"/>
        <c:crosses val="autoZero"/>
        <c:crossBetween val="midCat"/>
      </c:valAx>
      <c:valAx>
        <c:axId val="25461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67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'LiKNaCl MTP 18C'!$B$40:$B$139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</c:numCache>
            </c:numRef>
          </c:xVal>
          <c:yVal>
            <c:numRef>
              <c:f>'LiKNaCl MTP 18C'!$E$40:$E$139</c:f>
              <c:numCache>
                <c:formatCode>General</c:formatCode>
                <c:ptCount val="100"/>
                <c:pt idx="0">
                  <c:v>39452.9</c:v>
                </c:pt>
                <c:pt idx="1">
                  <c:v>38862.800000000003</c:v>
                </c:pt>
                <c:pt idx="2">
                  <c:v>38424.800000000003</c:v>
                </c:pt>
                <c:pt idx="3">
                  <c:v>38637.599999999999</c:v>
                </c:pt>
                <c:pt idx="4">
                  <c:v>38749.699999999997</c:v>
                </c:pt>
                <c:pt idx="5">
                  <c:v>39130.699999999997</c:v>
                </c:pt>
                <c:pt idx="6">
                  <c:v>39018.6</c:v>
                </c:pt>
                <c:pt idx="7">
                  <c:v>38783.1</c:v>
                </c:pt>
                <c:pt idx="8">
                  <c:v>39284.9</c:v>
                </c:pt>
                <c:pt idx="9">
                  <c:v>38713</c:v>
                </c:pt>
                <c:pt idx="10">
                  <c:v>38520.300000000003</c:v>
                </c:pt>
                <c:pt idx="11">
                  <c:v>39369.199999999997</c:v>
                </c:pt>
                <c:pt idx="12">
                  <c:v>39076.800000000003</c:v>
                </c:pt>
                <c:pt idx="13">
                  <c:v>39256.199999999997</c:v>
                </c:pt>
                <c:pt idx="14">
                  <c:v>38873.800000000003</c:v>
                </c:pt>
                <c:pt idx="15">
                  <c:v>38828.800000000003</c:v>
                </c:pt>
                <c:pt idx="16">
                  <c:v>38904.400000000001</c:v>
                </c:pt>
                <c:pt idx="17">
                  <c:v>39098.6</c:v>
                </c:pt>
                <c:pt idx="18">
                  <c:v>38307.699999999997</c:v>
                </c:pt>
                <c:pt idx="19">
                  <c:v>38812.6</c:v>
                </c:pt>
                <c:pt idx="20">
                  <c:v>38656.1</c:v>
                </c:pt>
                <c:pt idx="21">
                  <c:v>39286.699999999997</c:v>
                </c:pt>
                <c:pt idx="22">
                  <c:v>39714.300000000003</c:v>
                </c:pt>
                <c:pt idx="23">
                  <c:v>38722.400000000001</c:v>
                </c:pt>
                <c:pt idx="24">
                  <c:v>38495.1</c:v>
                </c:pt>
                <c:pt idx="25">
                  <c:v>38802.699999999997</c:v>
                </c:pt>
                <c:pt idx="26">
                  <c:v>38444.5</c:v>
                </c:pt>
                <c:pt idx="27">
                  <c:v>38396.199999999997</c:v>
                </c:pt>
                <c:pt idx="28">
                  <c:v>38635.300000000003</c:v>
                </c:pt>
                <c:pt idx="29">
                  <c:v>38745.1</c:v>
                </c:pt>
                <c:pt idx="30">
                  <c:v>39130.1</c:v>
                </c:pt>
                <c:pt idx="31">
                  <c:v>39522.1</c:v>
                </c:pt>
                <c:pt idx="32">
                  <c:v>39131.300000000003</c:v>
                </c:pt>
                <c:pt idx="33">
                  <c:v>39018</c:v>
                </c:pt>
                <c:pt idx="34">
                  <c:v>38801.199999999997</c:v>
                </c:pt>
                <c:pt idx="35">
                  <c:v>38672.6</c:v>
                </c:pt>
                <c:pt idx="36">
                  <c:v>38859</c:v>
                </c:pt>
                <c:pt idx="37">
                  <c:v>39101.4</c:v>
                </c:pt>
                <c:pt idx="38">
                  <c:v>38784.800000000003</c:v>
                </c:pt>
                <c:pt idx="39">
                  <c:v>38779.699999999997</c:v>
                </c:pt>
                <c:pt idx="40">
                  <c:v>38954.800000000003</c:v>
                </c:pt>
                <c:pt idx="41">
                  <c:v>39013.199999999997</c:v>
                </c:pt>
                <c:pt idx="42">
                  <c:v>38826.199999999997</c:v>
                </c:pt>
                <c:pt idx="43">
                  <c:v>38911.1</c:v>
                </c:pt>
                <c:pt idx="44">
                  <c:v>38712.800000000003</c:v>
                </c:pt>
                <c:pt idx="45">
                  <c:v>38959.599999999999</c:v>
                </c:pt>
                <c:pt idx="46">
                  <c:v>38284.6</c:v>
                </c:pt>
                <c:pt idx="47">
                  <c:v>39274.300000000003</c:v>
                </c:pt>
                <c:pt idx="48">
                  <c:v>39148.5</c:v>
                </c:pt>
                <c:pt idx="49">
                  <c:v>38465.199999999997</c:v>
                </c:pt>
                <c:pt idx="50">
                  <c:v>39108.9</c:v>
                </c:pt>
                <c:pt idx="51">
                  <c:v>38840.6</c:v>
                </c:pt>
                <c:pt idx="52">
                  <c:v>39083.1</c:v>
                </c:pt>
                <c:pt idx="53">
                  <c:v>39173.1</c:v>
                </c:pt>
                <c:pt idx="54">
                  <c:v>39011.699999999997</c:v>
                </c:pt>
                <c:pt idx="55">
                  <c:v>38761.699999999997</c:v>
                </c:pt>
                <c:pt idx="56">
                  <c:v>38389.9</c:v>
                </c:pt>
                <c:pt idx="57">
                  <c:v>38825.800000000003</c:v>
                </c:pt>
                <c:pt idx="58">
                  <c:v>38839.9</c:v>
                </c:pt>
                <c:pt idx="59">
                  <c:v>38923.599999999999</c:v>
                </c:pt>
                <c:pt idx="60">
                  <c:v>39030.699999999997</c:v>
                </c:pt>
                <c:pt idx="61">
                  <c:v>38819</c:v>
                </c:pt>
                <c:pt idx="62">
                  <c:v>39221</c:v>
                </c:pt>
                <c:pt idx="63">
                  <c:v>38615.300000000003</c:v>
                </c:pt>
                <c:pt idx="64">
                  <c:v>38670.6</c:v>
                </c:pt>
                <c:pt idx="65">
                  <c:v>39429.5</c:v>
                </c:pt>
                <c:pt idx="66">
                  <c:v>38401.9</c:v>
                </c:pt>
                <c:pt idx="67">
                  <c:v>38850.9</c:v>
                </c:pt>
                <c:pt idx="68">
                  <c:v>38610.699999999997</c:v>
                </c:pt>
                <c:pt idx="69">
                  <c:v>38341.9</c:v>
                </c:pt>
                <c:pt idx="70">
                  <c:v>38557.699999999997</c:v>
                </c:pt>
                <c:pt idx="71">
                  <c:v>39070.199999999997</c:v>
                </c:pt>
                <c:pt idx="72">
                  <c:v>38837</c:v>
                </c:pt>
                <c:pt idx="73">
                  <c:v>39279.699999999997</c:v>
                </c:pt>
                <c:pt idx="74">
                  <c:v>38711.800000000003</c:v>
                </c:pt>
                <c:pt idx="75">
                  <c:v>38579.5</c:v>
                </c:pt>
                <c:pt idx="76">
                  <c:v>38771.5</c:v>
                </c:pt>
                <c:pt idx="77">
                  <c:v>38899.800000000003</c:v>
                </c:pt>
                <c:pt idx="78">
                  <c:v>38580.300000000003</c:v>
                </c:pt>
                <c:pt idx="79">
                  <c:v>38862.6</c:v>
                </c:pt>
                <c:pt idx="80">
                  <c:v>38815.599999999999</c:v>
                </c:pt>
                <c:pt idx="81">
                  <c:v>38705.199999999997</c:v>
                </c:pt>
                <c:pt idx="82">
                  <c:v>39008.5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A5-6B43-9A98-915510BBC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4675839"/>
        <c:axId val="254612848"/>
      </c:scatterChart>
      <c:valAx>
        <c:axId val="204467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612848"/>
        <c:crosses val="autoZero"/>
        <c:crossBetween val="midCat"/>
      </c:valAx>
      <c:valAx>
        <c:axId val="254612848"/>
        <c:scaling>
          <c:orientation val="minMax"/>
          <c:min val="3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67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'LiCl-KCl'!$B$25:$B$35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'LiCl-KCl'!$N$8:$N$18</c:f>
              <c:numCache>
                <c:formatCode>General</c:formatCode>
                <c:ptCount val="11"/>
                <c:pt idx="0">
                  <c:v>1.3607181600707519</c:v>
                </c:pt>
                <c:pt idx="1">
                  <c:v>1.3669906204867397</c:v>
                </c:pt>
                <c:pt idx="2">
                  <c:v>1.3728673521783861</c:v>
                </c:pt>
                <c:pt idx="3">
                  <c:v>1.3742323506265024</c:v>
                </c:pt>
                <c:pt idx="4">
                  <c:v>1.3752345573475628</c:v>
                </c:pt>
                <c:pt idx="5">
                  <c:v>1.3781103453610897</c:v>
                </c:pt>
                <c:pt idx="6">
                  <c:v>1.3765494608238731</c:v>
                </c:pt>
                <c:pt idx="7">
                  <c:v>1.3749861866571405</c:v>
                </c:pt>
                <c:pt idx="8">
                  <c:v>1.3702559838878938</c:v>
                </c:pt>
                <c:pt idx="9">
                  <c:v>1.3691461922295589</c:v>
                </c:pt>
                <c:pt idx="10">
                  <c:v>1.3683038469541575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E2-3B4A-AE53-20C2B1EB81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5397984"/>
        <c:axId val="1765399696"/>
      </c:scatterChart>
      <c:valAx>
        <c:axId val="1765397984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9696"/>
        <c:crosses val="autoZero"/>
        <c:crossBetween val="midCat"/>
      </c:valAx>
      <c:valAx>
        <c:axId val="1765399696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7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'LiCl-KCl'!$R$26:$R$125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'LiCl-KCl'!$U$26:$U$125</c:f>
              <c:numCache>
                <c:formatCode>General</c:formatCode>
                <c:ptCount val="100"/>
                <c:pt idx="0">
                  <c:v>56895.5</c:v>
                </c:pt>
                <c:pt idx="1">
                  <c:v>56601.1</c:v>
                </c:pt>
                <c:pt idx="2">
                  <c:v>56399.5</c:v>
                </c:pt>
                <c:pt idx="3">
                  <c:v>56149.1</c:v>
                </c:pt>
                <c:pt idx="4">
                  <c:v>57698.8</c:v>
                </c:pt>
                <c:pt idx="5">
                  <c:v>56430.3</c:v>
                </c:pt>
                <c:pt idx="6">
                  <c:v>56880.1</c:v>
                </c:pt>
                <c:pt idx="7">
                  <c:v>55978.5</c:v>
                </c:pt>
                <c:pt idx="8">
                  <c:v>55749</c:v>
                </c:pt>
                <c:pt idx="9">
                  <c:v>56462.3</c:v>
                </c:pt>
                <c:pt idx="10">
                  <c:v>56382.2</c:v>
                </c:pt>
                <c:pt idx="11">
                  <c:v>56343.7</c:v>
                </c:pt>
                <c:pt idx="12">
                  <c:v>57793.3</c:v>
                </c:pt>
                <c:pt idx="13">
                  <c:v>56593</c:v>
                </c:pt>
                <c:pt idx="14">
                  <c:v>55801.8</c:v>
                </c:pt>
                <c:pt idx="15">
                  <c:v>56615.6</c:v>
                </c:pt>
                <c:pt idx="16">
                  <c:v>56194.400000000001</c:v>
                </c:pt>
                <c:pt idx="17">
                  <c:v>55695.5</c:v>
                </c:pt>
                <c:pt idx="18">
                  <c:v>56295.6</c:v>
                </c:pt>
                <c:pt idx="19">
                  <c:v>56898.7</c:v>
                </c:pt>
                <c:pt idx="20">
                  <c:v>56066.9</c:v>
                </c:pt>
                <c:pt idx="21">
                  <c:v>57575.5</c:v>
                </c:pt>
                <c:pt idx="22">
                  <c:v>56254.8</c:v>
                </c:pt>
                <c:pt idx="23">
                  <c:v>55942.1</c:v>
                </c:pt>
                <c:pt idx="24">
                  <c:v>55757.7</c:v>
                </c:pt>
                <c:pt idx="25">
                  <c:v>56528.7</c:v>
                </c:pt>
                <c:pt idx="26">
                  <c:v>56282.9</c:v>
                </c:pt>
                <c:pt idx="27">
                  <c:v>55669.7</c:v>
                </c:pt>
                <c:pt idx="28">
                  <c:v>56721.9</c:v>
                </c:pt>
                <c:pt idx="29">
                  <c:v>55654.2</c:v>
                </c:pt>
                <c:pt idx="30">
                  <c:v>56682.5</c:v>
                </c:pt>
                <c:pt idx="31">
                  <c:v>58000.2</c:v>
                </c:pt>
                <c:pt idx="32">
                  <c:v>56794.3</c:v>
                </c:pt>
                <c:pt idx="33">
                  <c:v>55742.6</c:v>
                </c:pt>
                <c:pt idx="34">
                  <c:v>56517.599999999999</c:v>
                </c:pt>
                <c:pt idx="35">
                  <c:v>56989.2</c:v>
                </c:pt>
                <c:pt idx="36">
                  <c:v>55837.5</c:v>
                </c:pt>
                <c:pt idx="37">
                  <c:v>56265.599999999999</c:v>
                </c:pt>
                <c:pt idx="38">
                  <c:v>56268.7</c:v>
                </c:pt>
                <c:pt idx="39">
                  <c:v>56386.9</c:v>
                </c:pt>
                <c:pt idx="40">
                  <c:v>55999.5</c:v>
                </c:pt>
                <c:pt idx="41">
                  <c:v>57095.4</c:v>
                </c:pt>
                <c:pt idx="42">
                  <c:v>57515.8</c:v>
                </c:pt>
                <c:pt idx="43">
                  <c:v>56936.800000000003</c:v>
                </c:pt>
                <c:pt idx="44">
                  <c:v>56840.800000000003</c:v>
                </c:pt>
                <c:pt idx="45">
                  <c:v>55642.3</c:v>
                </c:pt>
                <c:pt idx="46">
                  <c:v>57179.4</c:v>
                </c:pt>
                <c:pt idx="47">
                  <c:v>56107.4</c:v>
                </c:pt>
                <c:pt idx="48">
                  <c:v>56215.8</c:v>
                </c:pt>
                <c:pt idx="49">
                  <c:v>56571</c:v>
                </c:pt>
                <c:pt idx="50">
                  <c:v>56388</c:v>
                </c:pt>
                <c:pt idx="51">
                  <c:v>56506.2</c:v>
                </c:pt>
                <c:pt idx="52">
                  <c:v>57082.5</c:v>
                </c:pt>
                <c:pt idx="53">
                  <c:v>56670.8</c:v>
                </c:pt>
                <c:pt idx="54">
                  <c:v>56480.6</c:v>
                </c:pt>
                <c:pt idx="55">
                  <c:v>56856.9</c:v>
                </c:pt>
                <c:pt idx="56">
                  <c:v>55770.2</c:v>
                </c:pt>
                <c:pt idx="57">
                  <c:v>56428</c:v>
                </c:pt>
                <c:pt idx="58">
                  <c:v>56809.8</c:v>
                </c:pt>
                <c:pt idx="59">
                  <c:v>56821.9</c:v>
                </c:pt>
                <c:pt idx="60">
                  <c:v>56845.8</c:v>
                </c:pt>
                <c:pt idx="61">
                  <c:v>55485.1</c:v>
                </c:pt>
                <c:pt idx="62">
                  <c:v>56585.1</c:v>
                </c:pt>
                <c:pt idx="63">
                  <c:v>56299.1</c:v>
                </c:pt>
                <c:pt idx="64">
                  <c:v>56417.2</c:v>
                </c:pt>
                <c:pt idx="65">
                  <c:v>55315.9</c:v>
                </c:pt>
                <c:pt idx="66">
                  <c:v>55677.5</c:v>
                </c:pt>
                <c:pt idx="67">
                  <c:v>55455</c:v>
                </c:pt>
                <c:pt idx="68">
                  <c:v>55916.5</c:v>
                </c:pt>
                <c:pt idx="69">
                  <c:v>55674</c:v>
                </c:pt>
                <c:pt idx="70">
                  <c:v>56827.6</c:v>
                </c:pt>
                <c:pt idx="71">
                  <c:v>57116</c:v>
                </c:pt>
                <c:pt idx="72">
                  <c:v>57832.1</c:v>
                </c:pt>
                <c:pt idx="73">
                  <c:v>56531.3</c:v>
                </c:pt>
                <c:pt idx="74">
                  <c:v>56830.6</c:v>
                </c:pt>
                <c:pt idx="75">
                  <c:v>56730</c:v>
                </c:pt>
                <c:pt idx="76">
                  <c:v>56397.2</c:v>
                </c:pt>
                <c:pt idx="77">
                  <c:v>56902.2</c:v>
                </c:pt>
                <c:pt idx="78">
                  <c:v>56674.9</c:v>
                </c:pt>
                <c:pt idx="79">
                  <c:v>57505.599999999999</c:v>
                </c:pt>
                <c:pt idx="80">
                  <c:v>56534.5</c:v>
                </c:pt>
                <c:pt idx="81">
                  <c:v>55511.4</c:v>
                </c:pt>
                <c:pt idx="82">
                  <c:v>56809.1</c:v>
                </c:pt>
                <c:pt idx="83">
                  <c:v>56593.599999999999</c:v>
                </c:pt>
                <c:pt idx="84">
                  <c:v>56730.5</c:v>
                </c:pt>
                <c:pt idx="85">
                  <c:v>56563.3</c:v>
                </c:pt>
                <c:pt idx="86">
                  <c:v>57235.4</c:v>
                </c:pt>
                <c:pt idx="87">
                  <c:v>57176.9</c:v>
                </c:pt>
                <c:pt idx="88">
                  <c:v>56750.400000000001</c:v>
                </c:pt>
                <c:pt idx="89">
                  <c:v>56043.1</c:v>
                </c:pt>
                <c:pt idx="90">
                  <c:v>57000.7</c:v>
                </c:pt>
                <c:pt idx="91">
                  <c:v>56527.7</c:v>
                </c:pt>
                <c:pt idx="92">
                  <c:v>57365.8</c:v>
                </c:pt>
                <c:pt idx="93">
                  <c:v>55578.2</c:v>
                </c:pt>
                <c:pt idx="94">
                  <c:v>55577.5</c:v>
                </c:pt>
                <c:pt idx="95">
                  <c:v>55922</c:v>
                </c:pt>
                <c:pt idx="96" formatCode="0.00E+00">
                  <c:v>56757.599999999999</c:v>
                </c:pt>
                <c:pt idx="97" formatCode="0.00E+00">
                  <c:v>55555.199999999997</c:v>
                </c:pt>
                <c:pt idx="98" formatCode="0.00E+00">
                  <c:v>56170.7</c:v>
                </c:pt>
                <c:pt idx="99" formatCode="0.00E+00">
                  <c:v>57178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2B-E441-96DB-F329F42631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260719"/>
        <c:axId val="1517904239"/>
      </c:scatterChart>
      <c:valAx>
        <c:axId val="1532260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7904239"/>
        <c:crosses val="autoZero"/>
        <c:crossBetween val="midCat"/>
      </c:valAx>
      <c:valAx>
        <c:axId val="1517904239"/>
        <c:scaling>
          <c:orientation val="minMax"/>
          <c:min val="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260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'LiCl-KCl'!$R$26:$R$125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'LiCl-KCl'!$T$26:$T$125</c:f>
              <c:numCache>
                <c:formatCode>General</c:formatCode>
                <c:ptCount val="100"/>
                <c:pt idx="0">
                  <c:v>-3203.62</c:v>
                </c:pt>
                <c:pt idx="1">
                  <c:v>-3198.03</c:v>
                </c:pt>
                <c:pt idx="2">
                  <c:v>-3196.19</c:v>
                </c:pt>
                <c:pt idx="3">
                  <c:v>-3201.95</c:v>
                </c:pt>
                <c:pt idx="4">
                  <c:v>-3184.84</c:v>
                </c:pt>
                <c:pt idx="5">
                  <c:v>-3199.41</c:v>
                </c:pt>
                <c:pt idx="6">
                  <c:v>-3193.17</c:v>
                </c:pt>
                <c:pt idx="7">
                  <c:v>-3201.7</c:v>
                </c:pt>
                <c:pt idx="8">
                  <c:v>-3200.15</c:v>
                </c:pt>
                <c:pt idx="9">
                  <c:v>-3197.44</c:v>
                </c:pt>
                <c:pt idx="10">
                  <c:v>-3199.06</c:v>
                </c:pt>
                <c:pt idx="11">
                  <c:v>-3194.6</c:v>
                </c:pt>
                <c:pt idx="12">
                  <c:v>-3187.86</c:v>
                </c:pt>
                <c:pt idx="13">
                  <c:v>-3206.52</c:v>
                </c:pt>
                <c:pt idx="14">
                  <c:v>-3190.16</c:v>
                </c:pt>
                <c:pt idx="15">
                  <c:v>-3201.82</c:v>
                </c:pt>
                <c:pt idx="16">
                  <c:v>-3198.81</c:v>
                </c:pt>
                <c:pt idx="17">
                  <c:v>-3202</c:v>
                </c:pt>
                <c:pt idx="18">
                  <c:v>-3201.54</c:v>
                </c:pt>
                <c:pt idx="19">
                  <c:v>-3200.29</c:v>
                </c:pt>
                <c:pt idx="20">
                  <c:v>-3193.61</c:v>
                </c:pt>
                <c:pt idx="21">
                  <c:v>-3190.56</c:v>
                </c:pt>
                <c:pt idx="22">
                  <c:v>-3196.35</c:v>
                </c:pt>
                <c:pt idx="23">
                  <c:v>-3207.23</c:v>
                </c:pt>
                <c:pt idx="24">
                  <c:v>-3205.97</c:v>
                </c:pt>
                <c:pt idx="25">
                  <c:v>-3190.69</c:v>
                </c:pt>
                <c:pt idx="26">
                  <c:v>-3195.82</c:v>
                </c:pt>
                <c:pt idx="27">
                  <c:v>-3200.24</c:v>
                </c:pt>
                <c:pt idx="28">
                  <c:v>-3192.9</c:v>
                </c:pt>
                <c:pt idx="29">
                  <c:v>-3202.99</c:v>
                </c:pt>
                <c:pt idx="30">
                  <c:v>-3197.87</c:v>
                </c:pt>
                <c:pt idx="31">
                  <c:v>-3191.89</c:v>
                </c:pt>
                <c:pt idx="32">
                  <c:v>-3190.84</c:v>
                </c:pt>
                <c:pt idx="33">
                  <c:v>-3200.68</c:v>
                </c:pt>
                <c:pt idx="34">
                  <c:v>-3206.32</c:v>
                </c:pt>
                <c:pt idx="35">
                  <c:v>-3191.43</c:v>
                </c:pt>
                <c:pt idx="36">
                  <c:v>-3209.55</c:v>
                </c:pt>
                <c:pt idx="37">
                  <c:v>-3202.14</c:v>
                </c:pt>
                <c:pt idx="38">
                  <c:v>-3206.73</c:v>
                </c:pt>
                <c:pt idx="39">
                  <c:v>-3201.04</c:v>
                </c:pt>
                <c:pt idx="40">
                  <c:v>-3208.84</c:v>
                </c:pt>
                <c:pt idx="41">
                  <c:v>-3191.61</c:v>
                </c:pt>
                <c:pt idx="42">
                  <c:v>-3187.46</c:v>
                </c:pt>
                <c:pt idx="43">
                  <c:v>-3187.26</c:v>
                </c:pt>
                <c:pt idx="44">
                  <c:v>-3191.13</c:v>
                </c:pt>
                <c:pt idx="45">
                  <c:v>-3216.17</c:v>
                </c:pt>
                <c:pt idx="46">
                  <c:v>-3190.57</c:v>
                </c:pt>
                <c:pt idx="47">
                  <c:v>-3204.96</c:v>
                </c:pt>
                <c:pt idx="48">
                  <c:v>-3200.33</c:v>
                </c:pt>
                <c:pt idx="49">
                  <c:v>-3201.57</c:v>
                </c:pt>
                <c:pt idx="50">
                  <c:v>-3197.97</c:v>
                </c:pt>
                <c:pt idx="51">
                  <c:v>-3198.07</c:v>
                </c:pt>
                <c:pt idx="52">
                  <c:v>-3192.19</c:v>
                </c:pt>
                <c:pt idx="53">
                  <c:v>-3186.69</c:v>
                </c:pt>
                <c:pt idx="54">
                  <c:v>-3201.24</c:v>
                </c:pt>
                <c:pt idx="55">
                  <c:v>-3191.17</c:v>
                </c:pt>
                <c:pt idx="56">
                  <c:v>-3196.83</c:v>
                </c:pt>
                <c:pt idx="57">
                  <c:v>-3201.12</c:v>
                </c:pt>
                <c:pt idx="58">
                  <c:v>-3201.27</c:v>
                </c:pt>
                <c:pt idx="59">
                  <c:v>-3183.75</c:v>
                </c:pt>
                <c:pt idx="60">
                  <c:v>-3197.65</c:v>
                </c:pt>
                <c:pt idx="61">
                  <c:v>-3207.75</c:v>
                </c:pt>
                <c:pt idx="62">
                  <c:v>-3197.74</c:v>
                </c:pt>
                <c:pt idx="63">
                  <c:v>-3201.24</c:v>
                </c:pt>
                <c:pt idx="64">
                  <c:v>-3187.5</c:v>
                </c:pt>
                <c:pt idx="65">
                  <c:v>-3197.01</c:v>
                </c:pt>
                <c:pt idx="66">
                  <c:v>-3194.29</c:v>
                </c:pt>
                <c:pt idx="67">
                  <c:v>-3209.27</c:v>
                </c:pt>
                <c:pt idx="68">
                  <c:v>-3206.06</c:v>
                </c:pt>
                <c:pt idx="69">
                  <c:v>-3202.87</c:v>
                </c:pt>
                <c:pt idx="70">
                  <c:v>-3197.07</c:v>
                </c:pt>
                <c:pt idx="71">
                  <c:v>-3195.77</c:v>
                </c:pt>
                <c:pt idx="72">
                  <c:v>-3193.06</c:v>
                </c:pt>
                <c:pt idx="73">
                  <c:v>-3203.68</c:v>
                </c:pt>
                <c:pt idx="74">
                  <c:v>-3192.21</c:v>
                </c:pt>
                <c:pt idx="75">
                  <c:v>-3197.62</c:v>
                </c:pt>
                <c:pt idx="76">
                  <c:v>-3207.51</c:v>
                </c:pt>
                <c:pt idx="77">
                  <c:v>-3190.3</c:v>
                </c:pt>
                <c:pt idx="78">
                  <c:v>-3198.64</c:v>
                </c:pt>
                <c:pt idx="79">
                  <c:v>-3199.26</c:v>
                </c:pt>
                <c:pt idx="80">
                  <c:v>-3188.59</c:v>
                </c:pt>
                <c:pt idx="81">
                  <c:v>-3203.52</c:v>
                </c:pt>
                <c:pt idx="82">
                  <c:v>-3193.38</c:v>
                </c:pt>
                <c:pt idx="83">
                  <c:v>-3194.84</c:v>
                </c:pt>
                <c:pt idx="84">
                  <c:v>-3205.13</c:v>
                </c:pt>
                <c:pt idx="85">
                  <c:v>-3192.07</c:v>
                </c:pt>
                <c:pt idx="86">
                  <c:v>-3183.55</c:v>
                </c:pt>
                <c:pt idx="87">
                  <c:v>-3195.72</c:v>
                </c:pt>
                <c:pt idx="88">
                  <c:v>-3197.92</c:v>
                </c:pt>
                <c:pt idx="89">
                  <c:v>-3211.49</c:v>
                </c:pt>
                <c:pt idx="90">
                  <c:v>-3194.74</c:v>
                </c:pt>
                <c:pt idx="91">
                  <c:v>-3191.44</c:v>
                </c:pt>
                <c:pt idx="92">
                  <c:v>-3202.4</c:v>
                </c:pt>
                <c:pt idx="93">
                  <c:v>-3198.53</c:v>
                </c:pt>
                <c:pt idx="94">
                  <c:v>-3195.82</c:v>
                </c:pt>
                <c:pt idx="95">
                  <c:v>-3202.31</c:v>
                </c:pt>
                <c:pt idx="96">
                  <c:v>-3196.41</c:v>
                </c:pt>
                <c:pt idx="97">
                  <c:v>-3211.99</c:v>
                </c:pt>
                <c:pt idx="98">
                  <c:v>-3195.85</c:v>
                </c:pt>
                <c:pt idx="99">
                  <c:v>-3191.11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01-CA45-825E-730F7452FA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260719"/>
        <c:axId val="1517904239"/>
      </c:scatterChart>
      <c:valAx>
        <c:axId val="1532260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7904239"/>
        <c:crosses val="autoZero"/>
        <c:crossBetween val="midCat"/>
      </c:valAx>
      <c:valAx>
        <c:axId val="1517904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260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'LiCl-NaCl'!$S$29:$S$228</c:f>
              <c:numCache>
                <c:formatCode>General</c:formatCode>
                <c:ptCount val="2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  <c:pt idx="100">
                  <c:v>101000</c:v>
                </c:pt>
                <c:pt idx="101">
                  <c:v>102000</c:v>
                </c:pt>
                <c:pt idx="102">
                  <c:v>103000</c:v>
                </c:pt>
                <c:pt idx="103">
                  <c:v>104000</c:v>
                </c:pt>
                <c:pt idx="104">
                  <c:v>105000</c:v>
                </c:pt>
                <c:pt idx="105">
                  <c:v>106000</c:v>
                </c:pt>
                <c:pt idx="106">
                  <c:v>107000</c:v>
                </c:pt>
                <c:pt idx="107">
                  <c:v>108000</c:v>
                </c:pt>
                <c:pt idx="108">
                  <c:v>109000</c:v>
                </c:pt>
                <c:pt idx="109">
                  <c:v>110000</c:v>
                </c:pt>
                <c:pt idx="110">
                  <c:v>111000</c:v>
                </c:pt>
                <c:pt idx="111">
                  <c:v>112000</c:v>
                </c:pt>
                <c:pt idx="112">
                  <c:v>113000</c:v>
                </c:pt>
                <c:pt idx="113">
                  <c:v>114000</c:v>
                </c:pt>
                <c:pt idx="114">
                  <c:v>115000</c:v>
                </c:pt>
                <c:pt idx="115">
                  <c:v>116000</c:v>
                </c:pt>
                <c:pt idx="116">
                  <c:v>117000</c:v>
                </c:pt>
                <c:pt idx="117">
                  <c:v>118000</c:v>
                </c:pt>
                <c:pt idx="118">
                  <c:v>119000</c:v>
                </c:pt>
                <c:pt idx="119">
                  <c:v>120000</c:v>
                </c:pt>
                <c:pt idx="120">
                  <c:v>121000</c:v>
                </c:pt>
                <c:pt idx="121">
                  <c:v>122000</c:v>
                </c:pt>
                <c:pt idx="122">
                  <c:v>123000</c:v>
                </c:pt>
                <c:pt idx="123">
                  <c:v>124000</c:v>
                </c:pt>
                <c:pt idx="124">
                  <c:v>125000</c:v>
                </c:pt>
                <c:pt idx="125">
                  <c:v>126000</c:v>
                </c:pt>
                <c:pt idx="126">
                  <c:v>127000</c:v>
                </c:pt>
                <c:pt idx="127">
                  <c:v>128000</c:v>
                </c:pt>
                <c:pt idx="128">
                  <c:v>129000</c:v>
                </c:pt>
                <c:pt idx="129">
                  <c:v>130000</c:v>
                </c:pt>
                <c:pt idx="130">
                  <c:v>131000</c:v>
                </c:pt>
                <c:pt idx="131">
                  <c:v>132000</c:v>
                </c:pt>
                <c:pt idx="132">
                  <c:v>133000</c:v>
                </c:pt>
                <c:pt idx="133">
                  <c:v>134000</c:v>
                </c:pt>
                <c:pt idx="134">
                  <c:v>135000</c:v>
                </c:pt>
                <c:pt idx="135">
                  <c:v>136000</c:v>
                </c:pt>
                <c:pt idx="136">
                  <c:v>137000</c:v>
                </c:pt>
                <c:pt idx="137">
                  <c:v>138000</c:v>
                </c:pt>
                <c:pt idx="138">
                  <c:v>139000</c:v>
                </c:pt>
                <c:pt idx="139">
                  <c:v>140000</c:v>
                </c:pt>
                <c:pt idx="140">
                  <c:v>141000</c:v>
                </c:pt>
                <c:pt idx="141">
                  <c:v>142000</c:v>
                </c:pt>
                <c:pt idx="142">
                  <c:v>143000</c:v>
                </c:pt>
                <c:pt idx="143">
                  <c:v>144000</c:v>
                </c:pt>
                <c:pt idx="144">
                  <c:v>145000</c:v>
                </c:pt>
                <c:pt idx="145">
                  <c:v>146000</c:v>
                </c:pt>
                <c:pt idx="146">
                  <c:v>147000</c:v>
                </c:pt>
                <c:pt idx="147">
                  <c:v>148000</c:v>
                </c:pt>
                <c:pt idx="148">
                  <c:v>149000</c:v>
                </c:pt>
                <c:pt idx="149">
                  <c:v>150000</c:v>
                </c:pt>
                <c:pt idx="150">
                  <c:v>151000</c:v>
                </c:pt>
                <c:pt idx="151">
                  <c:v>152000</c:v>
                </c:pt>
                <c:pt idx="152">
                  <c:v>153000</c:v>
                </c:pt>
                <c:pt idx="153">
                  <c:v>154000</c:v>
                </c:pt>
                <c:pt idx="154">
                  <c:v>155000</c:v>
                </c:pt>
                <c:pt idx="155">
                  <c:v>156000</c:v>
                </c:pt>
                <c:pt idx="156">
                  <c:v>157000</c:v>
                </c:pt>
                <c:pt idx="157">
                  <c:v>158000</c:v>
                </c:pt>
                <c:pt idx="158">
                  <c:v>159000</c:v>
                </c:pt>
                <c:pt idx="159">
                  <c:v>160000</c:v>
                </c:pt>
                <c:pt idx="160">
                  <c:v>161000</c:v>
                </c:pt>
                <c:pt idx="161">
                  <c:v>162000</c:v>
                </c:pt>
                <c:pt idx="162">
                  <c:v>163000</c:v>
                </c:pt>
                <c:pt idx="163">
                  <c:v>164000</c:v>
                </c:pt>
                <c:pt idx="164">
                  <c:v>165000</c:v>
                </c:pt>
                <c:pt idx="165">
                  <c:v>166000</c:v>
                </c:pt>
                <c:pt idx="166">
                  <c:v>167000</c:v>
                </c:pt>
                <c:pt idx="167">
                  <c:v>168000</c:v>
                </c:pt>
                <c:pt idx="168">
                  <c:v>169000</c:v>
                </c:pt>
                <c:pt idx="169">
                  <c:v>170000</c:v>
                </c:pt>
                <c:pt idx="170">
                  <c:v>171000</c:v>
                </c:pt>
                <c:pt idx="171">
                  <c:v>172000</c:v>
                </c:pt>
                <c:pt idx="172">
                  <c:v>173000</c:v>
                </c:pt>
                <c:pt idx="173">
                  <c:v>174000</c:v>
                </c:pt>
                <c:pt idx="174">
                  <c:v>175000</c:v>
                </c:pt>
                <c:pt idx="175">
                  <c:v>176000</c:v>
                </c:pt>
                <c:pt idx="176">
                  <c:v>177000</c:v>
                </c:pt>
                <c:pt idx="177">
                  <c:v>178000</c:v>
                </c:pt>
                <c:pt idx="178">
                  <c:v>179000</c:v>
                </c:pt>
                <c:pt idx="179">
                  <c:v>180000</c:v>
                </c:pt>
                <c:pt idx="180">
                  <c:v>181000</c:v>
                </c:pt>
                <c:pt idx="181">
                  <c:v>182000</c:v>
                </c:pt>
                <c:pt idx="182">
                  <c:v>183000</c:v>
                </c:pt>
                <c:pt idx="183">
                  <c:v>184000</c:v>
                </c:pt>
                <c:pt idx="184">
                  <c:v>185000</c:v>
                </c:pt>
                <c:pt idx="185">
                  <c:v>186000</c:v>
                </c:pt>
                <c:pt idx="186">
                  <c:v>187000</c:v>
                </c:pt>
                <c:pt idx="187">
                  <c:v>188000</c:v>
                </c:pt>
                <c:pt idx="188">
                  <c:v>189000</c:v>
                </c:pt>
                <c:pt idx="189">
                  <c:v>190000</c:v>
                </c:pt>
                <c:pt idx="190">
                  <c:v>191000</c:v>
                </c:pt>
                <c:pt idx="191">
                  <c:v>192000</c:v>
                </c:pt>
                <c:pt idx="192">
                  <c:v>193000</c:v>
                </c:pt>
                <c:pt idx="193">
                  <c:v>194000</c:v>
                </c:pt>
                <c:pt idx="194">
                  <c:v>195000</c:v>
                </c:pt>
                <c:pt idx="195">
                  <c:v>196000</c:v>
                </c:pt>
                <c:pt idx="196">
                  <c:v>197000</c:v>
                </c:pt>
                <c:pt idx="197">
                  <c:v>198000</c:v>
                </c:pt>
                <c:pt idx="198">
                  <c:v>199000</c:v>
                </c:pt>
                <c:pt idx="199">
                  <c:v>200000</c:v>
                </c:pt>
              </c:numCache>
            </c:numRef>
          </c:xVal>
          <c:yVal>
            <c:numRef>
              <c:f>'LiCl-NaCl'!$V$29:$V$228</c:f>
              <c:numCache>
                <c:formatCode>General</c:formatCode>
                <c:ptCount val="200"/>
                <c:pt idx="0">
                  <c:v>40682.199999999997</c:v>
                </c:pt>
                <c:pt idx="1">
                  <c:v>42014.7</c:v>
                </c:pt>
                <c:pt idx="2">
                  <c:v>42473.9</c:v>
                </c:pt>
                <c:pt idx="3">
                  <c:v>42505.9</c:v>
                </c:pt>
                <c:pt idx="4">
                  <c:v>42775</c:v>
                </c:pt>
                <c:pt idx="5">
                  <c:v>43704.800000000003</c:v>
                </c:pt>
                <c:pt idx="6">
                  <c:v>44898.1</c:v>
                </c:pt>
                <c:pt idx="7">
                  <c:v>45901.7</c:v>
                </c:pt>
                <c:pt idx="8">
                  <c:v>46472.3</c:v>
                </c:pt>
                <c:pt idx="9">
                  <c:v>46694.400000000001</c:v>
                </c:pt>
                <c:pt idx="10">
                  <c:v>46936.4</c:v>
                </c:pt>
                <c:pt idx="11">
                  <c:v>46898.400000000001</c:v>
                </c:pt>
                <c:pt idx="12">
                  <c:v>46742.7</c:v>
                </c:pt>
                <c:pt idx="13">
                  <c:v>46663</c:v>
                </c:pt>
                <c:pt idx="14">
                  <c:v>46700.5</c:v>
                </c:pt>
                <c:pt idx="15">
                  <c:v>46832.4</c:v>
                </c:pt>
                <c:pt idx="16">
                  <c:v>46829.5</c:v>
                </c:pt>
                <c:pt idx="17">
                  <c:v>46999.5</c:v>
                </c:pt>
                <c:pt idx="18">
                  <c:v>47338.1</c:v>
                </c:pt>
                <c:pt idx="19">
                  <c:v>47490.9</c:v>
                </c:pt>
                <c:pt idx="20">
                  <c:v>47458.9</c:v>
                </c:pt>
                <c:pt idx="21">
                  <c:v>47236.9</c:v>
                </c:pt>
                <c:pt idx="22">
                  <c:v>47160.800000000003</c:v>
                </c:pt>
                <c:pt idx="23">
                  <c:v>47106.3</c:v>
                </c:pt>
                <c:pt idx="24">
                  <c:v>46803.6</c:v>
                </c:pt>
                <c:pt idx="25">
                  <c:v>46387</c:v>
                </c:pt>
                <c:pt idx="26">
                  <c:v>46313.5</c:v>
                </c:pt>
                <c:pt idx="27">
                  <c:v>46417.599999999999</c:v>
                </c:pt>
                <c:pt idx="28">
                  <c:v>46571.5</c:v>
                </c:pt>
                <c:pt idx="29">
                  <c:v>46923</c:v>
                </c:pt>
                <c:pt idx="30">
                  <c:v>47370.2</c:v>
                </c:pt>
                <c:pt idx="31">
                  <c:v>47198.6</c:v>
                </c:pt>
                <c:pt idx="32">
                  <c:v>46873.1</c:v>
                </c:pt>
                <c:pt idx="33">
                  <c:v>46895.7</c:v>
                </c:pt>
                <c:pt idx="34">
                  <c:v>47091.5</c:v>
                </c:pt>
                <c:pt idx="35">
                  <c:v>47136.800000000003</c:v>
                </c:pt>
                <c:pt idx="36">
                  <c:v>47086.7</c:v>
                </c:pt>
                <c:pt idx="37">
                  <c:v>46922.400000000001</c:v>
                </c:pt>
                <c:pt idx="38">
                  <c:v>46882.7</c:v>
                </c:pt>
                <c:pt idx="39">
                  <c:v>46764.800000000003</c:v>
                </c:pt>
                <c:pt idx="40">
                  <c:v>46567.3</c:v>
                </c:pt>
                <c:pt idx="41">
                  <c:v>46571.7</c:v>
                </c:pt>
                <c:pt idx="42">
                  <c:v>46728.9</c:v>
                </c:pt>
                <c:pt idx="43">
                  <c:v>47105.4</c:v>
                </c:pt>
                <c:pt idx="44">
                  <c:v>47597.4</c:v>
                </c:pt>
                <c:pt idx="45">
                  <c:v>47699</c:v>
                </c:pt>
                <c:pt idx="46">
                  <c:v>47648.3</c:v>
                </c:pt>
                <c:pt idx="47">
                  <c:v>47436.1</c:v>
                </c:pt>
                <c:pt idx="48">
                  <c:v>47142</c:v>
                </c:pt>
                <c:pt idx="49">
                  <c:v>46917.8</c:v>
                </c:pt>
                <c:pt idx="50">
                  <c:v>46970.7</c:v>
                </c:pt>
                <c:pt idx="51">
                  <c:v>47048.2</c:v>
                </c:pt>
                <c:pt idx="52">
                  <c:v>47104.9</c:v>
                </c:pt>
                <c:pt idx="53">
                  <c:v>47366.2</c:v>
                </c:pt>
                <c:pt idx="54">
                  <c:v>47745.5</c:v>
                </c:pt>
                <c:pt idx="55">
                  <c:v>47874</c:v>
                </c:pt>
                <c:pt idx="56">
                  <c:v>47583.6</c:v>
                </c:pt>
                <c:pt idx="57">
                  <c:v>46962.8</c:v>
                </c:pt>
                <c:pt idx="58">
                  <c:v>46331</c:v>
                </c:pt>
                <c:pt idx="59">
                  <c:v>46185.7</c:v>
                </c:pt>
                <c:pt idx="60">
                  <c:v>46427.3</c:v>
                </c:pt>
                <c:pt idx="61">
                  <c:v>46691</c:v>
                </c:pt>
                <c:pt idx="62">
                  <c:v>46869.2</c:v>
                </c:pt>
                <c:pt idx="63">
                  <c:v>47033.599999999999</c:v>
                </c:pt>
                <c:pt idx="64">
                  <c:v>47104.6</c:v>
                </c:pt>
                <c:pt idx="65">
                  <c:v>46888.2</c:v>
                </c:pt>
                <c:pt idx="66">
                  <c:v>46956.9</c:v>
                </c:pt>
                <c:pt idx="67">
                  <c:v>46866.400000000001</c:v>
                </c:pt>
                <c:pt idx="68">
                  <c:v>47021.3</c:v>
                </c:pt>
                <c:pt idx="69">
                  <c:v>47188.2</c:v>
                </c:pt>
                <c:pt idx="70">
                  <c:v>47229.2</c:v>
                </c:pt>
                <c:pt idx="71">
                  <c:v>46809.3</c:v>
                </c:pt>
                <c:pt idx="72">
                  <c:v>46445.8</c:v>
                </c:pt>
                <c:pt idx="73">
                  <c:v>46323.9</c:v>
                </c:pt>
                <c:pt idx="74">
                  <c:v>46557</c:v>
                </c:pt>
                <c:pt idx="75">
                  <c:v>46895.7</c:v>
                </c:pt>
                <c:pt idx="76">
                  <c:v>46969.1</c:v>
                </c:pt>
                <c:pt idx="77">
                  <c:v>46853.3</c:v>
                </c:pt>
                <c:pt idx="78">
                  <c:v>46556.2</c:v>
                </c:pt>
                <c:pt idx="79">
                  <c:v>46428.800000000003</c:v>
                </c:pt>
                <c:pt idx="80">
                  <c:v>46424.6</c:v>
                </c:pt>
                <c:pt idx="81">
                  <c:v>46261.599999999999</c:v>
                </c:pt>
                <c:pt idx="82">
                  <c:v>46329.3</c:v>
                </c:pt>
                <c:pt idx="83">
                  <c:v>46465.5</c:v>
                </c:pt>
                <c:pt idx="84">
                  <c:v>46429.8</c:v>
                </c:pt>
                <c:pt idx="85">
                  <c:v>46489.599999999999</c:v>
                </c:pt>
                <c:pt idx="86">
                  <c:v>46607.1</c:v>
                </c:pt>
                <c:pt idx="87">
                  <c:v>46628.800000000003</c:v>
                </c:pt>
                <c:pt idx="88">
                  <c:v>46401.3</c:v>
                </c:pt>
                <c:pt idx="89">
                  <c:v>46451.6</c:v>
                </c:pt>
                <c:pt idx="90">
                  <c:v>46579.8</c:v>
                </c:pt>
                <c:pt idx="91">
                  <c:v>46853.1</c:v>
                </c:pt>
                <c:pt idx="92">
                  <c:v>47042.5</c:v>
                </c:pt>
                <c:pt idx="93">
                  <c:v>47057.1</c:v>
                </c:pt>
                <c:pt idx="94">
                  <c:v>47185.5</c:v>
                </c:pt>
                <c:pt idx="95">
                  <c:v>47138.9</c:v>
                </c:pt>
                <c:pt idx="96">
                  <c:v>46965.3</c:v>
                </c:pt>
                <c:pt idx="97">
                  <c:v>46741.1</c:v>
                </c:pt>
                <c:pt idx="98">
                  <c:v>46489.599999999999</c:v>
                </c:pt>
                <c:pt idx="99">
                  <c:v>46454.3</c:v>
                </c:pt>
                <c:pt idx="100">
                  <c:v>46797.4</c:v>
                </c:pt>
                <c:pt idx="101">
                  <c:v>47030.3</c:v>
                </c:pt>
                <c:pt idx="102">
                  <c:v>47093.4</c:v>
                </c:pt>
                <c:pt idx="103">
                  <c:v>46892.5</c:v>
                </c:pt>
                <c:pt idx="104">
                  <c:v>46852.800000000003</c:v>
                </c:pt>
                <c:pt idx="105">
                  <c:v>47158</c:v>
                </c:pt>
                <c:pt idx="106">
                  <c:v>47636.7</c:v>
                </c:pt>
                <c:pt idx="107">
                  <c:v>48026.400000000001</c:v>
                </c:pt>
                <c:pt idx="108">
                  <c:v>47839.6</c:v>
                </c:pt>
                <c:pt idx="109">
                  <c:v>47170.5</c:v>
                </c:pt>
                <c:pt idx="110">
                  <c:v>46827.199999999997</c:v>
                </c:pt>
                <c:pt idx="111">
                  <c:v>46892</c:v>
                </c:pt>
                <c:pt idx="112">
                  <c:v>46733.8</c:v>
                </c:pt>
                <c:pt idx="113">
                  <c:v>46642.1</c:v>
                </c:pt>
                <c:pt idx="114">
                  <c:v>46746.400000000001</c:v>
                </c:pt>
                <c:pt idx="115">
                  <c:v>47158.3</c:v>
                </c:pt>
                <c:pt idx="116">
                  <c:v>47532.800000000003</c:v>
                </c:pt>
                <c:pt idx="117">
                  <c:v>47570.5</c:v>
                </c:pt>
                <c:pt idx="118">
                  <c:v>47486.3</c:v>
                </c:pt>
                <c:pt idx="119">
                  <c:v>47300</c:v>
                </c:pt>
                <c:pt idx="120">
                  <c:v>47226.7</c:v>
                </c:pt>
                <c:pt idx="121">
                  <c:v>46965</c:v>
                </c:pt>
                <c:pt idx="122">
                  <c:v>46899.6</c:v>
                </c:pt>
                <c:pt idx="123">
                  <c:v>47039.3</c:v>
                </c:pt>
                <c:pt idx="124">
                  <c:v>47090.3</c:v>
                </c:pt>
                <c:pt idx="125">
                  <c:v>47095.9</c:v>
                </c:pt>
                <c:pt idx="126">
                  <c:v>47015.8</c:v>
                </c:pt>
                <c:pt idx="127">
                  <c:v>46872.4</c:v>
                </c:pt>
                <c:pt idx="128">
                  <c:v>46629.7</c:v>
                </c:pt>
                <c:pt idx="129">
                  <c:v>46621.3</c:v>
                </c:pt>
                <c:pt idx="130">
                  <c:v>46709.2</c:v>
                </c:pt>
                <c:pt idx="131">
                  <c:v>46829.1</c:v>
                </c:pt>
                <c:pt idx="132">
                  <c:v>46717.2</c:v>
                </c:pt>
                <c:pt idx="133">
                  <c:v>46826.9</c:v>
                </c:pt>
                <c:pt idx="134">
                  <c:v>47124</c:v>
                </c:pt>
                <c:pt idx="135">
                  <c:v>47250.7</c:v>
                </c:pt>
                <c:pt idx="136">
                  <c:v>47314.9</c:v>
                </c:pt>
                <c:pt idx="137">
                  <c:v>47267.1</c:v>
                </c:pt>
                <c:pt idx="138">
                  <c:v>46941.7</c:v>
                </c:pt>
                <c:pt idx="139">
                  <c:v>46531.4</c:v>
                </c:pt>
                <c:pt idx="140">
                  <c:v>46482.6</c:v>
                </c:pt>
                <c:pt idx="141">
                  <c:v>46517.599999999999</c:v>
                </c:pt>
                <c:pt idx="142">
                  <c:v>46447.199999999997</c:v>
                </c:pt>
                <c:pt idx="143">
                  <c:v>46345.1</c:v>
                </c:pt>
                <c:pt idx="144">
                  <c:v>46521.4</c:v>
                </c:pt>
                <c:pt idx="145">
                  <c:v>46797.2</c:v>
                </c:pt>
                <c:pt idx="146">
                  <c:v>46864.6</c:v>
                </c:pt>
                <c:pt idx="147">
                  <c:v>46899.6</c:v>
                </c:pt>
                <c:pt idx="148">
                  <c:v>46870</c:v>
                </c:pt>
                <c:pt idx="149">
                  <c:v>47006.2</c:v>
                </c:pt>
                <c:pt idx="150">
                  <c:v>46906.3</c:v>
                </c:pt>
                <c:pt idx="151">
                  <c:v>46700.9</c:v>
                </c:pt>
                <c:pt idx="152">
                  <c:v>46644.1</c:v>
                </c:pt>
                <c:pt idx="153">
                  <c:v>46652.4</c:v>
                </c:pt>
                <c:pt idx="154">
                  <c:v>46545.9</c:v>
                </c:pt>
                <c:pt idx="155">
                  <c:v>46672.6</c:v>
                </c:pt>
                <c:pt idx="156">
                  <c:v>46971.1</c:v>
                </c:pt>
                <c:pt idx="157">
                  <c:v>47030.6</c:v>
                </c:pt>
                <c:pt idx="158">
                  <c:v>46940.4</c:v>
                </c:pt>
                <c:pt idx="159">
                  <c:v>47208.1</c:v>
                </c:pt>
                <c:pt idx="160">
                  <c:v>47391.7</c:v>
                </c:pt>
                <c:pt idx="161">
                  <c:v>47002.1</c:v>
                </c:pt>
                <c:pt idx="162">
                  <c:v>46389.1</c:v>
                </c:pt>
                <c:pt idx="163">
                  <c:v>46118.2</c:v>
                </c:pt>
                <c:pt idx="164">
                  <c:v>46250.7</c:v>
                </c:pt>
                <c:pt idx="165">
                  <c:v>46481</c:v>
                </c:pt>
                <c:pt idx="166">
                  <c:v>46516.9</c:v>
                </c:pt>
                <c:pt idx="167">
                  <c:v>46268.3</c:v>
                </c:pt>
                <c:pt idx="168">
                  <c:v>46086.2</c:v>
                </c:pt>
                <c:pt idx="169">
                  <c:v>46268.5</c:v>
                </c:pt>
                <c:pt idx="170">
                  <c:v>46267.7</c:v>
                </c:pt>
                <c:pt idx="171">
                  <c:v>46310.5</c:v>
                </c:pt>
                <c:pt idx="172">
                  <c:v>46447.1</c:v>
                </c:pt>
                <c:pt idx="173">
                  <c:v>46816.3</c:v>
                </c:pt>
                <c:pt idx="174">
                  <c:v>47033.8</c:v>
                </c:pt>
                <c:pt idx="175">
                  <c:v>47194.9</c:v>
                </c:pt>
                <c:pt idx="176">
                  <c:v>47278.8</c:v>
                </c:pt>
                <c:pt idx="177">
                  <c:v>47148.3</c:v>
                </c:pt>
                <c:pt idx="178">
                  <c:v>46755</c:v>
                </c:pt>
                <c:pt idx="179">
                  <c:v>46420.7</c:v>
                </c:pt>
                <c:pt idx="180">
                  <c:v>46448.4</c:v>
                </c:pt>
                <c:pt idx="181">
                  <c:v>46645.3</c:v>
                </c:pt>
                <c:pt idx="182">
                  <c:v>46530.5</c:v>
                </c:pt>
                <c:pt idx="183">
                  <c:v>46327.6</c:v>
                </c:pt>
                <c:pt idx="184">
                  <c:v>46452.7</c:v>
                </c:pt>
                <c:pt idx="185">
                  <c:v>46737.599999999999</c:v>
                </c:pt>
                <c:pt idx="186">
                  <c:v>46877.2</c:v>
                </c:pt>
                <c:pt idx="187">
                  <c:v>46859</c:v>
                </c:pt>
                <c:pt idx="188">
                  <c:v>46630</c:v>
                </c:pt>
                <c:pt idx="189">
                  <c:v>46479.9</c:v>
                </c:pt>
                <c:pt idx="190">
                  <c:v>46690</c:v>
                </c:pt>
                <c:pt idx="191">
                  <c:v>46976</c:v>
                </c:pt>
                <c:pt idx="192">
                  <c:v>46951.1</c:v>
                </c:pt>
                <c:pt idx="193">
                  <c:v>46677.1</c:v>
                </c:pt>
                <c:pt idx="194">
                  <c:v>46445</c:v>
                </c:pt>
                <c:pt idx="195">
                  <c:v>46621.2</c:v>
                </c:pt>
                <c:pt idx="196">
                  <c:v>46878.9</c:v>
                </c:pt>
                <c:pt idx="197">
                  <c:v>46830.9</c:v>
                </c:pt>
                <c:pt idx="198">
                  <c:v>46677.3</c:v>
                </c:pt>
                <c:pt idx="199">
                  <c:v>46831.199999999997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382-0741-BFD0-63FFBCC9D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211183"/>
        <c:axId val="2111510639"/>
      </c:scatterChart>
      <c:valAx>
        <c:axId val="199821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510639"/>
        <c:crosses val="autoZero"/>
        <c:crossBetween val="midCat"/>
      </c:valAx>
      <c:valAx>
        <c:axId val="211151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211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'LiCl-NaCl'!$S$29:$S$228</c:f>
              <c:numCache>
                <c:formatCode>General</c:formatCode>
                <c:ptCount val="2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  <c:pt idx="100">
                  <c:v>101000</c:v>
                </c:pt>
                <c:pt idx="101">
                  <c:v>102000</c:v>
                </c:pt>
                <c:pt idx="102">
                  <c:v>103000</c:v>
                </c:pt>
                <c:pt idx="103">
                  <c:v>104000</c:v>
                </c:pt>
                <c:pt idx="104">
                  <c:v>105000</c:v>
                </c:pt>
                <c:pt idx="105">
                  <c:v>106000</c:v>
                </c:pt>
                <c:pt idx="106">
                  <c:v>107000</c:v>
                </c:pt>
                <c:pt idx="107">
                  <c:v>108000</c:v>
                </c:pt>
                <c:pt idx="108">
                  <c:v>109000</c:v>
                </c:pt>
                <c:pt idx="109">
                  <c:v>110000</c:v>
                </c:pt>
                <c:pt idx="110">
                  <c:v>111000</c:v>
                </c:pt>
                <c:pt idx="111">
                  <c:v>112000</c:v>
                </c:pt>
                <c:pt idx="112">
                  <c:v>113000</c:v>
                </c:pt>
                <c:pt idx="113">
                  <c:v>114000</c:v>
                </c:pt>
                <c:pt idx="114">
                  <c:v>115000</c:v>
                </c:pt>
                <c:pt idx="115">
                  <c:v>116000</c:v>
                </c:pt>
                <c:pt idx="116">
                  <c:v>117000</c:v>
                </c:pt>
                <c:pt idx="117">
                  <c:v>118000</c:v>
                </c:pt>
                <c:pt idx="118">
                  <c:v>119000</c:v>
                </c:pt>
                <c:pt idx="119">
                  <c:v>120000</c:v>
                </c:pt>
                <c:pt idx="120">
                  <c:v>121000</c:v>
                </c:pt>
                <c:pt idx="121">
                  <c:v>122000</c:v>
                </c:pt>
                <c:pt idx="122">
                  <c:v>123000</c:v>
                </c:pt>
                <c:pt idx="123">
                  <c:v>124000</c:v>
                </c:pt>
                <c:pt idx="124">
                  <c:v>125000</c:v>
                </c:pt>
                <c:pt idx="125">
                  <c:v>126000</c:v>
                </c:pt>
                <c:pt idx="126">
                  <c:v>127000</c:v>
                </c:pt>
                <c:pt idx="127">
                  <c:v>128000</c:v>
                </c:pt>
                <c:pt idx="128">
                  <c:v>129000</c:v>
                </c:pt>
                <c:pt idx="129">
                  <c:v>130000</c:v>
                </c:pt>
                <c:pt idx="130">
                  <c:v>131000</c:v>
                </c:pt>
                <c:pt idx="131">
                  <c:v>132000</c:v>
                </c:pt>
                <c:pt idx="132">
                  <c:v>133000</c:v>
                </c:pt>
                <c:pt idx="133">
                  <c:v>134000</c:v>
                </c:pt>
                <c:pt idx="134">
                  <c:v>135000</c:v>
                </c:pt>
                <c:pt idx="135">
                  <c:v>136000</c:v>
                </c:pt>
                <c:pt idx="136">
                  <c:v>137000</c:v>
                </c:pt>
                <c:pt idx="137">
                  <c:v>138000</c:v>
                </c:pt>
                <c:pt idx="138">
                  <c:v>139000</c:v>
                </c:pt>
                <c:pt idx="139">
                  <c:v>140000</c:v>
                </c:pt>
                <c:pt idx="140">
                  <c:v>141000</c:v>
                </c:pt>
                <c:pt idx="141">
                  <c:v>142000</c:v>
                </c:pt>
                <c:pt idx="142">
                  <c:v>143000</c:v>
                </c:pt>
                <c:pt idx="143">
                  <c:v>144000</c:v>
                </c:pt>
                <c:pt idx="144">
                  <c:v>145000</c:v>
                </c:pt>
                <c:pt idx="145">
                  <c:v>146000</c:v>
                </c:pt>
                <c:pt idx="146">
                  <c:v>147000</c:v>
                </c:pt>
                <c:pt idx="147">
                  <c:v>148000</c:v>
                </c:pt>
                <c:pt idx="148">
                  <c:v>149000</c:v>
                </c:pt>
                <c:pt idx="149">
                  <c:v>150000</c:v>
                </c:pt>
                <c:pt idx="150">
                  <c:v>151000</c:v>
                </c:pt>
                <c:pt idx="151">
                  <c:v>152000</c:v>
                </c:pt>
                <c:pt idx="152">
                  <c:v>153000</c:v>
                </c:pt>
                <c:pt idx="153">
                  <c:v>154000</c:v>
                </c:pt>
                <c:pt idx="154">
                  <c:v>155000</c:v>
                </c:pt>
                <c:pt idx="155">
                  <c:v>156000</c:v>
                </c:pt>
                <c:pt idx="156">
                  <c:v>157000</c:v>
                </c:pt>
                <c:pt idx="157">
                  <c:v>158000</c:v>
                </c:pt>
                <c:pt idx="158">
                  <c:v>159000</c:v>
                </c:pt>
                <c:pt idx="159">
                  <c:v>160000</c:v>
                </c:pt>
                <c:pt idx="160">
                  <c:v>161000</c:v>
                </c:pt>
                <c:pt idx="161">
                  <c:v>162000</c:v>
                </c:pt>
                <c:pt idx="162">
                  <c:v>163000</c:v>
                </c:pt>
                <c:pt idx="163">
                  <c:v>164000</c:v>
                </c:pt>
                <c:pt idx="164">
                  <c:v>165000</c:v>
                </c:pt>
                <c:pt idx="165">
                  <c:v>166000</c:v>
                </c:pt>
                <c:pt idx="166">
                  <c:v>167000</c:v>
                </c:pt>
                <c:pt idx="167">
                  <c:v>168000</c:v>
                </c:pt>
                <c:pt idx="168">
                  <c:v>169000</c:v>
                </c:pt>
                <c:pt idx="169">
                  <c:v>170000</c:v>
                </c:pt>
                <c:pt idx="170">
                  <c:v>171000</c:v>
                </c:pt>
                <c:pt idx="171">
                  <c:v>172000</c:v>
                </c:pt>
                <c:pt idx="172">
                  <c:v>173000</c:v>
                </c:pt>
                <c:pt idx="173">
                  <c:v>174000</c:v>
                </c:pt>
                <c:pt idx="174">
                  <c:v>175000</c:v>
                </c:pt>
                <c:pt idx="175">
                  <c:v>176000</c:v>
                </c:pt>
                <c:pt idx="176">
                  <c:v>177000</c:v>
                </c:pt>
                <c:pt idx="177">
                  <c:v>178000</c:v>
                </c:pt>
                <c:pt idx="178">
                  <c:v>179000</c:v>
                </c:pt>
                <c:pt idx="179">
                  <c:v>180000</c:v>
                </c:pt>
                <c:pt idx="180">
                  <c:v>181000</c:v>
                </c:pt>
                <c:pt idx="181">
                  <c:v>182000</c:v>
                </c:pt>
                <c:pt idx="182">
                  <c:v>183000</c:v>
                </c:pt>
                <c:pt idx="183">
                  <c:v>184000</c:v>
                </c:pt>
                <c:pt idx="184">
                  <c:v>185000</c:v>
                </c:pt>
                <c:pt idx="185">
                  <c:v>186000</c:v>
                </c:pt>
                <c:pt idx="186">
                  <c:v>187000</c:v>
                </c:pt>
                <c:pt idx="187">
                  <c:v>188000</c:v>
                </c:pt>
                <c:pt idx="188">
                  <c:v>189000</c:v>
                </c:pt>
                <c:pt idx="189">
                  <c:v>190000</c:v>
                </c:pt>
                <c:pt idx="190">
                  <c:v>191000</c:v>
                </c:pt>
                <c:pt idx="191">
                  <c:v>192000</c:v>
                </c:pt>
                <c:pt idx="192">
                  <c:v>193000</c:v>
                </c:pt>
                <c:pt idx="193">
                  <c:v>194000</c:v>
                </c:pt>
                <c:pt idx="194">
                  <c:v>195000</c:v>
                </c:pt>
                <c:pt idx="195">
                  <c:v>196000</c:v>
                </c:pt>
                <c:pt idx="196">
                  <c:v>197000</c:v>
                </c:pt>
                <c:pt idx="197">
                  <c:v>198000</c:v>
                </c:pt>
                <c:pt idx="198">
                  <c:v>199000</c:v>
                </c:pt>
                <c:pt idx="199">
                  <c:v>200000</c:v>
                </c:pt>
              </c:numCache>
            </c:numRef>
          </c:xVal>
          <c:yVal>
            <c:numRef>
              <c:f>'LiCl-NaCl'!$U$29:$U$228</c:f>
              <c:numCache>
                <c:formatCode>General</c:formatCode>
                <c:ptCount val="200"/>
                <c:pt idx="0">
                  <c:v>-3310.73</c:v>
                </c:pt>
                <c:pt idx="1">
                  <c:v>-3303.59</c:v>
                </c:pt>
                <c:pt idx="2">
                  <c:v>-3276.97</c:v>
                </c:pt>
                <c:pt idx="3">
                  <c:v>-3248.4</c:v>
                </c:pt>
                <c:pt idx="4">
                  <c:v>-3215.44</c:v>
                </c:pt>
                <c:pt idx="5">
                  <c:v>-3189.05</c:v>
                </c:pt>
                <c:pt idx="6">
                  <c:v>-3153.68</c:v>
                </c:pt>
                <c:pt idx="7">
                  <c:v>-3123.53</c:v>
                </c:pt>
                <c:pt idx="8">
                  <c:v>-3124.7</c:v>
                </c:pt>
                <c:pt idx="9">
                  <c:v>-3113.07</c:v>
                </c:pt>
                <c:pt idx="10">
                  <c:v>-3126.77</c:v>
                </c:pt>
                <c:pt idx="11">
                  <c:v>-3134.81</c:v>
                </c:pt>
                <c:pt idx="12">
                  <c:v>-3141.19</c:v>
                </c:pt>
                <c:pt idx="13">
                  <c:v>-3127.17</c:v>
                </c:pt>
                <c:pt idx="14">
                  <c:v>-3125.34</c:v>
                </c:pt>
                <c:pt idx="15">
                  <c:v>-3129.03</c:v>
                </c:pt>
                <c:pt idx="16">
                  <c:v>-3118.76</c:v>
                </c:pt>
                <c:pt idx="17">
                  <c:v>-3128.45</c:v>
                </c:pt>
                <c:pt idx="18">
                  <c:v>-3126.7</c:v>
                </c:pt>
                <c:pt idx="19">
                  <c:v>-3126.27</c:v>
                </c:pt>
                <c:pt idx="20">
                  <c:v>-3123.49</c:v>
                </c:pt>
                <c:pt idx="21">
                  <c:v>-3113.89</c:v>
                </c:pt>
                <c:pt idx="22">
                  <c:v>-3116.53</c:v>
                </c:pt>
                <c:pt idx="23">
                  <c:v>-3121.45</c:v>
                </c:pt>
                <c:pt idx="24">
                  <c:v>-3122.17</c:v>
                </c:pt>
                <c:pt idx="25">
                  <c:v>-3125.89</c:v>
                </c:pt>
                <c:pt idx="26">
                  <c:v>-3127.79</c:v>
                </c:pt>
                <c:pt idx="27">
                  <c:v>-3125.11</c:v>
                </c:pt>
                <c:pt idx="28">
                  <c:v>-3139.05</c:v>
                </c:pt>
                <c:pt idx="29">
                  <c:v>-3133.81</c:v>
                </c:pt>
                <c:pt idx="30">
                  <c:v>-3136.65</c:v>
                </c:pt>
                <c:pt idx="31">
                  <c:v>-3130.62</c:v>
                </c:pt>
                <c:pt idx="32">
                  <c:v>-3119.91</c:v>
                </c:pt>
                <c:pt idx="33">
                  <c:v>-3119.02</c:v>
                </c:pt>
                <c:pt idx="34">
                  <c:v>-3120.8</c:v>
                </c:pt>
                <c:pt idx="35">
                  <c:v>-3120.16</c:v>
                </c:pt>
                <c:pt idx="36">
                  <c:v>-3133.29</c:v>
                </c:pt>
                <c:pt idx="37">
                  <c:v>-3135.98</c:v>
                </c:pt>
                <c:pt idx="38">
                  <c:v>-3138.72</c:v>
                </c:pt>
                <c:pt idx="39">
                  <c:v>-3127.73</c:v>
                </c:pt>
                <c:pt idx="40">
                  <c:v>-3123.4</c:v>
                </c:pt>
                <c:pt idx="41">
                  <c:v>-3121.37</c:v>
                </c:pt>
                <c:pt idx="42">
                  <c:v>-3119.27</c:v>
                </c:pt>
                <c:pt idx="43">
                  <c:v>-3139.38</c:v>
                </c:pt>
                <c:pt idx="44">
                  <c:v>-3117.5</c:v>
                </c:pt>
                <c:pt idx="45">
                  <c:v>-3123.02</c:v>
                </c:pt>
                <c:pt idx="46">
                  <c:v>-3116.84</c:v>
                </c:pt>
                <c:pt idx="47">
                  <c:v>-3120.51</c:v>
                </c:pt>
                <c:pt idx="48">
                  <c:v>-3117.27</c:v>
                </c:pt>
                <c:pt idx="49">
                  <c:v>-3126.4</c:v>
                </c:pt>
                <c:pt idx="50">
                  <c:v>-3131.28</c:v>
                </c:pt>
                <c:pt idx="51">
                  <c:v>-3122.26</c:v>
                </c:pt>
                <c:pt idx="52">
                  <c:v>-3116.66</c:v>
                </c:pt>
                <c:pt idx="53">
                  <c:v>-3112.2</c:v>
                </c:pt>
                <c:pt idx="54">
                  <c:v>-3106.47</c:v>
                </c:pt>
                <c:pt idx="55">
                  <c:v>-3113.86</c:v>
                </c:pt>
                <c:pt idx="56">
                  <c:v>-3111.05</c:v>
                </c:pt>
                <c:pt idx="57">
                  <c:v>-3124.78</c:v>
                </c:pt>
                <c:pt idx="58">
                  <c:v>-3132.54</c:v>
                </c:pt>
                <c:pt idx="59">
                  <c:v>-3128.9</c:v>
                </c:pt>
                <c:pt idx="60">
                  <c:v>-3125.79</c:v>
                </c:pt>
                <c:pt idx="61">
                  <c:v>-3124.97</c:v>
                </c:pt>
                <c:pt idx="62">
                  <c:v>-3113.94</c:v>
                </c:pt>
                <c:pt idx="63">
                  <c:v>-3124.52</c:v>
                </c:pt>
                <c:pt idx="64">
                  <c:v>-3134.65</c:v>
                </c:pt>
                <c:pt idx="65">
                  <c:v>-3127.27</c:v>
                </c:pt>
                <c:pt idx="66">
                  <c:v>-3131.95</c:v>
                </c:pt>
                <c:pt idx="67">
                  <c:v>-3127.07</c:v>
                </c:pt>
                <c:pt idx="68">
                  <c:v>-3132.52</c:v>
                </c:pt>
                <c:pt idx="69">
                  <c:v>-3127.58</c:v>
                </c:pt>
                <c:pt idx="70">
                  <c:v>-3130.48</c:v>
                </c:pt>
                <c:pt idx="71">
                  <c:v>-3131.49</c:v>
                </c:pt>
                <c:pt idx="72">
                  <c:v>-3123.61</c:v>
                </c:pt>
                <c:pt idx="73">
                  <c:v>-3125.9</c:v>
                </c:pt>
                <c:pt idx="74">
                  <c:v>-3119.8</c:v>
                </c:pt>
                <c:pt idx="75">
                  <c:v>-3127.99</c:v>
                </c:pt>
                <c:pt idx="76">
                  <c:v>-3124.2</c:v>
                </c:pt>
                <c:pt idx="77">
                  <c:v>-3119.92</c:v>
                </c:pt>
                <c:pt idx="78">
                  <c:v>-3109.34</c:v>
                </c:pt>
                <c:pt idx="79">
                  <c:v>-3120.46</c:v>
                </c:pt>
                <c:pt idx="80">
                  <c:v>-3132.98</c:v>
                </c:pt>
                <c:pt idx="81">
                  <c:v>-3133.51</c:v>
                </c:pt>
                <c:pt idx="82">
                  <c:v>-3127.46</c:v>
                </c:pt>
                <c:pt idx="83">
                  <c:v>-3127.25</c:v>
                </c:pt>
                <c:pt idx="84">
                  <c:v>-3126.62</c:v>
                </c:pt>
                <c:pt idx="85">
                  <c:v>-3121.11</c:v>
                </c:pt>
                <c:pt idx="86">
                  <c:v>-3131.96</c:v>
                </c:pt>
                <c:pt idx="87">
                  <c:v>-3125.71</c:v>
                </c:pt>
                <c:pt idx="88">
                  <c:v>-3134.85</c:v>
                </c:pt>
                <c:pt idx="89">
                  <c:v>-3124.07</c:v>
                </c:pt>
                <c:pt idx="90">
                  <c:v>-3126.42</c:v>
                </c:pt>
                <c:pt idx="91">
                  <c:v>-3120.38</c:v>
                </c:pt>
                <c:pt idx="92">
                  <c:v>-3125.42</c:v>
                </c:pt>
                <c:pt idx="93">
                  <c:v>-3141.43</c:v>
                </c:pt>
                <c:pt idx="94">
                  <c:v>-3160.39</c:v>
                </c:pt>
                <c:pt idx="95">
                  <c:v>-3130.2</c:v>
                </c:pt>
                <c:pt idx="96">
                  <c:v>-3125.23</c:v>
                </c:pt>
                <c:pt idx="97">
                  <c:v>-3120.75</c:v>
                </c:pt>
                <c:pt idx="98">
                  <c:v>-3118.23</c:v>
                </c:pt>
                <c:pt idx="99">
                  <c:v>-3117.18</c:v>
                </c:pt>
                <c:pt idx="100">
                  <c:v>-3127</c:v>
                </c:pt>
                <c:pt idx="101">
                  <c:v>-3131.83</c:v>
                </c:pt>
                <c:pt idx="102">
                  <c:v>-3127.63</c:v>
                </c:pt>
                <c:pt idx="103">
                  <c:v>-3127.21</c:v>
                </c:pt>
                <c:pt idx="104">
                  <c:v>-3116.66</c:v>
                </c:pt>
                <c:pt idx="105">
                  <c:v>-3112.94</c:v>
                </c:pt>
                <c:pt idx="106">
                  <c:v>-3114.32</c:v>
                </c:pt>
                <c:pt idx="107">
                  <c:v>-3119.22</c:v>
                </c:pt>
                <c:pt idx="108">
                  <c:v>-3118.84</c:v>
                </c:pt>
                <c:pt idx="109">
                  <c:v>-3124.24</c:v>
                </c:pt>
                <c:pt idx="110">
                  <c:v>-3121.67</c:v>
                </c:pt>
                <c:pt idx="111">
                  <c:v>-3126.08</c:v>
                </c:pt>
                <c:pt idx="112">
                  <c:v>-3130.56</c:v>
                </c:pt>
                <c:pt idx="113">
                  <c:v>-3113.53</c:v>
                </c:pt>
                <c:pt idx="114">
                  <c:v>-3119.59</c:v>
                </c:pt>
                <c:pt idx="115">
                  <c:v>-3120.55</c:v>
                </c:pt>
                <c:pt idx="116">
                  <c:v>-3123.93</c:v>
                </c:pt>
                <c:pt idx="117">
                  <c:v>-3121.98</c:v>
                </c:pt>
                <c:pt idx="118">
                  <c:v>-3109.97</c:v>
                </c:pt>
                <c:pt idx="119">
                  <c:v>-3110.99</c:v>
                </c:pt>
                <c:pt idx="120">
                  <c:v>-3116.14</c:v>
                </c:pt>
                <c:pt idx="121">
                  <c:v>-3123.74</c:v>
                </c:pt>
                <c:pt idx="122">
                  <c:v>-3129.13</c:v>
                </c:pt>
                <c:pt idx="123">
                  <c:v>-3130.25</c:v>
                </c:pt>
                <c:pt idx="124">
                  <c:v>-3127.04</c:v>
                </c:pt>
                <c:pt idx="125">
                  <c:v>-3128.78</c:v>
                </c:pt>
                <c:pt idx="126">
                  <c:v>-3121.98</c:v>
                </c:pt>
                <c:pt idx="127">
                  <c:v>-3118.27</c:v>
                </c:pt>
                <c:pt idx="128">
                  <c:v>-3120.4</c:v>
                </c:pt>
                <c:pt idx="129">
                  <c:v>-3123.02</c:v>
                </c:pt>
                <c:pt idx="130">
                  <c:v>-3128.29</c:v>
                </c:pt>
                <c:pt idx="131">
                  <c:v>-3131.4</c:v>
                </c:pt>
                <c:pt idx="132">
                  <c:v>-3117.83</c:v>
                </c:pt>
                <c:pt idx="133">
                  <c:v>-3118.92</c:v>
                </c:pt>
                <c:pt idx="134">
                  <c:v>-3114.17</c:v>
                </c:pt>
                <c:pt idx="135">
                  <c:v>-3128.86</c:v>
                </c:pt>
                <c:pt idx="136">
                  <c:v>-3128.7</c:v>
                </c:pt>
                <c:pt idx="137">
                  <c:v>-3114.27</c:v>
                </c:pt>
                <c:pt idx="138">
                  <c:v>-3113.67</c:v>
                </c:pt>
                <c:pt idx="139">
                  <c:v>-3128.21</c:v>
                </c:pt>
                <c:pt idx="140">
                  <c:v>-3127.79</c:v>
                </c:pt>
                <c:pt idx="141">
                  <c:v>-3126.22</c:v>
                </c:pt>
                <c:pt idx="142">
                  <c:v>-3117.59</c:v>
                </c:pt>
                <c:pt idx="143">
                  <c:v>-3113.1</c:v>
                </c:pt>
                <c:pt idx="144">
                  <c:v>-3124.23</c:v>
                </c:pt>
                <c:pt idx="145">
                  <c:v>-3120.34</c:v>
                </c:pt>
                <c:pt idx="146">
                  <c:v>-3128.77</c:v>
                </c:pt>
                <c:pt idx="147">
                  <c:v>-3125.27</c:v>
                </c:pt>
                <c:pt idx="148">
                  <c:v>-3125.29</c:v>
                </c:pt>
                <c:pt idx="149">
                  <c:v>-3127.08</c:v>
                </c:pt>
                <c:pt idx="150">
                  <c:v>-3125.65</c:v>
                </c:pt>
                <c:pt idx="151">
                  <c:v>-3130.24</c:v>
                </c:pt>
                <c:pt idx="152">
                  <c:v>-3122.01</c:v>
                </c:pt>
                <c:pt idx="153">
                  <c:v>-3126.85</c:v>
                </c:pt>
                <c:pt idx="154">
                  <c:v>-3131.13</c:v>
                </c:pt>
                <c:pt idx="155">
                  <c:v>-3134.03</c:v>
                </c:pt>
                <c:pt idx="156">
                  <c:v>-3124.43</c:v>
                </c:pt>
                <c:pt idx="157">
                  <c:v>-3122.44</c:v>
                </c:pt>
                <c:pt idx="158">
                  <c:v>-3127.7</c:v>
                </c:pt>
                <c:pt idx="159">
                  <c:v>-3124.17</c:v>
                </c:pt>
                <c:pt idx="160">
                  <c:v>-3129.47</c:v>
                </c:pt>
                <c:pt idx="161">
                  <c:v>-3132.11</c:v>
                </c:pt>
                <c:pt idx="162">
                  <c:v>-3125.58</c:v>
                </c:pt>
                <c:pt idx="163">
                  <c:v>-3129.02</c:v>
                </c:pt>
                <c:pt idx="164">
                  <c:v>-3125.06</c:v>
                </c:pt>
                <c:pt idx="165">
                  <c:v>-3126.57</c:v>
                </c:pt>
                <c:pt idx="166">
                  <c:v>-3131.3</c:v>
                </c:pt>
                <c:pt idx="167">
                  <c:v>-3142.83</c:v>
                </c:pt>
                <c:pt idx="168">
                  <c:v>-3139.72</c:v>
                </c:pt>
                <c:pt idx="169">
                  <c:v>-3125.43</c:v>
                </c:pt>
                <c:pt idx="170">
                  <c:v>-3122.54</c:v>
                </c:pt>
                <c:pt idx="171">
                  <c:v>-3127.6</c:v>
                </c:pt>
                <c:pt idx="172">
                  <c:v>-3121.73</c:v>
                </c:pt>
                <c:pt idx="173">
                  <c:v>-3120.27</c:v>
                </c:pt>
                <c:pt idx="174">
                  <c:v>-3117.31</c:v>
                </c:pt>
                <c:pt idx="175">
                  <c:v>-3112.78</c:v>
                </c:pt>
                <c:pt idx="176">
                  <c:v>-3118.21</c:v>
                </c:pt>
                <c:pt idx="177">
                  <c:v>-3122.22</c:v>
                </c:pt>
                <c:pt idx="178">
                  <c:v>-3119.64</c:v>
                </c:pt>
                <c:pt idx="179">
                  <c:v>-3128.22</c:v>
                </c:pt>
                <c:pt idx="180">
                  <c:v>-3129.4</c:v>
                </c:pt>
                <c:pt idx="181">
                  <c:v>-3126.04</c:v>
                </c:pt>
                <c:pt idx="182">
                  <c:v>-3124.11</c:v>
                </c:pt>
                <c:pt idx="183">
                  <c:v>-3138.47</c:v>
                </c:pt>
                <c:pt idx="184">
                  <c:v>-3128.37</c:v>
                </c:pt>
                <c:pt idx="185">
                  <c:v>-3124.08</c:v>
                </c:pt>
                <c:pt idx="186">
                  <c:v>-3135.47</c:v>
                </c:pt>
                <c:pt idx="187">
                  <c:v>-3135.87</c:v>
                </c:pt>
                <c:pt idx="188">
                  <c:v>-3141.05</c:v>
                </c:pt>
                <c:pt idx="189">
                  <c:v>-3126.26</c:v>
                </c:pt>
                <c:pt idx="190">
                  <c:v>-3127.66</c:v>
                </c:pt>
                <c:pt idx="191">
                  <c:v>-3121.3</c:v>
                </c:pt>
                <c:pt idx="192">
                  <c:v>-3127.62</c:v>
                </c:pt>
                <c:pt idx="193">
                  <c:v>-3126.91</c:v>
                </c:pt>
                <c:pt idx="194">
                  <c:v>-3126.36</c:v>
                </c:pt>
                <c:pt idx="195">
                  <c:v>-3126.61</c:v>
                </c:pt>
                <c:pt idx="196">
                  <c:v>-3122.8</c:v>
                </c:pt>
                <c:pt idx="197">
                  <c:v>-3125.29</c:v>
                </c:pt>
                <c:pt idx="198">
                  <c:v>-3127.83</c:v>
                </c:pt>
                <c:pt idx="199">
                  <c:v>-3118.39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AD-9348-B252-C0DCCB0FC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211183"/>
        <c:axId val="2111510639"/>
      </c:scatterChart>
      <c:valAx>
        <c:axId val="199821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510639"/>
        <c:crosses val="autoZero"/>
        <c:crossBetween val="midCat"/>
      </c:valAx>
      <c:valAx>
        <c:axId val="211151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211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'LiCl-NaCl'!$C$8:$C$18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'LiCl-NaCl'!$N$8:$N$18</c:f>
              <c:numCache>
                <c:formatCode>General</c:formatCode>
                <c:ptCount val="11"/>
                <c:pt idx="0">
                  <c:v>1.3607181600707519</c:v>
                </c:pt>
                <c:pt idx="1">
                  <c:v>1.3729648054876904</c:v>
                </c:pt>
                <c:pt idx="2">
                  <c:v>1.3875234596179395</c:v>
                </c:pt>
                <c:pt idx="3">
                  <c:v>1.3999368789053868</c:v>
                </c:pt>
                <c:pt idx="4">
                  <c:v>1.4098852996623188</c:v>
                </c:pt>
                <c:pt idx="5">
                  <c:v>1.4231203869053943</c:v>
                </c:pt>
                <c:pt idx="6">
                  <c:v>1.4306068072050961</c:v>
                </c:pt>
                <c:pt idx="7">
                  <c:v>1.4407471392224833</c:v>
                </c:pt>
                <c:pt idx="8">
                  <c:v>1.4490697456154211</c:v>
                </c:pt>
                <c:pt idx="9">
                  <c:v>1.4581195967555041</c:v>
                </c:pt>
                <c:pt idx="10">
                  <c:v>1.4654561634862777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F5-814B-8D96-17F7430EB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137551"/>
        <c:axId val="2111221151"/>
      </c:scatterChart>
      <c:valAx>
        <c:axId val="1998137551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221151"/>
        <c:crosses val="autoZero"/>
        <c:crossBetween val="midCat"/>
      </c:valAx>
      <c:valAx>
        <c:axId val="2111221151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1375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'KCl-NaCl'!$C$8:$C$18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'KCl-NaCl'!$N$8:$N$18</c:f>
              <c:numCache>
                <c:formatCode>General</c:formatCode>
                <c:ptCount val="11"/>
                <c:pt idx="0">
                  <c:v>1.3683038469541575</c:v>
                </c:pt>
                <c:pt idx="1">
                  <c:v>1.3737579588803175</c:v>
                </c:pt>
                <c:pt idx="2">
                  <c:v>1.3819113556815978</c:v>
                </c:pt>
                <c:pt idx="3">
                  <c:v>1.3951542815272329</c:v>
                </c:pt>
                <c:pt idx="4">
                  <c:v>1.4024780329224871</c:v>
                </c:pt>
                <c:pt idx="5">
                  <c:v>1.4135050471740382</c:v>
                </c:pt>
                <c:pt idx="6">
                  <c:v>1.4218115753943705</c:v>
                </c:pt>
                <c:pt idx="7">
                  <c:v>1.4312583693073169</c:v>
                </c:pt>
                <c:pt idx="8">
                  <c:v>1.442878854958632</c:v>
                </c:pt>
                <c:pt idx="9">
                  <c:v>1.4530410073696292</c:v>
                </c:pt>
                <c:pt idx="10">
                  <c:v>1.4654561634862777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14-B044-A8D5-FBF556C32D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4754863"/>
        <c:axId val="1743518223"/>
      </c:scatterChart>
      <c:valAx>
        <c:axId val="1964754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518223"/>
        <c:crosses val="autoZero"/>
        <c:crossBetween val="midCat"/>
      </c:valAx>
      <c:valAx>
        <c:axId val="1743518223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754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rdfs!$A$6:$A$145</c:f>
              <c:numCache>
                <c:formatCode>0.00E+00</c:formatCode>
                <c:ptCount val="140"/>
                <c:pt idx="0">
                  <c:v>0</c:v>
                </c:pt>
                <c:pt idx="1">
                  <c:v>5.0359712230215799E-2</c:v>
                </c:pt>
                <c:pt idx="2">
                  <c:v>0.100719424460431</c:v>
                </c:pt>
              </c:numCache>
            </c:numRef>
          </c:xVal>
          <c:yVal>
            <c:numRef>
              <c:f>rdfs!$B$6:$B$145</c:f>
              <c:numCache>
                <c:formatCode>0.00E+00</c:formatCode>
                <c:ptCount val="140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00-7E45-A90B-1AC537100AF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rdfs!$A$6:$A$145</c:f>
              <c:numCache>
                <c:formatCode>0.00E+00</c:formatCode>
                <c:ptCount val="140"/>
                <c:pt idx="0">
                  <c:v>0</c:v>
                </c:pt>
                <c:pt idx="1">
                  <c:v>5.0359712230215799E-2</c:v>
                </c:pt>
                <c:pt idx="2">
                  <c:v>0.100719424460431</c:v>
                </c:pt>
              </c:numCache>
            </c:numRef>
          </c:xVal>
          <c:yVal>
            <c:numRef>
              <c:f>rdfs!$D$6:$D$145</c:f>
              <c:numCache>
                <c:formatCode>0.00E+00</c:formatCode>
                <c:ptCount val="140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00-7E45-A90B-1AC537100AFD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rdfs!$A$6:$A$145</c:f>
              <c:numCache>
                <c:formatCode>0.00E+00</c:formatCode>
                <c:ptCount val="140"/>
                <c:pt idx="0">
                  <c:v>0</c:v>
                </c:pt>
                <c:pt idx="1">
                  <c:v>5.0359712230215799E-2</c:v>
                </c:pt>
                <c:pt idx="2">
                  <c:v>0.100719424460431</c:v>
                </c:pt>
              </c:numCache>
            </c:numRef>
          </c:xVal>
          <c:yVal>
            <c:numRef>
              <c:f>rdfs!$F$6:$F$145</c:f>
              <c:numCache>
                <c:formatCode>0.00E+00</c:formatCode>
                <c:ptCount val="140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600-7E45-A90B-1AC537100A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341808"/>
        <c:axId val="623891327"/>
      </c:scatterChart>
      <c:valAx>
        <c:axId val="1604341808"/>
        <c:scaling>
          <c:orientation val="minMax"/>
          <c:max val="7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891327"/>
        <c:crosses val="autoZero"/>
        <c:crossBetween val="midCat"/>
      </c:valAx>
      <c:valAx>
        <c:axId val="623891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3418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viscosity!$E$8:$E$17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viscosity!$K$8:$K$17</c:f>
              <c:numCache>
                <c:formatCode>General</c:formatCode>
                <c:ptCount val="10"/>
                <c:pt idx="0">
                  <c:v>1.8227519544457833</c:v>
                </c:pt>
                <c:pt idx="1">
                  <c:v>0.91833267519491601</c:v>
                </c:pt>
                <c:pt idx="2">
                  <c:v>0.8609704859317423</c:v>
                </c:pt>
                <c:pt idx="3">
                  <c:v>0.77681970014759583</c:v>
                </c:pt>
                <c:pt idx="4">
                  <c:v>0.86449850441758735</c:v>
                </c:pt>
                <c:pt idx="5">
                  <c:v>0.87577177387572802</c:v>
                </c:pt>
                <c:pt idx="6">
                  <c:v>0.7102222285353087</c:v>
                </c:pt>
                <c:pt idx="7">
                  <c:v>0.78279112001753459</c:v>
                </c:pt>
                <c:pt idx="8">
                  <c:v>0.8011729171507086</c:v>
                </c:pt>
                <c:pt idx="9">
                  <c:v>0.74329547481714942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CA-7845-B076-F8F68DDE2D5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viscosity!$E$8:$E$17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viscosity!$T$8:$T$17</c:f>
              <c:numCache>
                <c:formatCode>General</c:formatCode>
                <c:ptCount val="10"/>
                <c:pt idx="0">
                  <c:v>1.3238632978758613</c:v>
                </c:pt>
                <c:pt idx="1">
                  <c:v>0.66365367896416938</c:v>
                </c:pt>
                <c:pt idx="2">
                  <c:v>0.54402524277126452</c:v>
                </c:pt>
                <c:pt idx="3">
                  <c:v>0.52783818592572262</c:v>
                </c:pt>
                <c:pt idx="4">
                  <c:v>0.40659993006481199</c:v>
                </c:pt>
                <c:pt idx="5">
                  <c:v>0.4848390819087145</c:v>
                </c:pt>
                <c:pt idx="6">
                  <c:v>0.55830676723632566</c:v>
                </c:pt>
                <c:pt idx="7">
                  <c:v>0.62079026600862908</c:v>
                </c:pt>
                <c:pt idx="8">
                  <c:v>0.5502577957773217</c:v>
                </c:pt>
                <c:pt idx="9">
                  <c:v>0.54923628694300575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3-F64F-A2BD-1023720FA26D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viscosity!$N$28:$N$37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viscosity!$T$28:$T$37</c:f>
              <c:numCache>
                <c:formatCode>General</c:formatCode>
                <c:ptCount val="10"/>
                <c:pt idx="0">
                  <c:v>1.496522082679852</c:v>
                </c:pt>
                <c:pt idx="1">
                  <c:v>1.1961865572554695</c:v>
                </c:pt>
                <c:pt idx="2">
                  <c:v>1.0944954540131318</c:v>
                </c:pt>
                <c:pt idx="3">
                  <c:v>1.5684084888541048</c:v>
                </c:pt>
                <c:pt idx="4">
                  <c:v>1.3140932559420013</c:v>
                </c:pt>
                <c:pt idx="5">
                  <c:v>1.0344577889499218</c:v>
                </c:pt>
                <c:pt idx="6">
                  <c:v>1.2755378624281395</c:v>
                </c:pt>
                <c:pt idx="7">
                  <c:v>1.3251702843815429</c:v>
                </c:pt>
                <c:pt idx="8">
                  <c:v>1.1016977161806343</c:v>
                </c:pt>
                <c:pt idx="9">
                  <c:v>1.1406852780876637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FA3-F64F-A2BD-1023720FA2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3017232"/>
        <c:axId val="758666464"/>
      </c:scatterChart>
      <c:valAx>
        <c:axId val="823017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8666464"/>
        <c:crosses val="autoZero"/>
        <c:crossBetween val="midCat"/>
      </c:valAx>
      <c:valAx>
        <c:axId val="75866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3017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NaCl</a:t>
            </a:r>
          </a:p>
        </c:rich>
      </c:tx>
      <c:layout>
        <c:manualLayout>
          <c:xMode val="edge"/>
          <c:yMode val="edge"/>
          <c:x val="0.61701807622884353"/>
          <c:y val="0.1507936507936507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MTP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viscosity!$A$8:$A$13</c:f>
              <c:numCache>
                <c:formatCode>General</c:formatCode>
                <c:ptCount val="6"/>
                <c:pt idx="0">
                  <c:v>1000</c:v>
                </c:pt>
                <c:pt idx="1">
                  <c:v>1100</c:v>
                </c:pt>
                <c:pt idx="2">
                  <c:v>1200</c:v>
                </c:pt>
                <c:pt idx="3">
                  <c:v>1300</c:v>
                </c:pt>
                <c:pt idx="4">
                  <c:v>1400</c:v>
                </c:pt>
                <c:pt idx="5">
                  <c:v>1500</c:v>
                </c:pt>
              </c:numCache>
            </c:numRef>
          </c:xVal>
          <c:yVal>
            <c:numRef>
              <c:f>viscosity!$B$8:$B$13</c:f>
              <c:numCache>
                <c:formatCode>General</c:formatCode>
                <c:ptCount val="6"/>
                <c:pt idx="0">
                  <c:v>1.2527713593891416</c:v>
                </c:pt>
                <c:pt idx="1">
                  <c:v>0.9853752711996876</c:v>
                </c:pt>
                <c:pt idx="2">
                  <c:v>0.80669592221134334</c:v>
                </c:pt>
                <c:pt idx="3">
                  <c:v>0.68106103333154533</c:v>
                </c:pt>
                <c:pt idx="4">
                  <c:v>0.58906824047027018</c:v>
                </c:pt>
                <c:pt idx="5">
                  <c:v>0.51945497159970466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CB-C546-B2CC-90AE56C77285}"/>
            </c:ext>
          </c:extLst>
        </c:ser>
        <c:ser>
          <c:idx val="1"/>
          <c:order val="1"/>
          <c:tx>
            <c:v>AIMD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(viscosity!$N$24,viscosity!$E$4,viscosity!$N$4)</c:f>
              <c:numCache>
                <c:formatCode>General</c:formatCode>
                <c:ptCount val="3"/>
                <c:pt idx="0">
                  <c:v>1000</c:v>
                </c:pt>
                <c:pt idx="1">
                  <c:v>1200</c:v>
                </c:pt>
                <c:pt idx="2">
                  <c:v>1500</c:v>
                </c:pt>
              </c:numCache>
            </c:numRef>
          </c:xVal>
          <c:yVal>
            <c:numRef>
              <c:f>(viscosity!$T$40,viscosity!$K$20,viscosity!$T$20)</c:f>
              <c:numCache>
                <c:formatCode>General</c:formatCode>
                <c:ptCount val="3"/>
                <c:pt idx="0">
                  <c:v>1.1865957398839748</c:v>
                </c:pt>
                <c:pt idx="1">
                  <c:v>0.78360080240722163</c:v>
                </c:pt>
                <c:pt idx="2">
                  <c:v>0.53321105026580562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CB-C546-B2CC-90AE56C772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3017232"/>
        <c:axId val="758666464"/>
      </c:scatterChart>
      <c:valAx>
        <c:axId val="823017232"/>
        <c:scaling>
          <c:orientation val="minMax"/>
          <c:min val="8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Temperature (K)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58666464"/>
        <c:crosses val="autoZero"/>
        <c:crossBetween val="midCat"/>
      </c:valAx>
      <c:valAx>
        <c:axId val="75866646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Viscosity (cP)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301723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21264106521568527"/>
          <c:y val="0.63148668916385453"/>
          <c:w val="0.17938551285740445"/>
          <c:h val="0.1259155105611798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KCl-50NaCl</a:t>
            </a:r>
          </a:p>
        </c:rich>
      </c:tx>
      <c:layout>
        <c:manualLayout>
          <c:xMode val="edge"/>
          <c:yMode val="edge"/>
          <c:x val="0.61701807622884353"/>
          <c:y val="0.1507936507936507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EXPT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viscosity!$A$48:$A$53</c:f>
              <c:numCache>
                <c:formatCode>General</c:formatCode>
                <c:ptCount val="6"/>
                <c:pt idx="0">
                  <c:v>1000</c:v>
                </c:pt>
                <c:pt idx="1">
                  <c:v>1100</c:v>
                </c:pt>
                <c:pt idx="2">
                  <c:v>1200</c:v>
                </c:pt>
                <c:pt idx="3">
                  <c:v>1300</c:v>
                </c:pt>
                <c:pt idx="4">
                  <c:v>1400</c:v>
                </c:pt>
                <c:pt idx="5">
                  <c:v>1500</c:v>
                </c:pt>
              </c:numCache>
            </c:numRef>
          </c:xVal>
          <c:yVal>
            <c:numRef>
              <c:f>viscosity!$B$48:$B$53</c:f>
              <c:numCache>
                <c:formatCode>General</c:formatCode>
                <c:ptCount val="6"/>
                <c:pt idx="0">
                  <c:v>1.2527713593891416</c:v>
                </c:pt>
                <c:pt idx="1">
                  <c:v>0.9853752711996876</c:v>
                </c:pt>
                <c:pt idx="2">
                  <c:v>0.80669592221134334</c:v>
                </c:pt>
                <c:pt idx="3">
                  <c:v>0.68106103333154533</c:v>
                </c:pt>
                <c:pt idx="4">
                  <c:v>0.58906824047027018</c:v>
                </c:pt>
                <c:pt idx="5">
                  <c:v>0.51945497159970466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07-9B45-A41B-80DE3500CC59}"/>
            </c:ext>
          </c:extLst>
        </c:ser>
        <c:ser>
          <c:idx val="1"/>
          <c:order val="1"/>
          <c:tx>
            <c:v>MTP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viscosity!$I$65:$I$67</c:f>
              <c:numCache>
                <c:formatCode>General</c:formatCode>
                <c:ptCount val="3"/>
                <c:pt idx="0">
                  <c:v>1000</c:v>
                </c:pt>
                <c:pt idx="1">
                  <c:v>1200</c:v>
                </c:pt>
                <c:pt idx="2">
                  <c:v>1500</c:v>
                </c:pt>
              </c:numCache>
            </c:numRef>
          </c:xVal>
          <c:yVal>
            <c:numRef>
              <c:f>viscosity!$J$65:$J$67</c:f>
              <c:numCache>
                <c:formatCode>General</c:formatCode>
                <c:ptCount val="3"/>
                <c:pt idx="0">
                  <c:v>1.2979393914221782</c:v>
                </c:pt>
                <c:pt idx="1">
                  <c:v>0.79005166937917737</c:v>
                </c:pt>
                <c:pt idx="2">
                  <c:v>0.67966180028817669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07-9B45-A41B-80DE3500C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3017232"/>
        <c:axId val="758666464"/>
      </c:scatterChart>
      <c:valAx>
        <c:axId val="823017232"/>
        <c:scaling>
          <c:orientation val="minMax"/>
          <c:min val="8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Temperature (K)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58666464"/>
        <c:crosses val="autoZero"/>
        <c:crossBetween val="midCat"/>
      </c:valAx>
      <c:valAx>
        <c:axId val="75866646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Viscosity (cP)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301723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21264106521568527"/>
          <c:y val="0.63148668916385453"/>
          <c:w val="0.17938551285740445"/>
          <c:h val="0.1259155105611798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viscosity!$E$49:$E$58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viscosity!$K$49:$K$58</c:f>
              <c:numCache>
                <c:formatCode>General</c:formatCode>
                <c:ptCount val="10"/>
                <c:pt idx="0">
                  <c:v>1.5580983720988208</c:v>
                </c:pt>
                <c:pt idx="1">
                  <c:v>1.2219829851089155</c:v>
                </c:pt>
                <c:pt idx="2">
                  <c:v>1.3237879397623535</c:v>
                </c:pt>
                <c:pt idx="3">
                  <c:v>1.0712556401609454</c:v>
                </c:pt>
                <c:pt idx="4">
                  <c:v>1.2218157648444508</c:v>
                </c:pt>
                <c:pt idx="5">
                  <c:v>1.4129642293975686</c:v>
                </c:pt>
                <c:pt idx="6">
                  <c:v>1.3086196156845913</c:v>
                </c:pt>
                <c:pt idx="7">
                  <c:v>1.6659669605432386</c:v>
                </c:pt>
                <c:pt idx="8">
                  <c:v>1.3484067226165564</c:v>
                </c:pt>
                <c:pt idx="9">
                  <c:v>1.0961823258138881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A-4340-B43C-F0448539EEB3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viscosity!$E$49:$E$58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viscosity!$S$68:$S$77</c:f>
              <c:numCache>
                <c:formatCode>General</c:formatCode>
                <c:ptCount val="10"/>
                <c:pt idx="0">
                  <c:v>1.6834988493285366</c:v>
                </c:pt>
                <c:pt idx="1">
                  <c:v>1.0447115655838579</c:v>
                </c:pt>
                <c:pt idx="2">
                  <c:v>0.92976551313758671</c:v>
                </c:pt>
                <c:pt idx="3">
                  <c:v>0.8453299745555678</c:v>
                </c:pt>
                <c:pt idx="4">
                  <c:v>0.8650743531406524</c:v>
                </c:pt>
                <c:pt idx="5">
                  <c:v>0.8820520057862612</c:v>
                </c:pt>
                <c:pt idx="6">
                  <c:v>0.9125669596006607</c:v>
                </c:pt>
                <c:pt idx="7">
                  <c:v>0.73658313813880183</c:v>
                </c:pt>
                <c:pt idx="8">
                  <c:v>0.76737136937420858</c:v>
                </c:pt>
                <c:pt idx="9">
                  <c:v>0.69863626201654372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FAA-4340-B43C-F0448539EEB3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viscosity!$E$49:$E$58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viscosity!$S$49:$S$58</c:f>
              <c:numCache>
                <c:formatCode>General</c:formatCode>
                <c:ptCount val="10"/>
                <c:pt idx="0">
                  <c:v>1.6161955725938486</c:v>
                </c:pt>
                <c:pt idx="1">
                  <c:v>0.64410993668399319</c:v>
                </c:pt>
                <c:pt idx="2">
                  <c:v>0.61097432074929892</c:v>
                </c:pt>
                <c:pt idx="3">
                  <c:v>0.56770765326687378</c:v>
                </c:pt>
                <c:pt idx="4">
                  <c:v>0.69967255324508126</c:v>
                </c:pt>
                <c:pt idx="5">
                  <c:v>0.81393455966140327</c:v>
                </c:pt>
                <c:pt idx="6">
                  <c:v>0.68834020526304929</c:v>
                </c:pt>
                <c:pt idx="7">
                  <c:v>0.67424063648316079</c:v>
                </c:pt>
                <c:pt idx="8">
                  <c:v>0.61527102688734392</c:v>
                </c:pt>
                <c:pt idx="9">
                  <c:v>0.56990123611578114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FAA-4340-B43C-F0448539EE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456207"/>
        <c:axId val="24484639"/>
      </c:scatterChart>
      <c:valAx>
        <c:axId val="24456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484639"/>
        <c:crosses val="autoZero"/>
        <c:crossBetween val="midCat"/>
      </c:valAx>
      <c:valAx>
        <c:axId val="244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4562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'therm cond'!$F$7:$F$26</c:f>
              <c:numCache>
                <c:formatCode>General</c:formatCode>
                <c:ptCount val="20"/>
                <c:pt idx="0">
                  <c:v>2.5000000000000001E-2</c:v>
                </c:pt>
                <c:pt idx="1">
                  <c:v>7.4999999999999997E-2</c:v>
                </c:pt>
                <c:pt idx="2">
                  <c:v>0.125</c:v>
                </c:pt>
                <c:pt idx="3">
                  <c:v>0.17499999999999999</c:v>
                </c:pt>
                <c:pt idx="4">
                  <c:v>0.22500000000000001</c:v>
                </c:pt>
                <c:pt idx="5">
                  <c:v>0.27500000000000002</c:v>
                </c:pt>
                <c:pt idx="6">
                  <c:v>0.32500000000000001</c:v>
                </c:pt>
                <c:pt idx="7">
                  <c:v>0.375</c:v>
                </c:pt>
                <c:pt idx="8">
                  <c:v>0.42499999999999999</c:v>
                </c:pt>
                <c:pt idx="9">
                  <c:v>0.47499999999999998</c:v>
                </c:pt>
                <c:pt idx="10">
                  <c:v>0.52500000000000002</c:v>
                </c:pt>
                <c:pt idx="11">
                  <c:v>0.57499999999999996</c:v>
                </c:pt>
                <c:pt idx="12">
                  <c:v>0.625</c:v>
                </c:pt>
                <c:pt idx="13">
                  <c:v>0.67500000000000004</c:v>
                </c:pt>
                <c:pt idx="14">
                  <c:v>0.72499999999999998</c:v>
                </c:pt>
                <c:pt idx="15">
                  <c:v>0.77500000000000002</c:v>
                </c:pt>
                <c:pt idx="16">
                  <c:v>0.82499999999999996</c:v>
                </c:pt>
                <c:pt idx="17">
                  <c:v>0.875</c:v>
                </c:pt>
                <c:pt idx="18">
                  <c:v>0.92500000000000004</c:v>
                </c:pt>
                <c:pt idx="19">
                  <c:v>0.97499999999999998</c:v>
                </c:pt>
              </c:numCache>
            </c:numRef>
          </c:xVal>
          <c:yVal>
            <c:numRef>
              <c:f>'therm cond'!$H$7:$H$26</c:f>
              <c:numCache>
                <c:formatCode>0.00E+00</c:formatCode>
                <c:ptCount val="20"/>
                <c:pt idx="0">
                  <c:v>1267.3800000000001</c:v>
                </c:pt>
                <c:pt idx="1">
                  <c:v>1242.1099999999999</c:v>
                </c:pt>
                <c:pt idx="2">
                  <c:v>1279.72</c:v>
                </c:pt>
                <c:pt idx="3">
                  <c:v>1234.96</c:v>
                </c:pt>
                <c:pt idx="4">
                  <c:v>1258.1199999999999</c:v>
                </c:pt>
                <c:pt idx="5">
                  <c:v>1223.46</c:v>
                </c:pt>
                <c:pt idx="6">
                  <c:v>1184.6400000000001</c:v>
                </c:pt>
                <c:pt idx="7">
                  <c:v>1205.19</c:v>
                </c:pt>
                <c:pt idx="8">
                  <c:v>1100.0899999999999</c:v>
                </c:pt>
                <c:pt idx="9">
                  <c:v>1141.25</c:v>
                </c:pt>
                <c:pt idx="10">
                  <c:v>1118.6400000000001</c:v>
                </c:pt>
                <c:pt idx="11">
                  <c:v>1093.5</c:v>
                </c:pt>
                <c:pt idx="12">
                  <c:v>1078.26</c:v>
                </c:pt>
                <c:pt idx="13">
                  <c:v>1158.8800000000001</c:v>
                </c:pt>
                <c:pt idx="14">
                  <c:v>1150.33</c:v>
                </c:pt>
                <c:pt idx="15">
                  <c:v>1145.6600000000001</c:v>
                </c:pt>
                <c:pt idx="16">
                  <c:v>1217.29</c:v>
                </c:pt>
                <c:pt idx="17">
                  <c:v>1258.8900000000001</c:v>
                </c:pt>
                <c:pt idx="18">
                  <c:v>1324.31</c:v>
                </c:pt>
                <c:pt idx="19">
                  <c:v>1272.95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A42-654D-B1F7-273D21441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2388191"/>
        <c:axId val="270580431"/>
      </c:scatterChart>
      <c:valAx>
        <c:axId val="712388191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0580431"/>
        <c:crosses val="autoZero"/>
        <c:crossBetween val="midCat"/>
      </c:valAx>
      <c:valAx>
        <c:axId val="270580431"/>
        <c:scaling>
          <c:orientation val="minMax"/>
          <c:max val="1400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881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'therm cond'!$V$7:$V$26</c:f>
              <c:numCache>
                <c:formatCode>General</c:formatCode>
                <c:ptCount val="20"/>
                <c:pt idx="0">
                  <c:v>2.5000000000000001E-2</c:v>
                </c:pt>
                <c:pt idx="1">
                  <c:v>7.4999999999999997E-2</c:v>
                </c:pt>
                <c:pt idx="2">
                  <c:v>0.125</c:v>
                </c:pt>
                <c:pt idx="3">
                  <c:v>0.17499999999999999</c:v>
                </c:pt>
                <c:pt idx="4">
                  <c:v>0.22500000000000001</c:v>
                </c:pt>
                <c:pt idx="5">
                  <c:v>0.27500000000000002</c:v>
                </c:pt>
                <c:pt idx="6">
                  <c:v>0.32500000000000001</c:v>
                </c:pt>
                <c:pt idx="7">
                  <c:v>0.375</c:v>
                </c:pt>
                <c:pt idx="8">
                  <c:v>0.42499999999999999</c:v>
                </c:pt>
                <c:pt idx="9">
                  <c:v>0.47499999999999998</c:v>
                </c:pt>
                <c:pt idx="10">
                  <c:v>0.52500000000000002</c:v>
                </c:pt>
                <c:pt idx="11">
                  <c:v>0.57499999999999996</c:v>
                </c:pt>
                <c:pt idx="12">
                  <c:v>0.625</c:v>
                </c:pt>
                <c:pt idx="13">
                  <c:v>0.67500000000000004</c:v>
                </c:pt>
                <c:pt idx="14">
                  <c:v>0.72499999999999998</c:v>
                </c:pt>
                <c:pt idx="15">
                  <c:v>0.77500000000000002</c:v>
                </c:pt>
                <c:pt idx="16">
                  <c:v>0.82499999999999996</c:v>
                </c:pt>
                <c:pt idx="17">
                  <c:v>0.875</c:v>
                </c:pt>
                <c:pt idx="18">
                  <c:v>0.92500000000000004</c:v>
                </c:pt>
                <c:pt idx="19">
                  <c:v>0.97499999999999998</c:v>
                </c:pt>
              </c:numCache>
            </c:numRef>
          </c:xVal>
          <c:yVal>
            <c:numRef>
              <c:f>'therm cond'!$X$7:$X$26</c:f>
              <c:numCache>
                <c:formatCode>General</c:formatCode>
                <c:ptCount val="20"/>
                <c:pt idx="0">
                  <c:v>1316.61</c:v>
                </c:pt>
                <c:pt idx="1">
                  <c:v>1295.69</c:v>
                </c:pt>
                <c:pt idx="2">
                  <c:v>1259.24</c:v>
                </c:pt>
                <c:pt idx="3">
                  <c:v>1254.06</c:v>
                </c:pt>
                <c:pt idx="4">
                  <c:v>1224.76</c:v>
                </c:pt>
                <c:pt idx="5">
                  <c:v>1177.6099999999999</c:v>
                </c:pt>
                <c:pt idx="6">
                  <c:v>1155.73</c:v>
                </c:pt>
                <c:pt idx="7">
                  <c:v>1154.01</c:v>
                </c:pt>
                <c:pt idx="8">
                  <c:v>1174.53</c:v>
                </c:pt>
                <c:pt idx="9">
                  <c:v>1150.5899999999999</c:v>
                </c:pt>
                <c:pt idx="10">
                  <c:v>1085.24</c:v>
                </c:pt>
                <c:pt idx="11">
                  <c:v>1070.3</c:v>
                </c:pt>
                <c:pt idx="12">
                  <c:v>1089.4000000000001</c:v>
                </c:pt>
                <c:pt idx="13">
                  <c:v>1106.3800000000001</c:v>
                </c:pt>
                <c:pt idx="14">
                  <c:v>1131.54</c:v>
                </c:pt>
                <c:pt idx="15">
                  <c:v>1209.42</c:v>
                </c:pt>
                <c:pt idx="16">
                  <c:v>1218.48</c:v>
                </c:pt>
                <c:pt idx="17">
                  <c:v>1208.02</c:v>
                </c:pt>
                <c:pt idx="18">
                  <c:v>1241.97</c:v>
                </c:pt>
                <c:pt idx="19">
                  <c:v>1273.27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CC-5F45-A434-BD3BD7CAE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2388191"/>
        <c:axId val="270580431"/>
      </c:scatterChart>
      <c:valAx>
        <c:axId val="712388191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0580431"/>
        <c:crosses val="autoZero"/>
        <c:crossBetween val="midCat"/>
      </c:valAx>
      <c:valAx>
        <c:axId val="270580431"/>
        <c:scaling>
          <c:orientation val="minMax"/>
          <c:max val="1400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881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EXPT-NaCl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'therm cond'!$N$37:$N$42</c:f>
              <c:numCache>
                <c:formatCode>General</c:formatCode>
                <c:ptCount val="6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  <c:pt idx="4">
                  <c:v>1100</c:v>
                </c:pt>
                <c:pt idx="5">
                  <c:v>1000</c:v>
                </c:pt>
              </c:numCache>
            </c:numRef>
          </c:xVal>
          <c:yVal>
            <c:numRef>
              <c:f>'therm cond'!$O$37:$O$42</c:f>
              <c:numCache>
                <c:formatCode>0.00E+00</c:formatCode>
                <c:ptCount val="6"/>
                <c:pt idx="0">
                  <c:v>0.44199999999999995</c:v>
                </c:pt>
                <c:pt idx="1">
                  <c:v>0.45999999999999996</c:v>
                </c:pt>
                <c:pt idx="2">
                  <c:v>0.47799999999999998</c:v>
                </c:pt>
                <c:pt idx="3">
                  <c:v>0.49599999999999994</c:v>
                </c:pt>
                <c:pt idx="4">
                  <c:v>0.51400000000000001</c:v>
                </c:pt>
                <c:pt idx="5">
                  <c:v>0.53199999999999992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82-BC40-85AF-9BDCC0F406EE}"/>
            </c:ext>
          </c:extLst>
        </c:ser>
        <c:ser>
          <c:idx val="1"/>
          <c:order val="1"/>
          <c:tx>
            <c:v>MTP-NaCl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'therm cond'!$J$39</c:f>
              <c:numCache>
                <c:formatCode>General</c:formatCode>
                <c:ptCount val="1"/>
                <c:pt idx="0">
                  <c:v>1200</c:v>
                </c:pt>
              </c:numCache>
            </c:numRef>
          </c:xVal>
          <c:yVal>
            <c:numRef>
              <c:f>'therm cond'!$K$39</c:f>
              <c:numCache>
                <c:formatCode>General</c:formatCode>
                <c:ptCount val="1"/>
                <c:pt idx="0">
                  <c:v>0.53104744318686425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82-BC40-85AF-9BDCC0F406EE}"/>
            </c:ext>
          </c:extLst>
        </c:ser>
        <c:ser>
          <c:idx val="2"/>
          <c:order val="2"/>
          <c:tx>
            <c:v>EXPT-LiCl-KCl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'therm cond'!$N$49:$N$54</c:f>
              <c:numCache>
                <c:formatCode>General</c:formatCode>
                <c:ptCount val="6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  <c:pt idx="4">
                  <c:v>1100</c:v>
                </c:pt>
                <c:pt idx="5">
                  <c:v>1000</c:v>
                </c:pt>
              </c:numCache>
            </c:numRef>
          </c:xVal>
          <c:yVal>
            <c:numRef>
              <c:f>'therm cond'!$O$49:$O$54</c:f>
              <c:numCache>
                <c:formatCode>0.00E+00</c:formatCode>
                <c:ptCount val="6"/>
                <c:pt idx="0">
                  <c:v>0.27300000000000002</c:v>
                </c:pt>
                <c:pt idx="1">
                  <c:v>0.31499999999999995</c:v>
                </c:pt>
                <c:pt idx="2">
                  <c:v>0.35699999999999998</c:v>
                </c:pt>
                <c:pt idx="3">
                  <c:v>0.39900000000000002</c:v>
                </c:pt>
                <c:pt idx="4">
                  <c:v>0.441</c:v>
                </c:pt>
                <c:pt idx="5">
                  <c:v>0.48299999999999998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382-BC40-85AF-9BDCC0F406EE}"/>
            </c:ext>
          </c:extLst>
        </c:ser>
        <c:ser>
          <c:idx val="3"/>
          <c:order val="3"/>
          <c:tx>
            <c:v>MTP-LiCl-KCl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'therm cond'!$J$67</c:f>
              <c:numCache>
                <c:formatCode>General</c:formatCode>
                <c:ptCount val="1"/>
                <c:pt idx="0">
                  <c:v>1200</c:v>
                </c:pt>
              </c:numCache>
            </c:numRef>
          </c:xVal>
          <c:yVal>
            <c:numRef>
              <c:f>'therm cond'!$K$67</c:f>
              <c:numCache>
                <c:formatCode>General</c:formatCode>
                <c:ptCount val="1"/>
                <c:pt idx="0">
                  <c:v>0.43094434195374898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382-BC40-85AF-9BDCC0F406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7470176"/>
        <c:axId val="509370975"/>
      </c:scatterChart>
      <c:valAx>
        <c:axId val="2037470176"/>
        <c:scaling>
          <c:orientation val="minMax"/>
          <c:min val="8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09370975"/>
        <c:crosses val="autoZero"/>
        <c:crossBetween val="midCat"/>
      </c:valAx>
      <c:valAx>
        <c:axId val="509370975"/>
        <c:scaling>
          <c:orientation val="minMax"/>
          <c:max val="0.8"/>
          <c:min val="0.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Thermal Conductivity (W/m-K)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037470176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26112229286847166"/>
          <c:y val="0.11214116307750692"/>
          <c:w val="0.5833694225721785"/>
          <c:h val="0.1908829104695246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'therm cond'!$E$49:$E$68</c:f>
              <c:numCache>
                <c:formatCode>General</c:formatCode>
                <c:ptCount val="20"/>
                <c:pt idx="0">
                  <c:v>2.5000000000000001E-2</c:v>
                </c:pt>
                <c:pt idx="1">
                  <c:v>7.4999999999999997E-2</c:v>
                </c:pt>
                <c:pt idx="2">
                  <c:v>0.125</c:v>
                </c:pt>
                <c:pt idx="3">
                  <c:v>0.17499999999999999</c:v>
                </c:pt>
                <c:pt idx="4">
                  <c:v>0.22500000000000001</c:v>
                </c:pt>
                <c:pt idx="5">
                  <c:v>0.27500000000000002</c:v>
                </c:pt>
                <c:pt idx="6">
                  <c:v>0.32500000000000001</c:v>
                </c:pt>
                <c:pt idx="7">
                  <c:v>0.375</c:v>
                </c:pt>
                <c:pt idx="8">
                  <c:v>0.42499999999999999</c:v>
                </c:pt>
                <c:pt idx="9">
                  <c:v>0.47499999999999998</c:v>
                </c:pt>
                <c:pt idx="10">
                  <c:v>0.52500000000000002</c:v>
                </c:pt>
                <c:pt idx="11">
                  <c:v>0.57499999999999996</c:v>
                </c:pt>
                <c:pt idx="12">
                  <c:v>0.625</c:v>
                </c:pt>
                <c:pt idx="13">
                  <c:v>0.67500000000000004</c:v>
                </c:pt>
                <c:pt idx="14">
                  <c:v>0.72499999999999998</c:v>
                </c:pt>
                <c:pt idx="15">
                  <c:v>0.77500000000000002</c:v>
                </c:pt>
                <c:pt idx="16">
                  <c:v>0.82499999999999996</c:v>
                </c:pt>
                <c:pt idx="17">
                  <c:v>0.875</c:v>
                </c:pt>
                <c:pt idx="18">
                  <c:v>0.92500000000000004</c:v>
                </c:pt>
                <c:pt idx="19">
                  <c:v>0.97499999999999998</c:v>
                </c:pt>
              </c:numCache>
            </c:numRef>
          </c:xVal>
          <c:yVal>
            <c:numRef>
              <c:f>'therm cond'!$G$49:$G$68</c:f>
              <c:numCache>
                <c:formatCode>0.00E+00</c:formatCode>
                <c:ptCount val="20"/>
                <c:pt idx="0">
                  <c:v>1370.62</c:v>
                </c:pt>
                <c:pt idx="1">
                  <c:v>1285.4000000000001</c:v>
                </c:pt>
                <c:pt idx="2">
                  <c:v>1303.8800000000001</c:v>
                </c:pt>
                <c:pt idx="3">
                  <c:v>1253.9000000000001</c:v>
                </c:pt>
                <c:pt idx="4">
                  <c:v>1183.82</c:v>
                </c:pt>
                <c:pt idx="5">
                  <c:v>1193.51</c:v>
                </c:pt>
                <c:pt idx="6">
                  <c:v>1211.94</c:v>
                </c:pt>
                <c:pt idx="7">
                  <c:v>1178.72</c:v>
                </c:pt>
                <c:pt idx="8">
                  <c:v>1095.8699999999999</c:v>
                </c:pt>
                <c:pt idx="9">
                  <c:v>1078.5899999999999</c:v>
                </c:pt>
                <c:pt idx="10">
                  <c:v>1094.25</c:v>
                </c:pt>
                <c:pt idx="11">
                  <c:v>1077.0999999999999</c:v>
                </c:pt>
                <c:pt idx="12">
                  <c:v>1067.7</c:v>
                </c:pt>
                <c:pt idx="13">
                  <c:v>1132.23</c:v>
                </c:pt>
                <c:pt idx="14">
                  <c:v>1145.26</c:v>
                </c:pt>
                <c:pt idx="15">
                  <c:v>1167.8800000000001</c:v>
                </c:pt>
                <c:pt idx="16">
                  <c:v>1202.42</c:v>
                </c:pt>
                <c:pt idx="17">
                  <c:v>1237.58</c:v>
                </c:pt>
                <c:pt idx="18">
                  <c:v>1284.8599999999999</c:v>
                </c:pt>
                <c:pt idx="19">
                  <c:v>1280.5999999999999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69-E64C-8AE4-60CA49269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1361983"/>
        <c:axId val="129557247"/>
      </c:scatterChart>
      <c:valAx>
        <c:axId val="301361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557247"/>
        <c:crosses val="autoZero"/>
        <c:crossBetween val="midCat"/>
      </c:valAx>
      <c:valAx>
        <c:axId val="129557247"/>
        <c:scaling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1361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EvsR'!$D$7:$D$107</c:f>
              <c:numCache>
                <c:formatCode>0.00E+00</c:formatCode>
                <c:ptCount val="101"/>
                <c:pt idx="0">
                  <c:v>-333472</c:v>
                </c:pt>
                <c:pt idx="1">
                  <c:v>-333472</c:v>
                </c:pt>
                <c:pt idx="2">
                  <c:v>-192077</c:v>
                </c:pt>
                <c:pt idx="3">
                  <c:v>-109501</c:v>
                </c:pt>
                <c:pt idx="4">
                  <c:v>-61754.1</c:v>
                </c:pt>
                <c:pt idx="5">
                  <c:v>-34432</c:v>
                </c:pt>
                <c:pt idx="6">
                  <c:v>-18966.5</c:v>
                </c:pt>
                <c:pt idx="7">
                  <c:v>-10311.5</c:v>
                </c:pt>
                <c:pt idx="8">
                  <c:v>-5525.81</c:v>
                </c:pt>
                <c:pt idx="9">
                  <c:v>-2913.2</c:v>
                </c:pt>
                <c:pt idx="10">
                  <c:v>-1506.48</c:v>
                </c:pt>
                <c:pt idx="11">
                  <c:v>-760.50900000000001</c:v>
                </c:pt>
                <c:pt idx="12">
                  <c:v>-371.74299999999999</c:v>
                </c:pt>
                <c:pt idx="13">
                  <c:v>-173.309</c:v>
                </c:pt>
                <c:pt idx="14">
                  <c:v>-74.686199999999999</c:v>
                </c:pt>
                <c:pt idx="15">
                  <c:v>-27.465900000000001</c:v>
                </c:pt>
                <c:pt idx="16">
                  <c:v>-6.1491699999999998</c:v>
                </c:pt>
                <c:pt idx="17">
                  <c:v>2.47282</c:v>
                </c:pt>
                <c:pt idx="18">
                  <c:v>5.1145800000000001</c:v>
                </c:pt>
                <c:pt idx="19">
                  <c:v>5.1129699999999998</c:v>
                </c:pt>
                <c:pt idx="20">
                  <c:v>4.0785600000000004</c:v>
                </c:pt>
                <c:pt idx="21">
                  <c:v>2.7567900000000001</c:v>
                </c:pt>
                <c:pt idx="22">
                  <c:v>1.4697</c:v>
                </c:pt>
                <c:pt idx="23">
                  <c:v>0.33837400000000001</c:v>
                </c:pt>
                <c:pt idx="24">
                  <c:v>-0.607267</c:v>
                </c:pt>
                <c:pt idx="25">
                  <c:v>-1.37558</c:v>
                </c:pt>
                <c:pt idx="26">
                  <c:v>-1.9885600000000001</c:v>
                </c:pt>
                <c:pt idx="27">
                  <c:v>-2.47092</c:v>
                </c:pt>
                <c:pt idx="28">
                  <c:v>-2.8456600000000001</c:v>
                </c:pt>
                <c:pt idx="29">
                  <c:v>-3.13259</c:v>
                </c:pt>
                <c:pt idx="30" formatCode="General">
                  <c:v>-3.3481900000000002</c:v>
                </c:pt>
                <c:pt idx="31" formatCode="General">
                  <c:v>-3.5059300000000002</c:v>
                </c:pt>
                <c:pt idx="32" formatCode="General">
                  <c:v>-3.6167600000000002</c:v>
                </c:pt>
                <c:pt idx="33" formatCode="General">
                  <c:v>-3.68953</c:v>
                </c:pt>
                <c:pt idx="34" formatCode="General">
                  <c:v>-3.7314500000000002</c:v>
                </c:pt>
                <c:pt idx="35" formatCode="General">
                  <c:v>-3.7484000000000002</c:v>
                </c:pt>
                <c:pt idx="36" formatCode="General">
                  <c:v>-3.7452000000000001</c:v>
                </c:pt>
                <c:pt idx="37" formatCode="General">
                  <c:v>-3.7258</c:v>
                </c:pt>
                <c:pt idx="38" formatCode="General">
                  <c:v>-3.69346</c:v>
                </c:pt>
                <c:pt idx="39" formatCode="General">
                  <c:v>-3.6508699999999998</c:v>
                </c:pt>
                <c:pt idx="40" formatCode="General">
                  <c:v>-3.6002399999999999</c:v>
                </c:pt>
                <c:pt idx="41" formatCode="General">
                  <c:v>-3.54339</c:v>
                </c:pt>
                <c:pt idx="42" formatCode="General">
                  <c:v>-3.4818199999999999</c:v>
                </c:pt>
                <c:pt idx="43" formatCode="General">
                  <c:v>-3.4167399999999999</c:v>
                </c:pt>
                <c:pt idx="44" formatCode="General">
                  <c:v>-3.3491499999999998</c:v>
                </c:pt>
                <c:pt idx="45" formatCode="General">
                  <c:v>-3.2798600000000002</c:v>
                </c:pt>
                <c:pt idx="46" formatCode="General">
                  <c:v>-3.20953</c:v>
                </c:pt>
                <c:pt idx="47" formatCode="General">
                  <c:v>-3.1387</c:v>
                </c:pt>
                <c:pt idx="48" formatCode="General">
                  <c:v>-3.0678200000000002</c:v>
                </c:pt>
                <c:pt idx="49" formatCode="General">
                  <c:v>-2.9972500000000002</c:v>
                </c:pt>
                <c:pt idx="50" formatCode="General">
                  <c:v>-2.9272999999999998</c:v>
                </c:pt>
                <c:pt idx="51" formatCode="General">
                  <c:v>-2.8582399999999999</c:v>
                </c:pt>
                <c:pt idx="52" formatCode="General">
                  <c:v>-2.7902999999999998</c:v>
                </c:pt>
                <c:pt idx="53" formatCode="General">
                  <c:v>-2.7236699999999998</c:v>
                </c:pt>
                <c:pt idx="54" formatCode="General">
                  <c:v>-2.6585299999999998</c:v>
                </c:pt>
                <c:pt idx="55" formatCode="General">
                  <c:v>-2.5950299999999999</c:v>
                </c:pt>
                <c:pt idx="56" formatCode="General">
                  <c:v>-2.5333000000000001</c:v>
                </c:pt>
                <c:pt idx="57" formatCode="General">
                  <c:v>-2.4734699999999998</c:v>
                </c:pt>
                <c:pt idx="58" formatCode="General">
                  <c:v>-2.4156300000000002</c:v>
                </c:pt>
                <c:pt idx="59" formatCode="General">
                  <c:v>-2.3598599999999998</c:v>
                </c:pt>
                <c:pt idx="60" formatCode="General">
                  <c:v>-2.3062100000000001</c:v>
                </c:pt>
                <c:pt idx="61" formatCode="General">
                  <c:v>-2.2547299999999999</c:v>
                </c:pt>
                <c:pt idx="62" formatCode="General">
                  <c:v>-2.2054399999999998</c:v>
                </c:pt>
                <c:pt idx="63" formatCode="General">
                  <c:v>-2.1583399999999999</c:v>
                </c:pt>
                <c:pt idx="64" formatCode="General">
                  <c:v>-2.1134200000000001</c:v>
                </c:pt>
                <c:pt idx="65" formatCode="General">
                  <c:v>-2.0706500000000001</c:v>
                </c:pt>
                <c:pt idx="66" formatCode="General">
                  <c:v>-2.0299800000000001</c:v>
                </c:pt>
                <c:pt idx="67" formatCode="General">
                  <c:v>-1.9913400000000001</c:v>
                </c:pt>
                <c:pt idx="68" formatCode="General">
                  <c:v>-1.9546699999999999</c:v>
                </c:pt>
                <c:pt idx="69" formatCode="General">
                  <c:v>-1.9198900000000001</c:v>
                </c:pt>
                <c:pt idx="70" formatCode="General">
                  <c:v>-1.8869</c:v>
                </c:pt>
                <c:pt idx="71" formatCode="General">
                  <c:v>-1.85562</c:v>
                </c:pt>
                <c:pt idx="72" formatCode="General">
                  <c:v>-1.82595</c:v>
                </c:pt>
                <c:pt idx="73" formatCode="General">
                  <c:v>-1.7977799999999999</c:v>
                </c:pt>
                <c:pt idx="74" formatCode="General">
                  <c:v>-1.77102</c:v>
                </c:pt>
                <c:pt idx="75" formatCode="General">
                  <c:v>-1.7455799999999999</c:v>
                </c:pt>
                <c:pt idx="76" formatCode="General">
                  <c:v>-1.7213499999999999</c:v>
                </c:pt>
                <c:pt idx="77" formatCode="General">
                  <c:v>-1.6982600000000001</c:v>
                </c:pt>
                <c:pt idx="78" formatCode="General">
                  <c:v>-1.6762300000000001</c:v>
                </c:pt>
                <c:pt idx="79">
                  <c:v>-1.65517</c:v>
                </c:pt>
                <c:pt idx="80" formatCode="General">
                  <c:v>-1.6350199999999999</c:v>
                </c:pt>
                <c:pt idx="81" formatCode="General">
                  <c:v>-1.6157300000000001</c:v>
                </c:pt>
                <c:pt idx="82" formatCode="General">
                  <c:v>-1.5972500000000001</c:v>
                </c:pt>
                <c:pt idx="83" formatCode="General">
                  <c:v>-1.5795300000000001</c:v>
                </c:pt>
                <c:pt idx="84" formatCode="General">
                  <c:v>-1.5625500000000001</c:v>
                </c:pt>
                <c:pt idx="85" formatCode="General">
                  <c:v>-1.54627</c:v>
                </c:pt>
                <c:pt idx="86" formatCode="General">
                  <c:v>-1.5306900000000001</c:v>
                </c:pt>
                <c:pt idx="87" formatCode="General">
                  <c:v>-1.5157799999999999</c:v>
                </c:pt>
                <c:pt idx="88" formatCode="General">
                  <c:v>-1.5015499999999999</c:v>
                </c:pt>
                <c:pt idx="89" formatCode="General">
                  <c:v>-1.4879899999999999</c:v>
                </c:pt>
                <c:pt idx="90" formatCode="General">
                  <c:v>-1.47509</c:v>
                </c:pt>
                <c:pt idx="91" formatCode="General">
                  <c:v>-1.46286</c:v>
                </c:pt>
                <c:pt idx="92" formatCode="General">
                  <c:v>-1.4512799999999999</c:v>
                </c:pt>
                <c:pt idx="93" formatCode="General">
                  <c:v>-1.4403600000000001</c:v>
                </c:pt>
                <c:pt idx="94" formatCode="General">
                  <c:v>-1.4300600000000001</c:v>
                </c:pt>
                <c:pt idx="95" formatCode="General">
                  <c:v>-1.42038</c:v>
                </c:pt>
                <c:pt idx="96" formatCode="General">
                  <c:v>-1.4112800000000001</c:v>
                </c:pt>
                <c:pt idx="97" formatCode="General">
                  <c:v>-1.4027099999999999</c:v>
                </c:pt>
                <c:pt idx="98" formatCode="General">
                  <c:v>-1.3946400000000001</c:v>
                </c:pt>
                <c:pt idx="99" formatCode="General">
                  <c:v>-1.3869899999999999</c:v>
                </c:pt>
                <c:pt idx="100" formatCode="General">
                  <c:v>-1.3796999999999999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BA-C346-9B92-6EE394852D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EvsR'!$L$7:$L$107</c:f>
              <c:numCache>
                <c:formatCode>0.00E+00</c:formatCode>
                <c:ptCount val="101"/>
                <c:pt idx="0">
                  <c:v>-71718.2</c:v>
                </c:pt>
                <c:pt idx="1">
                  <c:v>-71718.2</c:v>
                </c:pt>
                <c:pt idx="2">
                  <c:v>-27558.7</c:v>
                </c:pt>
                <c:pt idx="3">
                  <c:v>-6619.46</c:v>
                </c:pt>
                <c:pt idx="4">
                  <c:v>2262.4699999999998</c:v>
                </c:pt>
                <c:pt idx="5">
                  <c:v>5203.84</c:v>
                </c:pt>
                <c:pt idx="6">
                  <c:v>5450.8</c:v>
                </c:pt>
                <c:pt idx="7">
                  <c:v>4652.82</c:v>
                </c:pt>
                <c:pt idx="8">
                  <c:v>3595.83</c:v>
                </c:pt>
                <c:pt idx="9">
                  <c:v>2615.5500000000002</c:v>
                </c:pt>
                <c:pt idx="10">
                  <c:v>1824.88</c:v>
                </c:pt>
                <c:pt idx="11">
                  <c:v>1234.97</c:v>
                </c:pt>
                <c:pt idx="12">
                  <c:v>817.07899999999995</c:v>
                </c:pt>
                <c:pt idx="13">
                  <c:v>532.18499999999995</c:v>
                </c:pt>
                <c:pt idx="14">
                  <c:v>343.79</c:v>
                </c:pt>
                <c:pt idx="15" formatCode="General">
                  <c:v>222.298</c:v>
                </c:pt>
                <c:pt idx="16" formatCode="General">
                  <c:v>145.553</c:v>
                </c:pt>
                <c:pt idx="17" formatCode="General">
                  <c:v>97.827100000000002</c:v>
                </c:pt>
                <c:pt idx="18" formatCode="General">
                  <c:v>68.404399999999995</c:v>
                </c:pt>
                <c:pt idx="19" formatCode="General">
                  <c:v>50.224499999999999</c:v>
                </c:pt>
                <c:pt idx="20" formatCode="General">
                  <c:v>38.778199999999998</c:v>
                </c:pt>
                <c:pt idx="21" formatCode="General">
                  <c:v>31.271599999999999</c:v>
                </c:pt>
                <c:pt idx="22" formatCode="General">
                  <c:v>26.0274</c:v>
                </c:pt>
                <c:pt idx="23" formatCode="General">
                  <c:v>22.073799999999999</c:v>
                </c:pt>
                <c:pt idx="24" formatCode="General">
                  <c:v>18.869900000000001</c:v>
                </c:pt>
                <c:pt idx="25" formatCode="General">
                  <c:v>16.1295</c:v>
                </c:pt>
                <c:pt idx="26" formatCode="General">
                  <c:v>13.7095</c:v>
                </c:pt>
                <c:pt idx="27" formatCode="General">
                  <c:v>11.5434</c:v>
                </c:pt>
                <c:pt idx="28" formatCode="General">
                  <c:v>9.60182</c:v>
                </c:pt>
                <c:pt idx="29" formatCode="General">
                  <c:v>7.8711099999999998</c:v>
                </c:pt>
                <c:pt idx="30" formatCode="General">
                  <c:v>6.3419299999999996</c:v>
                </c:pt>
                <c:pt idx="31" formatCode="General">
                  <c:v>5.00448</c:v>
                </c:pt>
                <c:pt idx="32" formatCode="General">
                  <c:v>3.84673</c:v>
                </c:pt>
                <c:pt idx="33" formatCode="General">
                  <c:v>2.8544399999999999</c:v>
                </c:pt>
                <c:pt idx="34" formatCode="General">
                  <c:v>2.01186</c:v>
                </c:pt>
                <c:pt idx="35" formatCode="General">
                  <c:v>1.3026199999999999</c:v>
                </c:pt>
                <c:pt idx="36" formatCode="General">
                  <c:v>0.71048299999999998</c:v>
                </c:pt>
                <c:pt idx="37" formatCode="General">
                  <c:v>0.21998799999999999</c:v>
                </c:pt>
                <c:pt idx="38" formatCode="General">
                  <c:v>-0.183142</c:v>
                </c:pt>
                <c:pt idx="39" formatCode="General">
                  <c:v>-0.51177899999999998</c:v>
                </c:pt>
                <c:pt idx="40" formatCode="General">
                  <c:v>-0.77730900000000003</c:v>
                </c:pt>
                <c:pt idx="41" formatCode="General">
                  <c:v>-0.98964700000000005</c:v>
                </c:pt>
                <c:pt idx="42" formatCode="General">
                  <c:v>-1.15733</c:v>
                </c:pt>
                <c:pt idx="43" formatCode="General">
                  <c:v>-1.2876300000000001</c:v>
                </c:pt>
                <c:pt idx="44" formatCode="General">
                  <c:v>-1.38672</c:v>
                </c:pt>
                <c:pt idx="45" formatCode="General">
                  <c:v>-1.4598</c:v>
                </c:pt>
                <c:pt idx="46" formatCode="General">
                  <c:v>-1.51125</c:v>
                </c:pt>
                <c:pt idx="47" formatCode="General">
                  <c:v>-1.5447299999999999</c:v>
                </c:pt>
                <c:pt idx="48" formatCode="General">
                  <c:v>-1.56331</c:v>
                </c:pt>
                <c:pt idx="49" formatCode="General">
                  <c:v>-1.5695600000000001</c:v>
                </c:pt>
                <c:pt idx="50" formatCode="General">
                  <c:v>-1.56565</c:v>
                </c:pt>
                <c:pt idx="51" formatCode="General">
                  <c:v>-1.5533699999999999</c:v>
                </c:pt>
                <c:pt idx="52" formatCode="General">
                  <c:v>-1.53424</c:v>
                </c:pt>
                <c:pt idx="53" formatCode="General">
                  <c:v>-1.50953</c:v>
                </c:pt>
                <c:pt idx="54" formatCode="General">
                  <c:v>-1.48031</c:v>
                </c:pt>
                <c:pt idx="55" formatCode="General">
                  <c:v>-1.44746</c:v>
                </c:pt>
                <c:pt idx="56" formatCode="General">
                  <c:v>-1.4117500000000001</c:v>
                </c:pt>
                <c:pt idx="57" formatCode="General">
                  <c:v>-1.3737999999999999</c:v>
                </c:pt>
                <c:pt idx="58" formatCode="General">
                  <c:v>-1.3341700000000001</c:v>
                </c:pt>
                <c:pt idx="59" formatCode="General">
                  <c:v>-1.2932900000000001</c:v>
                </c:pt>
                <c:pt idx="60" formatCode="General">
                  <c:v>-1.2515700000000001</c:v>
                </c:pt>
                <c:pt idx="61" formatCode="General">
                  <c:v>-1.2093400000000001</c:v>
                </c:pt>
                <c:pt idx="62" formatCode="General">
                  <c:v>-1.1668799999999999</c:v>
                </c:pt>
                <c:pt idx="63" formatCode="General">
                  <c:v>-1.1244400000000001</c:v>
                </c:pt>
                <c:pt idx="64" formatCode="General">
                  <c:v>-1.08222</c:v>
                </c:pt>
                <c:pt idx="65" formatCode="General">
                  <c:v>-1.0404199999999999</c:v>
                </c:pt>
                <c:pt idx="66" formatCode="General">
                  <c:v>-0.99917900000000004</c:v>
                </c:pt>
                <c:pt idx="67" formatCode="General">
                  <c:v>-0.95863600000000004</c:v>
                </c:pt>
                <c:pt idx="68" formatCode="General">
                  <c:v>-0.91889699999999996</c:v>
                </c:pt>
                <c:pt idx="69" formatCode="General">
                  <c:v>-0.88005199999999995</c:v>
                </c:pt>
                <c:pt idx="70" formatCode="General">
                  <c:v>-0.84216899999999995</c:v>
                </c:pt>
                <c:pt idx="71" formatCode="General">
                  <c:v>-0.80530199999999996</c:v>
                </c:pt>
                <c:pt idx="72" formatCode="General">
                  <c:v>-0.76948700000000003</c:v>
                </c:pt>
                <c:pt idx="73" formatCode="General">
                  <c:v>-0.73474700000000004</c:v>
                </c:pt>
                <c:pt idx="74" formatCode="General">
                  <c:v>-0.70108899999999996</c:v>
                </c:pt>
                <c:pt idx="75" formatCode="General">
                  <c:v>-0.668512</c:v>
                </c:pt>
                <c:pt idx="76" formatCode="General">
                  <c:v>-0.63700199999999996</c:v>
                </c:pt>
                <c:pt idx="77" formatCode="General">
                  <c:v>-0.60653800000000002</c:v>
                </c:pt>
                <c:pt idx="78" formatCode="General">
                  <c:v>-0.577094</c:v>
                </c:pt>
                <c:pt idx="79" formatCode="General">
                  <c:v>-0.54863799999999996</c:v>
                </c:pt>
                <c:pt idx="80" formatCode="General">
                  <c:v>-0.52113699999999996</c:v>
                </c:pt>
                <c:pt idx="81" formatCode="General">
                  <c:v>-0.49455700000000002</c:v>
                </c:pt>
                <c:pt idx="82" formatCode="General">
                  <c:v>-0.468866</c:v>
                </c:pt>
                <c:pt idx="83" formatCode="General">
                  <c:v>-0.44403500000000001</c:v>
                </c:pt>
                <c:pt idx="84" formatCode="General">
                  <c:v>-0.420039</c:v>
                </c:pt>
                <c:pt idx="85" formatCode="General">
                  <c:v>-0.39685799999999999</c:v>
                </c:pt>
                <c:pt idx="86" formatCode="General">
                  <c:v>-0.37447999999999998</c:v>
                </c:pt>
                <c:pt idx="87" formatCode="General">
                  <c:v>-0.35289799999999999</c:v>
                </c:pt>
                <c:pt idx="88" formatCode="General">
                  <c:v>-0.33211200000000002</c:v>
                </c:pt>
                <c:pt idx="89" formatCode="General">
                  <c:v>-0.31212499999999999</c:v>
                </c:pt>
                <c:pt idx="90" formatCode="General">
                  <c:v>-0.29294700000000001</c:v>
                </c:pt>
                <c:pt idx="91" formatCode="General">
                  <c:v>-0.27459</c:v>
                </c:pt>
                <c:pt idx="92" formatCode="General">
                  <c:v>-0.25706400000000001</c:v>
                </c:pt>
                <c:pt idx="93" formatCode="General">
                  <c:v>-0.24038000000000001</c:v>
                </c:pt>
                <c:pt idx="94" formatCode="General">
                  <c:v>-0.22453999999999999</c:v>
                </c:pt>
                <c:pt idx="95" formatCode="General">
                  <c:v>-0.20954200000000001</c:v>
                </c:pt>
                <c:pt idx="96" formatCode="General">
                  <c:v>-0.19536899999999999</c:v>
                </c:pt>
                <c:pt idx="97" formatCode="General">
                  <c:v>-0.18199399999999999</c:v>
                </c:pt>
                <c:pt idx="98" formatCode="General">
                  <c:v>-0.16937099999999999</c:v>
                </c:pt>
                <c:pt idx="99" formatCode="General">
                  <c:v>-0.15744</c:v>
                </c:pt>
                <c:pt idx="100" formatCode="General">
                  <c:v>-0.146119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28-3441-A0E6-7687CDDF2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EvsR'!$T$7:$T$107</c:f>
              <c:numCache>
                <c:formatCode>0.00E+00</c:formatCode>
                <c:ptCount val="101"/>
                <c:pt idx="0">
                  <c:v>-1949140</c:v>
                </c:pt>
                <c:pt idx="1">
                  <c:v>-1949140</c:v>
                </c:pt>
                <c:pt idx="2">
                  <c:v>-1167890</c:v>
                </c:pt>
                <c:pt idx="3">
                  <c:v>-693689</c:v>
                </c:pt>
                <c:pt idx="4">
                  <c:v>-408276</c:v>
                </c:pt>
                <c:pt idx="5">
                  <c:v>-237996</c:v>
                </c:pt>
                <c:pt idx="6">
                  <c:v>-137335</c:v>
                </c:pt>
                <c:pt idx="7">
                  <c:v>-78399.600000000006</c:v>
                </c:pt>
                <c:pt idx="8">
                  <c:v>-44241.599999999999</c:v>
                </c:pt>
                <c:pt idx="9" formatCode="General">
                  <c:v>-24655</c:v>
                </c:pt>
                <c:pt idx="10" formatCode="General">
                  <c:v>-13551</c:v>
                </c:pt>
                <c:pt idx="11" formatCode="General">
                  <c:v>-7332.31</c:v>
                </c:pt>
                <c:pt idx="12" formatCode="General">
                  <c:v>-3895.53</c:v>
                </c:pt>
                <c:pt idx="13" formatCode="General">
                  <c:v>-2023.83</c:v>
                </c:pt>
                <c:pt idx="14" formatCode="General">
                  <c:v>-1021.27</c:v>
                </c:pt>
                <c:pt idx="15" formatCode="General">
                  <c:v>-494.59699999999998</c:v>
                </c:pt>
                <c:pt idx="16" formatCode="General">
                  <c:v>-224.46100000000001</c:v>
                </c:pt>
                <c:pt idx="17" formatCode="General">
                  <c:v>-90.178399999999996</c:v>
                </c:pt>
                <c:pt idx="18" formatCode="General">
                  <c:v>-26.360099999999999</c:v>
                </c:pt>
                <c:pt idx="19" formatCode="General">
                  <c:v>1.8360799999999999</c:v>
                </c:pt>
                <c:pt idx="20" formatCode="General">
                  <c:v>12.623100000000001</c:v>
                </c:pt>
                <c:pt idx="21" formatCode="General">
                  <c:v>15.308999999999999</c:v>
                </c:pt>
                <c:pt idx="22" formatCode="General">
                  <c:v>14.519299999999999</c:v>
                </c:pt>
                <c:pt idx="23" formatCode="General">
                  <c:v>12.4686</c:v>
                </c:pt>
                <c:pt idx="24" formatCode="General">
                  <c:v>10.16</c:v>
                </c:pt>
                <c:pt idx="25" formatCode="General">
                  <c:v>8.0072700000000001</c:v>
                </c:pt>
                <c:pt idx="26" formatCode="General">
                  <c:v>6.1489000000000003</c:v>
                </c:pt>
                <c:pt idx="27" formatCode="General">
                  <c:v>4.60311</c:v>
                </c:pt>
                <c:pt idx="28" formatCode="General">
                  <c:v>3.3412999999999999</c:v>
                </c:pt>
                <c:pt idx="29" formatCode="General">
                  <c:v>2.3212899999999999</c:v>
                </c:pt>
                <c:pt idx="30" formatCode="General">
                  <c:v>1.5011099999999999</c:v>
                </c:pt>
                <c:pt idx="31" formatCode="General">
                  <c:v>0.84394400000000003</c:v>
                </c:pt>
                <c:pt idx="32" formatCode="General">
                  <c:v>0.31919700000000001</c:v>
                </c:pt>
                <c:pt idx="33" formatCode="General">
                  <c:v>-9.7969299999999995E-2</c:v>
                </c:pt>
                <c:pt idx="34" formatCode="General">
                  <c:v>-0.427535</c:v>
                </c:pt>
                <c:pt idx="35" formatCode="General">
                  <c:v>-0.68555600000000005</c:v>
                </c:pt>
                <c:pt idx="36" formatCode="General">
                  <c:v>-0.88497999999999999</c:v>
                </c:pt>
                <c:pt idx="37" formatCode="General">
                  <c:v>-1.0363</c:v>
                </c:pt>
                <c:pt idx="38" formatCode="General">
                  <c:v>-1.14808</c:v>
                </c:pt>
                <c:pt idx="39" formatCode="General">
                  <c:v>-1.22733</c:v>
                </c:pt>
                <c:pt idx="40" formatCode="General">
                  <c:v>-1.2798400000000001</c:v>
                </c:pt>
                <c:pt idx="41" formatCode="General">
                  <c:v>-1.3104100000000001</c:v>
                </c:pt>
                <c:pt idx="42" formatCode="General">
                  <c:v>-1.32301</c:v>
                </c:pt>
                <c:pt idx="43" formatCode="General">
                  <c:v>-1.3209599999999999</c:v>
                </c:pt>
                <c:pt idx="44" formatCode="General">
                  <c:v>-1.3069900000000001</c:v>
                </c:pt>
                <c:pt idx="45" formatCode="General">
                  <c:v>-1.2834000000000001</c:v>
                </c:pt>
                <c:pt idx="46" formatCode="General">
                  <c:v>-1.2520800000000001</c:v>
                </c:pt>
                <c:pt idx="47" formatCode="General">
                  <c:v>-1.21461</c:v>
                </c:pt>
                <c:pt idx="48" formatCode="General">
                  <c:v>-1.1722699999999999</c:v>
                </c:pt>
                <c:pt idx="49" formatCode="General">
                  <c:v>-1.12616</c:v>
                </c:pt>
                <c:pt idx="50" formatCode="General">
                  <c:v>-1.07714</c:v>
                </c:pt>
                <c:pt idx="51" formatCode="General">
                  <c:v>-1.02597</c:v>
                </c:pt>
                <c:pt idx="52" formatCode="General">
                  <c:v>-0.97323300000000001</c:v>
                </c:pt>
                <c:pt idx="53" formatCode="General">
                  <c:v>-0.91945100000000002</c:v>
                </c:pt>
                <c:pt idx="54" formatCode="General">
                  <c:v>-0.86504599999999998</c:v>
                </c:pt>
                <c:pt idx="55" formatCode="General">
                  <c:v>-0.81037599999999999</c:v>
                </c:pt>
                <c:pt idx="56" formatCode="General">
                  <c:v>-0.75574799999999998</c:v>
                </c:pt>
                <c:pt idx="57" formatCode="General">
                  <c:v>-0.70142499999999997</c:v>
                </c:pt>
                <c:pt idx="58" formatCode="General">
                  <c:v>-0.64763700000000002</c:v>
                </c:pt>
                <c:pt idx="59" formatCode="General">
                  <c:v>-0.59458200000000005</c:v>
                </c:pt>
                <c:pt idx="60" formatCode="General">
                  <c:v>-0.542435</c:v>
                </c:pt>
                <c:pt idx="61" formatCode="General">
                  <c:v>-0.49134800000000001</c:v>
                </c:pt>
                <c:pt idx="62" formatCode="General">
                  <c:v>-0.44145400000000001</c:v>
                </c:pt>
                <c:pt idx="63" formatCode="General">
                  <c:v>-0.39286399999999999</c:v>
                </c:pt>
                <c:pt idx="64" formatCode="General">
                  <c:v>-0.34567300000000001</c:v>
                </c:pt>
                <c:pt idx="65" formatCode="General">
                  <c:v>-0.299956</c:v>
                </c:pt>
                <c:pt idx="66" formatCode="General">
                  <c:v>-0.25577299999999997</c:v>
                </c:pt>
                <c:pt idx="67" formatCode="General">
                  <c:v>-0.21316499999999999</c:v>
                </c:pt>
                <c:pt idx="68" formatCode="General">
                  <c:v>-0.17215900000000001</c:v>
                </c:pt>
                <c:pt idx="69" formatCode="General">
                  <c:v>-0.13276399999999999</c:v>
                </c:pt>
                <c:pt idx="70" formatCode="General">
                  <c:v>-9.4975000000000004E-2</c:v>
                </c:pt>
                <c:pt idx="71" formatCode="General">
                  <c:v>-5.8775500000000001E-2</c:v>
                </c:pt>
                <c:pt idx="72" formatCode="General">
                  <c:v>-2.41351E-2</c:v>
                </c:pt>
                <c:pt idx="73" formatCode="General">
                  <c:v>8.9862899999999992E-3</c:v>
                </c:pt>
                <c:pt idx="74" formatCode="General">
                  <c:v>4.0637899999999998E-2</c:v>
                </c:pt>
                <c:pt idx="75" formatCode="General">
                  <c:v>7.08757E-2</c:v>
                </c:pt>
                <c:pt idx="76" formatCode="General">
                  <c:v>9.9761100000000005E-2</c:v>
                </c:pt>
                <c:pt idx="77" formatCode="General">
                  <c:v>0.127359</c:v>
                </c:pt>
                <c:pt idx="78" formatCode="General">
                  <c:v>0.15373500000000001</c:v>
                </c:pt>
                <c:pt idx="79" formatCode="General">
                  <c:v>0.178954</c:v>
                </c:pt>
                <c:pt idx="80" formatCode="General">
                  <c:v>0.20308200000000001</c:v>
                </c:pt>
                <c:pt idx="81" formatCode="General">
                  <c:v>0.22617699999999999</c:v>
                </c:pt>
                <c:pt idx="82" formatCode="General">
                  <c:v>0.24829599999999999</c:v>
                </c:pt>
                <c:pt idx="83" formatCode="General">
                  <c:v>0.26948699999999998</c:v>
                </c:pt>
                <c:pt idx="84" formatCode="General">
                  <c:v>0.289794</c:v>
                </c:pt>
                <c:pt idx="85" formatCode="General">
                  <c:v>0.30925200000000003</c:v>
                </c:pt>
                <c:pt idx="86" formatCode="General">
                  <c:v>0.32788899999999999</c:v>
                </c:pt>
                <c:pt idx="87" formatCode="General">
                  <c:v>0.34572700000000001</c:v>
                </c:pt>
                <c:pt idx="88" formatCode="General">
                  <c:v>0.36278100000000002</c:v>
                </c:pt>
                <c:pt idx="89" formatCode="General">
                  <c:v>0.37906200000000001</c:v>
                </c:pt>
                <c:pt idx="90" formatCode="General">
                  <c:v>0.39457500000000001</c:v>
                </c:pt>
                <c:pt idx="91" formatCode="General">
                  <c:v>0.40932600000000002</c:v>
                </c:pt>
                <c:pt idx="92" formatCode="General">
                  <c:v>0.423317</c:v>
                </c:pt>
                <c:pt idx="93" formatCode="General">
                  <c:v>0.43655500000000003</c:v>
                </c:pt>
                <c:pt idx="94" formatCode="General">
                  <c:v>0.44905099999999998</c:v>
                </c:pt>
                <c:pt idx="95" formatCode="General">
                  <c:v>0.46082200000000001</c:v>
                </c:pt>
                <c:pt idx="96" formatCode="General">
                  <c:v>0.47189300000000001</c:v>
                </c:pt>
                <c:pt idx="97" formatCode="General">
                  <c:v>0.48230000000000001</c:v>
                </c:pt>
                <c:pt idx="98" formatCode="General">
                  <c:v>0.49209199999999997</c:v>
                </c:pt>
                <c:pt idx="99" formatCode="General">
                  <c:v>0.50132699999999997</c:v>
                </c:pt>
                <c:pt idx="100" formatCode="General">
                  <c:v>0.51007899999999995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F52-2C43-B679-5F03184CBC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EvsR'!$AB$7:$AB$107</c:f>
              <c:numCache>
                <c:formatCode>0.00E+00</c:formatCode>
                <c:ptCount val="101"/>
                <c:pt idx="0">
                  <c:v>-47744.9</c:v>
                </c:pt>
                <c:pt idx="1">
                  <c:v>-47744.9</c:v>
                </c:pt>
                <c:pt idx="2">
                  <c:v>-30080.6</c:v>
                </c:pt>
                <c:pt idx="3">
                  <c:v>-18884.900000000001</c:v>
                </c:pt>
                <c:pt idx="4" formatCode="General">
                  <c:v>-11811.4</c:v>
                </c:pt>
                <c:pt idx="5" formatCode="General">
                  <c:v>-7357.35</c:v>
                </c:pt>
                <c:pt idx="6" formatCode="General">
                  <c:v>-4563.03</c:v>
                </c:pt>
                <c:pt idx="7" formatCode="General">
                  <c:v>-2816.83</c:v>
                </c:pt>
                <c:pt idx="8" formatCode="General">
                  <c:v>-1730.22</c:v>
                </c:pt>
                <c:pt idx="9" formatCode="General">
                  <c:v>-1057.0899999999999</c:v>
                </c:pt>
                <c:pt idx="10" formatCode="General">
                  <c:v>-642.09400000000005</c:v>
                </c:pt>
                <c:pt idx="11" formatCode="General">
                  <c:v>-387.51600000000002</c:v>
                </c:pt>
                <c:pt idx="12" formatCode="General">
                  <c:v>-232.15700000000001</c:v>
                </c:pt>
                <c:pt idx="13" formatCode="General">
                  <c:v>-137.857</c:v>
                </c:pt>
                <c:pt idx="14" formatCode="General">
                  <c:v>-80.933599999999998</c:v>
                </c:pt>
                <c:pt idx="15" formatCode="General">
                  <c:v>-46.7699</c:v>
                </c:pt>
                <c:pt idx="16" formatCode="General">
                  <c:v>-26.390999999999998</c:v>
                </c:pt>
                <c:pt idx="17" formatCode="General">
                  <c:v>-14.318300000000001</c:v>
                </c:pt>
                <c:pt idx="18" formatCode="General">
                  <c:v>-7.2263400000000004</c:v>
                </c:pt>
                <c:pt idx="19" formatCode="General">
                  <c:v>-3.1082000000000001</c:v>
                </c:pt>
                <c:pt idx="20" formatCode="General">
                  <c:v>-0.75889600000000002</c:v>
                </c:pt>
                <c:pt idx="21" formatCode="General">
                  <c:v>0.54152900000000004</c:v>
                </c:pt>
                <c:pt idx="22" formatCode="General">
                  <c:v>1.2216</c:v>
                </c:pt>
                <c:pt idx="23" formatCode="General">
                  <c:v>1.5357000000000001</c:v>
                </c:pt>
                <c:pt idx="24" formatCode="General">
                  <c:v>1.63466</c:v>
                </c:pt>
                <c:pt idx="25" formatCode="General">
                  <c:v>1.6079699999999999</c:v>
                </c:pt>
                <c:pt idx="26" formatCode="General">
                  <c:v>1.5088900000000001</c:v>
                </c:pt>
                <c:pt idx="27" formatCode="General">
                  <c:v>1.36927</c:v>
                </c:pt>
                <c:pt idx="28" formatCode="General">
                  <c:v>1.20828</c:v>
                </c:pt>
                <c:pt idx="29" formatCode="General">
                  <c:v>1.03756</c:v>
                </c:pt>
                <c:pt idx="30" formatCode="General">
                  <c:v>0.86423899999999998</c:v>
                </c:pt>
                <c:pt idx="31" formatCode="General">
                  <c:v>0.692689</c:v>
                </c:pt>
                <c:pt idx="32" formatCode="General">
                  <c:v>0.52560600000000002</c:v>
                </c:pt>
                <c:pt idx="33" formatCode="General">
                  <c:v>0.36462699999999998</c:v>
                </c:pt>
                <c:pt idx="34" formatCode="General">
                  <c:v>0.21070800000000001</c:v>
                </c:pt>
                <c:pt idx="35" formatCode="General">
                  <c:v>6.4363500000000004E-2</c:v>
                </c:pt>
                <c:pt idx="36" formatCode="General">
                  <c:v>-7.4192900000000006E-2</c:v>
                </c:pt>
                <c:pt idx="37" formatCode="General">
                  <c:v>-0.20495099999999999</c:v>
                </c:pt>
                <c:pt idx="38" formatCode="General">
                  <c:v>-0.32804100000000003</c:v>
                </c:pt>
                <c:pt idx="39" formatCode="General">
                  <c:v>-0.44369399999999998</c:v>
                </c:pt>
                <c:pt idx="40" formatCode="General">
                  <c:v>-0.55220800000000003</c:v>
                </c:pt>
                <c:pt idx="41" formatCode="General">
                  <c:v>-0.65392399999999995</c:v>
                </c:pt>
                <c:pt idx="42" formatCode="General">
                  <c:v>-0.74921300000000002</c:v>
                </c:pt>
                <c:pt idx="43" formatCode="General">
                  <c:v>-0.83845700000000001</c:v>
                </c:pt>
                <c:pt idx="44" formatCode="General">
                  <c:v>-0.92204200000000003</c:v>
                </c:pt>
                <c:pt idx="45" formatCode="General">
                  <c:v>-1.0003500000000001</c:v>
                </c:pt>
                <c:pt idx="46" formatCode="General">
                  <c:v>-1.07375</c:v>
                </c:pt>
                <c:pt idx="47" formatCode="General">
                  <c:v>-1.1426000000000001</c:v>
                </c:pt>
                <c:pt idx="48" formatCode="General">
                  <c:v>-1.20723</c:v>
                </c:pt>
                <c:pt idx="49" formatCode="General">
                  <c:v>-1.2679499999999999</c:v>
                </c:pt>
                <c:pt idx="50" formatCode="General">
                  <c:v>-1.32507</c:v>
                </c:pt>
                <c:pt idx="51" formatCode="General">
                  <c:v>-1.3788400000000001</c:v>
                </c:pt>
                <c:pt idx="52" formatCode="General">
                  <c:v>-1.4295199999999999</c:v>
                </c:pt>
                <c:pt idx="53" formatCode="General">
                  <c:v>-1.4773400000000001</c:v>
                </c:pt>
                <c:pt idx="54" formatCode="General">
                  <c:v>-1.5224899999999999</c:v>
                </c:pt>
                <c:pt idx="55" formatCode="General">
                  <c:v>-1.56518</c:v>
                </c:pt>
                <c:pt idx="56" formatCode="General">
                  <c:v>-1.6055600000000001</c:v>
                </c:pt>
                <c:pt idx="57" formatCode="General">
                  <c:v>-1.6437999999999999</c:v>
                </c:pt>
                <c:pt idx="58" formatCode="General">
                  <c:v>-1.68004</c:v>
                </c:pt>
                <c:pt idx="59" formatCode="General">
                  <c:v>-1.7143999999999999</c:v>
                </c:pt>
                <c:pt idx="60" formatCode="General">
                  <c:v>-1.74699</c:v>
                </c:pt>
                <c:pt idx="61" formatCode="General">
                  <c:v>-1.77793</c:v>
                </c:pt>
                <c:pt idx="62" formatCode="General">
                  <c:v>-1.8072999999999999</c:v>
                </c:pt>
                <c:pt idx="63" formatCode="General">
                  <c:v>-1.8351999999999999</c:v>
                </c:pt>
                <c:pt idx="64" formatCode="General">
                  <c:v>-1.86171</c:v>
                </c:pt>
                <c:pt idx="65" formatCode="General">
                  <c:v>-1.8869100000000001</c:v>
                </c:pt>
                <c:pt idx="66" formatCode="General">
                  <c:v>-1.91086</c:v>
                </c:pt>
                <c:pt idx="67" formatCode="General">
                  <c:v>-1.93363</c:v>
                </c:pt>
                <c:pt idx="68" formatCode="General">
                  <c:v>-1.95529</c:v>
                </c:pt>
                <c:pt idx="69" formatCode="General">
                  <c:v>-1.9758899999999999</c:v>
                </c:pt>
                <c:pt idx="70" formatCode="General">
                  <c:v>-1.9955000000000001</c:v>
                </c:pt>
                <c:pt idx="71" formatCode="General">
                  <c:v>-2.01416</c:v>
                </c:pt>
                <c:pt idx="72" formatCode="General">
                  <c:v>-2.03193</c:v>
                </c:pt>
                <c:pt idx="73" formatCode="General">
                  <c:v>-2.0488599999999999</c:v>
                </c:pt>
                <c:pt idx="74" formatCode="General">
                  <c:v>-2.0649899999999999</c:v>
                </c:pt>
                <c:pt idx="75" formatCode="General">
                  <c:v>-2.0803600000000002</c:v>
                </c:pt>
                <c:pt idx="76" formatCode="General">
                  <c:v>-2.0950299999999999</c:v>
                </c:pt>
                <c:pt idx="77" formatCode="General">
                  <c:v>-2.1090300000000002</c:v>
                </c:pt>
                <c:pt idx="78" formatCode="General">
                  <c:v>-2.1223900000000002</c:v>
                </c:pt>
                <c:pt idx="79" formatCode="General">
                  <c:v>-2.1351499999999999</c:v>
                </c:pt>
                <c:pt idx="80" formatCode="General">
                  <c:v>-2.1473300000000002</c:v>
                </c:pt>
                <c:pt idx="81" formatCode="General">
                  <c:v>-2.15896</c:v>
                </c:pt>
                <c:pt idx="82" formatCode="General">
                  <c:v>-2.1700699999999999</c:v>
                </c:pt>
                <c:pt idx="83" formatCode="General">
                  <c:v>-2.1806700000000001</c:v>
                </c:pt>
                <c:pt idx="84" formatCode="General">
                  <c:v>-2.1907899999999998</c:v>
                </c:pt>
                <c:pt idx="85" formatCode="General">
                  <c:v>-2.2004299999999999</c:v>
                </c:pt>
                <c:pt idx="86" formatCode="General">
                  <c:v>-2.2096100000000001</c:v>
                </c:pt>
                <c:pt idx="87" formatCode="General">
                  <c:v>-2.2183299999999999</c:v>
                </c:pt>
                <c:pt idx="88" formatCode="General">
                  <c:v>-2.22661</c:v>
                </c:pt>
                <c:pt idx="89" formatCode="General">
                  <c:v>-2.2344599999999999</c:v>
                </c:pt>
                <c:pt idx="90" formatCode="General">
                  <c:v>-2.24187</c:v>
                </c:pt>
                <c:pt idx="91" formatCode="General">
                  <c:v>-2.2488600000000001</c:v>
                </c:pt>
                <c:pt idx="92" formatCode="General">
                  <c:v>-2.2554500000000002</c:v>
                </c:pt>
                <c:pt idx="93" formatCode="General">
                  <c:v>-2.2616299999999998</c:v>
                </c:pt>
                <c:pt idx="94" formatCode="General">
                  <c:v>-2.2674400000000001</c:v>
                </c:pt>
                <c:pt idx="95" formatCode="General">
                  <c:v>-2.2728799999999998</c:v>
                </c:pt>
                <c:pt idx="96" formatCode="General">
                  <c:v>-2.27799</c:v>
                </c:pt>
                <c:pt idx="97" formatCode="General">
                  <c:v>-2.2827999999999999</c:v>
                </c:pt>
                <c:pt idx="98" formatCode="General">
                  <c:v>-2.2873399999999999</c:v>
                </c:pt>
                <c:pt idx="99" formatCode="General">
                  <c:v>-2.2916699999999999</c:v>
                </c:pt>
                <c:pt idx="100" formatCode="General">
                  <c:v>-2.29582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9D-F241-A57D-1BD581735F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EvsR'!$AJ$7:$AJ$107</c:f>
              <c:numCache>
                <c:formatCode>0.00E+00</c:formatCode>
                <c:ptCount val="101"/>
                <c:pt idx="0">
                  <c:v>-2634830</c:v>
                </c:pt>
                <c:pt idx="1">
                  <c:v>-2634830</c:v>
                </c:pt>
                <c:pt idx="2">
                  <c:v>-1828230</c:v>
                </c:pt>
                <c:pt idx="3">
                  <c:v>-1261960</c:v>
                </c:pt>
                <c:pt idx="4">
                  <c:v>-866632</c:v>
                </c:pt>
                <c:pt idx="5">
                  <c:v>-592136</c:v>
                </c:pt>
                <c:pt idx="6">
                  <c:v>-402536</c:v>
                </c:pt>
                <c:pt idx="7">
                  <c:v>-272242</c:v>
                </c:pt>
                <c:pt idx="8">
                  <c:v>-183156</c:v>
                </c:pt>
                <c:pt idx="9">
                  <c:v>-122552</c:v>
                </c:pt>
                <c:pt idx="10">
                  <c:v>-81534.600000000006</c:v>
                </c:pt>
                <c:pt idx="11">
                  <c:v>-53918.7</c:v>
                </c:pt>
                <c:pt idx="12" formatCode="General">
                  <c:v>-35426.5</c:v>
                </c:pt>
                <c:pt idx="13" formatCode="General">
                  <c:v>-23114.400000000001</c:v>
                </c:pt>
                <c:pt idx="14" formatCode="General">
                  <c:v>-14966.7</c:v>
                </c:pt>
                <c:pt idx="15" formatCode="General">
                  <c:v>-9609.84</c:v>
                </c:pt>
                <c:pt idx="16" formatCode="General">
                  <c:v>-6112.7</c:v>
                </c:pt>
                <c:pt idx="17" formatCode="General">
                  <c:v>-3847.23</c:v>
                </c:pt>
                <c:pt idx="18" formatCode="General">
                  <c:v>-2392.11</c:v>
                </c:pt>
                <c:pt idx="19" formatCode="General">
                  <c:v>-1466.3</c:v>
                </c:pt>
                <c:pt idx="20" formatCode="General">
                  <c:v>-883.51099999999997</c:v>
                </c:pt>
                <c:pt idx="21" formatCode="General">
                  <c:v>-521.07899999999995</c:v>
                </c:pt>
                <c:pt idx="22" formatCode="General">
                  <c:v>-298.822</c:v>
                </c:pt>
                <c:pt idx="23" formatCode="General">
                  <c:v>-164.761</c:v>
                </c:pt>
                <c:pt idx="24" formatCode="General">
                  <c:v>-85.503299999999996</c:v>
                </c:pt>
                <c:pt idx="25" formatCode="General">
                  <c:v>-39.811799999999998</c:v>
                </c:pt>
                <c:pt idx="26" formatCode="General">
                  <c:v>-14.3375</c:v>
                </c:pt>
                <c:pt idx="27" formatCode="General">
                  <c:v>-0.797292</c:v>
                </c:pt>
                <c:pt idx="28" formatCode="General">
                  <c:v>5.8713300000000004</c:v>
                </c:pt>
                <c:pt idx="29" formatCode="General">
                  <c:v>8.7086199999999998</c:v>
                </c:pt>
                <c:pt idx="30" formatCode="General">
                  <c:v>9.5025099999999991</c:v>
                </c:pt>
                <c:pt idx="31" formatCode="General">
                  <c:v>9.27773</c:v>
                </c:pt>
                <c:pt idx="32" formatCode="General">
                  <c:v>8.6026100000000003</c:v>
                </c:pt>
                <c:pt idx="33" formatCode="General">
                  <c:v>7.7785299999999999</c:v>
                </c:pt>
                <c:pt idx="34" formatCode="General">
                  <c:v>6.9550299999999998</c:v>
                </c:pt>
                <c:pt idx="35" formatCode="General">
                  <c:v>6.1982799999999996</c:v>
                </c:pt>
                <c:pt idx="36" formatCode="General">
                  <c:v>5.5307899999999997</c:v>
                </c:pt>
                <c:pt idx="37" formatCode="General">
                  <c:v>4.9538200000000003</c:v>
                </c:pt>
                <c:pt idx="38" formatCode="General">
                  <c:v>4.4594800000000001</c:v>
                </c:pt>
                <c:pt idx="39" formatCode="General">
                  <c:v>4.0369700000000002</c:v>
                </c:pt>
                <c:pt idx="40" formatCode="General">
                  <c:v>3.6754600000000002</c:v>
                </c:pt>
                <c:pt idx="41" formatCode="General">
                  <c:v>3.3652700000000002</c:v>
                </c:pt>
                <c:pt idx="42" formatCode="General">
                  <c:v>3.09823</c:v>
                </c:pt>
                <c:pt idx="43" formatCode="General">
                  <c:v>2.86755</c:v>
                </c:pt>
                <c:pt idx="44" formatCode="General">
                  <c:v>2.6676199999999999</c:v>
                </c:pt>
                <c:pt idx="45" formatCode="General">
                  <c:v>2.49376</c:v>
                </c:pt>
                <c:pt idx="46" formatCode="General">
                  <c:v>2.34205</c:v>
                </c:pt>
                <c:pt idx="47" formatCode="General">
                  <c:v>2.2091400000000001</c:v>
                </c:pt>
                <c:pt idx="48" formatCode="General">
                  <c:v>2.09212</c:v>
                </c:pt>
                <c:pt idx="49" formatCode="General">
                  <c:v>1.9884900000000001</c:v>
                </c:pt>
                <c:pt idx="50" formatCode="General">
                  <c:v>1.8960699999999999</c:v>
                </c:pt>
                <c:pt idx="51" formatCode="General">
                  <c:v>1.81297</c:v>
                </c:pt>
                <c:pt idx="52" formatCode="General">
                  <c:v>1.7375499999999999</c:v>
                </c:pt>
                <c:pt idx="53" formatCode="General">
                  <c:v>1.6684099999999999</c:v>
                </c:pt>
                <c:pt idx="54" formatCode="General">
                  <c:v>1.6044</c:v>
                </c:pt>
                <c:pt idx="55" formatCode="General">
                  <c:v>1.54454</c:v>
                </c:pt>
                <c:pt idx="56" formatCode="General">
                  <c:v>1.4880500000000001</c:v>
                </c:pt>
                <c:pt idx="57" formatCode="General">
                  <c:v>1.43432</c:v>
                </c:pt>
                <c:pt idx="58" formatCode="General">
                  <c:v>1.38287</c:v>
                </c:pt>
                <c:pt idx="59" formatCode="General">
                  <c:v>1.33335</c:v>
                </c:pt>
                <c:pt idx="60" formatCode="General">
                  <c:v>1.28552</c:v>
                </c:pt>
                <c:pt idx="61" formatCode="General">
                  <c:v>1.2392099999999999</c:v>
                </c:pt>
                <c:pt idx="62" formatCode="General">
                  <c:v>1.19434</c:v>
                </c:pt>
                <c:pt idx="63" formatCode="General">
                  <c:v>1.1508400000000001</c:v>
                </c:pt>
                <c:pt idx="64" formatCode="General">
                  <c:v>1.1087199999999999</c:v>
                </c:pt>
                <c:pt idx="65" formatCode="General">
                  <c:v>1.06799</c:v>
                </c:pt>
                <c:pt idx="66" formatCode="General">
                  <c:v>1.02868</c:v>
                </c:pt>
                <c:pt idx="67" formatCode="General">
                  <c:v>0.99080400000000002</c:v>
                </c:pt>
                <c:pt idx="68" formatCode="General">
                  <c:v>0.95440400000000003</c:v>
                </c:pt>
                <c:pt idx="69" formatCode="General">
                  <c:v>0.919493</c:v>
                </c:pt>
                <c:pt idx="70" formatCode="General">
                  <c:v>0.88607999999999998</c:v>
                </c:pt>
                <c:pt idx="71" formatCode="General">
                  <c:v>0.854155</c:v>
                </c:pt>
                <c:pt idx="72" formatCode="General">
                  <c:v>0.82369800000000004</c:v>
                </c:pt>
                <c:pt idx="73" formatCode="General">
                  <c:v>0.79466999999999999</c:v>
                </c:pt>
                <c:pt idx="74" formatCode="General">
                  <c:v>0.76701799999999998</c:v>
                </c:pt>
                <c:pt idx="75" formatCode="General">
                  <c:v>0.74067799999999995</c:v>
                </c:pt>
                <c:pt idx="76" formatCode="General">
                  <c:v>0.71557400000000004</c:v>
                </c:pt>
                <c:pt idx="77" formatCode="General">
                  <c:v>0.69162400000000002</c:v>
                </c:pt>
                <c:pt idx="78" formatCode="General">
                  <c:v>0.66873800000000005</c:v>
                </c:pt>
                <c:pt idx="79" formatCode="General">
                  <c:v>0.64682799999999996</c:v>
                </c:pt>
                <c:pt idx="80" formatCode="General">
                  <c:v>0.62580499999999994</c:v>
                </c:pt>
                <c:pt idx="81" formatCode="General">
                  <c:v>0.60558599999999996</c:v>
                </c:pt>
                <c:pt idx="82" formatCode="General">
                  <c:v>0.58609500000000003</c:v>
                </c:pt>
                <c:pt idx="83" formatCode="General">
                  <c:v>0.56726699999999997</c:v>
                </c:pt>
                <c:pt idx="84" formatCode="General">
                  <c:v>0.54904600000000003</c:v>
                </c:pt>
                <c:pt idx="85" formatCode="General">
                  <c:v>0.531393</c:v>
                </c:pt>
                <c:pt idx="86" formatCode="General">
                  <c:v>0.51427800000000001</c:v>
                </c:pt>
                <c:pt idx="87" formatCode="General">
                  <c:v>0.49768800000000002</c:v>
                </c:pt>
                <c:pt idx="88" formatCode="General">
                  <c:v>0.48161999999999999</c:v>
                </c:pt>
                <c:pt idx="89" formatCode="General">
                  <c:v>0.46608300000000003</c:v>
                </c:pt>
                <c:pt idx="90" formatCode="General">
                  <c:v>0.45109300000000002</c:v>
                </c:pt>
                <c:pt idx="91" formatCode="General">
                  <c:v>0.43667299999999998</c:v>
                </c:pt>
                <c:pt idx="92" formatCode="General">
                  <c:v>0.422846</c:v>
                </c:pt>
                <c:pt idx="93" formatCode="General">
                  <c:v>0.40963500000000003</c:v>
                </c:pt>
                <c:pt idx="94" formatCode="General">
                  <c:v>0.39705400000000002</c:v>
                </c:pt>
                <c:pt idx="95" formatCode="General">
                  <c:v>0.38510699999999998</c:v>
                </c:pt>
                <c:pt idx="96" formatCode="General">
                  <c:v>0.37378499999999998</c:v>
                </c:pt>
                <c:pt idx="97" formatCode="General">
                  <c:v>0.36305799999999999</c:v>
                </c:pt>
                <c:pt idx="98" formatCode="General">
                  <c:v>0.35287400000000002</c:v>
                </c:pt>
                <c:pt idx="99" formatCode="General">
                  <c:v>0.34315800000000002</c:v>
                </c:pt>
                <c:pt idx="100" formatCode="General">
                  <c:v>0.33381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1A-4D47-9292-50BF55F28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EvsR'!$AR$7:$AR$107</c:f>
              <c:numCache>
                <c:formatCode>0.00E+00</c:formatCode>
                <c:ptCount val="101"/>
                <c:pt idx="0">
                  <c:v>-67316.7</c:v>
                </c:pt>
                <c:pt idx="1">
                  <c:v>-67316.7</c:v>
                </c:pt>
                <c:pt idx="2">
                  <c:v>-48422</c:v>
                </c:pt>
                <c:pt idx="3">
                  <c:v>-34526.699999999997</c:v>
                </c:pt>
                <c:pt idx="4">
                  <c:v>-24419</c:v>
                </c:pt>
                <c:pt idx="5">
                  <c:v>-17138.2</c:v>
                </c:pt>
                <c:pt idx="6">
                  <c:v>-11940.6</c:v>
                </c:pt>
                <c:pt idx="7">
                  <c:v>-8261.0400000000009</c:v>
                </c:pt>
                <c:pt idx="8">
                  <c:v>-5676.54</c:v>
                </c:pt>
                <c:pt idx="9">
                  <c:v>-3874.72</c:v>
                </c:pt>
                <c:pt idx="10">
                  <c:v>-2627.56</c:v>
                </c:pt>
                <c:pt idx="11">
                  <c:v>-1770.27</c:v>
                </c:pt>
                <c:pt idx="12">
                  <c:v>-1184.94</c:v>
                </c:pt>
                <c:pt idx="13">
                  <c:v>-787.90300000000002</c:v>
                </c:pt>
                <c:pt idx="14">
                  <c:v>-520.29700000000003</c:v>
                </c:pt>
                <c:pt idx="15" formatCode="General">
                  <c:v>-341.04500000000002</c:v>
                </c:pt>
                <c:pt idx="16" formatCode="General">
                  <c:v>-221.696</c:v>
                </c:pt>
                <c:pt idx="17" formatCode="General">
                  <c:v>-142.69</c:v>
                </c:pt>
                <c:pt idx="18" formatCode="General">
                  <c:v>-90.683400000000006</c:v>
                </c:pt>
                <c:pt idx="19" formatCode="General">
                  <c:v>-56.631900000000002</c:v>
                </c:pt>
                <c:pt idx="20" formatCode="General">
                  <c:v>-34.452100000000002</c:v>
                </c:pt>
                <c:pt idx="21" formatCode="General">
                  <c:v>-20.078800000000001</c:v>
                </c:pt>
                <c:pt idx="22" formatCode="General">
                  <c:v>-10.8131</c:v>
                </c:pt>
                <c:pt idx="23" formatCode="General">
                  <c:v>-4.8746700000000001</c:v>
                </c:pt>
                <c:pt idx="24" formatCode="General">
                  <c:v>-1.0955900000000001</c:v>
                </c:pt>
                <c:pt idx="25" formatCode="General">
                  <c:v>1.28607</c:v>
                </c:pt>
                <c:pt idx="26" formatCode="General">
                  <c:v>2.7652899999999998</c:v>
                </c:pt>
                <c:pt idx="27" formatCode="General">
                  <c:v>3.6624300000000001</c:v>
                </c:pt>
                <c:pt idx="28" formatCode="General">
                  <c:v>4.1844200000000003</c:v>
                </c:pt>
                <c:pt idx="29" formatCode="General">
                  <c:v>4.4647399999999999</c:v>
                </c:pt>
                <c:pt idx="30" formatCode="General">
                  <c:v>4.5895799999999998</c:v>
                </c:pt>
                <c:pt idx="31" formatCode="General">
                  <c:v>4.6147400000000003</c:v>
                </c:pt>
                <c:pt idx="32" formatCode="General">
                  <c:v>4.5764800000000001</c:v>
                </c:pt>
                <c:pt idx="33" formatCode="General">
                  <c:v>4.4984999999999999</c:v>
                </c:pt>
                <c:pt idx="34" formatCode="General">
                  <c:v>4.3964100000000004</c:v>
                </c:pt>
                <c:pt idx="35" formatCode="General">
                  <c:v>4.2805400000000002</c:v>
                </c:pt>
                <c:pt idx="36" formatCode="General">
                  <c:v>4.1577900000000003</c:v>
                </c:pt>
                <c:pt idx="37" formatCode="General">
                  <c:v>4.0327599999999997</c:v>
                </c:pt>
                <c:pt idx="38" formatCode="General">
                  <c:v>3.9085200000000002</c:v>
                </c:pt>
                <c:pt idx="39" formatCode="General">
                  <c:v>3.78708</c:v>
                </c:pt>
                <c:pt idx="40" formatCode="General">
                  <c:v>3.6697500000000001</c:v>
                </c:pt>
                <c:pt idx="41" formatCode="General">
                  <c:v>3.5573100000000002</c:v>
                </c:pt>
                <c:pt idx="42" formatCode="General">
                  <c:v>3.45018</c:v>
                </c:pt>
                <c:pt idx="43" formatCode="General">
                  <c:v>3.3485399999999998</c:v>
                </c:pt>
                <c:pt idx="44" formatCode="General">
                  <c:v>3.25237</c:v>
                </c:pt>
                <c:pt idx="45" formatCode="General">
                  <c:v>3.16154</c:v>
                </c:pt>
                <c:pt idx="46" formatCode="General">
                  <c:v>3.0758200000000002</c:v>
                </c:pt>
                <c:pt idx="47" formatCode="General">
                  <c:v>2.9949499999999998</c:v>
                </c:pt>
                <c:pt idx="48" formatCode="General">
                  <c:v>2.9186200000000002</c:v>
                </c:pt>
                <c:pt idx="49" formatCode="General">
                  <c:v>2.8465099999999999</c:v>
                </c:pt>
                <c:pt idx="50" formatCode="General">
                  <c:v>2.7783000000000002</c:v>
                </c:pt>
                <c:pt idx="51" formatCode="General">
                  <c:v>2.7136900000000002</c:v>
                </c:pt>
                <c:pt idx="52" formatCode="General">
                  <c:v>2.6524000000000001</c:v>
                </c:pt>
                <c:pt idx="53" formatCode="General">
                  <c:v>2.5941700000000001</c:v>
                </c:pt>
                <c:pt idx="54" formatCode="General">
                  <c:v>2.5387599999999999</c:v>
                </c:pt>
                <c:pt idx="55" formatCode="General">
                  <c:v>2.4859599999999999</c:v>
                </c:pt>
                <c:pt idx="56" formatCode="General">
                  <c:v>2.4356</c:v>
                </c:pt>
                <c:pt idx="57" formatCode="General">
                  <c:v>2.3875000000000002</c:v>
                </c:pt>
                <c:pt idx="58" formatCode="General">
                  <c:v>2.3415400000000002</c:v>
                </c:pt>
                <c:pt idx="59" formatCode="General">
                  <c:v>2.2976100000000002</c:v>
                </c:pt>
                <c:pt idx="60" formatCode="General">
                  <c:v>2.2555999999999998</c:v>
                </c:pt>
                <c:pt idx="61" formatCode="General">
                  <c:v>2.2154400000000001</c:v>
                </c:pt>
                <c:pt idx="62" formatCode="General">
                  <c:v>2.17706</c:v>
                </c:pt>
                <c:pt idx="63" formatCode="General">
                  <c:v>2.14039</c:v>
                </c:pt>
                <c:pt idx="64" formatCode="General">
                  <c:v>2.1053899999999999</c:v>
                </c:pt>
                <c:pt idx="65" formatCode="General">
                  <c:v>2.0720100000000001</c:v>
                </c:pt>
                <c:pt idx="66" formatCode="General">
                  <c:v>2.0401899999999999</c:v>
                </c:pt>
                <c:pt idx="67" formatCode="General">
                  <c:v>2.00989</c:v>
                </c:pt>
                <c:pt idx="68" formatCode="General">
                  <c:v>1.9810700000000001</c:v>
                </c:pt>
                <c:pt idx="69" formatCode="General">
                  <c:v>1.95367</c:v>
                </c:pt>
                <c:pt idx="70" formatCode="General">
                  <c:v>1.9276500000000001</c:v>
                </c:pt>
                <c:pt idx="71" formatCode="General">
                  <c:v>1.9029499999999999</c:v>
                </c:pt>
                <c:pt idx="72" formatCode="General">
                  <c:v>1.87951</c:v>
                </c:pt>
                <c:pt idx="73" formatCode="General">
                  <c:v>1.85728</c:v>
                </c:pt>
                <c:pt idx="74" formatCode="General">
                  <c:v>1.8362000000000001</c:v>
                </c:pt>
                <c:pt idx="75" formatCode="General">
                  <c:v>1.8162</c:v>
                </c:pt>
                <c:pt idx="76" formatCode="General">
                  <c:v>1.79722</c:v>
                </c:pt>
                <c:pt idx="77" formatCode="General">
                  <c:v>1.7791999999999999</c:v>
                </c:pt>
                <c:pt idx="78" formatCode="General">
                  <c:v>1.76207</c:v>
                </c:pt>
                <c:pt idx="79" formatCode="General">
                  <c:v>1.74577</c:v>
                </c:pt>
                <c:pt idx="80" formatCode="General">
                  <c:v>1.7302500000000001</c:v>
                </c:pt>
                <c:pt idx="81" formatCode="General">
                  <c:v>1.7154499999999999</c:v>
                </c:pt>
                <c:pt idx="82" formatCode="General">
                  <c:v>1.7013199999999999</c:v>
                </c:pt>
                <c:pt idx="83" formatCode="General">
                  <c:v>1.6878200000000001</c:v>
                </c:pt>
                <c:pt idx="84" formatCode="General">
                  <c:v>1.6749099999999999</c:v>
                </c:pt>
                <c:pt idx="85" formatCode="General">
                  <c:v>1.66255</c:v>
                </c:pt>
                <c:pt idx="86" formatCode="General">
                  <c:v>1.6507099999999999</c:v>
                </c:pt>
                <c:pt idx="87" formatCode="General">
                  <c:v>1.6393800000000001</c:v>
                </c:pt>
                <c:pt idx="88" formatCode="General">
                  <c:v>1.62853</c:v>
                </c:pt>
                <c:pt idx="89" formatCode="General">
                  <c:v>1.61816</c:v>
                </c:pt>
                <c:pt idx="90" formatCode="General">
                  <c:v>1.60825</c:v>
                </c:pt>
                <c:pt idx="91" formatCode="General">
                  <c:v>1.5988</c:v>
                </c:pt>
                <c:pt idx="92" formatCode="General">
                  <c:v>1.5898000000000001</c:v>
                </c:pt>
                <c:pt idx="93" formatCode="General">
                  <c:v>1.58124</c:v>
                </c:pt>
                <c:pt idx="94" formatCode="General">
                  <c:v>1.5731200000000001</c:v>
                </c:pt>
                <c:pt idx="95" formatCode="General">
                  <c:v>1.56542</c:v>
                </c:pt>
                <c:pt idx="96" formatCode="General">
                  <c:v>1.5581199999999999</c:v>
                </c:pt>
                <c:pt idx="97" formatCode="General">
                  <c:v>1.5511999999999999</c:v>
                </c:pt>
                <c:pt idx="98" formatCode="General">
                  <c:v>1.5446200000000001</c:v>
                </c:pt>
                <c:pt idx="99" formatCode="General">
                  <c:v>1.53834</c:v>
                </c:pt>
                <c:pt idx="100" formatCode="General">
                  <c:v>1.5322899999999999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C5-C64E-A4DE-4A491E86A7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EvsR'!$AZ$7:$AZ$107</c:f>
              <c:numCache>
                <c:formatCode>0.00E+00</c:formatCode>
                <c:ptCount val="101"/>
                <c:pt idx="0">
                  <c:v>-608900000</c:v>
                </c:pt>
                <c:pt idx="1">
                  <c:v>-608900000</c:v>
                </c:pt>
                <c:pt idx="2">
                  <c:v>-362762000</c:v>
                </c:pt>
                <c:pt idx="3">
                  <c:v>-214083000</c:v>
                </c:pt>
                <c:pt idx="4">
                  <c:v>-125087000</c:v>
                </c:pt>
                <c:pt idx="5">
                  <c:v>-72321500</c:v>
                </c:pt>
                <c:pt idx="6">
                  <c:v>-41350300</c:v>
                </c:pt>
                <c:pt idx="7">
                  <c:v>-23363600</c:v>
                </c:pt>
                <c:pt idx="8">
                  <c:v>-13034700</c:v>
                </c:pt>
                <c:pt idx="9">
                  <c:v>-7174020</c:v>
                </c:pt>
                <c:pt idx="10">
                  <c:v>-3890990</c:v>
                </c:pt>
                <c:pt idx="11">
                  <c:v>-2077040</c:v>
                </c:pt>
                <c:pt idx="12">
                  <c:v>-1089590</c:v>
                </c:pt>
                <c:pt idx="13" formatCode="General">
                  <c:v>-560683</c:v>
                </c:pt>
                <c:pt idx="14" formatCode="General">
                  <c:v>-282372</c:v>
                </c:pt>
                <c:pt idx="15" formatCode="General">
                  <c:v>-138775</c:v>
                </c:pt>
                <c:pt idx="16" formatCode="General">
                  <c:v>-66301.2</c:v>
                </c:pt>
                <c:pt idx="17" formatCode="General">
                  <c:v>-30629.7</c:v>
                </c:pt>
                <c:pt idx="18" formatCode="General">
                  <c:v>-13576.5</c:v>
                </c:pt>
                <c:pt idx="19" formatCode="General">
                  <c:v>-5702.18</c:v>
                </c:pt>
                <c:pt idx="20" formatCode="General">
                  <c:v>-2218.75</c:v>
                </c:pt>
                <c:pt idx="21" formatCode="General">
                  <c:v>-761.34699999999998</c:v>
                </c:pt>
                <c:pt idx="22" formatCode="General">
                  <c:v>-197.73699999999999</c:v>
                </c:pt>
                <c:pt idx="23" formatCode="General">
                  <c:v>-5.86538</c:v>
                </c:pt>
                <c:pt idx="24" formatCode="General">
                  <c:v>43.863100000000003</c:v>
                </c:pt>
                <c:pt idx="25" formatCode="General">
                  <c:v>46.264600000000002</c:v>
                </c:pt>
                <c:pt idx="26" formatCode="General">
                  <c:v>37.067</c:v>
                </c:pt>
                <c:pt idx="27" formatCode="General">
                  <c:v>27.7864</c:v>
                </c:pt>
                <c:pt idx="28" formatCode="General">
                  <c:v>20.971699999999998</c:v>
                </c:pt>
                <c:pt idx="29" formatCode="General">
                  <c:v>16.401199999999999</c:v>
                </c:pt>
                <c:pt idx="30" formatCode="General">
                  <c:v>13.333600000000001</c:v>
                </c:pt>
                <c:pt idx="31" formatCode="General">
                  <c:v>11.1676</c:v>
                </c:pt>
                <c:pt idx="32" formatCode="General">
                  <c:v>9.5357699999999994</c:v>
                </c:pt>
                <c:pt idx="33" formatCode="General">
                  <c:v>8.2425599999999992</c:v>
                </c:pt>
                <c:pt idx="34" formatCode="General">
                  <c:v>7.1894</c:v>
                </c:pt>
                <c:pt idx="35" formatCode="General">
                  <c:v>6.3234199999999996</c:v>
                </c:pt>
                <c:pt idx="36" formatCode="General">
                  <c:v>5.6102100000000004</c:v>
                </c:pt>
                <c:pt idx="37" formatCode="General">
                  <c:v>5.0221099999999996</c:v>
                </c:pt>
                <c:pt idx="38" formatCode="General">
                  <c:v>4.5347200000000001</c:v>
                </c:pt>
                <c:pt idx="39" formatCode="General">
                  <c:v>4.1264700000000003</c:v>
                </c:pt>
                <c:pt idx="40" formatCode="General">
                  <c:v>3.7791899999999998</c:v>
                </c:pt>
                <c:pt idx="41" formatCode="General">
                  <c:v>3.4783300000000001</c:v>
                </c:pt>
                <c:pt idx="42" formatCode="General">
                  <c:v>3.2128299999999999</c:v>
                </c:pt>
                <c:pt idx="43" formatCode="General">
                  <c:v>2.9746800000000002</c:v>
                </c:pt>
                <c:pt idx="44" formatCode="General">
                  <c:v>2.7582900000000001</c:v>
                </c:pt>
                <c:pt idx="45" formatCode="General">
                  <c:v>2.55992</c:v>
                </c:pt>
                <c:pt idx="46" formatCode="General">
                  <c:v>2.3770600000000002</c:v>
                </c:pt>
                <c:pt idx="47" formatCode="General">
                  <c:v>2.20804</c:v>
                </c:pt>
                <c:pt idx="48" formatCode="General">
                  <c:v>2.0517099999999999</c:v>
                </c:pt>
                <c:pt idx="49" formatCode="General">
                  <c:v>1.9071499999999999</c:v>
                </c:pt>
                <c:pt idx="50" formatCode="General">
                  <c:v>1.77362</c:v>
                </c:pt>
                <c:pt idx="51" formatCode="General">
                  <c:v>1.65039</c:v>
                </c:pt>
                <c:pt idx="52" formatCode="General">
                  <c:v>1.53677</c:v>
                </c:pt>
                <c:pt idx="53" formatCode="General">
                  <c:v>1.43204</c:v>
                </c:pt>
                <c:pt idx="54" formatCode="General">
                  <c:v>1.3354999999999999</c:v>
                </c:pt>
                <c:pt idx="55" formatCode="General">
                  <c:v>1.2464200000000001</c:v>
                </c:pt>
                <c:pt idx="56" formatCode="General">
                  <c:v>1.16412</c:v>
                </c:pt>
                <c:pt idx="57" formatCode="General">
                  <c:v>1.0879300000000001</c:v>
                </c:pt>
                <c:pt idx="58" formatCode="General">
                  <c:v>1.01722</c:v>
                </c:pt>
                <c:pt idx="59" formatCode="General">
                  <c:v>0.95141100000000001</c:v>
                </c:pt>
                <c:pt idx="60" formatCode="General">
                  <c:v>0.88997800000000005</c:v>
                </c:pt>
                <c:pt idx="61" formatCode="General">
                  <c:v>0.83244799999999997</c:v>
                </c:pt>
                <c:pt idx="62" formatCode="General">
                  <c:v>0.77840799999999999</c:v>
                </c:pt>
                <c:pt idx="63" formatCode="General">
                  <c:v>0.72749900000000001</c:v>
                </c:pt>
                <c:pt idx="64" formatCode="General">
                  <c:v>0.67941300000000004</c:v>
                </c:pt>
                <c:pt idx="65" formatCode="General">
                  <c:v>0.63388699999999998</c:v>
                </c:pt>
                <c:pt idx="66" formatCode="General">
                  <c:v>0.59070500000000004</c:v>
                </c:pt>
                <c:pt idx="67" formatCode="General">
                  <c:v>0.54968399999999995</c:v>
                </c:pt>
                <c:pt idx="68" formatCode="General">
                  <c:v>0.51067300000000004</c:v>
                </c:pt>
                <c:pt idx="69" formatCode="General">
                  <c:v>0.47354400000000002</c:v>
                </c:pt>
                <c:pt idx="70" formatCode="General">
                  <c:v>0.43819200000000003</c:v>
                </c:pt>
                <c:pt idx="71" formatCode="General">
                  <c:v>0.40452300000000002</c:v>
                </c:pt>
                <c:pt idx="72" formatCode="General">
                  <c:v>0.37245499999999998</c:v>
                </c:pt>
                <c:pt idx="73" formatCode="General">
                  <c:v>0.34191100000000002</c:v>
                </c:pt>
                <c:pt idx="74" formatCode="General">
                  <c:v>0.31281799999999998</c:v>
                </c:pt>
                <c:pt idx="75" formatCode="General">
                  <c:v>0.285105</c:v>
                </c:pt>
                <c:pt idx="76" formatCode="General">
                  <c:v>0.25869799999999998</c:v>
                </c:pt>
                <c:pt idx="77" formatCode="General">
                  <c:v>0.23352500000000001</c:v>
                </c:pt>
                <c:pt idx="78" formatCode="General">
                  <c:v>0.20951</c:v>
                </c:pt>
                <c:pt idx="79" formatCode="General">
                  <c:v>0.18657599999999999</c:v>
                </c:pt>
                <c:pt idx="80" formatCode="General">
                  <c:v>0.16464899999999999</c:v>
                </c:pt>
                <c:pt idx="81" formatCode="General">
                  <c:v>0.143654</c:v>
                </c:pt>
                <c:pt idx="82" formatCode="General">
                  <c:v>0.123518</c:v>
                </c:pt>
                <c:pt idx="83" formatCode="General">
                  <c:v>0.104174</c:v>
                </c:pt>
                <c:pt idx="84" formatCode="General">
                  <c:v>8.5560300000000006E-2</c:v>
                </c:pt>
                <c:pt idx="85" formatCode="General">
                  <c:v>6.7622600000000005E-2</c:v>
                </c:pt>
                <c:pt idx="86" formatCode="General">
                  <c:v>5.0315499999999999E-2</c:v>
                </c:pt>
                <c:pt idx="87" formatCode="General">
                  <c:v>3.3602699999999999E-2</c:v>
                </c:pt>
                <c:pt idx="88" formatCode="General">
                  <c:v>1.74583E-2</c:v>
                </c:pt>
                <c:pt idx="89" formatCode="General">
                  <c:v>1.8657999999999999E-3</c:v>
                </c:pt>
                <c:pt idx="90" formatCode="General">
                  <c:v>-1.31819E-2</c:v>
                </c:pt>
                <c:pt idx="91" formatCode="General">
                  <c:v>-2.76841E-2</c:v>
                </c:pt>
                <c:pt idx="92" formatCode="General">
                  <c:v>-4.1633799999999999E-2</c:v>
                </c:pt>
                <c:pt idx="93" formatCode="General">
                  <c:v>-5.5020699999999999E-2</c:v>
                </c:pt>
                <c:pt idx="94" formatCode="General">
                  <c:v>-6.7833199999999996E-2</c:v>
                </c:pt>
                <c:pt idx="95" formatCode="General">
                  <c:v>-8.00622E-2</c:v>
                </c:pt>
                <c:pt idx="96" formatCode="General">
                  <c:v>-9.1704400000000005E-2</c:v>
                </c:pt>
                <c:pt idx="97" formatCode="General">
                  <c:v>-0.102765</c:v>
                </c:pt>
                <c:pt idx="98" formatCode="General">
                  <c:v>-0.113263</c:v>
                </c:pt>
                <c:pt idx="99" formatCode="General">
                  <c:v>-0.12323099999999999</c:v>
                </c:pt>
                <c:pt idx="100" formatCode="General">
                  <c:v>-0.132718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B5-0943-B1C9-D74CCAA7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EvsR'!$BF$7:$BF$107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EvsR'!$BH$7:$BH$107</c:f>
              <c:numCache>
                <c:formatCode>0.00E+00</c:formatCode>
                <c:ptCount val="101"/>
                <c:pt idx="0">
                  <c:v>-424781</c:v>
                </c:pt>
                <c:pt idx="1">
                  <c:v>-424781</c:v>
                </c:pt>
                <c:pt idx="2">
                  <c:v>-273913</c:v>
                </c:pt>
                <c:pt idx="3">
                  <c:v>-175808</c:v>
                </c:pt>
                <c:pt idx="4">
                  <c:v>-112252</c:v>
                </c:pt>
                <c:pt idx="5">
                  <c:v>-71251.3</c:v>
                </c:pt>
                <c:pt idx="6">
                  <c:v>-44926.6</c:v>
                </c:pt>
                <c:pt idx="7">
                  <c:v>-28115.4</c:v>
                </c:pt>
                <c:pt idx="8">
                  <c:v>-17445</c:v>
                </c:pt>
                <c:pt idx="9">
                  <c:v>-10719.3</c:v>
                </c:pt>
                <c:pt idx="10">
                  <c:v>-6513.46</c:v>
                </c:pt>
                <c:pt idx="11">
                  <c:v>-3907</c:v>
                </c:pt>
                <c:pt idx="12">
                  <c:v>-2308.37</c:v>
                </c:pt>
                <c:pt idx="13">
                  <c:v>-1339.5</c:v>
                </c:pt>
                <c:pt idx="14">
                  <c:v>-760.35900000000004</c:v>
                </c:pt>
                <c:pt idx="15">
                  <c:v>-419.745</c:v>
                </c:pt>
                <c:pt idx="16">
                  <c:v>-223.249</c:v>
                </c:pt>
                <c:pt idx="17">
                  <c:v>-112.529</c:v>
                </c:pt>
                <c:pt idx="18">
                  <c:v>-51.961500000000001</c:v>
                </c:pt>
                <c:pt idx="19">
                  <c:v>-20.097999999999999</c:v>
                </c:pt>
                <c:pt idx="20">
                  <c:v>-4.2355799999999997</c:v>
                </c:pt>
                <c:pt idx="21">
                  <c:v>3.0013200000000002</c:v>
                </c:pt>
                <c:pt idx="22">
                  <c:v>5.7933199999999996</c:v>
                </c:pt>
                <c:pt idx="23">
                  <c:v>6.43933</c:v>
                </c:pt>
                <c:pt idx="24" formatCode="General">
                  <c:v>6.1544299999999996</c:v>
                </c:pt>
                <c:pt idx="25" formatCode="General">
                  <c:v>5.5463100000000001</c:v>
                </c:pt>
                <c:pt idx="26" formatCode="General">
                  <c:v>4.8941999999999997</c:v>
                </c:pt>
                <c:pt idx="27" formatCode="General">
                  <c:v>4.3079999999999998</c:v>
                </c:pt>
                <c:pt idx="28" formatCode="General">
                  <c:v>3.8163399999999998</c:v>
                </c:pt>
                <c:pt idx="29" formatCode="General">
                  <c:v>3.4131800000000001</c:v>
                </c:pt>
                <c:pt idx="30" formatCode="General">
                  <c:v>3.0811299999999999</c:v>
                </c:pt>
                <c:pt idx="31" formatCode="General">
                  <c:v>2.8020499999999999</c:v>
                </c:pt>
                <c:pt idx="32" formatCode="General">
                  <c:v>2.5609899999999999</c:v>
                </c:pt>
                <c:pt idx="33" formatCode="General">
                  <c:v>2.3470599999999999</c:v>
                </c:pt>
                <c:pt idx="34" formatCode="General">
                  <c:v>2.1529699999999998</c:v>
                </c:pt>
                <c:pt idx="35" formatCode="General">
                  <c:v>1.9741200000000001</c:v>
                </c:pt>
                <c:pt idx="36" formatCode="General">
                  <c:v>1.80775</c:v>
                </c:pt>
                <c:pt idx="37" formatCode="General">
                  <c:v>1.6522300000000001</c:v>
                </c:pt>
                <c:pt idx="38" formatCode="General">
                  <c:v>1.5065999999999999</c:v>
                </c:pt>
                <c:pt idx="39" formatCode="General">
                  <c:v>1.37019</c:v>
                </c:pt>
                <c:pt idx="40" formatCode="General">
                  <c:v>1.2424900000000001</c:v>
                </c:pt>
                <c:pt idx="41" formatCode="General">
                  <c:v>1.1229899999999999</c:v>
                </c:pt>
                <c:pt idx="42" formatCode="General">
                  <c:v>1.0112099999999999</c:v>
                </c:pt>
                <c:pt idx="43" formatCode="General">
                  <c:v>0.90660200000000002</c:v>
                </c:pt>
                <c:pt idx="44" formatCode="General">
                  <c:v>0.80862900000000004</c:v>
                </c:pt>
                <c:pt idx="45" formatCode="General">
                  <c:v>0.71674400000000005</c:v>
                </c:pt>
                <c:pt idx="46" formatCode="General">
                  <c:v>0.63041599999999998</c:v>
                </c:pt>
                <c:pt idx="47" formatCode="General">
                  <c:v>0.54913599999999996</c:v>
                </c:pt>
                <c:pt idx="48" formatCode="General">
                  <c:v>0.47243299999999999</c:v>
                </c:pt>
                <c:pt idx="49" formatCode="General">
                  <c:v>0.39987600000000001</c:v>
                </c:pt>
                <c:pt idx="50" formatCode="General">
                  <c:v>0.33107799999999998</c:v>
                </c:pt>
                <c:pt idx="51" formatCode="General">
                  <c:v>0.26569900000000002</c:v>
                </c:pt>
                <c:pt idx="52" formatCode="General">
                  <c:v>0.20344100000000001</c:v>
                </c:pt>
                <c:pt idx="53" formatCode="General">
                  <c:v>0.14404700000000001</c:v>
                </c:pt>
                <c:pt idx="54" formatCode="General">
                  <c:v>8.7299199999999993E-2</c:v>
                </c:pt>
                <c:pt idx="55" formatCode="General">
                  <c:v>3.3011699999999998E-2</c:v>
                </c:pt>
                <c:pt idx="56" formatCode="General">
                  <c:v>-1.89702E-2</c:v>
                </c:pt>
                <c:pt idx="57" formatCode="General">
                  <c:v>-6.8776400000000001E-2</c:v>
                </c:pt>
                <c:pt idx="58" formatCode="General">
                  <c:v>-0.11651499999999999</c:v>
                </c:pt>
                <c:pt idx="59" formatCode="General">
                  <c:v>-0.162277</c:v>
                </c:pt>
                <c:pt idx="60" formatCode="General">
                  <c:v>-0.20613899999999999</c:v>
                </c:pt>
                <c:pt idx="61" formatCode="General">
                  <c:v>-0.248168</c:v>
                </c:pt>
                <c:pt idx="62" formatCode="General">
                  <c:v>-0.28842000000000001</c:v>
                </c:pt>
                <c:pt idx="63" formatCode="General">
                  <c:v>-0.32695000000000002</c:v>
                </c:pt>
                <c:pt idx="64" formatCode="General">
                  <c:v>-0.36380600000000002</c:v>
                </c:pt>
                <c:pt idx="65" formatCode="General">
                  <c:v>-0.39903699999999998</c:v>
                </c:pt>
                <c:pt idx="66" formatCode="General">
                  <c:v>-0.43268899999999999</c:v>
                </c:pt>
                <c:pt idx="67" formatCode="General">
                  <c:v>-0.46481099999999997</c:v>
                </c:pt>
                <c:pt idx="68" formatCode="General">
                  <c:v>-0.49545299999999998</c:v>
                </c:pt>
                <c:pt idx="69" formatCode="General">
                  <c:v>-0.52466500000000005</c:v>
                </c:pt>
                <c:pt idx="70" formatCode="General">
                  <c:v>-0.55250100000000002</c:v>
                </c:pt>
                <c:pt idx="71" formatCode="General">
                  <c:v>-0.57901599999999998</c:v>
                </c:pt>
                <c:pt idx="72" formatCode="General">
                  <c:v>-0.60426500000000005</c:v>
                </c:pt>
                <c:pt idx="73" formatCode="General">
                  <c:v>-0.62830600000000003</c:v>
                </c:pt>
                <c:pt idx="74" formatCode="General">
                  <c:v>-0.651196</c:v>
                </c:pt>
                <c:pt idx="75" formatCode="General">
                  <c:v>-0.67299200000000003</c:v>
                </c:pt>
                <c:pt idx="76" formatCode="General">
                  <c:v>-0.69375200000000004</c:v>
                </c:pt>
                <c:pt idx="77" formatCode="General">
                  <c:v>-0.71353100000000003</c:v>
                </c:pt>
                <c:pt idx="78" formatCode="General">
                  <c:v>-0.73238199999999998</c:v>
                </c:pt>
                <c:pt idx="79" formatCode="General">
                  <c:v>-0.75035700000000005</c:v>
                </c:pt>
                <c:pt idx="80" formatCode="General">
                  <c:v>-0.76750300000000005</c:v>
                </c:pt>
                <c:pt idx="81" formatCode="General">
                  <c:v>-0.78386500000000003</c:v>
                </c:pt>
                <c:pt idx="82" formatCode="General">
                  <c:v>-0.799485</c:v>
                </c:pt>
                <c:pt idx="83" formatCode="General">
                  <c:v>-0.81440000000000001</c:v>
                </c:pt>
                <c:pt idx="84" formatCode="General">
                  <c:v>-0.82864400000000005</c:v>
                </c:pt>
                <c:pt idx="85" formatCode="General">
                  <c:v>-0.84224699999999997</c:v>
                </c:pt>
                <c:pt idx="86" formatCode="General">
                  <c:v>-0.855236</c:v>
                </c:pt>
                <c:pt idx="87" formatCode="General">
                  <c:v>-0.86763500000000005</c:v>
                </c:pt>
                <c:pt idx="88" formatCode="General">
                  <c:v>-0.87946800000000003</c:v>
                </c:pt>
                <c:pt idx="89" formatCode="General">
                  <c:v>-0.89075300000000002</c:v>
                </c:pt>
                <c:pt idx="90" formatCode="General">
                  <c:v>-0.90151300000000001</c:v>
                </c:pt>
                <c:pt idx="91" formatCode="General">
                  <c:v>-0.91176699999999999</c:v>
                </c:pt>
                <c:pt idx="92" formatCode="General">
                  <c:v>-0.92153700000000005</c:v>
                </c:pt>
                <c:pt idx="93" formatCode="General">
                  <c:v>-0.93084800000000001</c:v>
                </c:pt>
                <c:pt idx="94" formatCode="General">
                  <c:v>-0.93972699999999998</c:v>
                </c:pt>
                <c:pt idx="95" formatCode="General">
                  <c:v>-0.94820800000000005</c:v>
                </c:pt>
                <c:pt idx="96" formatCode="General">
                  <c:v>-0.95632700000000004</c:v>
                </c:pt>
                <c:pt idx="97" formatCode="General">
                  <c:v>-0.96412500000000001</c:v>
                </c:pt>
                <c:pt idx="98" formatCode="General">
                  <c:v>-0.97165100000000004</c:v>
                </c:pt>
                <c:pt idx="99" formatCode="General">
                  <c:v>-0.97895799999999999</c:v>
                </c:pt>
                <c:pt idx="100" formatCode="General">
                  <c:v>-0.98609999999999998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A1-3C44-AA01-8D9B69346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EvsR'!$BF$7:$BF$107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EvsR'!$BP$7:$BP$107</c:f>
              <c:numCache>
                <c:formatCode>0.00E+00</c:formatCode>
                <c:ptCount val="101"/>
                <c:pt idx="0">
                  <c:v>-5212.03</c:v>
                </c:pt>
                <c:pt idx="1">
                  <c:v>-5212.03</c:v>
                </c:pt>
                <c:pt idx="2">
                  <c:v>-4024.21</c:v>
                </c:pt>
                <c:pt idx="3">
                  <c:v>-3085.76</c:v>
                </c:pt>
                <c:pt idx="4">
                  <c:v>-2345.64</c:v>
                </c:pt>
                <c:pt idx="5">
                  <c:v>-1765.13</c:v>
                </c:pt>
                <c:pt idx="6">
                  <c:v>-1313.51</c:v>
                </c:pt>
                <c:pt idx="7">
                  <c:v>-965.68899999999996</c:v>
                </c:pt>
                <c:pt idx="8">
                  <c:v>-700.85199999999998</c:v>
                </c:pt>
                <c:pt idx="9">
                  <c:v>-501.67500000000001</c:v>
                </c:pt>
                <c:pt idx="10">
                  <c:v>-353.82</c:v>
                </c:pt>
                <c:pt idx="11" formatCode="General">
                  <c:v>-245.54400000000001</c:v>
                </c:pt>
                <c:pt idx="12" formatCode="General">
                  <c:v>-167.36199999999999</c:v>
                </c:pt>
                <c:pt idx="13" formatCode="General">
                  <c:v>-111.729</c:v>
                </c:pt>
                <c:pt idx="14" formatCode="General">
                  <c:v>-72.740799999999993</c:v>
                </c:pt>
                <c:pt idx="15" formatCode="General">
                  <c:v>-45.852600000000002</c:v>
                </c:pt>
                <c:pt idx="16" formatCode="General">
                  <c:v>-27.6252</c:v>
                </c:pt>
                <c:pt idx="17" formatCode="General">
                  <c:v>-15.4991</c:v>
                </c:pt>
                <c:pt idx="18" formatCode="General">
                  <c:v>-7.6013500000000001</c:v>
                </c:pt>
                <c:pt idx="19" formatCode="General">
                  <c:v>-2.5844900000000002</c:v>
                </c:pt>
                <c:pt idx="20" formatCode="General">
                  <c:v>0.50424599999999997</c:v>
                </c:pt>
                <c:pt idx="21" formatCode="General">
                  <c:v>2.3268599999999999</c:v>
                </c:pt>
                <c:pt idx="22" formatCode="General">
                  <c:v>3.3350499999999998</c:v>
                </c:pt>
                <c:pt idx="23" formatCode="General">
                  <c:v>3.8312900000000001</c:v>
                </c:pt>
                <c:pt idx="24" formatCode="General">
                  <c:v>4.0141999999999998</c:v>
                </c:pt>
                <c:pt idx="25" formatCode="General">
                  <c:v>4.0114599999999996</c:v>
                </c:pt>
                <c:pt idx="26" formatCode="General">
                  <c:v>3.90334</c:v>
                </c:pt>
                <c:pt idx="27" formatCode="General">
                  <c:v>3.7391100000000002</c:v>
                </c:pt>
                <c:pt idx="28" formatCode="General">
                  <c:v>3.5481600000000002</c:v>
                </c:pt>
                <c:pt idx="29" formatCode="General">
                  <c:v>3.3475299999999999</c:v>
                </c:pt>
                <c:pt idx="30" formatCode="General">
                  <c:v>3.1467399999999999</c:v>
                </c:pt>
                <c:pt idx="31" formatCode="General">
                  <c:v>2.9508800000000002</c:v>
                </c:pt>
                <c:pt idx="32" formatCode="General">
                  <c:v>2.7625500000000001</c:v>
                </c:pt>
                <c:pt idx="33" formatCode="General">
                  <c:v>2.5829300000000002</c:v>
                </c:pt>
                <c:pt idx="34" formatCode="General">
                  <c:v>2.41248</c:v>
                </c:pt>
                <c:pt idx="35" formatCode="General">
                  <c:v>2.2513100000000001</c:v>
                </c:pt>
                <c:pt idx="36" formatCode="General">
                  <c:v>2.0992899999999999</c:v>
                </c:pt>
                <c:pt idx="37" formatCode="General">
                  <c:v>1.9562200000000001</c:v>
                </c:pt>
                <c:pt idx="38" formatCode="General">
                  <c:v>1.82182</c:v>
                </c:pt>
                <c:pt idx="39" formatCode="General">
                  <c:v>1.6957599999999999</c:v>
                </c:pt>
                <c:pt idx="40" formatCode="General">
                  <c:v>1.5776600000000001</c:v>
                </c:pt>
                <c:pt idx="41" formatCode="General">
                  <c:v>1.4671099999999999</c:v>
                </c:pt>
                <c:pt idx="42" formatCode="General">
                  <c:v>1.3636900000000001</c:v>
                </c:pt>
                <c:pt idx="43" formatCode="General">
                  <c:v>1.26692</c:v>
                </c:pt>
                <c:pt idx="44" formatCode="General">
                  <c:v>1.17635</c:v>
                </c:pt>
                <c:pt idx="45" formatCode="General">
                  <c:v>1.0914999999999999</c:v>
                </c:pt>
                <c:pt idx="46" formatCode="General">
                  <c:v>1.0119</c:v>
                </c:pt>
                <c:pt idx="47" formatCode="General">
                  <c:v>0.93713100000000005</c:v>
                </c:pt>
                <c:pt idx="48" formatCode="General">
                  <c:v>0.86676299999999995</c:v>
                </c:pt>
                <c:pt idx="49" formatCode="General">
                  <c:v>0.80041499999999999</c:v>
                </c:pt>
                <c:pt idx="50" formatCode="General">
                  <c:v>0.737734</c:v>
                </c:pt>
                <c:pt idx="51" formatCode="General">
                  <c:v>0.67840500000000004</c:v>
                </c:pt>
                <c:pt idx="52" formatCode="General">
                  <c:v>0.62214800000000003</c:v>
                </c:pt>
                <c:pt idx="53" formatCode="General">
                  <c:v>0.56871700000000003</c:v>
                </c:pt>
                <c:pt idx="54" formatCode="General">
                  <c:v>0.51790000000000003</c:v>
                </c:pt>
                <c:pt idx="55" formatCode="General">
                  <c:v>0.46951300000000001</c:v>
                </c:pt>
                <c:pt idx="56" formatCode="General">
                  <c:v>0.423402</c:v>
                </c:pt>
                <c:pt idx="57" formatCode="General">
                  <c:v>0.37943399999999999</c:v>
                </c:pt>
                <c:pt idx="58" formatCode="General">
                  <c:v>0.33749499999999999</c:v>
                </c:pt>
                <c:pt idx="59" formatCode="General">
                  <c:v>0.29749100000000001</c:v>
                </c:pt>
                <c:pt idx="60" formatCode="General">
                  <c:v>0.25933600000000001</c:v>
                </c:pt>
                <c:pt idx="61" formatCode="General">
                  <c:v>0.22295999999999999</c:v>
                </c:pt>
                <c:pt idx="62" formatCode="General">
                  <c:v>0.18829499999999999</c:v>
                </c:pt>
                <c:pt idx="63" formatCode="General">
                  <c:v>0.155283</c:v>
                </c:pt>
                <c:pt idx="64" formatCode="General">
                  <c:v>0.12386800000000001</c:v>
                </c:pt>
                <c:pt idx="65" formatCode="General">
                  <c:v>9.3992599999999996E-2</c:v>
                </c:pt>
                <c:pt idx="66" formatCode="General">
                  <c:v>6.5604599999999999E-2</c:v>
                </c:pt>
                <c:pt idx="67" formatCode="General">
                  <c:v>3.86489E-2</c:v>
                </c:pt>
                <c:pt idx="68" formatCode="General">
                  <c:v>1.3069900000000001E-2</c:v>
                </c:pt>
                <c:pt idx="69" formatCode="General">
                  <c:v>-1.1189599999999999E-2</c:v>
                </c:pt>
                <c:pt idx="70" formatCode="General">
                  <c:v>-3.4188000000000003E-2</c:v>
                </c:pt>
                <c:pt idx="71" formatCode="General">
                  <c:v>-5.5985500000000001E-2</c:v>
                </c:pt>
                <c:pt idx="72" formatCode="General">
                  <c:v>-7.6643500000000003E-2</c:v>
                </c:pt>
                <c:pt idx="73" formatCode="General">
                  <c:v>-9.6224000000000004E-2</c:v>
                </c:pt>
                <c:pt idx="74" formatCode="General">
                  <c:v>-0.11479</c:v>
                </c:pt>
                <c:pt idx="75" formatCode="General">
                  <c:v>-0.13240299999999999</c:v>
                </c:pt>
                <c:pt idx="76" formatCode="General">
                  <c:v>-0.14912400000000001</c:v>
                </c:pt>
                <c:pt idx="77" formatCode="General">
                  <c:v>-0.16501299999999999</c:v>
                </c:pt>
                <c:pt idx="78" formatCode="General">
                  <c:v>-0.18012700000000001</c:v>
                </c:pt>
                <c:pt idx="79" formatCode="General">
                  <c:v>-0.194519</c:v>
                </c:pt>
                <c:pt idx="80" formatCode="General">
                  <c:v>-0.20824100000000001</c:v>
                </c:pt>
                <c:pt idx="81" formatCode="General">
                  <c:v>-0.22133700000000001</c:v>
                </c:pt>
                <c:pt idx="82" formatCode="General">
                  <c:v>-0.23385</c:v>
                </c:pt>
                <c:pt idx="83" formatCode="General">
                  <c:v>-0.245814</c:v>
                </c:pt>
                <c:pt idx="84" formatCode="General">
                  <c:v>-0.25726100000000002</c:v>
                </c:pt>
                <c:pt idx="85" formatCode="General">
                  <c:v>-0.26821800000000001</c:v>
                </c:pt>
                <c:pt idx="86" formatCode="General">
                  <c:v>-0.27870400000000001</c:v>
                </c:pt>
                <c:pt idx="87" formatCode="General">
                  <c:v>-0.28873700000000002</c:v>
                </c:pt>
                <c:pt idx="88" formatCode="General">
                  <c:v>-0.29832900000000001</c:v>
                </c:pt>
                <c:pt idx="89" formatCode="General">
                  <c:v>-0.30748999999999999</c:v>
                </c:pt>
                <c:pt idx="90" formatCode="General">
                  <c:v>-0.31622800000000001</c:v>
                </c:pt>
                <c:pt idx="91" formatCode="General">
                  <c:v>-0.324548</c:v>
                </c:pt>
                <c:pt idx="92" formatCode="General">
                  <c:v>-0.332457</c:v>
                </c:pt>
                <c:pt idx="93" formatCode="General">
                  <c:v>-0.33996199999999999</c:v>
                </c:pt>
                <c:pt idx="94" formatCode="General">
                  <c:v>-0.34707500000000002</c:v>
                </c:pt>
                <c:pt idx="95" formatCode="General">
                  <c:v>-0.35380800000000001</c:v>
                </c:pt>
                <c:pt idx="96" formatCode="General">
                  <c:v>-0.360182</c:v>
                </c:pt>
                <c:pt idx="97" formatCode="General">
                  <c:v>-0.36622100000000002</c:v>
                </c:pt>
                <c:pt idx="98" formatCode="General">
                  <c:v>-0.37195800000000001</c:v>
                </c:pt>
                <c:pt idx="99" formatCode="General">
                  <c:v>-0.37742999999999999</c:v>
                </c:pt>
                <c:pt idx="100" formatCode="General">
                  <c:v>-0.382685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73-6C4C-BC1C-342D1A7DCA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EvsR'!$BV$7:$BV$107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EvsR'!$BX$7:$BX$107</c:f>
              <c:numCache>
                <c:formatCode>0.00E+00</c:formatCode>
                <c:ptCount val="101"/>
                <c:pt idx="0">
                  <c:v>-2228440</c:v>
                </c:pt>
                <c:pt idx="1">
                  <c:v>-2228440</c:v>
                </c:pt>
                <c:pt idx="2">
                  <c:v>-1357320</c:v>
                </c:pt>
                <c:pt idx="3">
                  <c:v>-817713</c:v>
                </c:pt>
                <c:pt idx="4">
                  <c:v>-486716</c:v>
                </c:pt>
                <c:pt idx="5" formatCode="General">
                  <c:v>-285818</c:v>
                </c:pt>
                <c:pt idx="6" formatCode="General">
                  <c:v>-165281</c:v>
                </c:pt>
                <c:pt idx="7" formatCode="General">
                  <c:v>-93874.5</c:v>
                </c:pt>
                <c:pt idx="8" formatCode="General">
                  <c:v>-52173.8</c:v>
                </c:pt>
                <c:pt idx="9" formatCode="General">
                  <c:v>-28216.1</c:v>
                </c:pt>
                <c:pt idx="10" formatCode="General">
                  <c:v>-14714.4</c:v>
                </c:pt>
                <c:pt idx="11" formatCode="General">
                  <c:v>-7281.59</c:v>
                </c:pt>
                <c:pt idx="12" formatCode="General">
                  <c:v>-3310.09</c:v>
                </c:pt>
                <c:pt idx="13" formatCode="General">
                  <c:v>-1272.27</c:v>
                </c:pt>
                <c:pt idx="14" formatCode="General">
                  <c:v>-287.50299999999999</c:v>
                </c:pt>
                <c:pt idx="15" formatCode="General">
                  <c:v>142.38999999999999</c:v>
                </c:pt>
                <c:pt idx="16" formatCode="General">
                  <c:v>292.96499999999997</c:v>
                </c:pt>
                <c:pt idx="17" formatCode="General">
                  <c:v>312.43900000000002</c:v>
                </c:pt>
                <c:pt idx="18" formatCode="General">
                  <c:v>277.65800000000002</c:v>
                </c:pt>
                <c:pt idx="19" formatCode="General">
                  <c:v>226.43299999999999</c:v>
                </c:pt>
                <c:pt idx="20" formatCode="General">
                  <c:v>175.87799999999999</c:v>
                </c:pt>
                <c:pt idx="21" formatCode="General">
                  <c:v>132.58000000000001</c:v>
                </c:pt>
                <c:pt idx="22" formatCode="General">
                  <c:v>98.088200000000001</c:v>
                </c:pt>
                <c:pt idx="23" formatCode="General">
                  <c:v>71.775599999999997</c:v>
                </c:pt>
                <c:pt idx="24" formatCode="General">
                  <c:v>52.260199999999998</c:v>
                </c:pt>
                <c:pt idx="25" formatCode="General">
                  <c:v>38.063699999999997</c:v>
                </c:pt>
                <c:pt idx="26" formatCode="General">
                  <c:v>27.877700000000001</c:v>
                </c:pt>
                <c:pt idx="27" formatCode="General">
                  <c:v>20.6419</c:v>
                </c:pt>
                <c:pt idx="28" formatCode="General">
                  <c:v>15.539</c:v>
                </c:pt>
                <c:pt idx="29" formatCode="General">
                  <c:v>11.9579</c:v>
                </c:pt>
                <c:pt idx="30" formatCode="General">
                  <c:v>9.4514600000000009</c:v>
                </c:pt>
                <c:pt idx="31" formatCode="General">
                  <c:v>7.6971100000000003</c:v>
                </c:pt>
                <c:pt idx="32" formatCode="General">
                  <c:v>6.4649099999999997</c:v>
                </c:pt>
                <c:pt idx="33" formatCode="General">
                  <c:v>5.5925200000000004</c:v>
                </c:pt>
                <c:pt idx="34" formatCode="General">
                  <c:v>4.9663500000000003</c:v>
                </c:pt>
                <c:pt idx="35" formatCode="General">
                  <c:v>4.5076599999999996</c:v>
                </c:pt>
                <c:pt idx="36" formatCode="General">
                  <c:v>4.1623599999999996</c:v>
                </c:pt>
                <c:pt idx="37" formatCode="General">
                  <c:v>3.8937400000000002</c:v>
                </c:pt>
                <c:pt idx="38" formatCode="General">
                  <c:v>3.6770900000000002</c:v>
                </c:pt>
                <c:pt idx="39" formatCode="General">
                  <c:v>3.4960200000000001</c:v>
                </c:pt>
                <c:pt idx="40" formatCode="General">
                  <c:v>3.3397700000000001</c:v>
                </c:pt>
                <c:pt idx="41" formatCode="General">
                  <c:v>3.2013400000000001</c:v>
                </c:pt>
                <c:pt idx="42" formatCode="General">
                  <c:v>3.0762200000000002</c:v>
                </c:pt>
                <c:pt idx="43" formatCode="General">
                  <c:v>2.9614799999999999</c:v>
                </c:pt>
                <c:pt idx="44" formatCode="General">
                  <c:v>2.8552300000000002</c:v>
                </c:pt>
                <c:pt idx="45" formatCode="General">
                  <c:v>2.75617</c:v>
                </c:pt>
                <c:pt idx="46" formatCode="General">
                  <c:v>2.6634000000000002</c:v>
                </c:pt>
                <c:pt idx="47" formatCode="General">
                  <c:v>2.5762399999999999</c:v>
                </c:pt>
                <c:pt idx="48" formatCode="General">
                  <c:v>2.4941599999999999</c:v>
                </c:pt>
                <c:pt idx="49" formatCode="General">
                  <c:v>2.41669</c:v>
                </c:pt>
                <c:pt idx="50" formatCode="General">
                  <c:v>2.3434200000000001</c:v>
                </c:pt>
                <c:pt idx="51" formatCode="General">
                  <c:v>2.274</c:v>
                </c:pt>
                <c:pt idx="52" formatCode="General">
                  <c:v>2.2081</c:v>
                </c:pt>
                <c:pt idx="53" formatCode="General">
                  <c:v>2.14541</c:v>
                </c:pt>
                <c:pt idx="54" formatCode="General">
                  <c:v>2.08569</c:v>
                </c:pt>
                <c:pt idx="55" formatCode="General">
                  <c:v>2.0286900000000001</c:v>
                </c:pt>
                <c:pt idx="56" formatCode="General">
                  <c:v>1.97421</c:v>
                </c:pt>
                <c:pt idx="57" formatCode="General">
                  <c:v>1.92208</c:v>
                </c:pt>
                <c:pt idx="58" formatCode="General">
                  <c:v>1.87215</c:v>
                </c:pt>
                <c:pt idx="59" formatCode="General">
                  <c:v>1.8242799999999999</c:v>
                </c:pt>
                <c:pt idx="60" formatCode="General">
                  <c:v>1.77837</c:v>
                </c:pt>
                <c:pt idx="61" formatCode="General">
                  <c:v>1.73431</c:v>
                </c:pt>
                <c:pt idx="62" formatCode="General">
                  <c:v>1.6920299999999999</c:v>
                </c:pt>
                <c:pt idx="63" formatCode="General">
                  <c:v>1.6514599999999999</c:v>
                </c:pt>
                <c:pt idx="64" formatCode="General">
                  <c:v>1.6125400000000001</c:v>
                </c:pt>
                <c:pt idx="65" formatCode="General">
                  <c:v>1.5751999999999999</c:v>
                </c:pt>
                <c:pt idx="66" formatCode="General">
                  <c:v>1.5394099999999999</c:v>
                </c:pt>
                <c:pt idx="67" formatCode="General">
                  <c:v>1.5051000000000001</c:v>
                </c:pt>
                <c:pt idx="68" formatCode="General">
                  <c:v>1.4722500000000001</c:v>
                </c:pt>
                <c:pt idx="69" formatCode="General">
                  <c:v>1.4408000000000001</c:v>
                </c:pt>
                <c:pt idx="70" formatCode="General">
                  <c:v>1.4107000000000001</c:v>
                </c:pt>
                <c:pt idx="71" formatCode="General">
                  <c:v>1.38191</c:v>
                </c:pt>
                <c:pt idx="72" formatCode="General">
                  <c:v>1.35439</c:v>
                </c:pt>
                <c:pt idx="73" formatCode="General">
                  <c:v>1.32809</c:v>
                </c:pt>
                <c:pt idx="74" formatCode="General">
                  <c:v>1.3029500000000001</c:v>
                </c:pt>
                <c:pt idx="75" formatCode="General">
                  <c:v>1.2789299999999999</c:v>
                </c:pt>
                <c:pt idx="76" formatCode="General">
                  <c:v>1.2559800000000001</c:v>
                </c:pt>
                <c:pt idx="77" formatCode="General">
                  <c:v>1.2340500000000001</c:v>
                </c:pt>
                <c:pt idx="78" formatCode="General">
                  <c:v>1.21309</c:v>
                </c:pt>
                <c:pt idx="79" formatCode="General">
                  <c:v>1.1930499999999999</c:v>
                </c:pt>
                <c:pt idx="80" formatCode="General">
                  <c:v>1.1738900000000001</c:v>
                </c:pt>
                <c:pt idx="81" formatCode="General">
                  <c:v>1.1555599999999999</c:v>
                </c:pt>
                <c:pt idx="82" formatCode="General">
                  <c:v>1.1380300000000001</c:v>
                </c:pt>
                <c:pt idx="83" formatCode="General">
                  <c:v>1.1212599999999999</c:v>
                </c:pt>
                <c:pt idx="84" formatCode="General">
                  <c:v>1.1052200000000001</c:v>
                </c:pt>
                <c:pt idx="85" formatCode="General">
                  <c:v>1.08989</c:v>
                </c:pt>
                <c:pt idx="86" formatCode="General">
                  <c:v>1.07524</c:v>
                </c:pt>
                <c:pt idx="87" formatCode="General">
                  <c:v>1.06124</c:v>
                </c:pt>
                <c:pt idx="88" formatCode="General">
                  <c:v>1.0479000000000001</c:v>
                </c:pt>
                <c:pt idx="89" formatCode="General">
                  <c:v>1.03518</c:v>
                </c:pt>
                <c:pt idx="90" formatCode="General">
                  <c:v>1.0230699999999999</c:v>
                </c:pt>
                <c:pt idx="91" formatCode="General">
                  <c:v>1.01156</c:v>
                </c:pt>
                <c:pt idx="92" formatCode="General">
                  <c:v>1.0006299999999999</c:v>
                </c:pt>
                <c:pt idx="93" formatCode="General">
                  <c:v>0.99026899999999995</c:v>
                </c:pt>
                <c:pt idx="94" formatCode="General">
                  <c:v>0.98043899999999995</c:v>
                </c:pt>
                <c:pt idx="95" formatCode="General">
                  <c:v>0.971113</c:v>
                </c:pt>
                <c:pt idx="96" formatCode="General">
                  <c:v>0.96225000000000005</c:v>
                </c:pt>
                <c:pt idx="97" formatCode="General">
                  <c:v>0.95379999999999998</c:v>
                </c:pt>
                <c:pt idx="98" formatCode="General">
                  <c:v>0.94570600000000005</c:v>
                </c:pt>
                <c:pt idx="99" formatCode="General">
                  <c:v>0.93789800000000001</c:v>
                </c:pt>
                <c:pt idx="100" formatCode="General">
                  <c:v>0.93030000000000002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16-0348-85EF-08FA07AE6E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4" Type="http://schemas.openxmlformats.org/officeDocument/2006/relationships/chart" Target="../charts/chart19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7.xml"/><Relationship Id="rId3" Type="http://schemas.openxmlformats.org/officeDocument/2006/relationships/chart" Target="../charts/chart22.xml"/><Relationship Id="rId7" Type="http://schemas.openxmlformats.org/officeDocument/2006/relationships/chart" Target="../charts/chart26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5" Type="http://schemas.openxmlformats.org/officeDocument/2006/relationships/chart" Target="../charts/chart24.xml"/><Relationship Id="rId10" Type="http://schemas.openxmlformats.org/officeDocument/2006/relationships/chart" Target="../charts/chart29.xml"/><Relationship Id="rId4" Type="http://schemas.openxmlformats.org/officeDocument/2006/relationships/chart" Target="../charts/chart23.xml"/><Relationship Id="rId9" Type="http://schemas.openxmlformats.org/officeDocument/2006/relationships/chart" Target="../charts/chart2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590550</xdr:colOff>
      <xdr:row>2</xdr:row>
      <xdr:rowOff>25400</xdr:rowOff>
    </xdr:from>
    <xdr:to>
      <xdr:col>25</xdr:col>
      <xdr:colOff>209550</xdr:colOff>
      <xdr:row>15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9B413F-60F2-23BD-A8A9-CA38A841EA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476250</xdr:colOff>
      <xdr:row>37</xdr:row>
      <xdr:rowOff>63500</xdr:rowOff>
    </xdr:from>
    <xdr:to>
      <xdr:col>17</xdr:col>
      <xdr:colOff>95250</xdr:colOff>
      <xdr:row>50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6800A1-2CFA-BFAD-0E63-DF54A7A043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368300</xdr:colOff>
      <xdr:row>53</xdr:row>
      <xdr:rowOff>127000</xdr:rowOff>
    </xdr:from>
    <xdr:to>
      <xdr:col>16</xdr:col>
      <xdr:colOff>812800</xdr:colOff>
      <xdr:row>67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341997-1727-4E4E-BB10-C8FB109186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25400</xdr:colOff>
      <xdr:row>5</xdr:row>
      <xdr:rowOff>177800</xdr:rowOff>
    </xdr:from>
    <xdr:to>
      <xdr:col>26</xdr:col>
      <xdr:colOff>469900</xdr:colOff>
      <xdr:row>19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5A7891-98A0-FD40-8490-B1E886B075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539750</xdr:colOff>
      <xdr:row>28</xdr:row>
      <xdr:rowOff>50800</xdr:rowOff>
    </xdr:from>
    <xdr:to>
      <xdr:col>28</xdr:col>
      <xdr:colOff>158750</xdr:colOff>
      <xdr:row>41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1F02131-2C23-41F6-CA5F-4B416D146B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43</xdr:row>
      <xdr:rowOff>0</xdr:rowOff>
    </xdr:from>
    <xdr:to>
      <xdr:col>28</xdr:col>
      <xdr:colOff>444500</xdr:colOff>
      <xdr:row>56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9ED9110-C8B3-8F42-A4BE-A714D4D835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273050</xdr:colOff>
      <xdr:row>28</xdr:row>
      <xdr:rowOff>12700</xdr:rowOff>
    </xdr:from>
    <xdr:to>
      <xdr:col>33</xdr:col>
      <xdr:colOff>717550</xdr:colOff>
      <xdr:row>41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C870E1-8C9D-B649-E15F-A0E9EEABD3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254000</xdr:colOff>
      <xdr:row>42</xdr:row>
      <xdr:rowOff>127000</xdr:rowOff>
    </xdr:from>
    <xdr:to>
      <xdr:col>33</xdr:col>
      <xdr:colOff>698500</xdr:colOff>
      <xdr:row>56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845D86-D19D-FB4D-91C7-907C2CA65D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184150</xdr:colOff>
      <xdr:row>4</xdr:row>
      <xdr:rowOff>139700</xdr:rowOff>
    </xdr:from>
    <xdr:to>
      <xdr:col>22</xdr:col>
      <xdr:colOff>628650</xdr:colOff>
      <xdr:row>18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63C333A-3B23-DD9D-BACF-98EC7F039C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628650</xdr:colOff>
      <xdr:row>7</xdr:row>
      <xdr:rowOff>127000</xdr:rowOff>
    </xdr:from>
    <xdr:to>
      <xdr:col>21</xdr:col>
      <xdr:colOff>247650</xdr:colOff>
      <xdr:row>21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83A440-1713-3246-AD8D-B04C7360D0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</xdr:colOff>
      <xdr:row>14</xdr:row>
      <xdr:rowOff>146050</xdr:rowOff>
    </xdr:from>
    <xdr:to>
      <xdr:col>9</xdr:col>
      <xdr:colOff>450850</xdr:colOff>
      <xdr:row>28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7D5A1D-7FFD-3F5D-2D7F-8B42EB6CE7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209550</xdr:colOff>
      <xdr:row>21</xdr:row>
      <xdr:rowOff>139700</xdr:rowOff>
    </xdr:from>
    <xdr:to>
      <xdr:col>10</xdr:col>
      <xdr:colOff>12700</xdr:colOff>
      <xdr:row>33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AD6896-FB19-87EF-2D56-E8ADE59E5D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228600</xdr:colOff>
      <xdr:row>22</xdr:row>
      <xdr:rowOff>25400</xdr:rowOff>
    </xdr:from>
    <xdr:to>
      <xdr:col>4</xdr:col>
      <xdr:colOff>749300</xdr:colOff>
      <xdr:row>37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A77BBD5-E7AF-6E43-AC6C-4526ECF9D0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533400</xdr:colOff>
      <xdr:row>66</xdr:row>
      <xdr:rowOff>139700</xdr:rowOff>
    </xdr:from>
    <xdr:to>
      <xdr:col>6</xdr:col>
      <xdr:colOff>228600</xdr:colOff>
      <xdr:row>82</xdr:row>
      <xdr:rowOff>88900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4A5DE2E-5392-4C4D-BA70-79B4C0EABD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438150</xdr:colOff>
      <xdr:row>52</xdr:row>
      <xdr:rowOff>196850</xdr:rowOff>
    </xdr:from>
    <xdr:to>
      <xdr:col>25</xdr:col>
      <xdr:colOff>57150</xdr:colOff>
      <xdr:row>66</xdr:row>
      <xdr:rowOff>95250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DC011EB-ED06-6A7F-D302-55EB51D5ED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768350</xdr:colOff>
      <xdr:row>8</xdr:row>
      <xdr:rowOff>101600</xdr:rowOff>
    </xdr:from>
    <xdr:to>
      <xdr:col>14</xdr:col>
      <xdr:colOff>387350</xdr:colOff>
      <xdr:row>22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F2DBAD7-E2BB-2B17-AC09-3B7800068E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431800</xdr:colOff>
      <xdr:row>9</xdr:row>
      <xdr:rowOff>88900</xdr:rowOff>
    </xdr:from>
    <xdr:to>
      <xdr:col>31</xdr:col>
      <xdr:colOff>50800</xdr:colOff>
      <xdr:row>22</xdr:row>
      <xdr:rowOff>190500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674C8F8-CAA7-DB4D-A1A6-2579976A29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203200</xdr:colOff>
      <xdr:row>30</xdr:row>
      <xdr:rowOff>101600</xdr:rowOff>
    </xdr:from>
    <xdr:to>
      <xdr:col>20</xdr:col>
      <xdr:colOff>558800</xdr:colOff>
      <xdr:row>44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3C43D97-4240-69C2-B38D-8F848E47C5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336550</xdr:colOff>
      <xdr:row>51</xdr:row>
      <xdr:rowOff>107950</xdr:rowOff>
    </xdr:from>
    <xdr:to>
      <xdr:col>7</xdr:col>
      <xdr:colOff>679450</xdr:colOff>
      <xdr:row>65</xdr:row>
      <xdr:rowOff>6350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CDD834E-92A2-CFE4-437A-4A4B0E74A5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565150</xdr:colOff>
      <xdr:row>10</xdr:row>
      <xdr:rowOff>190500</xdr:rowOff>
    </xdr:from>
    <xdr:to>
      <xdr:col>7</xdr:col>
      <xdr:colOff>184150</xdr:colOff>
      <xdr:row>24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B5F075-F306-B007-DA79-99DD130B5D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11</xdr:row>
      <xdr:rowOff>0</xdr:rowOff>
    </xdr:from>
    <xdr:to>
      <xdr:col>15</xdr:col>
      <xdr:colOff>444500</xdr:colOff>
      <xdr:row>24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F92208-7E54-5A41-9BA4-5D166A65A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647700</xdr:colOff>
      <xdr:row>6</xdr:row>
      <xdr:rowOff>114300</xdr:rowOff>
    </xdr:from>
    <xdr:to>
      <xdr:col>22</xdr:col>
      <xdr:colOff>266700</xdr:colOff>
      <xdr:row>20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10A35FF-0714-F042-86C5-395F1D811B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0</xdr:colOff>
      <xdr:row>11</xdr:row>
      <xdr:rowOff>0</xdr:rowOff>
    </xdr:from>
    <xdr:to>
      <xdr:col>31</xdr:col>
      <xdr:colOff>444500</xdr:colOff>
      <xdr:row>24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4547159-BD5C-7D4C-87BB-7B94A09DC7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0</xdr:colOff>
      <xdr:row>12</xdr:row>
      <xdr:rowOff>0</xdr:rowOff>
    </xdr:from>
    <xdr:to>
      <xdr:col>38</xdr:col>
      <xdr:colOff>444500</xdr:colOff>
      <xdr:row>25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ABC4778-F432-0E48-A92F-E1A1033A71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40</xdr:col>
      <xdr:colOff>469900</xdr:colOff>
      <xdr:row>13</xdr:row>
      <xdr:rowOff>63500</xdr:rowOff>
    </xdr:from>
    <xdr:to>
      <xdr:col>46</xdr:col>
      <xdr:colOff>76200</xdr:colOff>
      <xdr:row>28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56333ED-BD92-D245-B9CF-0F0E5E0E4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49</xdr:col>
      <xdr:colOff>0</xdr:colOff>
      <xdr:row>11</xdr:row>
      <xdr:rowOff>0</xdr:rowOff>
    </xdr:from>
    <xdr:to>
      <xdr:col>54</xdr:col>
      <xdr:colOff>444500</xdr:colOff>
      <xdr:row>24</xdr:row>
      <xdr:rowOff>101600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AF8C3B1-25D9-EB4D-9BC7-CE7540D26D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58</xdr:col>
      <xdr:colOff>590550</xdr:colOff>
      <xdr:row>17</xdr:row>
      <xdr:rowOff>101600</xdr:rowOff>
    </xdr:from>
    <xdr:to>
      <xdr:col>64</xdr:col>
      <xdr:colOff>209550</xdr:colOff>
      <xdr:row>31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3D02F76-95AC-DBE4-413A-0691BEDF0B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66</xdr:col>
      <xdr:colOff>0</xdr:colOff>
      <xdr:row>17</xdr:row>
      <xdr:rowOff>0</xdr:rowOff>
    </xdr:from>
    <xdr:to>
      <xdr:col>71</xdr:col>
      <xdr:colOff>444500</xdr:colOff>
      <xdr:row>30</xdr:row>
      <xdr:rowOff>101600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9E4BCD2-21CE-0F4B-B32D-558D5068A4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74</xdr:col>
      <xdr:colOff>0</xdr:colOff>
      <xdr:row>16</xdr:row>
      <xdr:rowOff>0</xdr:rowOff>
    </xdr:from>
    <xdr:to>
      <xdr:col>79</xdr:col>
      <xdr:colOff>444500</xdr:colOff>
      <xdr:row>29</xdr:row>
      <xdr:rowOff>101600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17E5E34-1A56-A84C-982F-EA09C8F2CA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13538-0D67-F040-8F33-8819D732EBA5}">
  <dimension ref="B2:S122"/>
  <sheetViews>
    <sheetView tabSelected="1" workbookViewId="0">
      <selection activeCell="N13" sqref="N13"/>
    </sheetView>
  </sheetViews>
  <sheetFormatPr baseColWidth="10" defaultRowHeight="16" x14ac:dyDescent="0.2"/>
  <cols>
    <col min="14" max="14" width="12.1640625" bestFit="1" customWidth="1"/>
  </cols>
  <sheetData>
    <row r="2" spans="2:19" x14ac:dyDescent="0.2">
      <c r="F2" t="s">
        <v>14</v>
      </c>
      <c r="G2">
        <v>6.94</v>
      </c>
      <c r="H2">
        <v>39.097999999999999</v>
      </c>
      <c r="I2">
        <v>22.99</v>
      </c>
      <c r="J2">
        <v>35.450000000000003</v>
      </c>
    </row>
    <row r="3" spans="2:19" x14ac:dyDescent="0.2">
      <c r="B3" t="s">
        <v>0</v>
      </c>
      <c r="G3" t="s">
        <v>10</v>
      </c>
      <c r="H3" t="s">
        <v>11</v>
      </c>
      <c r="I3" t="s">
        <v>12</v>
      </c>
      <c r="J3" t="s">
        <v>13</v>
      </c>
    </row>
    <row r="4" spans="2:19" x14ac:dyDescent="0.2">
      <c r="P4" t="s">
        <v>18</v>
      </c>
      <c r="Q4" t="s">
        <v>19</v>
      </c>
      <c r="R4" t="s">
        <v>38</v>
      </c>
      <c r="S4" t="s">
        <v>39</v>
      </c>
    </row>
    <row r="5" spans="2:19" x14ac:dyDescent="0.2">
      <c r="B5" t="s">
        <v>1</v>
      </c>
      <c r="C5" t="s">
        <v>2</v>
      </c>
      <c r="D5" t="s">
        <v>3</v>
      </c>
      <c r="E5" t="s">
        <v>4</v>
      </c>
      <c r="F5" t="s">
        <v>5</v>
      </c>
      <c r="G5" t="s">
        <v>6</v>
      </c>
      <c r="H5" t="s">
        <v>7</v>
      </c>
      <c r="I5" t="s">
        <v>8</v>
      </c>
      <c r="J5" t="s">
        <v>9</v>
      </c>
      <c r="K5" t="s">
        <v>15</v>
      </c>
      <c r="L5" t="s">
        <v>16</v>
      </c>
      <c r="M5" t="s">
        <v>21</v>
      </c>
    </row>
    <row r="6" spans="2:19" x14ac:dyDescent="0.2">
      <c r="B6">
        <v>100000</v>
      </c>
      <c r="C6">
        <v>1498.58</v>
      </c>
      <c r="D6">
        <v>-4063.87</v>
      </c>
      <c r="E6">
        <v>41328.199999999997</v>
      </c>
      <c r="F6">
        <v>15.065200000000001</v>
      </c>
      <c r="G6">
        <v>800</v>
      </c>
      <c r="H6">
        <v>0</v>
      </c>
      <c r="I6">
        <v>0</v>
      </c>
      <c r="J6">
        <v>800</v>
      </c>
      <c r="K6">
        <f>G6*G$2+H6*H$2+I6*I$2+J6*J$2</f>
        <v>33912</v>
      </c>
      <c r="L6">
        <f>K6*(1.66054E-24)/(E6)/(1E-24)</f>
        <v>1.362561942692883</v>
      </c>
      <c r="M6">
        <f>D6+SUM(G6:J6)*1.5*(0.000086173)*C6</f>
        <v>-3753.9408775839997</v>
      </c>
      <c r="O6">
        <v>1500</v>
      </c>
      <c r="P6" s="1">
        <v>1.2958796517248168</v>
      </c>
      <c r="Q6" s="1">
        <f>1.88-0.000433*O6</f>
        <v>1.2304999999999999</v>
      </c>
      <c r="R6">
        <f>ABS(P6-L6)/P6</f>
        <v>5.1457163386516673E-2</v>
      </c>
      <c r="S6">
        <f>ABS(Q6-L6)/Q6</f>
        <v>0.1073238055204251</v>
      </c>
    </row>
    <row r="7" spans="2:19" x14ac:dyDescent="0.2">
      <c r="B7">
        <v>100000</v>
      </c>
      <c r="C7">
        <v>1398.7</v>
      </c>
      <c r="D7">
        <v>-4089.5</v>
      </c>
      <c r="E7">
        <v>40588.1</v>
      </c>
      <c r="F7">
        <v>-6.9218299999999999</v>
      </c>
      <c r="G7">
        <v>800</v>
      </c>
      <c r="H7">
        <v>0</v>
      </c>
      <c r="I7">
        <v>0</v>
      </c>
      <c r="J7">
        <v>800</v>
      </c>
      <c r="K7">
        <f>G7*G$2+H7*H$2+I7*I$2+J7*J$2</f>
        <v>33912</v>
      </c>
      <c r="L7">
        <f>K7*(1.66054E-24)/(E7)/(1E-24)</f>
        <v>1.3874074539089045</v>
      </c>
      <c r="M7">
        <f t="shared" ref="M7:M9" si="0">D7+SUM(G7:J7)*1.5*(0.000086173)*C7</f>
        <v>-3800.22757976</v>
      </c>
      <c r="O7">
        <v>1400</v>
      </c>
      <c r="P7" s="1">
        <v>1.3370693256097848</v>
      </c>
      <c r="Q7" s="1">
        <f t="shared" ref="Q7:Q9" si="1">1.88-0.000433*O7</f>
        <v>1.2738</v>
      </c>
      <c r="R7">
        <f>ABS(P7-L7)/P7</f>
        <v>3.7648106448154826E-2</v>
      </c>
      <c r="S7">
        <f>ABS(Q7-L7)/Q7</f>
        <v>8.9187826902892509E-2</v>
      </c>
    </row>
    <row r="8" spans="2:19" x14ac:dyDescent="0.2">
      <c r="B8">
        <v>100000</v>
      </c>
      <c r="C8">
        <v>1301.18</v>
      </c>
      <c r="D8">
        <v>-4115.37</v>
      </c>
      <c r="E8">
        <v>39698.300000000003</v>
      </c>
      <c r="F8">
        <v>-3.24681</v>
      </c>
      <c r="G8">
        <v>800</v>
      </c>
      <c r="H8">
        <v>0</v>
      </c>
      <c r="I8">
        <v>0</v>
      </c>
      <c r="J8">
        <v>800</v>
      </c>
      <c r="K8">
        <f>G8*G$2+H8*H$2+I8*I$2+J8*J$2</f>
        <v>33912</v>
      </c>
      <c r="L8">
        <f>K8*(1.66054E-24)/(E8)/(1E-24)</f>
        <v>1.4185048850958353</v>
      </c>
      <c r="M8">
        <f t="shared" si="0"/>
        <v>-3846.266198064</v>
      </c>
      <c r="O8">
        <v>1300</v>
      </c>
      <c r="P8" s="1">
        <v>1.3854045245553943</v>
      </c>
      <c r="Q8" s="1">
        <f t="shared" si="1"/>
        <v>1.3170999999999999</v>
      </c>
      <c r="R8">
        <f>ABS(P8-L8)/P8</f>
        <v>2.3892198959768501E-2</v>
      </c>
      <c r="S8">
        <f>ABS(Q8-L8)/Q8</f>
        <v>7.699102960734594E-2</v>
      </c>
    </row>
    <row r="9" spans="2:19" x14ac:dyDescent="0.2">
      <c r="B9">
        <v>100000</v>
      </c>
      <c r="C9">
        <v>1199.46</v>
      </c>
      <c r="D9">
        <v>-4150.54</v>
      </c>
      <c r="E9">
        <v>38198.300000000003</v>
      </c>
      <c r="F9">
        <v>-1.99129</v>
      </c>
      <c r="G9">
        <v>800</v>
      </c>
      <c r="H9">
        <v>0</v>
      </c>
      <c r="I9">
        <v>0</v>
      </c>
      <c r="J9">
        <v>800</v>
      </c>
      <c r="K9">
        <f>G9*G$2+H9*H$2+I9*I$2+J9*J$2</f>
        <v>33912</v>
      </c>
      <c r="L9">
        <f>K9*(1.66054E-24)/(E9)/(1E-24)</f>
        <v>1.4742078176253917</v>
      </c>
      <c r="M9">
        <f t="shared" si="0"/>
        <v>-3902.4734402079998</v>
      </c>
      <c r="O9">
        <v>1200</v>
      </c>
      <c r="P9" s="1">
        <v>1.4003834985078594</v>
      </c>
      <c r="Q9" s="1">
        <f t="shared" si="1"/>
        <v>1.3603999999999998</v>
      </c>
      <c r="R9">
        <f>ABS(P9-L9)/P9</f>
        <v>5.2717215817091378E-2</v>
      </c>
      <c r="S9">
        <f>ABS(Q9-L9)/Q9</f>
        <v>8.365761366171115E-2</v>
      </c>
    </row>
    <row r="10" spans="2:19" x14ac:dyDescent="0.2">
      <c r="N10">
        <f>K9*(1.66054E-24)/(P9)/(1E-24)</f>
        <v>40212.008024946008</v>
      </c>
    </row>
    <row r="11" spans="2:19" x14ac:dyDescent="0.2">
      <c r="F11" t="s">
        <v>20</v>
      </c>
      <c r="G11" cm="1">
        <f t="array" ref="G11:H11">LINEST(E6:E9,C6:C9)</f>
        <v>10.341890657564134</v>
      </c>
      <c r="H11">
        <v>25997.050395430349</v>
      </c>
      <c r="K11" t="s">
        <v>22</v>
      </c>
      <c r="L11" cm="1">
        <f t="array" ref="L11:M11">LINEST(M6:M9,C6:C9)</f>
        <v>0.49429774314617919</v>
      </c>
      <c r="M11">
        <v>-4492.7719423249055</v>
      </c>
      <c r="O11" t="s">
        <v>42</v>
      </c>
      <c r="P11" t="s">
        <v>43</v>
      </c>
    </row>
    <row r="12" spans="2:19" x14ac:dyDescent="0.2">
      <c r="G12" s="2">
        <f>G11/E9</f>
        <v>2.7074217066110621E-4</v>
      </c>
      <c r="L12">
        <f>L11/SUM(G6:I6)*(1.602E-19)*(6.022E+23)</f>
        <v>59.607636709756477</v>
      </c>
      <c r="O12">
        <f>73.3832-0.0094726*1250</f>
        <v>61.542450000000002</v>
      </c>
      <c r="P12" s="1">
        <v>60.59140807</v>
      </c>
    </row>
    <row r="15" spans="2:19" x14ac:dyDescent="0.2">
      <c r="B15" t="s">
        <v>17</v>
      </c>
      <c r="P15" t="s">
        <v>18</v>
      </c>
      <c r="Q15" t="s">
        <v>19</v>
      </c>
      <c r="R15" t="s">
        <v>38</v>
      </c>
      <c r="S15" t="s">
        <v>39</v>
      </c>
    </row>
    <row r="16" spans="2:19" x14ac:dyDescent="0.2">
      <c r="K16" t="s">
        <v>15</v>
      </c>
      <c r="L16" t="s">
        <v>16</v>
      </c>
      <c r="M16" t="s">
        <v>21</v>
      </c>
    </row>
    <row r="17" spans="2:19" x14ac:dyDescent="0.2">
      <c r="B17">
        <v>100000</v>
      </c>
      <c r="C17">
        <v>1499.12</v>
      </c>
      <c r="D17">
        <v>-2280.77</v>
      </c>
      <c r="E17">
        <v>72354.399999999994</v>
      </c>
      <c r="F17">
        <v>-5.8073100000000002</v>
      </c>
      <c r="G17">
        <v>0</v>
      </c>
      <c r="H17">
        <v>800</v>
      </c>
      <c r="I17">
        <v>0</v>
      </c>
      <c r="J17">
        <v>800</v>
      </c>
      <c r="K17">
        <f>G17*G$2+H17*H$2+I17*I$2+J17*J$2</f>
        <v>59638.400000000001</v>
      </c>
      <c r="L17">
        <f>K17*(1.66054E-24)/(E17)/(1E-24)</f>
        <v>1.3687066541357542</v>
      </c>
      <c r="M17">
        <f>D17+SUM(G17:J17)*1.5*(0.000086173)*C17</f>
        <v>-1970.729197376</v>
      </c>
      <c r="O17">
        <v>1500</v>
      </c>
      <c r="P17" s="1">
        <v>1.2364900494846502</v>
      </c>
      <c r="Q17" s="1">
        <f>2.14-0.000583*O17</f>
        <v>1.2655000000000003</v>
      </c>
      <c r="R17">
        <f>ABS(P17-L17)/P17</f>
        <v>0.10692896777148331</v>
      </c>
      <c r="S17">
        <f>ABS(Q17-L17)/Q17</f>
        <v>8.1554053050773526E-2</v>
      </c>
    </row>
    <row r="18" spans="2:19" x14ac:dyDescent="0.2">
      <c r="B18">
        <v>100000</v>
      </c>
      <c r="C18">
        <v>1398.04</v>
      </c>
      <c r="D18">
        <v>-2312.9</v>
      </c>
      <c r="E18">
        <v>70363</v>
      </c>
      <c r="F18">
        <v>-3.83379</v>
      </c>
      <c r="G18">
        <v>0</v>
      </c>
      <c r="H18">
        <v>800</v>
      </c>
      <c r="I18">
        <v>0</v>
      </c>
      <c r="J18">
        <v>800</v>
      </c>
      <c r="K18">
        <f>G18*G$2+H18*H$2+I18*I$2+J18*J$2</f>
        <v>59638.400000000001</v>
      </c>
      <c r="L18">
        <f>K18*(1.66054E-24)/(E18)/(1E-24)</f>
        <v>1.407443524807072</v>
      </c>
      <c r="M18">
        <f t="shared" ref="M18:M20" si="2">D18+SUM(G18:J18)*1.5*(0.000086173)*C18</f>
        <v>-2023.7640777920001</v>
      </c>
      <c r="O18">
        <v>1400</v>
      </c>
      <c r="P18" s="1">
        <v>1.3211261595752612</v>
      </c>
      <c r="Q18" s="1">
        <f t="shared" ref="Q18:Q20" si="3">2.14-0.000583*O18</f>
        <v>1.3238000000000003</v>
      </c>
      <c r="R18">
        <f>ABS(P18-L18)/P18</f>
        <v>6.5336201698982022E-2</v>
      </c>
      <c r="S18">
        <f>ABS(Q18-L18)/Q18</f>
        <v>6.3184412152191935E-2</v>
      </c>
    </row>
    <row r="19" spans="2:19" x14ac:dyDescent="0.2">
      <c r="B19">
        <v>100000</v>
      </c>
      <c r="C19">
        <v>1301.72</v>
      </c>
      <c r="D19">
        <v>-2345.19</v>
      </c>
      <c r="E19">
        <v>68473.399999999994</v>
      </c>
      <c r="F19">
        <v>-3.0697199999999998</v>
      </c>
      <c r="G19">
        <v>0</v>
      </c>
      <c r="H19">
        <v>800</v>
      </c>
      <c r="I19">
        <v>0</v>
      </c>
      <c r="J19">
        <v>800</v>
      </c>
      <c r="K19">
        <f>G19*G$2+H19*H$2+I19*I$2+J19*J$2</f>
        <v>59638.400000000001</v>
      </c>
      <c r="L19">
        <f>K19*(1.66054E-24)/(E19)/(1E-24)</f>
        <v>1.4462835018561955</v>
      </c>
      <c r="M19">
        <f t="shared" si="2"/>
        <v>-2075.9745178560001</v>
      </c>
      <c r="O19">
        <v>1300</v>
      </c>
      <c r="P19" s="1">
        <v>1.3401986936666646</v>
      </c>
      <c r="Q19" s="1">
        <f t="shared" si="3"/>
        <v>1.3821000000000003</v>
      </c>
      <c r="R19">
        <f>ABS(P19-L19)/P19</f>
        <v>7.9156030140047601E-2</v>
      </c>
      <c r="S19">
        <f>ABS(Q19-L19)/Q19</f>
        <v>4.643911573416911E-2</v>
      </c>
    </row>
    <row r="20" spans="2:19" x14ac:dyDescent="0.2">
      <c r="B20">
        <v>100000</v>
      </c>
      <c r="C20">
        <v>1199.49</v>
      </c>
      <c r="D20">
        <v>-2381.5100000000002</v>
      </c>
      <c r="E20">
        <v>66235.100000000006</v>
      </c>
      <c r="F20">
        <v>2.1695799999999998</v>
      </c>
      <c r="G20">
        <v>0</v>
      </c>
      <c r="H20">
        <v>800</v>
      </c>
      <c r="I20">
        <v>0</v>
      </c>
      <c r="J20">
        <v>800</v>
      </c>
      <c r="K20">
        <f>G20*G$2+H20*H$2+I20*I$2+J20*J$2</f>
        <v>59638.400000000001</v>
      </c>
      <c r="L20">
        <f>K20*(1.66054E-24)/(E20)/(1E-24)</f>
        <v>1.4951581372414324</v>
      </c>
      <c r="M20">
        <f t="shared" si="2"/>
        <v>-2133.4372357520001</v>
      </c>
      <c r="O20">
        <v>1200</v>
      </c>
      <c r="P20" s="1">
        <v>1.4500536936330108</v>
      </c>
      <c r="Q20" s="1">
        <f t="shared" si="3"/>
        <v>1.4404000000000001</v>
      </c>
      <c r="R20">
        <f>ABS(P20-L20)/P20</f>
        <v>3.1105360999023057E-2</v>
      </c>
      <c r="S20">
        <f>ABS(Q20-L20)/Q20</f>
        <v>3.8015924216490068E-2</v>
      </c>
    </row>
    <row r="22" spans="2:19" x14ac:dyDescent="0.2">
      <c r="F22" t="s">
        <v>20</v>
      </c>
      <c r="G22" cm="1">
        <f t="array" ref="G22:H22">LINEST(E17:E20,C17:C20)</f>
        <v>20.34876401962941</v>
      </c>
      <c r="H22">
        <v>41893.935694838307</v>
      </c>
      <c r="K22" t="s">
        <v>22</v>
      </c>
      <c r="L22" cm="1">
        <f t="array" ref="L22:M22">LINEST(M17:M20,C17:C20)</f>
        <v>0.54296034795438874</v>
      </c>
      <c r="M22">
        <v>-2783.7514705906333</v>
      </c>
      <c r="O22" t="s">
        <v>42</v>
      </c>
      <c r="P22" t="s">
        <v>43</v>
      </c>
    </row>
    <row r="23" spans="2:19" x14ac:dyDescent="0.2">
      <c r="G23" s="2">
        <f>G22/E20</f>
        <v>3.0722025058661356E-4</v>
      </c>
      <c r="L23">
        <f>L22/SUM(G17:I17)*(1.602E-19)*(6.022E+23)</f>
        <v>65.475886988011112</v>
      </c>
      <c r="O23">
        <v>73.596559999999997</v>
      </c>
      <c r="P23" s="1">
        <v>73.050966509999995</v>
      </c>
    </row>
    <row r="26" spans="2:19" x14ac:dyDescent="0.2">
      <c r="B26" t="s">
        <v>37</v>
      </c>
      <c r="P26" t="s">
        <v>18</v>
      </c>
      <c r="Q26" t="s">
        <v>19</v>
      </c>
      <c r="R26" t="s">
        <v>38</v>
      </c>
      <c r="S26" t="s">
        <v>39</v>
      </c>
    </row>
    <row r="27" spans="2:19" x14ac:dyDescent="0.2">
      <c r="K27" t="s">
        <v>15</v>
      </c>
      <c r="L27" t="s">
        <v>16</v>
      </c>
      <c r="M27" t="s">
        <v>21</v>
      </c>
    </row>
    <row r="28" spans="2:19" x14ac:dyDescent="0.2">
      <c r="B28">
        <v>100000</v>
      </c>
      <c r="C28">
        <v>1500.99</v>
      </c>
      <c r="D28">
        <v>-2166.94</v>
      </c>
      <c r="E28">
        <v>53044.800000000003</v>
      </c>
      <c r="F28">
        <v>3.1406700000000001</v>
      </c>
      <c r="G28">
        <v>0</v>
      </c>
      <c r="H28">
        <v>0</v>
      </c>
      <c r="I28">
        <v>800</v>
      </c>
      <c r="J28">
        <v>800</v>
      </c>
      <c r="K28">
        <f>G28*G$2+H28*H$2+I28*I$2+J28*J$2</f>
        <v>46752</v>
      </c>
      <c r="L28">
        <f>K28*(1.66054E-24)/(E28)/(1E-24)</f>
        <v>1.4635471541037011</v>
      </c>
      <c r="M28">
        <f>D28+SUM(G28:J28)*1.5*(0.000086173)*C28</f>
        <v>-1856.5124529520001</v>
      </c>
      <c r="O28">
        <v>1500</v>
      </c>
      <c r="P28" s="1">
        <v>1.3428222322799708</v>
      </c>
      <c r="Q28" s="1">
        <f>2.14-0.000543*O28</f>
        <v>1.3255000000000001</v>
      </c>
      <c r="R28">
        <f>ABS(P28-L28)/P28</f>
        <v>8.990387478076832E-2</v>
      </c>
      <c r="S28">
        <f>ABS(Q28-L28)/Q28</f>
        <v>0.10414723055729984</v>
      </c>
    </row>
    <row r="29" spans="2:19" x14ac:dyDescent="0.2">
      <c r="B29">
        <v>100000</v>
      </c>
      <c r="C29">
        <v>1400.34</v>
      </c>
      <c r="D29">
        <v>-2196.52</v>
      </c>
      <c r="E29">
        <v>51670.400000000001</v>
      </c>
      <c r="F29">
        <v>6.8230300000000002</v>
      </c>
      <c r="G29">
        <v>0</v>
      </c>
      <c r="H29">
        <v>0</v>
      </c>
      <c r="I29">
        <v>800</v>
      </c>
      <c r="J29">
        <v>800</v>
      </c>
      <c r="K29">
        <f>G29*G$2+H29*H$2+I29*I$2+J29*J$2</f>
        <v>46752</v>
      </c>
      <c r="L29">
        <f>K29*(1.66054E-24)/(E29)/(1E-24)</f>
        <v>1.5024765838855516</v>
      </c>
      <c r="M29">
        <f t="shared" ref="M29:M31" si="4">D29+SUM(G29:J29)*1.5*(0.000086173)*C29</f>
        <v>-1906.9084028319999</v>
      </c>
      <c r="O29">
        <v>1400</v>
      </c>
      <c r="P29" s="1">
        <v>1.4065319716795661</v>
      </c>
      <c r="Q29" s="1">
        <f t="shared" ref="Q29:Q31" si="5">2.14-0.000543*O29</f>
        <v>1.3798000000000001</v>
      </c>
      <c r="R29">
        <f>ABS(P29-L29)/P29</f>
        <v>6.821360206367455E-2</v>
      </c>
      <c r="S29">
        <f>ABS(Q29-L29)/Q29</f>
        <v>8.8908960635999026E-2</v>
      </c>
    </row>
    <row r="30" spans="2:19" x14ac:dyDescent="0.2">
      <c r="B30">
        <v>100000</v>
      </c>
      <c r="C30">
        <v>1300.19</v>
      </c>
      <c r="D30">
        <v>-2226.69</v>
      </c>
      <c r="E30">
        <v>50569.1</v>
      </c>
      <c r="F30">
        <v>-8.6141799999999993</v>
      </c>
      <c r="G30">
        <v>0</v>
      </c>
      <c r="H30">
        <v>0</v>
      </c>
      <c r="I30">
        <v>800</v>
      </c>
      <c r="J30">
        <v>800</v>
      </c>
      <c r="K30">
        <f>G30*G$2+H30*H$2+I30*I$2+J30*J$2</f>
        <v>46752</v>
      </c>
      <c r="L30">
        <f>K30*(1.66054E-24)/(E30)/(1E-24)</f>
        <v>1.5351977013630855</v>
      </c>
      <c r="M30">
        <f t="shared" si="4"/>
        <v>-1957.7909451119999</v>
      </c>
      <c r="O30">
        <v>1300</v>
      </c>
      <c r="P30" s="1">
        <v>1.4522421926736833</v>
      </c>
      <c r="Q30" s="1">
        <f t="shared" si="5"/>
        <v>1.4341000000000002</v>
      </c>
      <c r="R30">
        <f>ABS(P30-L30)/P30</f>
        <v>5.7122365062727699E-2</v>
      </c>
      <c r="S30">
        <f>ABS(Q30-L30)/Q30</f>
        <v>7.049557308631571E-2</v>
      </c>
    </row>
    <row r="31" spans="2:19" x14ac:dyDescent="0.2">
      <c r="B31">
        <v>100000</v>
      </c>
      <c r="C31">
        <v>1199.32</v>
      </c>
      <c r="D31">
        <v>-2258.0500000000002</v>
      </c>
      <c r="E31">
        <v>49312.6</v>
      </c>
      <c r="F31">
        <v>-0.42398000000000002</v>
      </c>
      <c r="G31">
        <v>0</v>
      </c>
      <c r="H31">
        <v>0</v>
      </c>
      <c r="I31">
        <v>800</v>
      </c>
      <c r="J31">
        <v>800</v>
      </c>
      <c r="K31">
        <f>G31*G$2+H31*H$2+I31*I$2+J31*J$2</f>
        <v>46752</v>
      </c>
      <c r="L31">
        <f>K31*(1.66054E-24)/(E31)/(1E-24)</f>
        <v>1.5743150042788252</v>
      </c>
      <c r="M31">
        <f t="shared" si="4"/>
        <v>-2010.0123943360002</v>
      </c>
      <c r="O31">
        <v>1200</v>
      </c>
      <c r="P31" s="1">
        <v>1.4776892983616661</v>
      </c>
      <c r="Q31" s="1">
        <f t="shared" si="5"/>
        <v>1.4884000000000002</v>
      </c>
      <c r="R31">
        <f>ABS(P31-L31)/P31</f>
        <v>6.5389731132443979E-2</v>
      </c>
      <c r="S31">
        <f>ABS(Q31-L31)/Q31</f>
        <v>5.7723061192438203E-2</v>
      </c>
    </row>
    <row r="33" spans="2:16" x14ac:dyDescent="0.2">
      <c r="F33" t="s">
        <v>20</v>
      </c>
      <c r="G33" cm="1">
        <f t="array" ref="G33:H33">LINEST(E28:E31,C28:C31)</f>
        <v>12.235136452283211</v>
      </c>
      <c r="H33">
        <v>34629.221410762693</v>
      </c>
      <c r="K33" t="s">
        <v>22</v>
      </c>
      <c r="L33" cm="1">
        <f t="array" ref="L33:M33">LINEST(M28:M31,C28:C31)</f>
        <v>0.50875932470544005</v>
      </c>
      <c r="M33">
        <v>-2619.7379766185322</v>
      </c>
      <c r="O33" t="s">
        <v>42</v>
      </c>
      <c r="P33" t="s">
        <v>43</v>
      </c>
    </row>
    <row r="34" spans="2:16" x14ac:dyDescent="0.2">
      <c r="G34" s="2">
        <f>G33/E31</f>
        <v>2.4811379753416393E-4</v>
      </c>
      <c r="L34">
        <f>L33/SUM(G28:I28)*(1.602E-19)*(6.022E+23)</f>
        <v>61.351566783857606</v>
      </c>
      <c r="O34">
        <f>77.7638-0.0075312*1250</f>
        <v>68.349800000000002</v>
      </c>
      <c r="P34" s="1">
        <v>63.718300079999999</v>
      </c>
    </row>
    <row r="35" spans="2:16" x14ac:dyDescent="0.2">
      <c r="G35" s="2"/>
    </row>
    <row r="36" spans="2:16" x14ac:dyDescent="0.2">
      <c r="G36" s="2"/>
    </row>
    <row r="38" spans="2:16" x14ac:dyDescent="0.2">
      <c r="B38" t="s">
        <v>24</v>
      </c>
      <c r="C38" t="s">
        <v>25</v>
      </c>
      <c r="D38" t="s">
        <v>26</v>
      </c>
      <c r="E38" t="s">
        <v>27</v>
      </c>
      <c r="F38" t="s">
        <v>28</v>
      </c>
      <c r="G38">
        <v>3</v>
      </c>
    </row>
    <row r="39" spans="2:16" x14ac:dyDescent="0.2">
      <c r="B39" t="s">
        <v>24</v>
      </c>
      <c r="C39" t="s">
        <v>1</v>
      </c>
      <c r="D39" t="s">
        <v>2</v>
      </c>
      <c r="E39" t="s">
        <v>3</v>
      </c>
      <c r="F39" t="s">
        <v>4</v>
      </c>
      <c r="G39" t="s">
        <v>5</v>
      </c>
      <c r="H39" t="s">
        <v>6</v>
      </c>
      <c r="I39" t="s">
        <v>7</v>
      </c>
      <c r="J39" t="s">
        <v>8</v>
      </c>
      <c r="K39" t="s">
        <v>9</v>
      </c>
    </row>
    <row r="40" spans="2:16" x14ac:dyDescent="0.2">
      <c r="B40">
        <v>1000</v>
      </c>
      <c r="C40">
        <v>1216.8699999999999</v>
      </c>
      <c r="D40">
        <v>-4133.18</v>
      </c>
      <c r="E40">
        <v>39452.9</v>
      </c>
      <c r="F40">
        <v>13.342700000000001</v>
      </c>
      <c r="G40">
        <v>800</v>
      </c>
      <c r="H40">
        <v>0</v>
      </c>
      <c r="I40">
        <v>0</v>
      </c>
      <c r="J40">
        <v>800</v>
      </c>
    </row>
    <row r="41" spans="2:16" x14ac:dyDescent="0.2">
      <c r="B41">
        <v>2000</v>
      </c>
      <c r="C41">
        <v>1178.1500000000001</v>
      </c>
      <c r="D41">
        <v>-4144.75</v>
      </c>
      <c r="E41">
        <v>38862.800000000003</v>
      </c>
      <c r="F41">
        <v>-279.649</v>
      </c>
      <c r="G41">
        <v>800</v>
      </c>
      <c r="H41">
        <v>0</v>
      </c>
      <c r="I41">
        <v>0</v>
      </c>
      <c r="J41">
        <v>800</v>
      </c>
    </row>
    <row r="42" spans="2:16" x14ac:dyDescent="0.2">
      <c r="B42">
        <v>3000</v>
      </c>
      <c r="C42">
        <v>1201.51</v>
      </c>
      <c r="D42">
        <v>-4140.93</v>
      </c>
      <c r="E42">
        <v>38424.800000000003</v>
      </c>
      <c r="F42">
        <v>621.61</v>
      </c>
      <c r="G42">
        <v>800</v>
      </c>
      <c r="H42">
        <v>0</v>
      </c>
      <c r="I42">
        <v>0</v>
      </c>
      <c r="J42">
        <v>800</v>
      </c>
    </row>
    <row r="43" spans="2:16" x14ac:dyDescent="0.2">
      <c r="B43">
        <v>4000</v>
      </c>
      <c r="C43">
        <v>1192.08</v>
      </c>
      <c r="D43">
        <v>-4154.13</v>
      </c>
      <c r="E43">
        <v>38637.599999999999</v>
      </c>
      <c r="F43">
        <v>146.214</v>
      </c>
      <c r="G43">
        <v>800</v>
      </c>
      <c r="H43">
        <v>0</v>
      </c>
      <c r="I43">
        <v>0</v>
      </c>
      <c r="J43">
        <v>800</v>
      </c>
    </row>
    <row r="44" spans="2:16" x14ac:dyDescent="0.2">
      <c r="B44">
        <v>5000</v>
      </c>
      <c r="C44">
        <v>1186.55</v>
      </c>
      <c r="D44">
        <v>-4145.66</v>
      </c>
      <c r="E44">
        <v>38749.699999999997</v>
      </c>
      <c r="F44">
        <v>3463.18</v>
      </c>
      <c r="G44">
        <v>800</v>
      </c>
      <c r="H44">
        <v>0</v>
      </c>
      <c r="I44">
        <v>0</v>
      </c>
      <c r="J44">
        <v>800</v>
      </c>
    </row>
    <row r="45" spans="2:16" x14ac:dyDescent="0.2">
      <c r="B45">
        <v>6000</v>
      </c>
      <c r="C45">
        <v>1177.9100000000001</v>
      </c>
      <c r="D45">
        <v>-4140.12</v>
      </c>
      <c r="E45">
        <v>39130.699999999997</v>
      </c>
      <c r="F45">
        <v>-606.91800000000001</v>
      </c>
      <c r="G45">
        <v>800</v>
      </c>
      <c r="H45">
        <v>0</v>
      </c>
      <c r="I45">
        <v>0</v>
      </c>
      <c r="J45">
        <v>800</v>
      </c>
    </row>
    <row r="46" spans="2:16" x14ac:dyDescent="0.2">
      <c r="B46">
        <v>7000</v>
      </c>
      <c r="C46">
        <v>1211.67</v>
      </c>
      <c r="D46">
        <v>-4138.3999999999996</v>
      </c>
      <c r="E46">
        <v>39018.6</v>
      </c>
      <c r="F46">
        <v>278.86900000000003</v>
      </c>
      <c r="G46">
        <v>800</v>
      </c>
      <c r="H46">
        <v>0</v>
      </c>
      <c r="I46">
        <v>0</v>
      </c>
      <c r="J46">
        <v>800</v>
      </c>
    </row>
    <row r="47" spans="2:16" x14ac:dyDescent="0.2">
      <c r="B47">
        <v>8000</v>
      </c>
      <c r="C47">
        <v>1221.8</v>
      </c>
      <c r="D47">
        <v>-4135.2700000000004</v>
      </c>
      <c r="E47">
        <v>38783.1</v>
      </c>
      <c r="F47">
        <v>2304</v>
      </c>
      <c r="G47">
        <v>800</v>
      </c>
      <c r="H47">
        <v>0</v>
      </c>
      <c r="I47">
        <v>0</v>
      </c>
      <c r="J47">
        <v>800</v>
      </c>
    </row>
    <row r="48" spans="2:16" x14ac:dyDescent="0.2">
      <c r="B48">
        <v>9000</v>
      </c>
      <c r="C48">
        <v>1155.96</v>
      </c>
      <c r="D48">
        <v>-4149.5</v>
      </c>
      <c r="E48">
        <v>39284.9</v>
      </c>
      <c r="F48">
        <v>-1171.6099999999999</v>
      </c>
      <c r="G48">
        <v>800</v>
      </c>
      <c r="H48">
        <v>0</v>
      </c>
      <c r="I48">
        <v>0</v>
      </c>
      <c r="J48">
        <v>800</v>
      </c>
    </row>
    <row r="49" spans="2:10" x14ac:dyDescent="0.2">
      <c r="B49">
        <v>10000</v>
      </c>
      <c r="C49">
        <v>1196.46</v>
      </c>
      <c r="D49">
        <v>-4143.37</v>
      </c>
      <c r="E49">
        <v>38713</v>
      </c>
      <c r="F49">
        <v>192.809</v>
      </c>
      <c r="G49">
        <v>800</v>
      </c>
      <c r="H49">
        <v>0</v>
      </c>
      <c r="I49">
        <v>0</v>
      </c>
      <c r="J49">
        <v>800</v>
      </c>
    </row>
    <row r="50" spans="2:10" x14ac:dyDescent="0.2">
      <c r="B50">
        <v>11000</v>
      </c>
      <c r="C50">
        <v>1158.8900000000001</v>
      </c>
      <c r="D50">
        <v>-4149.6899999999996</v>
      </c>
      <c r="E50">
        <v>38520.300000000003</v>
      </c>
      <c r="F50">
        <v>-886.423</v>
      </c>
      <c r="G50">
        <v>800</v>
      </c>
      <c r="H50">
        <v>0</v>
      </c>
      <c r="I50">
        <v>0</v>
      </c>
      <c r="J50">
        <v>800</v>
      </c>
    </row>
    <row r="51" spans="2:10" x14ac:dyDescent="0.2">
      <c r="B51">
        <v>12000</v>
      </c>
      <c r="C51">
        <v>1179.8499999999999</v>
      </c>
      <c r="D51">
        <v>-4139.59</v>
      </c>
      <c r="E51">
        <v>39369.199999999997</v>
      </c>
      <c r="F51">
        <v>-1524.51</v>
      </c>
      <c r="G51">
        <v>800</v>
      </c>
      <c r="H51">
        <v>0</v>
      </c>
      <c r="I51">
        <v>0</v>
      </c>
      <c r="J51">
        <v>800</v>
      </c>
    </row>
    <row r="52" spans="2:10" x14ac:dyDescent="0.2">
      <c r="B52">
        <v>13000</v>
      </c>
      <c r="C52">
        <v>1195.31</v>
      </c>
      <c r="D52">
        <v>-4143.34</v>
      </c>
      <c r="E52">
        <v>39076.800000000003</v>
      </c>
      <c r="F52">
        <v>-124.95699999999999</v>
      </c>
      <c r="G52">
        <v>800</v>
      </c>
      <c r="H52">
        <v>0</v>
      </c>
      <c r="I52">
        <v>0</v>
      </c>
      <c r="J52">
        <v>800</v>
      </c>
    </row>
    <row r="53" spans="2:10" x14ac:dyDescent="0.2">
      <c r="B53">
        <v>14000</v>
      </c>
      <c r="C53">
        <v>1215.0899999999999</v>
      </c>
      <c r="D53">
        <v>-4143.1099999999997</v>
      </c>
      <c r="E53">
        <v>39256.199999999997</v>
      </c>
      <c r="F53">
        <v>-309.69499999999999</v>
      </c>
      <c r="G53">
        <v>800</v>
      </c>
      <c r="H53">
        <v>0</v>
      </c>
      <c r="I53">
        <v>0</v>
      </c>
      <c r="J53">
        <v>800</v>
      </c>
    </row>
    <row r="54" spans="2:10" x14ac:dyDescent="0.2">
      <c r="B54">
        <v>15000</v>
      </c>
      <c r="C54">
        <v>1200.75</v>
      </c>
      <c r="D54">
        <v>-4141.08</v>
      </c>
      <c r="E54">
        <v>38873.800000000003</v>
      </c>
      <c r="F54">
        <v>-523.85400000000004</v>
      </c>
      <c r="G54">
        <v>800</v>
      </c>
      <c r="H54">
        <v>0</v>
      </c>
      <c r="I54">
        <v>0</v>
      </c>
      <c r="J54">
        <v>800</v>
      </c>
    </row>
    <row r="55" spans="2:10" x14ac:dyDescent="0.2">
      <c r="B55">
        <v>16000</v>
      </c>
      <c r="C55">
        <v>1181.9100000000001</v>
      </c>
      <c r="D55">
        <v>-4145.76</v>
      </c>
      <c r="E55">
        <v>38828.800000000003</v>
      </c>
      <c r="F55">
        <v>-1933.12</v>
      </c>
      <c r="G55">
        <v>800</v>
      </c>
      <c r="H55">
        <v>0</v>
      </c>
      <c r="I55">
        <v>0</v>
      </c>
      <c r="J55">
        <v>800</v>
      </c>
    </row>
    <row r="56" spans="2:10" x14ac:dyDescent="0.2">
      <c r="B56">
        <v>17000</v>
      </c>
      <c r="C56">
        <v>1213.78</v>
      </c>
      <c r="D56">
        <v>-4138.4399999999996</v>
      </c>
      <c r="E56">
        <v>38904.400000000001</v>
      </c>
      <c r="F56">
        <v>-247.04499999999999</v>
      </c>
      <c r="G56">
        <v>800</v>
      </c>
      <c r="H56">
        <v>0</v>
      </c>
      <c r="I56">
        <v>0</v>
      </c>
      <c r="J56">
        <v>800</v>
      </c>
    </row>
    <row r="57" spans="2:10" x14ac:dyDescent="0.2">
      <c r="B57">
        <v>18000</v>
      </c>
      <c r="C57">
        <v>1213.6199999999999</v>
      </c>
      <c r="D57">
        <v>-4142.2299999999996</v>
      </c>
      <c r="E57">
        <v>39098.6</v>
      </c>
      <c r="F57">
        <v>-1499.42</v>
      </c>
      <c r="G57">
        <v>800</v>
      </c>
      <c r="H57">
        <v>0</v>
      </c>
      <c r="I57">
        <v>0</v>
      </c>
      <c r="J57">
        <v>800</v>
      </c>
    </row>
    <row r="58" spans="2:10" x14ac:dyDescent="0.2">
      <c r="B58">
        <v>19000</v>
      </c>
      <c r="C58">
        <v>1164.31</v>
      </c>
      <c r="D58">
        <v>-4147.3</v>
      </c>
      <c r="E58">
        <v>38307.699999999997</v>
      </c>
      <c r="F58">
        <v>3094.57</v>
      </c>
      <c r="G58">
        <v>800</v>
      </c>
      <c r="H58">
        <v>0</v>
      </c>
      <c r="I58">
        <v>0</v>
      </c>
      <c r="J58">
        <v>800</v>
      </c>
    </row>
    <row r="59" spans="2:10" x14ac:dyDescent="0.2">
      <c r="B59">
        <v>20000</v>
      </c>
      <c r="C59">
        <v>1206.6500000000001</v>
      </c>
      <c r="D59">
        <v>-4147.66</v>
      </c>
      <c r="E59">
        <v>38812.6</v>
      </c>
      <c r="F59">
        <v>-1136.47</v>
      </c>
      <c r="G59">
        <v>800</v>
      </c>
      <c r="H59">
        <v>0</v>
      </c>
      <c r="I59">
        <v>0</v>
      </c>
      <c r="J59">
        <v>800</v>
      </c>
    </row>
    <row r="60" spans="2:10" x14ac:dyDescent="0.2">
      <c r="B60">
        <v>21000</v>
      </c>
      <c r="C60">
        <v>1180.08</v>
      </c>
      <c r="D60">
        <v>-4146.62</v>
      </c>
      <c r="E60">
        <v>38656.1</v>
      </c>
      <c r="F60">
        <v>-445.27800000000002</v>
      </c>
      <c r="G60">
        <v>800</v>
      </c>
      <c r="H60">
        <v>0</v>
      </c>
      <c r="I60">
        <v>0</v>
      </c>
      <c r="J60">
        <v>800</v>
      </c>
    </row>
    <row r="61" spans="2:10" x14ac:dyDescent="0.2">
      <c r="B61">
        <v>22000</v>
      </c>
      <c r="C61">
        <v>1192.81</v>
      </c>
      <c r="D61">
        <v>-4139.58</v>
      </c>
      <c r="E61">
        <v>39286.699999999997</v>
      </c>
      <c r="F61">
        <v>-1229.1099999999999</v>
      </c>
      <c r="G61">
        <v>800</v>
      </c>
      <c r="H61">
        <v>0</v>
      </c>
      <c r="I61">
        <v>0</v>
      </c>
      <c r="J61">
        <v>800</v>
      </c>
    </row>
    <row r="62" spans="2:10" x14ac:dyDescent="0.2">
      <c r="B62">
        <v>23000</v>
      </c>
      <c r="C62">
        <v>1220.9000000000001</v>
      </c>
      <c r="D62">
        <v>-4136.3100000000004</v>
      </c>
      <c r="E62">
        <v>39714.300000000003</v>
      </c>
      <c r="F62">
        <v>-1976.66</v>
      </c>
      <c r="G62">
        <v>800</v>
      </c>
      <c r="H62">
        <v>0</v>
      </c>
      <c r="I62">
        <v>0</v>
      </c>
      <c r="J62">
        <v>800</v>
      </c>
    </row>
    <row r="63" spans="2:10" x14ac:dyDescent="0.2">
      <c r="B63">
        <v>24000</v>
      </c>
      <c r="C63">
        <v>1212.82</v>
      </c>
      <c r="D63">
        <v>-4140.04</v>
      </c>
      <c r="E63">
        <v>38722.400000000001</v>
      </c>
      <c r="F63">
        <v>-337.01299999999998</v>
      </c>
      <c r="G63">
        <v>800</v>
      </c>
      <c r="H63">
        <v>0</v>
      </c>
      <c r="I63">
        <v>0</v>
      </c>
      <c r="J63">
        <v>800</v>
      </c>
    </row>
    <row r="64" spans="2:10" x14ac:dyDescent="0.2">
      <c r="B64">
        <v>25000</v>
      </c>
      <c r="C64">
        <v>1199.3599999999999</v>
      </c>
      <c r="D64">
        <v>-4147.25</v>
      </c>
      <c r="E64">
        <v>38495.1</v>
      </c>
      <c r="F64">
        <v>-759.37400000000002</v>
      </c>
      <c r="G64">
        <v>800</v>
      </c>
      <c r="H64">
        <v>0</v>
      </c>
      <c r="I64">
        <v>0</v>
      </c>
      <c r="J64">
        <v>800</v>
      </c>
    </row>
    <row r="65" spans="2:10" x14ac:dyDescent="0.2">
      <c r="B65">
        <v>26000</v>
      </c>
      <c r="C65">
        <v>1191.56</v>
      </c>
      <c r="D65">
        <v>-4140.5200000000004</v>
      </c>
      <c r="E65">
        <v>38802.699999999997</v>
      </c>
      <c r="F65">
        <v>-505.51799999999997</v>
      </c>
      <c r="G65">
        <v>800</v>
      </c>
      <c r="H65">
        <v>0</v>
      </c>
      <c r="I65">
        <v>0</v>
      </c>
      <c r="J65">
        <v>800</v>
      </c>
    </row>
    <row r="66" spans="2:10" x14ac:dyDescent="0.2">
      <c r="B66">
        <v>27000</v>
      </c>
      <c r="C66">
        <v>1203.0899999999999</v>
      </c>
      <c r="D66">
        <v>-4147.04</v>
      </c>
      <c r="E66">
        <v>38444.5</v>
      </c>
      <c r="F66">
        <v>-970.55100000000004</v>
      </c>
      <c r="G66">
        <v>800</v>
      </c>
      <c r="H66">
        <v>0</v>
      </c>
      <c r="I66">
        <v>0</v>
      </c>
      <c r="J66">
        <v>800</v>
      </c>
    </row>
    <row r="67" spans="2:10" x14ac:dyDescent="0.2">
      <c r="B67">
        <v>28000</v>
      </c>
      <c r="C67">
        <v>1176.07</v>
      </c>
      <c r="D67">
        <v>-4147.46</v>
      </c>
      <c r="E67">
        <v>38396.199999999997</v>
      </c>
      <c r="F67">
        <v>2239.5500000000002</v>
      </c>
      <c r="G67">
        <v>800</v>
      </c>
      <c r="H67">
        <v>0</v>
      </c>
      <c r="I67">
        <v>0</v>
      </c>
      <c r="J67">
        <v>800</v>
      </c>
    </row>
    <row r="68" spans="2:10" x14ac:dyDescent="0.2">
      <c r="B68">
        <v>29000</v>
      </c>
      <c r="C68">
        <v>1179.3900000000001</v>
      </c>
      <c r="D68">
        <v>-4148.99</v>
      </c>
      <c r="E68">
        <v>38635.300000000003</v>
      </c>
      <c r="F68">
        <v>309.07100000000003</v>
      </c>
      <c r="G68">
        <v>800</v>
      </c>
      <c r="H68">
        <v>0</v>
      </c>
      <c r="I68">
        <v>0</v>
      </c>
      <c r="J68">
        <v>800</v>
      </c>
    </row>
    <row r="69" spans="2:10" x14ac:dyDescent="0.2">
      <c r="B69">
        <v>30000</v>
      </c>
      <c r="C69">
        <v>1209.29</v>
      </c>
      <c r="D69">
        <v>-4146.47</v>
      </c>
      <c r="E69">
        <v>38745.1</v>
      </c>
      <c r="F69">
        <v>62.260100000000001</v>
      </c>
      <c r="G69">
        <v>800</v>
      </c>
      <c r="H69">
        <v>0</v>
      </c>
      <c r="I69">
        <v>0</v>
      </c>
      <c r="J69">
        <v>800</v>
      </c>
    </row>
    <row r="70" spans="2:10" x14ac:dyDescent="0.2">
      <c r="B70">
        <v>31000</v>
      </c>
      <c r="C70">
        <v>1215.8499999999999</v>
      </c>
      <c r="D70">
        <v>-4136.47</v>
      </c>
      <c r="E70">
        <v>39130.1</v>
      </c>
      <c r="F70">
        <v>1153.28</v>
      </c>
      <c r="G70">
        <v>800</v>
      </c>
      <c r="H70">
        <v>0</v>
      </c>
      <c r="I70">
        <v>0</v>
      </c>
      <c r="J70">
        <v>800</v>
      </c>
    </row>
    <row r="71" spans="2:10" x14ac:dyDescent="0.2">
      <c r="B71">
        <v>32000</v>
      </c>
      <c r="C71">
        <v>1233.22</v>
      </c>
      <c r="D71">
        <v>-4132.16</v>
      </c>
      <c r="E71">
        <v>39522.1</v>
      </c>
      <c r="F71">
        <v>-2498.98</v>
      </c>
      <c r="G71">
        <v>800</v>
      </c>
      <c r="H71">
        <v>0</v>
      </c>
      <c r="I71">
        <v>0</v>
      </c>
      <c r="J71">
        <v>800</v>
      </c>
    </row>
    <row r="72" spans="2:10" x14ac:dyDescent="0.2">
      <c r="B72">
        <v>33000</v>
      </c>
      <c r="C72">
        <v>1204.8599999999999</v>
      </c>
      <c r="D72">
        <v>-4143.08</v>
      </c>
      <c r="E72">
        <v>39131.300000000003</v>
      </c>
      <c r="F72">
        <v>1387.9</v>
      </c>
      <c r="G72">
        <v>800</v>
      </c>
      <c r="H72">
        <v>0</v>
      </c>
      <c r="I72">
        <v>0</v>
      </c>
      <c r="J72">
        <v>800</v>
      </c>
    </row>
    <row r="73" spans="2:10" x14ac:dyDescent="0.2">
      <c r="B73">
        <v>34000</v>
      </c>
      <c r="C73">
        <v>1190.6400000000001</v>
      </c>
      <c r="D73">
        <v>-4143.8100000000004</v>
      </c>
      <c r="E73">
        <v>39018</v>
      </c>
      <c r="F73">
        <v>-399.22800000000001</v>
      </c>
      <c r="G73">
        <v>800</v>
      </c>
      <c r="H73">
        <v>0</v>
      </c>
      <c r="I73">
        <v>0</v>
      </c>
      <c r="J73">
        <v>800</v>
      </c>
    </row>
    <row r="74" spans="2:10" x14ac:dyDescent="0.2">
      <c r="B74">
        <v>35000</v>
      </c>
      <c r="C74">
        <v>1195.1199999999999</v>
      </c>
      <c r="D74">
        <v>-4145.16</v>
      </c>
      <c r="E74">
        <v>38801.199999999997</v>
      </c>
      <c r="F74">
        <v>162.71700000000001</v>
      </c>
      <c r="G74">
        <v>800</v>
      </c>
      <c r="H74">
        <v>0</v>
      </c>
      <c r="I74">
        <v>0</v>
      </c>
      <c r="J74">
        <v>800</v>
      </c>
    </row>
    <row r="75" spans="2:10" x14ac:dyDescent="0.2">
      <c r="B75">
        <v>36000</v>
      </c>
      <c r="C75">
        <v>1204.81</v>
      </c>
      <c r="D75">
        <v>-4139.57</v>
      </c>
      <c r="E75">
        <v>38672.6</v>
      </c>
      <c r="F75">
        <v>119.59</v>
      </c>
      <c r="G75">
        <v>800</v>
      </c>
      <c r="H75">
        <v>0</v>
      </c>
      <c r="I75">
        <v>0</v>
      </c>
      <c r="J75">
        <v>800</v>
      </c>
    </row>
    <row r="76" spans="2:10" x14ac:dyDescent="0.2">
      <c r="B76">
        <v>37000</v>
      </c>
      <c r="C76">
        <v>1179.93</v>
      </c>
      <c r="D76">
        <v>-4146.66</v>
      </c>
      <c r="E76">
        <v>38859</v>
      </c>
      <c r="F76">
        <v>865.43100000000004</v>
      </c>
      <c r="G76">
        <v>800</v>
      </c>
      <c r="H76">
        <v>0</v>
      </c>
      <c r="I76">
        <v>0</v>
      </c>
      <c r="J76">
        <v>800</v>
      </c>
    </row>
    <row r="77" spans="2:10" x14ac:dyDescent="0.2">
      <c r="B77">
        <v>38000</v>
      </c>
      <c r="C77">
        <v>1207.02</v>
      </c>
      <c r="D77">
        <v>-4136.8999999999996</v>
      </c>
      <c r="E77">
        <v>39101.4</v>
      </c>
      <c r="F77">
        <v>-40.06</v>
      </c>
      <c r="G77">
        <v>800</v>
      </c>
      <c r="H77">
        <v>0</v>
      </c>
      <c r="I77">
        <v>0</v>
      </c>
      <c r="J77">
        <v>800</v>
      </c>
    </row>
    <row r="78" spans="2:10" x14ac:dyDescent="0.2">
      <c r="B78">
        <v>39000</v>
      </c>
      <c r="C78">
        <v>1194.46</v>
      </c>
      <c r="D78">
        <v>-4142.78</v>
      </c>
      <c r="E78">
        <v>38784.800000000003</v>
      </c>
      <c r="F78">
        <v>-423.56400000000002</v>
      </c>
      <c r="G78">
        <v>800</v>
      </c>
      <c r="H78">
        <v>0</v>
      </c>
      <c r="I78">
        <v>0</v>
      </c>
      <c r="J78">
        <v>800</v>
      </c>
    </row>
    <row r="79" spans="2:10" x14ac:dyDescent="0.2">
      <c r="B79">
        <v>40000</v>
      </c>
      <c r="C79">
        <v>1205.71</v>
      </c>
      <c r="D79">
        <v>-4155.8999999999996</v>
      </c>
      <c r="E79">
        <v>38779.699999999997</v>
      </c>
      <c r="F79">
        <v>-736.71100000000001</v>
      </c>
      <c r="G79">
        <v>800</v>
      </c>
      <c r="H79">
        <v>0</v>
      </c>
      <c r="I79">
        <v>0</v>
      </c>
      <c r="J79">
        <v>800</v>
      </c>
    </row>
    <row r="80" spans="2:10" x14ac:dyDescent="0.2">
      <c r="B80">
        <v>41000</v>
      </c>
      <c r="C80">
        <v>1190.7</v>
      </c>
      <c r="D80">
        <v>-4152.7299999999996</v>
      </c>
      <c r="E80">
        <v>38954.800000000003</v>
      </c>
      <c r="F80">
        <v>-293.49</v>
      </c>
      <c r="G80">
        <v>800</v>
      </c>
      <c r="H80">
        <v>0</v>
      </c>
      <c r="I80">
        <v>0</v>
      </c>
      <c r="J80">
        <v>800</v>
      </c>
    </row>
    <row r="81" spans="2:10" x14ac:dyDescent="0.2">
      <c r="B81">
        <v>42000</v>
      </c>
      <c r="C81">
        <v>1205.4100000000001</v>
      </c>
      <c r="D81">
        <v>-4144.92</v>
      </c>
      <c r="E81">
        <v>39013.199999999997</v>
      </c>
      <c r="F81">
        <v>-250.32400000000001</v>
      </c>
      <c r="G81">
        <v>800</v>
      </c>
      <c r="H81">
        <v>0</v>
      </c>
      <c r="I81">
        <v>0</v>
      </c>
      <c r="J81">
        <v>800</v>
      </c>
    </row>
    <row r="82" spans="2:10" x14ac:dyDescent="0.2">
      <c r="B82">
        <v>43000</v>
      </c>
      <c r="C82">
        <v>1212.3900000000001</v>
      </c>
      <c r="D82">
        <v>-4144.99</v>
      </c>
      <c r="E82">
        <v>38826.199999999997</v>
      </c>
      <c r="F82">
        <v>1301.3499999999999</v>
      </c>
      <c r="G82">
        <v>800</v>
      </c>
      <c r="H82">
        <v>0</v>
      </c>
      <c r="I82">
        <v>0</v>
      </c>
      <c r="J82">
        <v>800</v>
      </c>
    </row>
    <row r="83" spans="2:10" x14ac:dyDescent="0.2">
      <c r="B83">
        <v>44000</v>
      </c>
      <c r="C83">
        <v>1175.03</v>
      </c>
      <c r="D83">
        <v>-4145.57</v>
      </c>
      <c r="E83">
        <v>38911.1</v>
      </c>
      <c r="F83">
        <v>759.60299999999995</v>
      </c>
      <c r="G83">
        <v>800</v>
      </c>
      <c r="H83">
        <v>0</v>
      </c>
      <c r="I83">
        <v>0</v>
      </c>
      <c r="J83">
        <v>800</v>
      </c>
    </row>
    <row r="84" spans="2:10" x14ac:dyDescent="0.2">
      <c r="B84">
        <v>45000</v>
      </c>
      <c r="C84">
        <v>1201.95</v>
      </c>
      <c r="D84">
        <v>-4142.24</v>
      </c>
      <c r="E84">
        <v>38712.800000000003</v>
      </c>
      <c r="F84">
        <v>252.81299999999999</v>
      </c>
      <c r="G84">
        <v>800</v>
      </c>
      <c r="H84">
        <v>0</v>
      </c>
      <c r="I84">
        <v>0</v>
      </c>
      <c r="J84">
        <v>800</v>
      </c>
    </row>
    <row r="85" spans="2:10" x14ac:dyDescent="0.2">
      <c r="B85">
        <v>46000</v>
      </c>
      <c r="C85">
        <v>1176.83</v>
      </c>
      <c r="D85">
        <v>-4141.71</v>
      </c>
      <c r="E85">
        <v>38959.599999999999</v>
      </c>
      <c r="F85">
        <v>153.75700000000001</v>
      </c>
      <c r="G85">
        <v>800</v>
      </c>
      <c r="H85">
        <v>0</v>
      </c>
      <c r="I85">
        <v>0</v>
      </c>
      <c r="J85">
        <v>800</v>
      </c>
    </row>
    <row r="86" spans="2:10" x14ac:dyDescent="0.2">
      <c r="B86">
        <v>47000</v>
      </c>
      <c r="C86">
        <v>1165.55</v>
      </c>
      <c r="D86">
        <v>-4153.3999999999996</v>
      </c>
      <c r="E86">
        <v>38284.6</v>
      </c>
      <c r="F86">
        <v>478.08300000000003</v>
      </c>
      <c r="G86">
        <v>800</v>
      </c>
      <c r="H86">
        <v>0</v>
      </c>
      <c r="I86">
        <v>0</v>
      </c>
      <c r="J86">
        <v>800</v>
      </c>
    </row>
    <row r="87" spans="2:10" x14ac:dyDescent="0.2">
      <c r="B87">
        <v>48000</v>
      </c>
      <c r="C87">
        <v>1172.0999999999999</v>
      </c>
      <c r="D87">
        <v>-4137.07</v>
      </c>
      <c r="E87">
        <v>39274.300000000003</v>
      </c>
      <c r="F87">
        <v>-3551.03</v>
      </c>
      <c r="G87">
        <v>800</v>
      </c>
      <c r="H87">
        <v>0</v>
      </c>
      <c r="I87">
        <v>0</v>
      </c>
      <c r="J87">
        <v>800</v>
      </c>
    </row>
    <row r="88" spans="2:10" x14ac:dyDescent="0.2">
      <c r="B88">
        <v>49000</v>
      </c>
      <c r="C88">
        <v>1210.46</v>
      </c>
      <c r="D88">
        <v>-4144.6899999999996</v>
      </c>
      <c r="E88">
        <v>39148.5</v>
      </c>
      <c r="F88">
        <v>-1524.16</v>
      </c>
      <c r="G88">
        <v>800</v>
      </c>
      <c r="H88">
        <v>0</v>
      </c>
      <c r="I88">
        <v>0</v>
      </c>
      <c r="J88">
        <v>800</v>
      </c>
    </row>
    <row r="89" spans="2:10" x14ac:dyDescent="0.2">
      <c r="B89">
        <v>50000</v>
      </c>
      <c r="C89">
        <v>1166.23</v>
      </c>
      <c r="D89">
        <v>-4154.8100000000004</v>
      </c>
      <c r="E89">
        <v>38465.199999999997</v>
      </c>
      <c r="F89">
        <v>143.94800000000001</v>
      </c>
      <c r="G89">
        <v>800</v>
      </c>
      <c r="H89">
        <v>0</v>
      </c>
      <c r="I89">
        <v>0</v>
      </c>
      <c r="J89">
        <v>800</v>
      </c>
    </row>
    <row r="90" spans="2:10" x14ac:dyDescent="0.2">
      <c r="B90">
        <v>51000</v>
      </c>
      <c r="C90">
        <v>1191.6199999999999</v>
      </c>
      <c r="D90">
        <v>-4139.4799999999996</v>
      </c>
      <c r="E90">
        <v>39108.9</v>
      </c>
      <c r="F90">
        <v>-594.74199999999996</v>
      </c>
      <c r="G90">
        <v>800</v>
      </c>
      <c r="H90">
        <v>0</v>
      </c>
      <c r="I90">
        <v>0</v>
      </c>
      <c r="J90">
        <v>800</v>
      </c>
    </row>
    <row r="91" spans="2:10" x14ac:dyDescent="0.2">
      <c r="B91">
        <v>52000</v>
      </c>
      <c r="C91">
        <v>1166.52</v>
      </c>
      <c r="D91">
        <v>-4147.24</v>
      </c>
      <c r="E91">
        <v>38840.6</v>
      </c>
      <c r="F91">
        <v>-1332.46</v>
      </c>
      <c r="G91">
        <v>800</v>
      </c>
      <c r="H91">
        <v>0</v>
      </c>
      <c r="I91">
        <v>0</v>
      </c>
      <c r="J91">
        <v>800</v>
      </c>
    </row>
    <row r="92" spans="2:10" x14ac:dyDescent="0.2">
      <c r="B92">
        <v>53000</v>
      </c>
      <c r="C92">
        <v>1200.71</v>
      </c>
      <c r="D92">
        <v>-4144.63</v>
      </c>
      <c r="E92">
        <v>39083.1</v>
      </c>
      <c r="F92">
        <v>-673.81299999999999</v>
      </c>
      <c r="G92">
        <v>800</v>
      </c>
      <c r="H92">
        <v>0</v>
      </c>
      <c r="I92">
        <v>0</v>
      </c>
      <c r="J92">
        <v>800</v>
      </c>
    </row>
    <row r="93" spans="2:10" x14ac:dyDescent="0.2">
      <c r="B93">
        <v>54000</v>
      </c>
      <c r="C93">
        <v>1224.44</v>
      </c>
      <c r="D93">
        <v>-4138.82</v>
      </c>
      <c r="E93">
        <v>39173.1</v>
      </c>
      <c r="F93">
        <v>-1339.04</v>
      </c>
      <c r="G93">
        <v>800</v>
      </c>
      <c r="H93">
        <v>0</v>
      </c>
      <c r="I93">
        <v>0</v>
      </c>
      <c r="J93">
        <v>800</v>
      </c>
    </row>
    <row r="94" spans="2:10" x14ac:dyDescent="0.2">
      <c r="B94">
        <v>55000</v>
      </c>
      <c r="C94">
        <v>1205.2</v>
      </c>
      <c r="D94">
        <v>-4141.95</v>
      </c>
      <c r="E94">
        <v>39011.699999999997</v>
      </c>
      <c r="F94">
        <v>-241.91300000000001</v>
      </c>
      <c r="G94">
        <v>800</v>
      </c>
      <c r="H94">
        <v>0</v>
      </c>
      <c r="I94">
        <v>0</v>
      </c>
      <c r="J94">
        <v>800</v>
      </c>
    </row>
    <row r="95" spans="2:10" x14ac:dyDescent="0.2">
      <c r="B95">
        <v>56000</v>
      </c>
      <c r="C95">
        <v>1222.6400000000001</v>
      </c>
      <c r="D95">
        <v>-4141.84</v>
      </c>
      <c r="E95">
        <v>38761.699999999997</v>
      </c>
      <c r="F95">
        <v>611.91099999999994</v>
      </c>
      <c r="G95">
        <v>800</v>
      </c>
      <c r="H95">
        <v>0</v>
      </c>
      <c r="I95">
        <v>0</v>
      </c>
      <c r="J95">
        <v>800</v>
      </c>
    </row>
    <row r="96" spans="2:10" x14ac:dyDescent="0.2">
      <c r="B96">
        <v>57000</v>
      </c>
      <c r="C96">
        <v>1201.6199999999999</v>
      </c>
      <c r="D96">
        <v>-4144.63</v>
      </c>
      <c r="E96">
        <v>38389.9</v>
      </c>
      <c r="F96">
        <v>122.61799999999999</v>
      </c>
      <c r="G96">
        <v>800</v>
      </c>
      <c r="H96">
        <v>0</v>
      </c>
      <c r="I96">
        <v>0</v>
      </c>
      <c r="J96">
        <v>800</v>
      </c>
    </row>
    <row r="97" spans="2:10" x14ac:dyDescent="0.2">
      <c r="B97">
        <v>58000</v>
      </c>
      <c r="C97">
        <v>1194.48</v>
      </c>
      <c r="D97">
        <v>-4145.76</v>
      </c>
      <c r="E97">
        <v>38825.800000000003</v>
      </c>
      <c r="F97">
        <v>-48.737200000000001</v>
      </c>
      <c r="G97">
        <v>800</v>
      </c>
      <c r="H97">
        <v>0</v>
      </c>
      <c r="I97">
        <v>0</v>
      </c>
      <c r="J97">
        <v>800</v>
      </c>
    </row>
    <row r="98" spans="2:10" x14ac:dyDescent="0.2">
      <c r="B98">
        <v>59000</v>
      </c>
      <c r="C98">
        <v>1206.69</v>
      </c>
      <c r="D98">
        <v>-4146.26</v>
      </c>
      <c r="E98">
        <v>38839.9</v>
      </c>
      <c r="F98">
        <v>-2258.5500000000002</v>
      </c>
      <c r="G98">
        <v>800</v>
      </c>
      <c r="H98">
        <v>0</v>
      </c>
      <c r="I98">
        <v>0</v>
      </c>
      <c r="J98">
        <v>800</v>
      </c>
    </row>
    <row r="99" spans="2:10" x14ac:dyDescent="0.2">
      <c r="B99">
        <v>60000</v>
      </c>
      <c r="C99">
        <v>1182.1300000000001</v>
      </c>
      <c r="D99">
        <v>-4150.26</v>
      </c>
      <c r="E99">
        <v>38923.599999999999</v>
      </c>
      <c r="F99">
        <v>-314.44600000000003</v>
      </c>
      <c r="G99">
        <v>800</v>
      </c>
      <c r="H99">
        <v>0</v>
      </c>
      <c r="I99">
        <v>0</v>
      </c>
      <c r="J99">
        <v>800</v>
      </c>
    </row>
    <row r="100" spans="2:10" x14ac:dyDescent="0.2">
      <c r="B100">
        <v>61000</v>
      </c>
      <c r="C100">
        <v>1215.31</v>
      </c>
      <c r="D100">
        <v>-4140.1899999999996</v>
      </c>
      <c r="E100">
        <v>39030.699999999997</v>
      </c>
      <c r="F100">
        <v>885.14300000000003</v>
      </c>
      <c r="G100">
        <v>800</v>
      </c>
      <c r="H100">
        <v>0</v>
      </c>
      <c r="I100">
        <v>0</v>
      </c>
      <c r="J100">
        <v>800</v>
      </c>
    </row>
    <row r="101" spans="2:10" x14ac:dyDescent="0.2">
      <c r="B101">
        <v>62000</v>
      </c>
      <c r="C101">
        <v>1206.98</v>
      </c>
      <c r="D101">
        <v>-4143.1000000000004</v>
      </c>
      <c r="E101">
        <v>38819</v>
      </c>
      <c r="F101">
        <v>1280.1199999999999</v>
      </c>
      <c r="G101">
        <v>800</v>
      </c>
      <c r="H101">
        <v>0</v>
      </c>
      <c r="I101">
        <v>0</v>
      </c>
      <c r="J101">
        <v>800</v>
      </c>
    </row>
    <row r="102" spans="2:10" x14ac:dyDescent="0.2">
      <c r="B102">
        <v>63000</v>
      </c>
      <c r="C102">
        <v>1203.05</v>
      </c>
      <c r="D102">
        <v>-4142.96</v>
      </c>
      <c r="E102">
        <v>39221</v>
      </c>
      <c r="F102">
        <v>-1293.5899999999999</v>
      </c>
      <c r="G102">
        <v>800</v>
      </c>
      <c r="H102">
        <v>0</v>
      </c>
      <c r="I102">
        <v>0</v>
      </c>
      <c r="J102">
        <v>800</v>
      </c>
    </row>
    <row r="103" spans="2:10" x14ac:dyDescent="0.2">
      <c r="B103">
        <v>64000</v>
      </c>
      <c r="C103">
        <v>1218.1600000000001</v>
      </c>
      <c r="D103">
        <v>-4139.54</v>
      </c>
      <c r="E103">
        <v>38615.300000000003</v>
      </c>
      <c r="F103">
        <v>640.27</v>
      </c>
      <c r="G103">
        <v>800</v>
      </c>
      <c r="H103">
        <v>0</v>
      </c>
      <c r="I103">
        <v>0</v>
      </c>
      <c r="J103">
        <v>800</v>
      </c>
    </row>
    <row r="104" spans="2:10" x14ac:dyDescent="0.2">
      <c r="B104">
        <v>65000</v>
      </c>
      <c r="C104">
        <v>1213.68</v>
      </c>
      <c r="D104">
        <v>-4138.1000000000004</v>
      </c>
      <c r="E104">
        <v>38670.6</v>
      </c>
      <c r="F104">
        <v>451.38600000000002</v>
      </c>
      <c r="G104">
        <v>800</v>
      </c>
      <c r="H104">
        <v>0</v>
      </c>
      <c r="I104">
        <v>0</v>
      </c>
      <c r="J104">
        <v>800</v>
      </c>
    </row>
    <row r="105" spans="2:10" x14ac:dyDescent="0.2">
      <c r="B105">
        <v>66000</v>
      </c>
      <c r="C105">
        <v>1187.6300000000001</v>
      </c>
      <c r="D105">
        <v>-4137.99</v>
      </c>
      <c r="E105">
        <v>39429.5</v>
      </c>
      <c r="F105">
        <v>-132.24700000000001</v>
      </c>
      <c r="G105">
        <v>800</v>
      </c>
      <c r="H105">
        <v>0</v>
      </c>
      <c r="I105">
        <v>0</v>
      </c>
      <c r="J105">
        <v>800</v>
      </c>
    </row>
    <row r="106" spans="2:10" x14ac:dyDescent="0.2">
      <c r="B106">
        <v>67000</v>
      </c>
      <c r="C106">
        <v>1164.6600000000001</v>
      </c>
      <c r="D106">
        <v>-4153.1499999999996</v>
      </c>
      <c r="E106">
        <v>38401.9</v>
      </c>
      <c r="F106">
        <v>1255.94</v>
      </c>
      <c r="G106">
        <v>800</v>
      </c>
      <c r="H106">
        <v>0</v>
      </c>
      <c r="I106">
        <v>0</v>
      </c>
      <c r="J106">
        <v>800</v>
      </c>
    </row>
    <row r="107" spans="2:10" x14ac:dyDescent="0.2">
      <c r="B107">
        <v>68000</v>
      </c>
      <c r="C107">
        <v>1185.93</v>
      </c>
      <c r="D107">
        <v>-4143.12</v>
      </c>
      <c r="E107">
        <v>38850.9</v>
      </c>
      <c r="F107">
        <v>195.40100000000001</v>
      </c>
      <c r="G107">
        <v>800</v>
      </c>
      <c r="H107">
        <v>0</v>
      </c>
      <c r="I107">
        <v>0</v>
      </c>
      <c r="J107">
        <v>800</v>
      </c>
    </row>
    <row r="108" spans="2:10" x14ac:dyDescent="0.2">
      <c r="B108">
        <v>69000</v>
      </c>
      <c r="C108">
        <v>1204.21</v>
      </c>
      <c r="D108">
        <v>-4149.17</v>
      </c>
      <c r="E108">
        <v>38610.699999999997</v>
      </c>
      <c r="F108">
        <v>-471.23200000000003</v>
      </c>
      <c r="G108">
        <v>800</v>
      </c>
      <c r="H108">
        <v>0</v>
      </c>
      <c r="I108">
        <v>0</v>
      </c>
      <c r="J108">
        <v>800</v>
      </c>
    </row>
    <row r="109" spans="2:10" x14ac:dyDescent="0.2">
      <c r="B109">
        <v>70000</v>
      </c>
      <c r="C109">
        <v>1203.6300000000001</v>
      </c>
      <c r="D109">
        <v>-4150.6000000000004</v>
      </c>
      <c r="E109">
        <v>38341.9</v>
      </c>
      <c r="F109">
        <v>1659.74</v>
      </c>
      <c r="G109">
        <v>800</v>
      </c>
      <c r="H109">
        <v>0</v>
      </c>
      <c r="I109">
        <v>0</v>
      </c>
      <c r="J109">
        <v>800</v>
      </c>
    </row>
    <row r="110" spans="2:10" x14ac:dyDescent="0.2">
      <c r="B110">
        <v>71000</v>
      </c>
      <c r="C110">
        <v>1215.92</v>
      </c>
      <c r="D110">
        <v>-4142.9399999999996</v>
      </c>
      <c r="E110">
        <v>38557.699999999997</v>
      </c>
      <c r="F110">
        <v>1045.1199999999999</v>
      </c>
      <c r="G110">
        <v>800</v>
      </c>
      <c r="H110">
        <v>0</v>
      </c>
      <c r="I110">
        <v>0</v>
      </c>
      <c r="J110">
        <v>800</v>
      </c>
    </row>
    <row r="111" spans="2:10" x14ac:dyDescent="0.2">
      <c r="B111">
        <v>72000</v>
      </c>
      <c r="C111">
        <v>1188.22</v>
      </c>
      <c r="D111">
        <v>-4144.34</v>
      </c>
      <c r="E111">
        <v>39070.199999999997</v>
      </c>
      <c r="F111">
        <v>-2729.21</v>
      </c>
      <c r="G111">
        <v>800</v>
      </c>
      <c r="H111">
        <v>0</v>
      </c>
      <c r="I111">
        <v>0</v>
      </c>
      <c r="J111">
        <v>800</v>
      </c>
    </row>
    <row r="112" spans="2:10" x14ac:dyDescent="0.2">
      <c r="B112">
        <v>73000</v>
      </c>
      <c r="C112">
        <v>1192.8699999999999</v>
      </c>
      <c r="D112">
        <v>-4146.01</v>
      </c>
      <c r="E112">
        <v>38837</v>
      </c>
      <c r="F112">
        <v>33.126100000000001</v>
      </c>
      <c r="G112">
        <v>800</v>
      </c>
      <c r="H112">
        <v>0</v>
      </c>
      <c r="I112">
        <v>0</v>
      </c>
      <c r="J112">
        <v>800</v>
      </c>
    </row>
    <row r="113" spans="2:10" x14ac:dyDescent="0.2">
      <c r="B113">
        <v>74000</v>
      </c>
      <c r="C113">
        <v>1211.17</v>
      </c>
      <c r="D113">
        <v>-4135.42</v>
      </c>
      <c r="E113">
        <v>39279.699999999997</v>
      </c>
      <c r="F113">
        <v>-799.16700000000003</v>
      </c>
      <c r="G113">
        <v>800</v>
      </c>
      <c r="H113">
        <v>0</v>
      </c>
      <c r="I113">
        <v>0</v>
      </c>
      <c r="J113">
        <v>800</v>
      </c>
    </row>
    <row r="114" spans="2:10" x14ac:dyDescent="0.2">
      <c r="B114">
        <v>75000</v>
      </c>
      <c r="C114">
        <v>1218.04</v>
      </c>
      <c r="D114">
        <v>-4142.3100000000004</v>
      </c>
      <c r="E114">
        <v>38711.800000000003</v>
      </c>
      <c r="F114">
        <v>2649.06</v>
      </c>
      <c r="G114">
        <v>800</v>
      </c>
      <c r="H114">
        <v>0</v>
      </c>
      <c r="I114">
        <v>0</v>
      </c>
      <c r="J114">
        <v>800</v>
      </c>
    </row>
    <row r="115" spans="2:10" x14ac:dyDescent="0.2">
      <c r="B115">
        <v>76000</v>
      </c>
      <c r="C115">
        <v>1204.8599999999999</v>
      </c>
      <c r="D115">
        <v>-4146.1400000000003</v>
      </c>
      <c r="E115">
        <v>38579.5</v>
      </c>
      <c r="F115">
        <v>2381.09</v>
      </c>
      <c r="G115">
        <v>800</v>
      </c>
      <c r="H115">
        <v>0</v>
      </c>
      <c r="I115">
        <v>0</v>
      </c>
      <c r="J115">
        <v>800</v>
      </c>
    </row>
    <row r="116" spans="2:10" x14ac:dyDescent="0.2">
      <c r="B116">
        <v>77000</v>
      </c>
      <c r="C116">
        <v>1230.8</v>
      </c>
      <c r="D116">
        <v>-4141.99</v>
      </c>
      <c r="E116">
        <v>38771.5</v>
      </c>
      <c r="F116">
        <v>-404.09899999999999</v>
      </c>
      <c r="G116">
        <v>800</v>
      </c>
      <c r="H116">
        <v>0</v>
      </c>
      <c r="I116">
        <v>0</v>
      </c>
      <c r="J116">
        <v>800</v>
      </c>
    </row>
    <row r="117" spans="2:10" x14ac:dyDescent="0.2">
      <c r="B117">
        <v>78000</v>
      </c>
      <c r="C117">
        <v>1211.51</v>
      </c>
      <c r="D117">
        <v>-4144.04</v>
      </c>
      <c r="E117">
        <v>38899.800000000003</v>
      </c>
      <c r="F117">
        <v>-178.46100000000001</v>
      </c>
      <c r="G117">
        <v>800</v>
      </c>
      <c r="H117">
        <v>0</v>
      </c>
      <c r="I117">
        <v>0</v>
      </c>
      <c r="J117">
        <v>800</v>
      </c>
    </row>
    <row r="118" spans="2:10" x14ac:dyDescent="0.2">
      <c r="B118">
        <v>79000</v>
      </c>
      <c r="C118">
        <v>1181.19</v>
      </c>
      <c r="D118">
        <v>-4147.0600000000004</v>
      </c>
      <c r="E118">
        <v>38580.300000000003</v>
      </c>
      <c r="F118">
        <v>2329.9</v>
      </c>
      <c r="G118">
        <v>800</v>
      </c>
      <c r="H118">
        <v>0</v>
      </c>
      <c r="I118">
        <v>0</v>
      </c>
      <c r="J118">
        <v>800</v>
      </c>
    </row>
    <row r="119" spans="2:10" x14ac:dyDescent="0.2">
      <c r="B119">
        <v>80000</v>
      </c>
      <c r="C119">
        <v>1209.3599999999999</v>
      </c>
      <c r="D119">
        <v>-4138.45</v>
      </c>
      <c r="E119">
        <v>38862.6</v>
      </c>
      <c r="F119">
        <v>-1139.02</v>
      </c>
      <c r="G119">
        <v>800</v>
      </c>
      <c r="H119">
        <v>0</v>
      </c>
      <c r="I119">
        <v>0</v>
      </c>
      <c r="J119">
        <v>800</v>
      </c>
    </row>
    <row r="120" spans="2:10" x14ac:dyDescent="0.2">
      <c r="B120">
        <v>81000</v>
      </c>
      <c r="C120">
        <v>1230.94</v>
      </c>
      <c r="D120">
        <v>-4141.4799999999996</v>
      </c>
      <c r="E120">
        <v>38815.599999999999</v>
      </c>
      <c r="F120">
        <v>1188.52</v>
      </c>
      <c r="G120">
        <v>800</v>
      </c>
      <c r="H120">
        <v>0</v>
      </c>
      <c r="I120">
        <v>0</v>
      </c>
      <c r="J120">
        <v>800</v>
      </c>
    </row>
    <row r="121" spans="2:10" x14ac:dyDescent="0.2">
      <c r="B121">
        <v>82000</v>
      </c>
      <c r="C121">
        <v>1193.78</v>
      </c>
      <c r="D121">
        <v>-4147.8999999999996</v>
      </c>
      <c r="E121">
        <v>38705.199999999997</v>
      </c>
      <c r="F121">
        <v>1770.83</v>
      </c>
      <c r="G121">
        <v>800</v>
      </c>
      <c r="H121">
        <v>0</v>
      </c>
      <c r="I121">
        <v>0</v>
      </c>
      <c r="J121">
        <v>800</v>
      </c>
    </row>
    <row r="122" spans="2:10" x14ac:dyDescent="0.2">
      <c r="B122">
        <v>83000</v>
      </c>
      <c r="C122">
        <v>1201.44</v>
      </c>
      <c r="D122">
        <v>-4142.8599999999997</v>
      </c>
      <c r="E122">
        <v>39008.5</v>
      </c>
      <c r="F122">
        <v>-790.73900000000003</v>
      </c>
      <c r="G122">
        <v>800</v>
      </c>
      <c r="H122">
        <v>0</v>
      </c>
      <c r="I122">
        <v>0</v>
      </c>
      <c r="J122">
        <v>800</v>
      </c>
    </row>
  </sheetData>
  <sortState xmlns:xlrd2="http://schemas.microsoft.com/office/spreadsheetml/2017/richdata2" ref="B6:J9">
    <sortCondition descending="1" ref="C6:C9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7A0E6-E0C4-064F-BE61-AC987A05BC03}">
  <dimension ref="A2:AA143"/>
  <sheetViews>
    <sheetView topLeftCell="D10" workbookViewId="0">
      <selection activeCell="J40" sqref="J40"/>
    </sheetView>
  </sheetViews>
  <sheetFormatPr baseColWidth="10" defaultRowHeight="16" x14ac:dyDescent="0.2"/>
  <cols>
    <col min="7" max="7" width="12.1640625" bestFit="1" customWidth="1"/>
  </cols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D3" t="s">
        <v>40</v>
      </c>
      <c r="I3" t="s">
        <v>10</v>
      </c>
      <c r="J3" t="s">
        <v>11</v>
      </c>
      <c r="K3" t="s">
        <v>12</v>
      </c>
      <c r="L3" t="s">
        <v>13</v>
      </c>
    </row>
    <row r="4" spans="1:15" x14ac:dyDescent="0.2">
      <c r="A4">
        <v>1500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1</v>
      </c>
      <c r="B8">
        <f t="shared" ref="B8:B18" si="0">J8/SUM(I8:J8)</f>
        <v>0</v>
      </c>
      <c r="C8">
        <f>K8/SUM(I8:K8)</f>
        <v>0</v>
      </c>
      <c r="D8">
        <v>200000</v>
      </c>
      <c r="E8">
        <v>1500.55</v>
      </c>
      <c r="F8">
        <v>-4063.51</v>
      </c>
      <c r="G8">
        <v>41384.199999999997</v>
      </c>
      <c r="H8">
        <v>1.8596299999999999</v>
      </c>
      <c r="I8">
        <v>800</v>
      </c>
      <c r="J8">
        <v>0</v>
      </c>
      <c r="K8">
        <v>0</v>
      </c>
      <c r="L8">
        <v>800</v>
      </c>
      <c r="M8">
        <f t="shared" ref="M8" si="1">I8*I$2+J8*J$2+K8*K$2+L8*L$2</f>
        <v>33912</v>
      </c>
      <c r="N8">
        <f t="shared" ref="N8" si="2">M8*(1.66054E-24)/(G8)/(1E-24)</f>
        <v>1.3607181600707519</v>
      </c>
      <c r="O8">
        <f t="shared" ref="O8" si="3">F8+SUM(I8:L8)*1.5*(0.000086173)*E8</f>
        <v>-3753.1734516400002</v>
      </c>
    </row>
    <row r="9" spans="1:15" x14ac:dyDescent="0.2">
      <c r="A9">
        <f t="shared" ref="A9:A18" si="4">I9/SUM(I9:K9)</f>
        <v>0.9</v>
      </c>
      <c r="B9">
        <f t="shared" si="0"/>
        <v>0.1</v>
      </c>
      <c r="C9">
        <f t="shared" ref="C9:C18" si="5">K9/SUM(I9:K9)</f>
        <v>0</v>
      </c>
      <c r="D9">
        <v>200000</v>
      </c>
      <c r="E9" s="4">
        <v>1500.78</v>
      </c>
      <c r="F9">
        <v>-3895.3</v>
      </c>
      <c r="G9">
        <v>44319.4</v>
      </c>
      <c r="H9">
        <v>0.65565499999999999</v>
      </c>
      <c r="I9">
        <v>720</v>
      </c>
      <c r="J9">
        <v>80</v>
      </c>
      <c r="K9">
        <v>0</v>
      </c>
      <c r="L9">
        <v>800</v>
      </c>
      <c r="M9">
        <f>I9*I$2+J9*J$2+K9*K$2+L9*L$2</f>
        <v>36484.640000000007</v>
      </c>
      <c r="N9">
        <f>M9*(1.66054E-24)/(G9)/(1E-24)</f>
        <v>1.3669906204867397</v>
      </c>
      <c r="O9">
        <f t="shared" ref="O9:O17" si="6">F9+SUM(I9:L9)*1.5*(0.000086173)*E9</f>
        <v>-3584.9158841440003</v>
      </c>
    </row>
    <row r="10" spans="1:15" x14ac:dyDescent="0.2">
      <c r="A10">
        <f t="shared" si="4"/>
        <v>0.8</v>
      </c>
      <c r="B10">
        <f t="shared" si="0"/>
        <v>0.2</v>
      </c>
      <c r="C10">
        <f t="shared" si="5"/>
        <v>0</v>
      </c>
      <c r="D10">
        <v>200000</v>
      </c>
      <c r="E10">
        <v>1500.05</v>
      </c>
      <c r="F10">
        <v>-3725.6</v>
      </c>
      <c r="G10">
        <v>47241.4</v>
      </c>
      <c r="H10">
        <v>7.0256299999999996</v>
      </c>
      <c r="I10">
        <v>640</v>
      </c>
      <c r="J10">
        <v>160</v>
      </c>
      <c r="K10">
        <v>0</v>
      </c>
      <c r="L10">
        <v>800</v>
      </c>
      <c r="M10">
        <f t="shared" ref="M10:M17" si="7">I10*I$2+J10*J$2+K10*K$2+L10*L$2</f>
        <v>39057.280000000006</v>
      </c>
      <c r="N10">
        <f t="shared" ref="N10:N17" si="8">M10*(1.66054E-24)/(G10)/(1E-24)</f>
        <v>1.3728673521783861</v>
      </c>
      <c r="O10">
        <f t="shared" si="6"/>
        <v>-3415.3668592399999</v>
      </c>
    </row>
    <row r="11" spans="1:15" x14ac:dyDescent="0.2">
      <c r="A11">
        <f t="shared" si="4"/>
        <v>0.7</v>
      </c>
      <c r="B11">
        <f t="shared" si="0"/>
        <v>0.3</v>
      </c>
      <c r="C11">
        <f t="shared" si="5"/>
        <v>0</v>
      </c>
      <c r="D11">
        <v>200000</v>
      </c>
      <c r="E11">
        <v>1500.28</v>
      </c>
      <c r="F11">
        <v>-3551.64</v>
      </c>
      <c r="G11">
        <v>50303.1</v>
      </c>
      <c r="H11">
        <v>4.9855299999999998</v>
      </c>
      <c r="I11">
        <v>560</v>
      </c>
      <c r="J11">
        <v>240</v>
      </c>
      <c r="K11">
        <v>0</v>
      </c>
      <c r="L11">
        <v>800</v>
      </c>
      <c r="M11">
        <f t="shared" si="7"/>
        <v>41629.920000000006</v>
      </c>
      <c r="N11">
        <f t="shared" si="8"/>
        <v>1.3742323506265024</v>
      </c>
      <c r="O11">
        <f t="shared" si="6"/>
        <v>-3241.3592917440001</v>
      </c>
    </row>
    <row r="12" spans="1:15" x14ac:dyDescent="0.2">
      <c r="A12">
        <f t="shared" si="4"/>
        <v>0.6</v>
      </c>
      <c r="B12">
        <f t="shared" si="0"/>
        <v>0.4</v>
      </c>
      <c r="C12">
        <f t="shared" si="5"/>
        <v>0</v>
      </c>
      <c r="D12">
        <v>200000</v>
      </c>
      <c r="E12">
        <v>1499.68</v>
      </c>
      <c r="F12">
        <v>-3376.41</v>
      </c>
      <c r="G12">
        <v>53372.800000000003</v>
      </c>
      <c r="H12">
        <v>7.2435</v>
      </c>
      <c r="I12">
        <v>480</v>
      </c>
      <c r="J12">
        <v>320</v>
      </c>
      <c r="K12">
        <v>0</v>
      </c>
      <c r="L12">
        <v>800</v>
      </c>
      <c r="M12">
        <f t="shared" si="7"/>
        <v>44202.560000000005</v>
      </c>
      <c r="N12">
        <f t="shared" si="8"/>
        <v>1.3752345573475628</v>
      </c>
      <c r="O12">
        <f t="shared" si="6"/>
        <v>-3066.2533808640001</v>
      </c>
    </row>
    <row r="13" spans="1:15" x14ac:dyDescent="0.2">
      <c r="A13">
        <f t="shared" si="4"/>
        <v>0.5</v>
      </c>
      <c r="B13">
        <f t="shared" si="0"/>
        <v>0.5</v>
      </c>
      <c r="C13">
        <f t="shared" si="5"/>
        <v>0</v>
      </c>
      <c r="D13">
        <v>200000</v>
      </c>
      <c r="E13" s="3">
        <v>1500.43</v>
      </c>
      <c r="F13">
        <v>-3199.14</v>
      </c>
      <c r="G13" s="3">
        <v>56361.3</v>
      </c>
      <c r="H13" s="3">
        <v>3.3488700000000003E-2</v>
      </c>
      <c r="I13">
        <v>400</v>
      </c>
      <c r="J13">
        <v>400</v>
      </c>
      <c r="K13">
        <v>0</v>
      </c>
      <c r="L13">
        <v>800</v>
      </c>
      <c r="M13">
        <f t="shared" si="7"/>
        <v>46775.199999999997</v>
      </c>
      <c r="N13">
        <f t="shared" si="8"/>
        <v>1.3781103453610897</v>
      </c>
      <c r="O13">
        <f t="shared" si="6"/>
        <v>-2888.8282694639997</v>
      </c>
    </row>
    <row r="14" spans="1:15" x14ac:dyDescent="0.2">
      <c r="A14">
        <f t="shared" si="4"/>
        <v>0.4</v>
      </c>
      <c r="B14">
        <f t="shared" si="0"/>
        <v>0.6</v>
      </c>
      <c r="C14">
        <f t="shared" si="5"/>
        <v>0</v>
      </c>
      <c r="D14">
        <v>200000</v>
      </c>
      <c r="E14">
        <v>1501.4</v>
      </c>
      <c r="F14">
        <v>-3018.75</v>
      </c>
      <c r="G14">
        <v>59528.6</v>
      </c>
      <c r="H14">
        <v>5.9656200000000004</v>
      </c>
      <c r="I14">
        <v>320</v>
      </c>
      <c r="J14">
        <v>480</v>
      </c>
      <c r="K14">
        <v>0</v>
      </c>
      <c r="L14">
        <v>800</v>
      </c>
      <c r="M14">
        <f t="shared" si="7"/>
        <v>49347.840000000004</v>
      </c>
      <c r="N14">
        <f t="shared" si="8"/>
        <v>1.3765494608238731</v>
      </c>
      <c r="O14">
        <f t="shared" si="6"/>
        <v>-2708.2376587200001</v>
      </c>
    </row>
    <row r="15" spans="1:15" x14ac:dyDescent="0.2">
      <c r="A15">
        <f t="shared" si="4"/>
        <v>0.3</v>
      </c>
      <c r="B15">
        <f t="shared" si="0"/>
        <v>0.7</v>
      </c>
      <c r="C15">
        <f t="shared" si="5"/>
        <v>0</v>
      </c>
      <c r="D15">
        <v>200000</v>
      </c>
      <c r="E15">
        <v>1499.82</v>
      </c>
      <c r="F15">
        <v>-2836.36</v>
      </c>
      <c r="G15">
        <v>62703.199999999997</v>
      </c>
      <c r="H15">
        <v>-1.64811</v>
      </c>
      <c r="I15">
        <v>240</v>
      </c>
      <c r="J15">
        <v>560</v>
      </c>
      <c r="K15">
        <v>0</v>
      </c>
      <c r="L15">
        <v>800</v>
      </c>
      <c r="M15">
        <f t="shared" si="7"/>
        <v>51920.480000000003</v>
      </c>
      <c r="N15">
        <f t="shared" si="8"/>
        <v>1.3749861866571405</v>
      </c>
      <c r="O15">
        <f t="shared" si="6"/>
        <v>-2526.174426736</v>
      </c>
    </row>
    <row r="16" spans="1:15" x14ac:dyDescent="0.2">
      <c r="A16">
        <f t="shared" si="4"/>
        <v>0.2</v>
      </c>
      <c r="B16">
        <f t="shared" si="0"/>
        <v>0.8</v>
      </c>
      <c r="C16">
        <f t="shared" si="5"/>
        <v>0</v>
      </c>
      <c r="D16">
        <v>200000</v>
      </c>
      <c r="E16">
        <v>1500.92</v>
      </c>
      <c r="F16">
        <v>-2651.63</v>
      </c>
      <c r="G16">
        <v>66037.3</v>
      </c>
      <c r="H16">
        <v>1.6835100000000001</v>
      </c>
      <c r="I16">
        <v>160</v>
      </c>
      <c r="J16">
        <v>640</v>
      </c>
      <c r="K16">
        <v>0</v>
      </c>
      <c r="L16">
        <v>800</v>
      </c>
      <c r="M16">
        <f t="shared" si="7"/>
        <v>54493.12000000001</v>
      </c>
      <c r="N16">
        <f t="shared" si="8"/>
        <v>1.3702559838878938</v>
      </c>
      <c r="O16">
        <f t="shared" si="6"/>
        <v>-2341.2169300160003</v>
      </c>
    </row>
    <row r="17" spans="1:27" x14ac:dyDescent="0.2">
      <c r="A17">
        <f t="shared" si="4"/>
        <v>0.1</v>
      </c>
      <c r="B17">
        <f t="shared" si="0"/>
        <v>0.9</v>
      </c>
      <c r="C17">
        <f t="shared" si="5"/>
        <v>0</v>
      </c>
      <c r="D17">
        <v>200000</v>
      </c>
      <c r="E17">
        <v>1498.9</v>
      </c>
      <c r="F17">
        <v>-2467</v>
      </c>
      <c r="G17">
        <v>69211</v>
      </c>
      <c r="H17">
        <v>-5.3415100000000004</v>
      </c>
      <c r="I17">
        <v>80</v>
      </c>
      <c r="J17">
        <v>720</v>
      </c>
      <c r="K17">
        <v>0</v>
      </c>
      <c r="L17">
        <v>800</v>
      </c>
      <c r="M17">
        <f t="shared" si="7"/>
        <v>57065.760000000002</v>
      </c>
      <c r="N17">
        <f t="shared" si="8"/>
        <v>1.3691461922295589</v>
      </c>
      <c r="O17">
        <f t="shared" si="6"/>
        <v>-2157.0046967200001</v>
      </c>
    </row>
    <row r="18" spans="1:27" x14ac:dyDescent="0.2">
      <c r="A18">
        <f t="shared" si="4"/>
        <v>0</v>
      </c>
      <c r="B18">
        <f t="shared" si="0"/>
        <v>1</v>
      </c>
      <c r="C18">
        <f t="shared" si="5"/>
        <v>0</v>
      </c>
      <c r="D18">
        <v>200000</v>
      </c>
      <c r="E18">
        <v>1501.18</v>
      </c>
      <c r="F18">
        <v>-2280.29</v>
      </c>
      <c r="G18">
        <v>72375.7</v>
      </c>
      <c r="H18">
        <v>-0.54600099999999996</v>
      </c>
      <c r="I18">
        <v>0</v>
      </c>
      <c r="J18">
        <v>800</v>
      </c>
      <c r="K18">
        <v>0</v>
      </c>
      <c r="L18">
        <v>800</v>
      </c>
      <c r="M18">
        <f>I18*I$2+J18*J$2+K18*K$2+L18*L$2</f>
        <v>59638.400000000001</v>
      </c>
      <c r="N18">
        <f>M18*(1.66054E-24)/(G18)/(1E-24)</f>
        <v>1.3683038469541575</v>
      </c>
      <c r="O18">
        <f>F18+SUM(I18:L18)*1.5*(0.000086173)*E18</f>
        <v>-1969.8231580639999</v>
      </c>
    </row>
    <row r="21" spans="1:27" x14ac:dyDescent="0.2">
      <c r="A21">
        <v>1200</v>
      </c>
    </row>
    <row r="22" spans="1:27" x14ac:dyDescent="0.2">
      <c r="A22" t="s">
        <v>49</v>
      </c>
      <c r="B22" t="s">
        <v>41</v>
      </c>
      <c r="C22" t="s">
        <v>48</v>
      </c>
      <c r="D22" t="s">
        <v>1</v>
      </c>
      <c r="E22" t="s">
        <v>2</v>
      </c>
      <c r="F22" t="s">
        <v>3</v>
      </c>
      <c r="G22" t="s">
        <v>4</v>
      </c>
      <c r="H22" t="s">
        <v>5</v>
      </c>
      <c r="I22" t="s">
        <v>6</v>
      </c>
      <c r="J22" t="s">
        <v>7</v>
      </c>
      <c r="K22" t="s">
        <v>8</v>
      </c>
      <c r="L22" t="s">
        <v>9</v>
      </c>
      <c r="M22" t="s">
        <v>15</v>
      </c>
      <c r="N22" t="s">
        <v>16</v>
      </c>
      <c r="O22" t="s">
        <v>21</v>
      </c>
      <c r="R22">
        <v>0.5</v>
      </c>
    </row>
    <row r="24" spans="1:27" x14ac:dyDescent="0.2">
      <c r="R24" t="s">
        <v>24</v>
      </c>
      <c r="S24" t="s">
        <v>25</v>
      </c>
      <c r="T24" t="s">
        <v>26</v>
      </c>
      <c r="U24" t="s">
        <v>27</v>
      </c>
      <c r="V24" t="s">
        <v>28</v>
      </c>
      <c r="W24">
        <v>3</v>
      </c>
    </row>
    <row r="25" spans="1:27" x14ac:dyDescent="0.2">
      <c r="A25">
        <f>I25/SUM(I25:K25)</f>
        <v>1</v>
      </c>
      <c r="B25">
        <f t="shared" ref="B25:B35" si="9">J25/SUM(I25:J25)</f>
        <v>0</v>
      </c>
      <c r="C25">
        <f>K25/SUM(I25:K25)</f>
        <v>0</v>
      </c>
      <c r="D25">
        <v>200000</v>
      </c>
      <c r="E25">
        <v>1199.21</v>
      </c>
      <c r="F25">
        <v>-4143.99</v>
      </c>
      <c r="G25">
        <v>38874.300000000003</v>
      </c>
      <c r="H25">
        <v>2.8257599999999998</v>
      </c>
      <c r="I25">
        <v>800</v>
      </c>
      <c r="J25">
        <v>0</v>
      </c>
      <c r="K25">
        <v>0</v>
      </c>
      <c r="L25">
        <v>800</v>
      </c>
      <c r="M25">
        <f t="shared" ref="M25" si="10">I25*I$2+J25*J$2+K25*K$2+L25*L$2</f>
        <v>33912</v>
      </c>
      <c r="N25">
        <f t="shared" ref="N25" si="11">M25*(1.66054E-24)/(G25)/(1E-24)</f>
        <v>1.4485722567351693</v>
      </c>
      <c r="O25">
        <f t="shared" ref="O25" si="12">F25+SUM(I25:L25)*1.5*(0.000086173)*E25</f>
        <v>-3895.9751440079999</v>
      </c>
      <c r="R25" t="s">
        <v>24</v>
      </c>
      <c r="S25" t="s">
        <v>1</v>
      </c>
      <c r="T25" t="s">
        <v>2</v>
      </c>
      <c r="U25" t="s">
        <v>3</v>
      </c>
      <c r="V25" t="s">
        <v>4</v>
      </c>
      <c r="W25" t="s">
        <v>5</v>
      </c>
      <c r="X25" t="s">
        <v>6</v>
      </c>
      <c r="Y25" t="s">
        <v>7</v>
      </c>
      <c r="Z25" t="s">
        <v>8</v>
      </c>
      <c r="AA25" t="s">
        <v>9</v>
      </c>
    </row>
    <row r="26" spans="1:27" x14ac:dyDescent="0.2">
      <c r="A26">
        <f t="shared" ref="A26:A35" si="13">I26/SUM(I26:K26)</f>
        <v>0.9</v>
      </c>
      <c r="B26">
        <f t="shared" si="9"/>
        <v>0.1</v>
      </c>
      <c r="C26">
        <f t="shared" ref="C26:C35" si="14">K26/SUM(I26:K26)</f>
        <v>0</v>
      </c>
      <c r="D26">
        <v>200000</v>
      </c>
      <c r="E26" s="4">
        <v>1199.76</v>
      </c>
      <c r="F26">
        <v>-3978.74</v>
      </c>
      <c r="G26">
        <v>41564.5</v>
      </c>
      <c r="H26">
        <v>-0.69139799999999996</v>
      </c>
      <c r="I26">
        <v>720</v>
      </c>
      <c r="J26">
        <v>80</v>
      </c>
      <c r="K26">
        <v>0</v>
      </c>
      <c r="L26">
        <v>800</v>
      </c>
      <c r="M26">
        <f>I26*I$2+J26*J$2+K26*K$2+L26*L$2</f>
        <v>36484.640000000007</v>
      </c>
      <c r="N26">
        <f>M26*(1.66054E-24)/(G26)/(1E-24)</f>
        <v>1.4575949212813823</v>
      </c>
      <c r="O26">
        <f t="shared" ref="O26:O34" si="15">F26+SUM(I26:L26)*1.5*(0.000086173)*E26</f>
        <v>-3730.6113956479999</v>
      </c>
      <c r="R26">
        <v>1000</v>
      </c>
      <c r="S26">
        <v>1473.43</v>
      </c>
      <c r="T26">
        <v>-3203.62</v>
      </c>
      <c r="U26">
        <v>56895.5</v>
      </c>
      <c r="V26">
        <v>-1972.2</v>
      </c>
      <c r="W26">
        <v>400</v>
      </c>
      <c r="X26">
        <v>400</v>
      </c>
      <c r="Y26">
        <v>0</v>
      </c>
      <c r="Z26">
        <v>800</v>
      </c>
    </row>
    <row r="27" spans="1:27" x14ac:dyDescent="0.2">
      <c r="A27">
        <f t="shared" si="13"/>
        <v>0.8</v>
      </c>
      <c r="B27">
        <f t="shared" si="9"/>
        <v>0.2</v>
      </c>
      <c r="C27">
        <f t="shared" si="14"/>
        <v>0</v>
      </c>
      <c r="D27">
        <v>200000</v>
      </c>
      <c r="E27">
        <v>1200.72</v>
      </c>
      <c r="F27">
        <v>-3810.83</v>
      </c>
      <c r="G27">
        <v>44230.3</v>
      </c>
      <c r="H27">
        <v>3.77996</v>
      </c>
      <c r="I27">
        <v>640</v>
      </c>
      <c r="J27">
        <v>160</v>
      </c>
      <c r="K27">
        <v>0</v>
      </c>
      <c r="L27">
        <v>800</v>
      </c>
      <c r="M27">
        <f t="shared" ref="M27:M34" si="16">I27*I$2+J27*J$2+K27*K$2+L27*L$2</f>
        <v>39057.280000000006</v>
      </c>
      <c r="N27">
        <f t="shared" ref="N27:N34" si="17">M27*(1.66054E-24)/(G27)/(1E-24)</f>
        <v>1.466329094109694</v>
      </c>
      <c r="O27">
        <f t="shared" si="15"/>
        <v>-3562.5028530559998</v>
      </c>
      <c r="R27">
        <v>2000</v>
      </c>
      <c r="S27">
        <v>1473.09</v>
      </c>
      <c r="T27">
        <v>-3198.03</v>
      </c>
      <c r="U27">
        <v>56601.1</v>
      </c>
      <c r="V27">
        <v>309.012</v>
      </c>
      <c r="W27">
        <v>400</v>
      </c>
      <c r="X27">
        <v>400</v>
      </c>
      <c r="Y27">
        <v>0</v>
      </c>
      <c r="Z27">
        <v>800</v>
      </c>
    </row>
    <row r="28" spans="1:27" x14ac:dyDescent="0.2">
      <c r="A28">
        <f t="shared" si="13"/>
        <v>0.7</v>
      </c>
      <c r="B28">
        <f t="shared" si="9"/>
        <v>0.3</v>
      </c>
      <c r="C28">
        <f t="shared" si="14"/>
        <v>0</v>
      </c>
      <c r="D28">
        <v>200000</v>
      </c>
      <c r="E28">
        <v>1199</v>
      </c>
      <c r="F28">
        <v>-3641.68</v>
      </c>
      <c r="G28">
        <v>46819</v>
      </c>
      <c r="H28">
        <v>-1.83988</v>
      </c>
      <c r="I28">
        <v>560</v>
      </c>
      <c r="J28">
        <v>240</v>
      </c>
      <c r="K28">
        <v>0</v>
      </c>
      <c r="L28">
        <v>800</v>
      </c>
      <c r="M28">
        <f t="shared" si="16"/>
        <v>41629.920000000006</v>
      </c>
      <c r="N28">
        <f t="shared" si="17"/>
        <v>1.4764977329033087</v>
      </c>
      <c r="O28">
        <f t="shared" si="15"/>
        <v>-3393.7085751999998</v>
      </c>
      <c r="R28">
        <v>3000</v>
      </c>
      <c r="S28">
        <v>1498.99</v>
      </c>
      <c r="T28">
        <v>-3196.19</v>
      </c>
      <c r="U28">
        <v>56399.5</v>
      </c>
      <c r="V28">
        <v>-91.041700000000006</v>
      </c>
      <c r="W28">
        <v>400</v>
      </c>
      <c r="X28">
        <v>400</v>
      </c>
      <c r="Y28">
        <v>0</v>
      </c>
      <c r="Z28">
        <v>800</v>
      </c>
    </row>
    <row r="29" spans="1:27" x14ac:dyDescent="0.2">
      <c r="A29">
        <f t="shared" si="13"/>
        <v>0.6</v>
      </c>
      <c r="B29">
        <f t="shared" si="9"/>
        <v>0.4</v>
      </c>
      <c r="C29">
        <f t="shared" si="14"/>
        <v>0</v>
      </c>
      <c r="D29">
        <v>200000</v>
      </c>
      <c r="E29">
        <v>1199.56</v>
      </c>
      <c r="F29">
        <v>-3467.73</v>
      </c>
      <c r="G29">
        <v>49608.800000000003</v>
      </c>
      <c r="H29">
        <v>1.97126</v>
      </c>
      <c r="I29">
        <v>480</v>
      </c>
      <c r="J29">
        <v>320</v>
      </c>
      <c r="K29">
        <v>0</v>
      </c>
      <c r="L29">
        <v>800</v>
      </c>
      <c r="M29">
        <f t="shared" si="16"/>
        <v>44202.560000000005</v>
      </c>
      <c r="N29">
        <f t="shared" si="17"/>
        <v>1.4795786026350166</v>
      </c>
      <c r="O29">
        <f t="shared" si="15"/>
        <v>-3219.642758688</v>
      </c>
      <c r="R29">
        <v>4000</v>
      </c>
      <c r="S29">
        <v>1493.67</v>
      </c>
      <c r="T29">
        <v>-3201.95</v>
      </c>
      <c r="U29">
        <v>56149.1</v>
      </c>
      <c r="V29">
        <v>-654.56500000000005</v>
      </c>
      <c r="W29">
        <v>400</v>
      </c>
      <c r="X29">
        <v>400</v>
      </c>
      <c r="Y29">
        <v>0</v>
      </c>
      <c r="Z29">
        <v>800</v>
      </c>
    </row>
    <row r="30" spans="1:27" x14ac:dyDescent="0.2">
      <c r="A30">
        <f t="shared" si="13"/>
        <v>0.5</v>
      </c>
      <c r="B30">
        <f t="shared" si="9"/>
        <v>0.5</v>
      </c>
      <c r="C30">
        <f t="shared" si="14"/>
        <v>0</v>
      </c>
      <c r="D30">
        <v>200000</v>
      </c>
      <c r="E30" s="3">
        <v>1200.3599999999999</v>
      </c>
      <c r="F30">
        <v>-3291.82</v>
      </c>
      <c r="G30" s="3">
        <v>52299.1</v>
      </c>
      <c r="H30" s="3">
        <v>8.3335299999999997</v>
      </c>
      <c r="I30">
        <v>400</v>
      </c>
      <c r="J30">
        <v>400</v>
      </c>
      <c r="K30">
        <v>0</v>
      </c>
      <c r="L30">
        <v>800</v>
      </c>
      <c r="M30">
        <f t="shared" si="16"/>
        <v>46775.199999999997</v>
      </c>
      <c r="N30">
        <f t="shared" si="17"/>
        <v>1.4851515725509614</v>
      </c>
      <c r="O30">
        <f t="shared" si="15"/>
        <v>-3043.5673065280002</v>
      </c>
      <c r="R30">
        <v>5000</v>
      </c>
      <c r="S30">
        <v>1500.21</v>
      </c>
      <c r="T30">
        <v>-3184.84</v>
      </c>
      <c r="U30">
        <v>57698.8</v>
      </c>
      <c r="V30">
        <v>-1339.16</v>
      </c>
      <c r="W30">
        <v>400</v>
      </c>
      <c r="X30">
        <v>400</v>
      </c>
      <c r="Y30">
        <v>0</v>
      </c>
      <c r="Z30">
        <v>800</v>
      </c>
    </row>
    <row r="31" spans="1:27" x14ac:dyDescent="0.2">
      <c r="A31">
        <f t="shared" si="13"/>
        <v>0.4</v>
      </c>
      <c r="B31">
        <f t="shared" si="9"/>
        <v>0.6</v>
      </c>
      <c r="C31">
        <f t="shared" si="14"/>
        <v>0</v>
      </c>
      <c r="D31">
        <v>200000</v>
      </c>
      <c r="E31">
        <v>1200.1300000000001</v>
      </c>
      <c r="F31">
        <v>-3114.37</v>
      </c>
      <c r="G31">
        <v>55055.7</v>
      </c>
      <c r="H31">
        <v>8.3948900000000002</v>
      </c>
      <c r="I31">
        <v>320</v>
      </c>
      <c r="J31">
        <v>480</v>
      </c>
      <c r="K31">
        <v>0</v>
      </c>
      <c r="L31">
        <v>800</v>
      </c>
      <c r="M31">
        <f t="shared" si="16"/>
        <v>49347.840000000004</v>
      </c>
      <c r="N31">
        <f t="shared" si="17"/>
        <v>1.4883847128199261</v>
      </c>
      <c r="O31">
        <f t="shared" si="15"/>
        <v>-2866.1648740239998</v>
      </c>
      <c r="R31">
        <v>6000</v>
      </c>
      <c r="S31">
        <v>1482.7</v>
      </c>
      <c r="T31">
        <v>-3199.41</v>
      </c>
      <c r="U31">
        <v>56430.3</v>
      </c>
      <c r="V31">
        <v>-1411.48</v>
      </c>
      <c r="W31">
        <v>400</v>
      </c>
      <c r="X31">
        <v>400</v>
      </c>
      <c r="Y31">
        <v>0</v>
      </c>
      <c r="Z31">
        <v>800</v>
      </c>
    </row>
    <row r="32" spans="1:27" x14ac:dyDescent="0.2">
      <c r="A32">
        <f t="shared" si="13"/>
        <v>0.3</v>
      </c>
      <c r="B32">
        <f t="shared" si="9"/>
        <v>0.7</v>
      </c>
      <c r="C32">
        <f t="shared" si="14"/>
        <v>0</v>
      </c>
      <c r="D32">
        <v>200000</v>
      </c>
      <c r="E32">
        <v>1200.3</v>
      </c>
      <c r="F32">
        <v>-2932.4</v>
      </c>
      <c r="G32">
        <v>57933.9</v>
      </c>
      <c r="H32">
        <v>-1.21455</v>
      </c>
      <c r="I32">
        <v>240</v>
      </c>
      <c r="J32">
        <v>560</v>
      </c>
      <c r="K32">
        <v>0</v>
      </c>
      <c r="L32">
        <v>800</v>
      </c>
      <c r="M32">
        <f t="shared" si="16"/>
        <v>51920.480000000003</v>
      </c>
      <c r="N32">
        <f t="shared" si="17"/>
        <v>1.4881793536979215</v>
      </c>
      <c r="O32">
        <f t="shared" si="15"/>
        <v>-2684.1597154400001</v>
      </c>
      <c r="R32">
        <v>7000</v>
      </c>
      <c r="S32">
        <v>1519.53</v>
      </c>
      <c r="T32">
        <v>-3193.17</v>
      </c>
      <c r="U32">
        <v>56880.1</v>
      </c>
      <c r="V32">
        <v>1182.8499999999999</v>
      </c>
      <c r="W32">
        <v>400</v>
      </c>
      <c r="X32">
        <v>400</v>
      </c>
      <c r="Y32">
        <v>0</v>
      </c>
      <c r="Z32">
        <v>800</v>
      </c>
    </row>
    <row r="33" spans="1:26" x14ac:dyDescent="0.2">
      <c r="A33">
        <f t="shared" si="13"/>
        <v>0.2</v>
      </c>
      <c r="B33">
        <f t="shared" si="9"/>
        <v>0.8</v>
      </c>
      <c r="C33">
        <f t="shared" si="14"/>
        <v>0</v>
      </c>
      <c r="D33">
        <v>200000</v>
      </c>
      <c r="E33">
        <v>1198.98</v>
      </c>
      <c r="F33">
        <v>-2750.95</v>
      </c>
      <c r="G33">
        <v>60725.3</v>
      </c>
      <c r="H33">
        <v>2.20811</v>
      </c>
      <c r="I33">
        <v>160</v>
      </c>
      <c r="J33">
        <v>640</v>
      </c>
      <c r="K33">
        <v>0</v>
      </c>
      <c r="L33">
        <v>800</v>
      </c>
      <c r="M33">
        <f t="shared" si="16"/>
        <v>54493.12000000001</v>
      </c>
      <c r="N33">
        <f t="shared" si="17"/>
        <v>1.4901203532102767</v>
      </c>
      <c r="O33">
        <f t="shared" si="15"/>
        <v>-2502.9827115039998</v>
      </c>
      <c r="R33">
        <v>8000</v>
      </c>
      <c r="S33">
        <v>1501.49</v>
      </c>
      <c r="T33">
        <v>-3201.7</v>
      </c>
      <c r="U33">
        <v>55978.5</v>
      </c>
      <c r="V33">
        <v>814.58</v>
      </c>
      <c r="W33">
        <v>400</v>
      </c>
      <c r="X33">
        <v>400</v>
      </c>
      <c r="Y33">
        <v>0</v>
      </c>
      <c r="Z33">
        <v>800</v>
      </c>
    </row>
    <row r="34" spans="1:26" x14ac:dyDescent="0.2">
      <c r="A34">
        <f t="shared" si="13"/>
        <v>0.1</v>
      </c>
      <c r="B34">
        <f t="shared" si="9"/>
        <v>0.9</v>
      </c>
      <c r="C34">
        <f t="shared" si="14"/>
        <v>0</v>
      </c>
      <c r="D34">
        <v>200000</v>
      </c>
      <c r="E34">
        <v>1200.9100000000001</v>
      </c>
      <c r="F34">
        <v>-2565.33</v>
      </c>
      <c r="G34">
        <v>63549.8</v>
      </c>
      <c r="H34">
        <v>0.38298300000000002</v>
      </c>
      <c r="I34">
        <v>80</v>
      </c>
      <c r="J34">
        <v>720</v>
      </c>
      <c r="K34">
        <v>0</v>
      </c>
      <c r="L34">
        <v>800</v>
      </c>
      <c r="M34">
        <f t="shared" si="16"/>
        <v>57065.760000000002</v>
      </c>
      <c r="N34">
        <f t="shared" si="17"/>
        <v>1.4911136952500244</v>
      </c>
      <c r="O34">
        <f t="shared" si="15"/>
        <v>-2316.963558168</v>
      </c>
      <c r="R34">
        <v>9000</v>
      </c>
      <c r="S34">
        <v>1493.66</v>
      </c>
      <c r="T34">
        <v>-3200.15</v>
      </c>
      <c r="U34">
        <v>55749</v>
      </c>
      <c r="V34">
        <v>1313.92</v>
      </c>
      <c r="W34">
        <v>400</v>
      </c>
      <c r="X34">
        <v>400</v>
      </c>
      <c r="Y34">
        <v>0</v>
      </c>
      <c r="Z34">
        <v>800</v>
      </c>
    </row>
    <row r="35" spans="1:26" x14ac:dyDescent="0.2">
      <c r="A35">
        <f t="shared" si="13"/>
        <v>0</v>
      </c>
      <c r="B35">
        <f t="shared" si="9"/>
        <v>1</v>
      </c>
      <c r="C35">
        <f t="shared" si="14"/>
        <v>0</v>
      </c>
      <c r="D35">
        <v>200000</v>
      </c>
      <c r="E35">
        <v>1200.07</v>
      </c>
      <c r="F35">
        <v>-2379.2800000000002</v>
      </c>
      <c r="G35">
        <v>66494.7</v>
      </c>
      <c r="H35">
        <v>4.3596899999999996</v>
      </c>
      <c r="I35">
        <v>0</v>
      </c>
      <c r="J35">
        <v>800</v>
      </c>
      <c r="K35">
        <v>0</v>
      </c>
      <c r="L35">
        <v>800</v>
      </c>
      <c r="M35">
        <f>I35*I$2+J35*J$2+K35*K$2+L35*L$2</f>
        <v>59638.400000000001</v>
      </c>
      <c r="N35">
        <f>M35*(1.66054E-24)/(G35)/(1E-24)</f>
        <v>1.4893209343902598</v>
      </c>
      <c r="O35">
        <f>F35+SUM(I35:L35)*1.5*(0.000086173)*E35</f>
        <v>-2131.0872829360001</v>
      </c>
      <c r="R35">
        <v>10000</v>
      </c>
      <c r="S35">
        <v>1476.23</v>
      </c>
      <c r="T35">
        <v>-3197.44</v>
      </c>
      <c r="U35">
        <v>56462.3</v>
      </c>
      <c r="V35">
        <v>-467.32499999999999</v>
      </c>
      <c r="W35">
        <v>400</v>
      </c>
      <c r="X35">
        <v>400</v>
      </c>
      <c r="Y35">
        <v>0</v>
      </c>
      <c r="Z35">
        <v>800</v>
      </c>
    </row>
    <row r="36" spans="1:26" x14ac:dyDescent="0.2">
      <c r="R36">
        <v>11000</v>
      </c>
      <c r="S36">
        <v>1499.43</v>
      </c>
      <c r="T36">
        <v>-3199.06</v>
      </c>
      <c r="U36">
        <v>56382.2</v>
      </c>
      <c r="V36">
        <v>26.623200000000001</v>
      </c>
      <c r="W36">
        <v>400</v>
      </c>
      <c r="X36">
        <v>400</v>
      </c>
      <c r="Y36">
        <v>0</v>
      </c>
      <c r="Z36">
        <v>800</v>
      </c>
    </row>
    <row r="37" spans="1:26" x14ac:dyDescent="0.2">
      <c r="R37">
        <v>12000</v>
      </c>
      <c r="S37">
        <v>1493.21</v>
      </c>
      <c r="T37">
        <v>-3194.6</v>
      </c>
      <c r="U37">
        <v>56343.7</v>
      </c>
      <c r="V37">
        <v>-428.85199999999998</v>
      </c>
      <c r="W37">
        <v>400</v>
      </c>
      <c r="X37">
        <v>400</v>
      </c>
      <c r="Y37">
        <v>0</v>
      </c>
      <c r="Z37">
        <v>800</v>
      </c>
    </row>
    <row r="38" spans="1:26" x14ac:dyDescent="0.2">
      <c r="R38">
        <v>13000</v>
      </c>
      <c r="S38">
        <v>1484.19</v>
      </c>
      <c r="T38">
        <v>-3187.86</v>
      </c>
      <c r="U38">
        <v>57793.3</v>
      </c>
      <c r="V38">
        <v>-1545.77</v>
      </c>
      <c r="W38">
        <v>400</v>
      </c>
      <c r="X38">
        <v>400</v>
      </c>
      <c r="Y38">
        <v>0</v>
      </c>
      <c r="Z38">
        <v>800</v>
      </c>
    </row>
    <row r="39" spans="1:26" x14ac:dyDescent="0.2">
      <c r="D39">
        <v>1500</v>
      </c>
      <c r="E39">
        <v>1200</v>
      </c>
      <c r="H39" t="s">
        <v>59</v>
      </c>
      <c r="R39">
        <v>14000</v>
      </c>
      <c r="S39">
        <v>1515.69</v>
      </c>
      <c r="T39">
        <v>-3206.52</v>
      </c>
      <c r="U39">
        <v>56593</v>
      </c>
      <c r="V39">
        <v>-618.05700000000002</v>
      </c>
      <c r="W39">
        <v>400</v>
      </c>
      <c r="X39">
        <v>400</v>
      </c>
      <c r="Y39">
        <v>0</v>
      </c>
      <c r="Z39">
        <v>800</v>
      </c>
    </row>
    <row r="40" spans="1:26" x14ac:dyDescent="0.2">
      <c r="D40">
        <v>-3753.1734516400002</v>
      </c>
      <c r="E40">
        <v>-3895.9751440079999</v>
      </c>
      <c r="F40" cm="1">
        <f t="array" ref="F40:G40">LINEST(D40:E40,$D$39:$E$39)</f>
        <v>0.47600564122666578</v>
      </c>
      <c r="G40">
        <v>-4467.1819134799989</v>
      </c>
      <c r="H40">
        <f>F40/SUM(I25:K25)*(1.602E-19)*(6.022E+23)</f>
        <v>57.401782078626297</v>
      </c>
      <c r="R40">
        <v>15000</v>
      </c>
      <c r="S40">
        <v>1523.86</v>
      </c>
      <c r="T40">
        <v>-3190.16</v>
      </c>
      <c r="U40">
        <v>55801.8</v>
      </c>
      <c r="V40">
        <v>866.63400000000001</v>
      </c>
      <c r="W40">
        <v>400</v>
      </c>
      <c r="X40">
        <v>400</v>
      </c>
      <c r="Y40">
        <v>0</v>
      </c>
      <c r="Z40">
        <v>800</v>
      </c>
    </row>
    <row r="41" spans="1:26" x14ac:dyDescent="0.2">
      <c r="D41">
        <v>-3584.9158841440003</v>
      </c>
      <c r="E41">
        <v>-3730.6113956479999</v>
      </c>
      <c r="F41" cm="1">
        <f t="array" ref="F41:G41">LINEST(D41:E41,$D$39:$E$39)</f>
        <v>0.48565170501333182</v>
      </c>
      <c r="G41">
        <v>-4313.3934416639986</v>
      </c>
      <c r="H41">
        <f t="shared" ref="H41:H50" si="18">F41/SUM(I26:K26)*(1.602E-19)*(6.022E+23)</f>
        <v>58.565006215995439</v>
      </c>
      <c r="R41">
        <v>16000</v>
      </c>
      <c r="S41">
        <v>1486.91</v>
      </c>
      <c r="T41">
        <v>-3201.82</v>
      </c>
      <c r="U41">
        <v>56615.6</v>
      </c>
      <c r="V41">
        <v>-1467.63</v>
      </c>
      <c r="W41">
        <v>400</v>
      </c>
      <c r="X41">
        <v>400</v>
      </c>
      <c r="Y41">
        <v>0</v>
      </c>
      <c r="Z41">
        <v>800</v>
      </c>
    </row>
    <row r="42" spans="1:26" x14ac:dyDescent="0.2">
      <c r="D42">
        <v>-3415.3668592399999</v>
      </c>
      <c r="E42">
        <v>-3562.5028530559998</v>
      </c>
      <c r="F42" cm="1">
        <f t="array" ref="F42:G42">LINEST(D42:E42,$D$39:$E$39)</f>
        <v>0.49045331271999965</v>
      </c>
      <c r="G42">
        <v>-4151.0468283199998</v>
      </c>
      <c r="H42">
        <f t="shared" si="18"/>
        <v>59.14403473022675</v>
      </c>
      <c r="R42">
        <v>17000</v>
      </c>
      <c r="S42">
        <v>1472.65</v>
      </c>
      <c r="T42">
        <v>-3198.81</v>
      </c>
      <c r="U42">
        <v>56194.400000000001</v>
      </c>
      <c r="V42">
        <v>122.866</v>
      </c>
      <c r="W42">
        <v>400</v>
      </c>
      <c r="X42">
        <v>400</v>
      </c>
      <c r="Y42">
        <v>0</v>
      </c>
      <c r="Z42">
        <v>800</v>
      </c>
    </row>
    <row r="43" spans="1:26" x14ac:dyDescent="0.2">
      <c r="D43">
        <v>-3241.3592917440001</v>
      </c>
      <c r="E43">
        <v>-3393.7085751999998</v>
      </c>
      <c r="F43" cm="1">
        <f t="array" ref="F43:G43">LINEST(D43:E43,$D$39:$E$39)</f>
        <v>0.50783094485333269</v>
      </c>
      <c r="G43">
        <v>-4003.1057090239992</v>
      </c>
      <c r="H43">
        <f t="shared" si="18"/>
        <v>61.239612946883064</v>
      </c>
      <c r="R43">
        <v>18000</v>
      </c>
      <c r="S43">
        <v>1537.21</v>
      </c>
      <c r="T43">
        <v>-3202</v>
      </c>
      <c r="U43">
        <v>55695.5</v>
      </c>
      <c r="V43">
        <v>463.517</v>
      </c>
      <c r="W43">
        <v>400</v>
      </c>
      <c r="X43">
        <v>400</v>
      </c>
      <c r="Y43">
        <v>0</v>
      </c>
      <c r="Z43">
        <v>800</v>
      </c>
    </row>
    <row r="44" spans="1:26" x14ac:dyDescent="0.2">
      <c r="D44">
        <v>-3066.2533808640001</v>
      </c>
      <c r="E44">
        <v>-3219.642758688</v>
      </c>
      <c r="F44" cm="1">
        <f t="array" ref="F44:G44">LINEST(D44:E44,$D$39:$E$39)</f>
        <v>0.5112979260799998</v>
      </c>
      <c r="G44">
        <v>-3833.2002699839995</v>
      </c>
      <c r="H44">
        <f t="shared" si="18"/>
        <v>61.657698119846522</v>
      </c>
      <c r="R44">
        <v>19000</v>
      </c>
      <c r="S44">
        <v>1475.33</v>
      </c>
      <c r="T44">
        <v>-3201.54</v>
      </c>
      <c r="U44">
        <v>56295.6</v>
      </c>
      <c r="V44">
        <v>-963.10799999999995</v>
      </c>
      <c r="W44">
        <v>400</v>
      </c>
      <c r="X44">
        <v>400</v>
      </c>
      <c r="Y44">
        <v>0</v>
      </c>
      <c r="Z44">
        <v>800</v>
      </c>
    </row>
    <row r="45" spans="1:26" x14ac:dyDescent="0.2">
      <c r="D45">
        <v>-2888.8282694639997</v>
      </c>
      <c r="E45">
        <v>-3043.5673065280002</v>
      </c>
      <c r="F45" cm="1">
        <f t="array" ref="F45:G45">LINEST(D45:E45,$D$39:$E$39)</f>
        <v>0.51579679021333513</v>
      </c>
      <c r="G45">
        <v>-3662.5234547840023</v>
      </c>
      <c r="H45">
        <f t="shared" si="18"/>
        <v>62.200218620060703</v>
      </c>
      <c r="R45">
        <v>20000</v>
      </c>
      <c r="S45">
        <v>1522.92</v>
      </c>
      <c r="T45">
        <v>-3200.29</v>
      </c>
      <c r="U45">
        <v>56898.7</v>
      </c>
      <c r="V45">
        <v>-342.32900000000001</v>
      </c>
      <c r="W45">
        <v>400</v>
      </c>
      <c r="X45">
        <v>400</v>
      </c>
      <c r="Y45">
        <v>0</v>
      </c>
      <c r="Z45">
        <v>800</v>
      </c>
    </row>
    <row r="46" spans="1:26" x14ac:dyDescent="0.2">
      <c r="D46">
        <v>-2708.2376587200001</v>
      </c>
      <c r="E46">
        <v>-2866.1648740239998</v>
      </c>
      <c r="F46" cm="1">
        <f t="array" ref="F46:G46">LINEST(D46:E46,$D$39:$E$39)</f>
        <v>0.52642405101333245</v>
      </c>
      <c r="G46">
        <v>-3497.8737352399985</v>
      </c>
      <c r="H46">
        <f>F46/SUM(I31:K31)*(1.602E-19)*(6.022E+23)</f>
        <v>63.481765844925825</v>
      </c>
      <c r="R46">
        <v>21000</v>
      </c>
      <c r="S46">
        <v>1545.99</v>
      </c>
      <c r="T46">
        <v>-3193.61</v>
      </c>
      <c r="U46">
        <v>56066.9</v>
      </c>
      <c r="V46">
        <v>2633.64</v>
      </c>
      <c r="W46">
        <v>400</v>
      </c>
      <c r="X46">
        <v>400</v>
      </c>
      <c r="Y46">
        <v>0</v>
      </c>
      <c r="Z46">
        <v>800</v>
      </c>
    </row>
    <row r="47" spans="1:26" x14ac:dyDescent="0.2">
      <c r="D47">
        <v>-2526.174426736</v>
      </c>
      <c r="E47">
        <v>-2684.1597154400001</v>
      </c>
      <c r="F47" cm="1">
        <f t="array" ref="F47:G47">LINEST(D47:E47,$D$39:$E$39)</f>
        <v>0.52661762901333398</v>
      </c>
      <c r="G47">
        <v>-3316.1008702560007</v>
      </c>
      <c r="H47">
        <f>F47/SUM(I32:K32)*(1.602E-19)*(6.022E+23)</f>
        <v>63.50510952241391</v>
      </c>
      <c r="R47">
        <v>22000</v>
      </c>
      <c r="S47">
        <v>1516.18</v>
      </c>
      <c r="T47">
        <v>-3190.56</v>
      </c>
      <c r="U47">
        <v>57575.5</v>
      </c>
      <c r="V47">
        <v>14.0024</v>
      </c>
      <c r="W47">
        <v>400</v>
      </c>
      <c r="X47">
        <v>400</v>
      </c>
      <c r="Y47">
        <v>0</v>
      </c>
      <c r="Z47">
        <v>800</v>
      </c>
    </row>
    <row r="48" spans="1:26" x14ac:dyDescent="0.2">
      <c r="D48">
        <v>-2341.2169300160003</v>
      </c>
      <c r="E48">
        <v>-2502.9827115039998</v>
      </c>
      <c r="F48" cm="1">
        <f t="array" ref="F48:G48">LINEST(D48:E48,$D$39:$E$39)</f>
        <v>0.53921927162666494</v>
      </c>
      <c r="G48">
        <v>-3150.0458374559976</v>
      </c>
      <c r="H48">
        <f t="shared" si="18"/>
        <v>65.024748536058922</v>
      </c>
      <c r="R48">
        <v>23000</v>
      </c>
      <c r="S48">
        <v>1505.52</v>
      </c>
      <c r="T48">
        <v>-3196.35</v>
      </c>
      <c r="U48">
        <v>56254.8</v>
      </c>
      <c r="V48">
        <v>119.79</v>
      </c>
      <c r="W48">
        <v>400</v>
      </c>
      <c r="X48">
        <v>400</v>
      </c>
      <c r="Y48">
        <v>0</v>
      </c>
      <c r="Z48">
        <v>800</v>
      </c>
    </row>
    <row r="49" spans="4:26" x14ac:dyDescent="0.2">
      <c r="D49">
        <v>-2157.0046967200001</v>
      </c>
      <c r="E49">
        <v>-2316.963558168</v>
      </c>
      <c r="F49" cm="1">
        <f t="array" ref="F49:G49">LINEST(D49:E49,$D$39:$E$39)</f>
        <v>0.53319620482666641</v>
      </c>
      <c r="G49">
        <v>-2956.7990039599999</v>
      </c>
      <c r="H49">
        <f t="shared" si="18"/>
        <v>64.298423597960365</v>
      </c>
      <c r="R49">
        <v>24000</v>
      </c>
      <c r="S49">
        <v>1456.85</v>
      </c>
      <c r="T49">
        <v>-3207.23</v>
      </c>
      <c r="U49">
        <v>55942.1</v>
      </c>
      <c r="V49">
        <v>-232.40299999999999</v>
      </c>
      <c r="W49">
        <v>400</v>
      </c>
      <c r="X49">
        <v>400</v>
      </c>
      <c r="Y49">
        <v>0</v>
      </c>
      <c r="Z49">
        <v>800</v>
      </c>
    </row>
    <row r="50" spans="4:26" x14ac:dyDescent="0.2">
      <c r="D50">
        <v>-1969.8231580639999</v>
      </c>
      <c r="E50">
        <v>-2131.0872829360001</v>
      </c>
      <c r="F50" cm="1">
        <f t="array" ref="F50:G50">LINEST(D50:E50,$D$39:$E$39)</f>
        <v>0.5375470829066672</v>
      </c>
      <c r="G50">
        <v>-2776.1437824240006</v>
      </c>
      <c r="H50">
        <f t="shared" si="18"/>
        <v>64.823098378610595</v>
      </c>
      <c r="R50">
        <v>25000</v>
      </c>
      <c r="S50">
        <v>1505.92</v>
      </c>
      <c r="T50">
        <v>-3205.97</v>
      </c>
      <c r="U50">
        <v>55757.7</v>
      </c>
      <c r="V50">
        <v>1332.36</v>
      </c>
      <c r="W50">
        <v>400</v>
      </c>
      <c r="X50">
        <v>400</v>
      </c>
      <c r="Y50">
        <v>0</v>
      </c>
      <c r="Z50">
        <v>800</v>
      </c>
    </row>
    <row r="51" spans="4:26" x14ac:dyDescent="0.2">
      <c r="R51">
        <v>26000</v>
      </c>
      <c r="S51">
        <v>1496.34</v>
      </c>
      <c r="T51">
        <v>-3190.69</v>
      </c>
      <c r="U51">
        <v>56528.7</v>
      </c>
      <c r="V51">
        <v>865.49400000000003</v>
      </c>
      <c r="W51">
        <v>400</v>
      </c>
      <c r="X51">
        <v>400</v>
      </c>
      <c r="Y51">
        <v>0</v>
      </c>
      <c r="Z51">
        <v>800</v>
      </c>
    </row>
    <row r="52" spans="4:26" x14ac:dyDescent="0.2">
      <c r="R52">
        <v>27000</v>
      </c>
      <c r="S52">
        <v>1514.12</v>
      </c>
      <c r="T52">
        <v>-3195.82</v>
      </c>
      <c r="U52">
        <v>56282.9</v>
      </c>
      <c r="V52">
        <v>-114.267</v>
      </c>
      <c r="W52">
        <v>400</v>
      </c>
      <c r="X52">
        <v>400</v>
      </c>
      <c r="Y52">
        <v>0</v>
      </c>
      <c r="Z52">
        <v>800</v>
      </c>
    </row>
    <row r="53" spans="4:26" x14ac:dyDescent="0.2">
      <c r="R53">
        <v>28000</v>
      </c>
      <c r="S53">
        <v>1521.83</v>
      </c>
      <c r="T53">
        <v>-3200.24</v>
      </c>
      <c r="U53">
        <v>55669.7</v>
      </c>
      <c r="V53">
        <v>2336.5100000000002</v>
      </c>
      <c r="W53">
        <v>400</v>
      </c>
      <c r="X53">
        <v>400</v>
      </c>
      <c r="Y53">
        <v>0</v>
      </c>
      <c r="Z53">
        <v>800</v>
      </c>
    </row>
    <row r="54" spans="4:26" x14ac:dyDescent="0.2">
      <c r="R54">
        <v>29000</v>
      </c>
      <c r="S54">
        <v>1496.69</v>
      </c>
      <c r="T54">
        <v>-3192.9</v>
      </c>
      <c r="U54">
        <v>56721.9</v>
      </c>
      <c r="V54">
        <v>-510.48200000000003</v>
      </c>
      <c r="W54">
        <v>400</v>
      </c>
      <c r="X54">
        <v>400</v>
      </c>
      <c r="Y54">
        <v>0</v>
      </c>
      <c r="Z54">
        <v>800</v>
      </c>
    </row>
    <row r="55" spans="4:26" x14ac:dyDescent="0.2">
      <c r="R55">
        <v>30000</v>
      </c>
      <c r="S55">
        <v>1472.23</v>
      </c>
      <c r="T55">
        <v>-3202.99</v>
      </c>
      <c r="U55">
        <v>55654.2</v>
      </c>
      <c r="V55">
        <v>1224.73</v>
      </c>
      <c r="W55">
        <v>400</v>
      </c>
      <c r="X55">
        <v>400</v>
      </c>
      <c r="Y55">
        <v>0</v>
      </c>
      <c r="Z55">
        <v>800</v>
      </c>
    </row>
    <row r="56" spans="4:26" x14ac:dyDescent="0.2">
      <c r="R56">
        <v>31000</v>
      </c>
      <c r="S56">
        <v>1453.57</v>
      </c>
      <c r="T56">
        <v>-3197.87</v>
      </c>
      <c r="U56">
        <v>56682.5</v>
      </c>
      <c r="V56">
        <v>851.19799999999998</v>
      </c>
      <c r="W56">
        <v>400</v>
      </c>
      <c r="X56">
        <v>400</v>
      </c>
      <c r="Y56">
        <v>0</v>
      </c>
      <c r="Z56">
        <v>800</v>
      </c>
    </row>
    <row r="57" spans="4:26" x14ac:dyDescent="0.2">
      <c r="R57">
        <v>32000</v>
      </c>
      <c r="S57">
        <v>1495.45</v>
      </c>
      <c r="T57">
        <v>-3191.89</v>
      </c>
      <c r="U57">
        <v>58000.2</v>
      </c>
      <c r="V57">
        <v>-1658.66</v>
      </c>
      <c r="W57">
        <v>400</v>
      </c>
      <c r="X57">
        <v>400</v>
      </c>
      <c r="Y57">
        <v>0</v>
      </c>
      <c r="Z57">
        <v>800</v>
      </c>
    </row>
    <row r="58" spans="4:26" x14ac:dyDescent="0.2">
      <c r="R58">
        <v>33000</v>
      </c>
      <c r="S58">
        <v>1511.04</v>
      </c>
      <c r="T58">
        <v>-3190.84</v>
      </c>
      <c r="U58">
        <v>56794.3</v>
      </c>
      <c r="V58">
        <v>41.790500000000002</v>
      </c>
      <c r="W58">
        <v>400</v>
      </c>
      <c r="X58">
        <v>400</v>
      </c>
      <c r="Y58">
        <v>0</v>
      </c>
      <c r="Z58">
        <v>800</v>
      </c>
    </row>
    <row r="59" spans="4:26" x14ac:dyDescent="0.2">
      <c r="R59">
        <v>34000</v>
      </c>
      <c r="S59">
        <v>1515.55</v>
      </c>
      <c r="T59">
        <v>-3200.68</v>
      </c>
      <c r="U59">
        <v>55742.6</v>
      </c>
      <c r="V59">
        <v>1061.98</v>
      </c>
      <c r="W59">
        <v>400</v>
      </c>
      <c r="X59">
        <v>400</v>
      </c>
      <c r="Y59">
        <v>0</v>
      </c>
      <c r="Z59">
        <v>800</v>
      </c>
    </row>
    <row r="60" spans="4:26" x14ac:dyDescent="0.2">
      <c r="R60">
        <v>35000</v>
      </c>
      <c r="S60">
        <v>1515.88</v>
      </c>
      <c r="T60">
        <v>-3206.32</v>
      </c>
      <c r="U60">
        <v>56517.599999999999</v>
      </c>
      <c r="V60">
        <v>557.35500000000002</v>
      </c>
      <c r="W60">
        <v>400</v>
      </c>
      <c r="X60">
        <v>400</v>
      </c>
      <c r="Y60">
        <v>0</v>
      </c>
      <c r="Z60">
        <v>800</v>
      </c>
    </row>
    <row r="61" spans="4:26" x14ac:dyDescent="0.2">
      <c r="R61">
        <v>36000</v>
      </c>
      <c r="S61">
        <v>1478.01</v>
      </c>
      <c r="T61">
        <v>-3191.43</v>
      </c>
      <c r="U61">
        <v>56989.2</v>
      </c>
      <c r="V61">
        <v>-663.52800000000002</v>
      </c>
      <c r="W61">
        <v>400</v>
      </c>
      <c r="X61">
        <v>400</v>
      </c>
      <c r="Y61">
        <v>0</v>
      </c>
      <c r="Z61">
        <v>800</v>
      </c>
    </row>
    <row r="62" spans="4:26" x14ac:dyDescent="0.2">
      <c r="R62">
        <v>37000</v>
      </c>
      <c r="S62">
        <v>1518.97</v>
      </c>
      <c r="T62">
        <v>-3209.55</v>
      </c>
      <c r="U62">
        <v>55837.5</v>
      </c>
      <c r="V62">
        <v>1402.74</v>
      </c>
      <c r="W62">
        <v>400</v>
      </c>
      <c r="X62">
        <v>400</v>
      </c>
      <c r="Y62">
        <v>0</v>
      </c>
      <c r="Z62">
        <v>800</v>
      </c>
    </row>
    <row r="63" spans="4:26" x14ac:dyDescent="0.2">
      <c r="R63">
        <v>38000</v>
      </c>
      <c r="S63">
        <v>1488.72</v>
      </c>
      <c r="T63">
        <v>-3202.14</v>
      </c>
      <c r="U63">
        <v>56265.599999999999</v>
      </c>
      <c r="V63">
        <v>-916.03800000000001</v>
      </c>
      <c r="W63">
        <v>400</v>
      </c>
      <c r="X63">
        <v>400</v>
      </c>
      <c r="Y63">
        <v>0</v>
      </c>
      <c r="Z63">
        <v>800</v>
      </c>
    </row>
    <row r="64" spans="4:26" x14ac:dyDescent="0.2">
      <c r="R64">
        <v>39000</v>
      </c>
      <c r="S64">
        <v>1502.64</v>
      </c>
      <c r="T64">
        <v>-3206.73</v>
      </c>
      <c r="U64">
        <v>56268.7</v>
      </c>
      <c r="V64">
        <v>451.76299999999998</v>
      </c>
      <c r="W64">
        <v>400</v>
      </c>
      <c r="X64">
        <v>400</v>
      </c>
      <c r="Y64">
        <v>0</v>
      </c>
      <c r="Z64">
        <v>800</v>
      </c>
    </row>
    <row r="65" spans="18:26" x14ac:dyDescent="0.2">
      <c r="R65">
        <v>40000</v>
      </c>
      <c r="S65">
        <v>1510.73</v>
      </c>
      <c r="T65">
        <v>-3201.04</v>
      </c>
      <c r="U65">
        <v>56386.9</v>
      </c>
      <c r="V65">
        <v>-307.09300000000002</v>
      </c>
      <c r="W65">
        <v>400</v>
      </c>
      <c r="X65">
        <v>400</v>
      </c>
      <c r="Y65">
        <v>0</v>
      </c>
      <c r="Z65">
        <v>800</v>
      </c>
    </row>
    <row r="66" spans="18:26" x14ac:dyDescent="0.2">
      <c r="R66">
        <v>41000</v>
      </c>
      <c r="S66">
        <v>1462.92</v>
      </c>
      <c r="T66">
        <v>-3208.84</v>
      </c>
      <c r="U66">
        <v>55999.5</v>
      </c>
      <c r="V66">
        <v>-209.142</v>
      </c>
      <c r="W66">
        <v>400</v>
      </c>
      <c r="X66">
        <v>400</v>
      </c>
      <c r="Y66">
        <v>0</v>
      </c>
      <c r="Z66">
        <v>800</v>
      </c>
    </row>
    <row r="67" spans="18:26" x14ac:dyDescent="0.2">
      <c r="R67">
        <v>42000</v>
      </c>
      <c r="S67">
        <v>1524.48</v>
      </c>
      <c r="T67">
        <v>-3191.61</v>
      </c>
      <c r="U67">
        <v>57095.4</v>
      </c>
      <c r="V67">
        <v>-1086.49</v>
      </c>
      <c r="W67">
        <v>400</v>
      </c>
      <c r="X67">
        <v>400</v>
      </c>
      <c r="Y67">
        <v>0</v>
      </c>
      <c r="Z67">
        <v>800</v>
      </c>
    </row>
    <row r="68" spans="18:26" x14ac:dyDescent="0.2">
      <c r="R68">
        <v>43000</v>
      </c>
      <c r="S68">
        <v>1464.55</v>
      </c>
      <c r="T68">
        <v>-3187.46</v>
      </c>
      <c r="U68">
        <v>57515.8</v>
      </c>
      <c r="V68">
        <v>-757.40200000000004</v>
      </c>
      <c r="W68">
        <v>400</v>
      </c>
      <c r="X68">
        <v>400</v>
      </c>
      <c r="Y68">
        <v>0</v>
      </c>
      <c r="Z68">
        <v>800</v>
      </c>
    </row>
    <row r="69" spans="18:26" x14ac:dyDescent="0.2">
      <c r="R69">
        <v>44000</v>
      </c>
      <c r="S69">
        <v>1511.01</v>
      </c>
      <c r="T69">
        <v>-3187.26</v>
      </c>
      <c r="U69">
        <v>56936.800000000003</v>
      </c>
      <c r="V69">
        <v>-682.58900000000006</v>
      </c>
      <c r="W69">
        <v>400</v>
      </c>
      <c r="X69">
        <v>400</v>
      </c>
      <c r="Y69">
        <v>0</v>
      </c>
      <c r="Z69">
        <v>800</v>
      </c>
    </row>
    <row r="70" spans="18:26" x14ac:dyDescent="0.2">
      <c r="R70">
        <v>45000</v>
      </c>
      <c r="S70">
        <v>1538.15</v>
      </c>
      <c r="T70">
        <v>-3191.13</v>
      </c>
      <c r="U70">
        <v>56840.800000000003</v>
      </c>
      <c r="V70">
        <v>9.1332799999999992</v>
      </c>
      <c r="W70">
        <v>400</v>
      </c>
      <c r="X70">
        <v>400</v>
      </c>
      <c r="Y70">
        <v>0</v>
      </c>
      <c r="Z70">
        <v>800</v>
      </c>
    </row>
    <row r="71" spans="18:26" x14ac:dyDescent="0.2">
      <c r="R71">
        <v>46000</v>
      </c>
      <c r="S71">
        <v>1484.54</v>
      </c>
      <c r="T71">
        <v>-3216.17</v>
      </c>
      <c r="U71">
        <v>55642.3</v>
      </c>
      <c r="V71">
        <v>-641.98400000000004</v>
      </c>
      <c r="W71">
        <v>400</v>
      </c>
      <c r="X71">
        <v>400</v>
      </c>
      <c r="Y71">
        <v>0</v>
      </c>
      <c r="Z71">
        <v>800</v>
      </c>
    </row>
    <row r="72" spans="18:26" x14ac:dyDescent="0.2">
      <c r="R72">
        <v>47000</v>
      </c>
      <c r="S72">
        <v>1514.42</v>
      </c>
      <c r="T72">
        <v>-3190.57</v>
      </c>
      <c r="U72">
        <v>57179.4</v>
      </c>
      <c r="V72">
        <v>643.41600000000005</v>
      </c>
      <c r="W72">
        <v>400</v>
      </c>
      <c r="X72">
        <v>400</v>
      </c>
      <c r="Y72">
        <v>0</v>
      </c>
      <c r="Z72">
        <v>800</v>
      </c>
    </row>
    <row r="73" spans="18:26" x14ac:dyDescent="0.2">
      <c r="R73">
        <v>48000</v>
      </c>
      <c r="S73">
        <v>1528.89</v>
      </c>
      <c r="T73">
        <v>-3204.96</v>
      </c>
      <c r="U73">
        <v>56107.4</v>
      </c>
      <c r="V73">
        <v>-918.50800000000004</v>
      </c>
      <c r="W73">
        <v>400</v>
      </c>
      <c r="X73">
        <v>400</v>
      </c>
      <c r="Y73">
        <v>0</v>
      </c>
      <c r="Z73">
        <v>800</v>
      </c>
    </row>
    <row r="74" spans="18:26" x14ac:dyDescent="0.2">
      <c r="R74">
        <v>49000</v>
      </c>
      <c r="S74">
        <v>1479.69</v>
      </c>
      <c r="T74">
        <v>-3200.33</v>
      </c>
      <c r="U74">
        <v>56215.8</v>
      </c>
      <c r="V74">
        <v>-21.984200000000001</v>
      </c>
      <c r="W74">
        <v>400</v>
      </c>
      <c r="X74">
        <v>400</v>
      </c>
      <c r="Y74">
        <v>0</v>
      </c>
      <c r="Z74">
        <v>800</v>
      </c>
    </row>
    <row r="75" spans="18:26" x14ac:dyDescent="0.2">
      <c r="R75">
        <v>50000</v>
      </c>
      <c r="S75">
        <v>1485.66</v>
      </c>
      <c r="T75">
        <v>-3201.57</v>
      </c>
      <c r="U75">
        <v>56571</v>
      </c>
      <c r="V75">
        <v>485.57299999999998</v>
      </c>
      <c r="W75">
        <v>400</v>
      </c>
      <c r="X75">
        <v>400</v>
      </c>
      <c r="Y75">
        <v>0</v>
      </c>
      <c r="Z75">
        <v>800</v>
      </c>
    </row>
    <row r="76" spans="18:26" x14ac:dyDescent="0.2">
      <c r="R76">
        <v>51000</v>
      </c>
      <c r="S76">
        <v>1486.35</v>
      </c>
      <c r="T76">
        <v>-3197.97</v>
      </c>
      <c r="U76">
        <v>56388</v>
      </c>
      <c r="V76">
        <v>-234.61</v>
      </c>
      <c r="W76">
        <v>400</v>
      </c>
      <c r="X76">
        <v>400</v>
      </c>
      <c r="Y76">
        <v>0</v>
      </c>
      <c r="Z76">
        <v>800</v>
      </c>
    </row>
    <row r="77" spans="18:26" x14ac:dyDescent="0.2">
      <c r="R77">
        <v>52000</v>
      </c>
      <c r="S77">
        <v>1503.81</v>
      </c>
      <c r="T77">
        <v>-3198.07</v>
      </c>
      <c r="U77">
        <v>56506.2</v>
      </c>
      <c r="V77">
        <v>-245.41200000000001</v>
      </c>
      <c r="W77">
        <v>400</v>
      </c>
      <c r="X77">
        <v>400</v>
      </c>
      <c r="Y77">
        <v>0</v>
      </c>
      <c r="Z77">
        <v>800</v>
      </c>
    </row>
    <row r="78" spans="18:26" x14ac:dyDescent="0.2">
      <c r="R78">
        <v>53000</v>
      </c>
      <c r="S78">
        <v>1481.94</v>
      </c>
      <c r="T78">
        <v>-3192.19</v>
      </c>
      <c r="U78">
        <v>57082.5</v>
      </c>
      <c r="V78">
        <v>-2461.16</v>
      </c>
      <c r="W78">
        <v>400</v>
      </c>
      <c r="X78">
        <v>400</v>
      </c>
      <c r="Y78">
        <v>0</v>
      </c>
      <c r="Z78">
        <v>800</v>
      </c>
    </row>
    <row r="79" spans="18:26" x14ac:dyDescent="0.2">
      <c r="R79">
        <v>54000</v>
      </c>
      <c r="S79">
        <v>1505.59</v>
      </c>
      <c r="T79">
        <v>-3186.69</v>
      </c>
      <c r="U79">
        <v>56670.8</v>
      </c>
      <c r="V79">
        <v>615.97699999999998</v>
      </c>
      <c r="W79">
        <v>400</v>
      </c>
      <c r="X79">
        <v>400</v>
      </c>
      <c r="Y79">
        <v>0</v>
      </c>
      <c r="Z79">
        <v>800</v>
      </c>
    </row>
    <row r="80" spans="18:26" x14ac:dyDescent="0.2">
      <c r="R80">
        <v>55000</v>
      </c>
      <c r="S80">
        <v>1488.78</v>
      </c>
      <c r="T80">
        <v>-3201.24</v>
      </c>
      <c r="U80">
        <v>56480.6</v>
      </c>
      <c r="V80">
        <v>1353.27</v>
      </c>
      <c r="W80">
        <v>400</v>
      </c>
      <c r="X80">
        <v>400</v>
      </c>
      <c r="Y80">
        <v>0</v>
      </c>
      <c r="Z80">
        <v>800</v>
      </c>
    </row>
    <row r="81" spans="18:26" x14ac:dyDescent="0.2">
      <c r="R81">
        <v>56000</v>
      </c>
      <c r="S81">
        <v>1544.08</v>
      </c>
      <c r="T81">
        <v>-3191.17</v>
      </c>
      <c r="U81">
        <v>56856.9</v>
      </c>
      <c r="V81">
        <v>52.701099999999997</v>
      </c>
      <c r="W81">
        <v>400</v>
      </c>
      <c r="X81">
        <v>400</v>
      </c>
      <c r="Y81">
        <v>0</v>
      </c>
      <c r="Z81">
        <v>800</v>
      </c>
    </row>
    <row r="82" spans="18:26" x14ac:dyDescent="0.2">
      <c r="R82">
        <v>57000</v>
      </c>
      <c r="S82">
        <v>1499.09</v>
      </c>
      <c r="T82">
        <v>-3196.83</v>
      </c>
      <c r="U82">
        <v>55770.2</v>
      </c>
      <c r="V82">
        <v>2710.05</v>
      </c>
      <c r="W82">
        <v>400</v>
      </c>
      <c r="X82">
        <v>400</v>
      </c>
      <c r="Y82">
        <v>0</v>
      </c>
      <c r="Z82">
        <v>800</v>
      </c>
    </row>
    <row r="83" spans="18:26" x14ac:dyDescent="0.2">
      <c r="R83">
        <v>58000</v>
      </c>
      <c r="S83">
        <v>1493.23</v>
      </c>
      <c r="T83">
        <v>-3201.12</v>
      </c>
      <c r="U83">
        <v>56428</v>
      </c>
      <c r="V83">
        <v>605.279</v>
      </c>
      <c r="W83">
        <v>400</v>
      </c>
      <c r="X83">
        <v>400</v>
      </c>
      <c r="Y83">
        <v>0</v>
      </c>
      <c r="Z83">
        <v>800</v>
      </c>
    </row>
    <row r="84" spans="18:26" x14ac:dyDescent="0.2">
      <c r="R84">
        <v>59000</v>
      </c>
      <c r="S84">
        <v>1509.73</v>
      </c>
      <c r="T84">
        <v>-3201.27</v>
      </c>
      <c r="U84">
        <v>56809.8</v>
      </c>
      <c r="V84">
        <v>49.338799999999999</v>
      </c>
      <c r="W84">
        <v>400</v>
      </c>
      <c r="X84">
        <v>400</v>
      </c>
      <c r="Y84">
        <v>0</v>
      </c>
      <c r="Z84">
        <v>800</v>
      </c>
    </row>
    <row r="85" spans="18:26" x14ac:dyDescent="0.2">
      <c r="R85">
        <v>60000</v>
      </c>
      <c r="S85">
        <v>1561.9</v>
      </c>
      <c r="T85">
        <v>-3183.75</v>
      </c>
      <c r="U85">
        <v>56821.9</v>
      </c>
      <c r="V85">
        <v>-174.89500000000001</v>
      </c>
      <c r="W85">
        <v>400</v>
      </c>
      <c r="X85">
        <v>400</v>
      </c>
      <c r="Y85">
        <v>0</v>
      </c>
      <c r="Z85">
        <v>800</v>
      </c>
    </row>
    <row r="86" spans="18:26" x14ac:dyDescent="0.2">
      <c r="R86">
        <v>61000</v>
      </c>
      <c r="S86">
        <v>1493.94</v>
      </c>
      <c r="T86">
        <v>-3197.65</v>
      </c>
      <c r="U86">
        <v>56845.8</v>
      </c>
      <c r="V86">
        <v>-338.721</v>
      </c>
      <c r="W86">
        <v>400</v>
      </c>
      <c r="X86">
        <v>400</v>
      </c>
      <c r="Y86">
        <v>0</v>
      </c>
      <c r="Z86">
        <v>800</v>
      </c>
    </row>
    <row r="87" spans="18:26" x14ac:dyDescent="0.2">
      <c r="R87">
        <v>62000</v>
      </c>
      <c r="S87">
        <v>1495.46</v>
      </c>
      <c r="T87">
        <v>-3207.75</v>
      </c>
      <c r="U87">
        <v>55485.1</v>
      </c>
      <c r="V87">
        <v>2006.51</v>
      </c>
      <c r="W87">
        <v>400</v>
      </c>
      <c r="X87">
        <v>400</v>
      </c>
      <c r="Y87">
        <v>0</v>
      </c>
      <c r="Z87">
        <v>800</v>
      </c>
    </row>
    <row r="88" spans="18:26" x14ac:dyDescent="0.2">
      <c r="R88">
        <v>63000</v>
      </c>
      <c r="S88">
        <v>1501.72</v>
      </c>
      <c r="T88">
        <v>-3197.74</v>
      </c>
      <c r="U88">
        <v>56585.1</v>
      </c>
      <c r="V88">
        <v>-661.00599999999997</v>
      </c>
      <c r="W88">
        <v>400</v>
      </c>
      <c r="X88">
        <v>400</v>
      </c>
      <c r="Y88">
        <v>0</v>
      </c>
      <c r="Z88">
        <v>800</v>
      </c>
    </row>
    <row r="89" spans="18:26" x14ac:dyDescent="0.2">
      <c r="R89">
        <v>64000</v>
      </c>
      <c r="S89">
        <v>1457.79</v>
      </c>
      <c r="T89">
        <v>-3201.24</v>
      </c>
      <c r="U89">
        <v>56299.1</v>
      </c>
      <c r="V89">
        <v>-695.92100000000005</v>
      </c>
      <c r="W89">
        <v>400</v>
      </c>
      <c r="X89">
        <v>400</v>
      </c>
      <c r="Y89">
        <v>0</v>
      </c>
      <c r="Z89">
        <v>800</v>
      </c>
    </row>
    <row r="90" spans="18:26" x14ac:dyDescent="0.2">
      <c r="R90">
        <v>65000</v>
      </c>
      <c r="S90">
        <v>1534.67</v>
      </c>
      <c r="T90">
        <v>-3187.5</v>
      </c>
      <c r="U90">
        <v>56417.2</v>
      </c>
      <c r="V90">
        <v>-816.327</v>
      </c>
      <c r="W90">
        <v>400</v>
      </c>
      <c r="X90">
        <v>400</v>
      </c>
      <c r="Y90">
        <v>0</v>
      </c>
      <c r="Z90">
        <v>800</v>
      </c>
    </row>
    <row r="91" spans="18:26" x14ac:dyDescent="0.2">
      <c r="R91">
        <v>66000</v>
      </c>
      <c r="S91">
        <v>1556.64</v>
      </c>
      <c r="T91">
        <v>-3197.01</v>
      </c>
      <c r="U91">
        <v>55315.9</v>
      </c>
      <c r="V91">
        <v>1099.3699999999999</v>
      </c>
      <c r="W91">
        <v>400</v>
      </c>
      <c r="X91">
        <v>400</v>
      </c>
      <c r="Y91">
        <v>0</v>
      </c>
      <c r="Z91">
        <v>800</v>
      </c>
    </row>
    <row r="92" spans="18:26" x14ac:dyDescent="0.2">
      <c r="R92">
        <v>67000</v>
      </c>
      <c r="S92">
        <v>1534.9</v>
      </c>
      <c r="T92">
        <v>-3194.29</v>
      </c>
      <c r="U92">
        <v>55677.5</v>
      </c>
      <c r="V92">
        <v>1179.4100000000001</v>
      </c>
      <c r="W92">
        <v>400</v>
      </c>
      <c r="X92">
        <v>400</v>
      </c>
      <c r="Y92">
        <v>0</v>
      </c>
      <c r="Z92">
        <v>800</v>
      </c>
    </row>
    <row r="93" spans="18:26" x14ac:dyDescent="0.2">
      <c r="R93">
        <v>68000</v>
      </c>
      <c r="S93">
        <v>1506.92</v>
      </c>
      <c r="T93">
        <v>-3209.27</v>
      </c>
      <c r="U93">
        <v>55455</v>
      </c>
      <c r="V93">
        <v>952.30399999999997</v>
      </c>
      <c r="W93">
        <v>400</v>
      </c>
      <c r="X93">
        <v>400</v>
      </c>
      <c r="Y93">
        <v>0</v>
      </c>
      <c r="Z93">
        <v>800</v>
      </c>
    </row>
    <row r="94" spans="18:26" x14ac:dyDescent="0.2">
      <c r="R94">
        <v>69000</v>
      </c>
      <c r="S94">
        <v>1462.74</v>
      </c>
      <c r="T94">
        <v>-3206.06</v>
      </c>
      <c r="U94">
        <v>55916.5</v>
      </c>
      <c r="V94">
        <v>-531.399</v>
      </c>
      <c r="W94">
        <v>400</v>
      </c>
      <c r="X94">
        <v>400</v>
      </c>
      <c r="Y94">
        <v>0</v>
      </c>
      <c r="Z94">
        <v>800</v>
      </c>
    </row>
    <row r="95" spans="18:26" x14ac:dyDescent="0.2">
      <c r="R95">
        <v>70000</v>
      </c>
      <c r="S95">
        <v>1504.01</v>
      </c>
      <c r="T95">
        <v>-3202.87</v>
      </c>
      <c r="U95">
        <v>55674</v>
      </c>
      <c r="V95">
        <v>-177.184</v>
      </c>
      <c r="W95">
        <v>400</v>
      </c>
      <c r="X95">
        <v>400</v>
      </c>
      <c r="Y95">
        <v>0</v>
      </c>
      <c r="Z95">
        <v>800</v>
      </c>
    </row>
    <row r="96" spans="18:26" x14ac:dyDescent="0.2">
      <c r="R96">
        <v>71000</v>
      </c>
      <c r="S96">
        <v>1499.54</v>
      </c>
      <c r="T96">
        <v>-3197.07</v>
      </c>
      <c r="U96">
        <v>56827.6</v>
      </c>
      <c r="V96">
        <v>-1045.1300000000001</v>
      </c>
      <c r="W96">
        <v>400</v>
      </c>
      <c r="X96">
        <v>400</v>
      </c>
      <c r="Y96">
        <v>0</v>
      </c>
      <c r="Z96">
        <v>800</v>
      </c>
    </row>
    <row r="97" spans="18:26" x14ac:dyDescent="0.2">
      <c r="R97">
        <v>72000</v>
      </c>
      <c r="S97">
        <v>1498.07</v>
      </c>
      <c r="T97">
        <v>-3195.77</v>
      </c>
      <c r="U97">
        <v>57116</v>
      </c>
      <c r="V97">
        <v>-1388.82</v>
      </c>
      <c r="W97">
        <v>400</v>
      </c>
      <c r="X97">
        <v>400</v>
      </c>
      <c r="Y97">
        <v>0</v>
      </c>
      <c r="Z97">
        <v>800</v>
      </c>
    </row>
    <row r="98" spans="18:26" x14ac:dyDescent="0.2">
      <c r="R98">
        <v>73000</v>
      </c>
      <c r="S98">
        <v>1461.86</v>
      </c>
      <c r="T98">
        <v>-3193.06</v>
      </c>
      <c r="U98">
        <v>57832.1</v>
      </c>
      <c r="V98">
        <v>-1162.5899999999999</v>
      </c>
      <c r="W98">
        <v>400</v>
      </c>
      <c r="X98">
        <v>400</v>
      </c>
      <c r="Y98">
        <v>0</v>
      </c>
      <c r="Z98">
        <v>800</v>
      </c>
    </row>
    <row r="99" spans="18:26" x14ac:dyDescent="0.2">
      <c r="R99">
        <v>74000</v>
      </c>
      <c r="S99">
        <v>1498.32</v>
      </c>
      <c r="T99">
        <v>-3203.68</v>
      </c>
      <c r="U99">
        <v>56531.3</v>
      </c>
      <c r="V99">
        <v>779.04</v>
      </c>
      <c r="W99">
        <v>400</v>
      </c>
      <c r="X99">
        <v>400</v>
      </c>
      <c r="Y99">
        <v>0</v>
      </c>
      <c r="Z99">
        <v>800</v>
      </c>
    </row>
    <row r="100" spans="18:26" x14ac:dyDescent="0.2">
      <c r="R100">
        <v>75000</v>
      </c>
      <c r="S100">
        <v>1505.47</v>
      </c>
      <c r="T100">
        <v>-3192.21</v>
      </c>
      <c r="U100">
        <v>56830.6</v>
      </c>
      <c r="V100">
        <v>719.94200000000001</v>
      </c>
      <c r="W100">
        <v>400</v>
      </c>
      <c r="X100">
        <v>400</v>
      </c>
      <c r="Y100">
        <v>0</v>
      </c>
      <c r="Z100">
        <v>800</v>
      </c>
    </row>
    <row r="101" spans="18:26" x14ac:dyDescent="0.2">
      <c r="R101">
        <v>76000</v>
      </c>
      <c r="S101">
        <v>1511.66</v>
      </c>
      <c r="T101">
        <v>-3197.62</v>
      </c>
      <c r="U101">
        <v>56730</v>
      </c>
      <c r="V101">
        <v>-575.94500000000005</v>
      </c>
      <c r="W101">
        <v>400</v>
      </c>
      <c r="X101">
        <v>400</v>
      </c>
      <c r="Y101">
        <v>0</v>
      </c>
      <c r="Z101">
        <v>800</v>
      </c>
    </row>
    <row r="102" spans="18:26" x14ac:dyDescent="0.2">
      <c r="R102">
        <v>77000</v>
      </c>
      <c r="S102">
        <v>1496.11</v>
      </c>
      <c r="T102">
        <v>-3207.51</v>
      </c>
      <c r="U102">
        <v>56397.2</v>
      </c>
      <c r="V102">
        <v>-1811.43</v>
      </c>
      <c r="W102">
        <v>400</v>
      </c>
      <c r="X102">
        <v>400</v>
      </c>
      <c r="Y102">
        <v>0</v>
      </c>
      <c r="Z102">
        <v>800</v>
      </c>
    </row>
    <row r="103" spans="18:26" x14ac:dyDescent="0.2">
      <c r="R103">
        <v>78000</v>
      </c>
      <c r="S103">
        <v>1533.95</v>
      </c>
      <c r="T103">
        <v>-3190.3</v>
      </c>
      <c r="U103">
        <v>56902.2</v>
      </c>
      <c r="V103">
        <v>-759.22299999999996</v>
      </c>
      <c r="W103">
        <v>400</v>
      </c>
      <c r="X103">
        <v>400</v>
      </c>
      <c r="Y103">
        <v>0</v>
      </c>
      <c r="Z103">
        <v>800</v>
      </c>
    </row>
    <row r="104" spans="18:26" x14ac:dyDescent="0.2">
      <c r="R104">
        <v>79000</v>
      </c>
      <c r="S104">
        <v>1473.79</v>
      </c>
      <c r="T104">
        <v>-3198.64</v>
      </c>
      <c r="U104">
        <v>56674.9</v>
      </c>
      <c r="V104">
        <v>114.7</v>
      </c>
      <c r="W104">
        <v>400</v>
      </c>
      <c r="X104">
        <v>400</v>
      </c>
      <c r="Y104">
        <v>0</v>
      </c>
      <c r="Z104">
        <v>800</v>
      </c>
    </row>
    <row r="105" spans="18:26" x14ac:dyDescent="0.2">
      <c r="R105">
        <v>80000</v>
      </c>
      <c r="S105">
        <v>1493.52</v>
      </c>
      <c r="T105">
        <v>-3199.26</v>
      </c>
      <c r="U105">
        <v>57505.599999999999</v>
      </c>
      <c r="V105">
        <v>-1613.71</v>
      </c>
      <c r="W105">
        <v>400</v>
      </c>
      <c r="X105">
        <v>400</v>
      </c>
      <c r="Y105">
        <v>0</v>
      </c>
      <c r="Z105">
        <v>800</v>
      </c>
    </row>
    <row r="106" spans="18:26" x14ac:dyDescent="0.2">
      <c r="R106">
        <v>81000</v>
      </c>
      <c r="S106">
        <v>1494.03</v>
      </c>
      <c r="T106">
        <v>-3188.59</v>
      </c>
      <c r="U106">
        <v>56534.5</v>
      </c>
      <c r="V106">
        <v>366.21899999999999</v>
      </c>
      <c r="W106">
        <v>400</v>
      </c>
      <c r="X106">
        <v>400</v>
      </c>
      <c r="Y106">
        <v>0</v>
      </c>
      <c r="Z106">
        <v>800</v>
      </c>
    </row>
    <row r="107" spans="18:26" x14ac:dyDescent="0.2">
      <c r="R107">
        <v>82000</v>
      </c>
      <c r="S107">
        <v>1465.41</v>
      </c>
      <c r="T107">
        <v>-3203.52</v>
      </c>
      <c r="U107">
        <v>55511.4</v>
      </c>
      <c r="V107">
        <v>1649.02</v>
      </c>
      <c r="W107">
        <v>400</v>
      </c>
      <c r="X107">
        <v>400</v>
      </c>
      <c r="Y107">
        <v>0</v>
      </c>
      <c r="Z107">
        <v>800</v>
      </c>
    </row>
    <row r="108" spans="18:26" x14ac:dyDescent="0.2">
      <c r="R108">
        <v>83000</v>
      </c>
      <c r="S108">
        <v>1517.25</v>
      </c>
      <c r="T108">
        <v>-3193.38</v>
      </c>
      <c r="U108">
        <v>56809.1</v>
      </c>
      <c r="V108">
        <v>-1905.23</v>
      </c>
      <c r="W108">
        <v>400</v>
      </c>
      <c r="X108">
        <v>400</v>
      </c>
      <c r="Y108">
        <v>0</v>
      </c>
      <c r="Z108">
        <v>800</v>
      </c>
    </row>
    <row r="109" spans="18:26" x14ac:dyDescent="0.2">
      <c r="R109">
        <v>84000</v>
      </c>
      <c r="S109">
        <v>1506.78</v>
      </c>
      <c r="T109">
        <v>-3194.84</v>
      </c>
      <c r="U109">
        <v>56593.599999999999</v>
      </c>
      <c r="V109">
        <v>-1543.22</v>
      </c>
      <c r="W109">
        <v>400</v>
      </c>
      <c r="X109">
        <v>400</v>
      </c>
      <c r="Y109">
        <v>0</v>
      </c>
      <c r="Z109">
        <v>800</v>
      </c>
    </row>
    <row r="110" spans="18:26" x14ac:dyDescent="0.2">
      <c r="R110">
        <v>85000</v>
      </c>
      <c r="S110">
        <v>1467.88</v>
      </c>
      <c r="T110">
        <v>-3205.13</v>
      </c>
      <c r="U110">
        <v>56730.5</v>
      </c>
      <c r="V110">
        <v>-1389.48</v>
      </c>
      <c r="W110">
        <v>400</v>
      </c>
      <c r="X110">
        <v>400</v>
      </c>
      <c r="Y110">
        <v>0</v>
      </c>
      <c r="Z110">
        <v>800</v>
      </c>
    </row>
    <row r="111" spans="18:26" x14ac:dyDescent="0.2">
      <c r="R111">
        <v>86000</v>
      </c>
      <c r="S111">
        <v>1462.62</v>
      </c>
      <c r="T111">
        <v>-3192.07</v>
      </c>
      <c r="U111">
        <v>56563.3</v>
      </c>
      <c r="V111">
        <v>-85.485200000000006</v>
      </c>
      <c r="W111">
        <v>400</v>
      </c>
      <c r="X111">
        <v>400</v>
      </c>
      <c r="Y111">
        <v>0</v>
      </c>
      <c r="Z111">
        <v>800</v>
      </c>
    </row>
    <row r="112" spans="18:26" x14ac:dyDescent="0.2">
      <c r="R112">
        <v>87000</v>
      </c>
      <c r="S112">
        <v>1522.87</v>
      </c>
      <c r="T112">
        <v>-3183.55</v>
      </c>
      <c r="U112">
        <v>57235.4</v>
      </c>
      <c r="V112">
        <v>-144.04499999999999</v>
      </c>
      <c r="W112">
        <v>400</v>
      </c>
      <c r="X112">
        <v>400</v>
      </c>
      <c r="Y112">
        <v>0</v>
      </c>
      <c r="Z112">
        <v>800</v>
      </c>
    </row>
    <row r="113" spans="18:26" x14ac:dyDescent="0.2">
      <c r="R113">
        <v>88000</v>
      </c>
      <c r="S113">
        <v>1505.84</v>
      </c>
      <c r="T113">
        <v>-3195.72</v>
      </c>
      <c r="U113">
        <v>57176.9</v>
      </c>
      <c r="V113">
        <v>-461.04399999999998</v>
      </c>
      <c r="W113">
        <v>400</v>
      </c>
      <c r="X113">
        <v>400</v>
      </c>
      <c r="Y113">
        <v>0</v>
      </c>
      <c r="Z113">
        <v>800</v>
      </c>
    </row>
    <row r="114" spans="18:26" x14ac:dyDescent="0.2">
      <c r="R114">
        <v>89000</v>
      </c>
      <c r="S114">
        <v>1477.07</v>
      </c>
      <c r="T114">
        <v>-3197.92</v>
      </c>
      <c r="U114">
        <v>56750.400000000001</v>
      </c>
      <c r="V114">
        <v>-1692.82</v>
      </c>
      <c r="W114">
        <v>400</v>
      </c>
      <c r="X114">
        <v>400</v>
      </c>
      <c r="Y114">
        <v>0</v>
      </c>
      <c r="Z114">
        <v>800</v>
      </c>
    </row>
    <row r="115" spans="18:26" x14ac:dyDescent="0.2">
      <c r="R115">
        <v>90000</v>
      </c>
      <c r="S115">
        <v>1470.7</v>
      </c>
      <c r="T115">
        <v>-3211.49</v>
      </c>
      <c r="U115">
        <v>56043.1</v>
      </c>
      <c r="V115">
        <v>-16.981999999999999</v>
      </c>
      <c r="W115">
        <v>400</v>
      </c>
      <c r="X115">
        <v>400</v>
      </c>
      <c r="Y115">
        <v>0</v>
      </c>
      <c r="Z115">
        <v>800</v>
      </c>
    </row>
    <row r="116" spans="18:26" x14ac:dyDescent="0.2">
      <c r="R116">
        <v>91000</v>
      </c>
      <c r="S116">
        <v>1505.72</v>
      </c>
      <c r="T116">
        <v>-3194.74</v>
      </c>
      <c r="U116">
        <v>57000.7</v>
      </c>
      <c r="V116">
        <v>-245.18100000000001</v>
      </c>
      <c r="W116">
        <v>400</v>
      </c>
      <c r="X116">
        <v>400</v>
      </c>
      <c r="Y116">
        <v>0</v>
      </c>
      <c r="Z116">
        <v>800</v>
      </c>
    </row>
    <row r="117" spans="18:26" x14ac:dyDescent="0.2">
      <c r="R117">
        <v>92000</v>
      </c>
      <c r="S117">
        <v>1512.33</v>
      </c>
      <c r="T117">
        <v>-3191.44</v>
      </c>
      <c r="U117">
        <v>56527.7</v>
      </c>
      <c r="V117">
        <v>-57.593000000000004</v>
      </c>
      <c r="W117">
        <v>400</v>
      </c>
      <c r="X117">
        <v>400</v>
      </c>
      <c r="Y117">
        <v>0</v>
      </c>
      <c r="Z117">
        <v>800</v>
      </c>
    </row>
    <row r="118" spans="18:26" x14ac:dyDescent="0.2">
      <c r="R118">
        <v>93000</v>
      </c>
      <c r="S118">
        <v>1509.41</v>
      </c>
      <c r="T118">
        <v>-3202.4</v>
      </c>
      <c r="U118">
        <v>57365.8</v>
      </c>
      <c r="V118">
        <v>-1821.23</v>
      </c>
      <c r="W118">
        <v>400</v>
      </c>
      <c r="X118">
        <v>400</v>
      </c>
      <c r="Y118">
        <v>0</v>
      </c>
      <c r="Z118">
        <v>800</v>
      </c>
    </row>
    <row r="119" spans="18:26" x14ac:dyDescent="0.2">
      <c r="R119">
        <v>94000</v>
      </c>
      <c r="S119">
        <v>1520.75</v>
      </c>
      <c r="T119">
        <v>-3198.53</v>
      </c>
      <c r="U119">
        <v>55578.2</v>
      </c>
      <c r="V119">
        <v>-384.78100000000001</v>
      </c>
      <c r="W119">
        <v>400</v>
      </c>
      <c r="X119">
        <v>400</v>
      </c>
      <c r="Y119">
        <v>0</v>
      </c>
      <c r="Z119">
        <v>800</v>
      </c>
    </row>
    <row r="120" spans="18:26" x14ac:dyDescent="0.2">
      <c r="R120">
        <v>95000</v>
      </c>
      <c r="S120">
        <v>1554.97</v>
      </c>
      <c r="T120">
        <v>-3195.82</v>
      </c>
      <c r="U120">
        <v>55577.5</v>
      </c>
      <c r="V120">
        <v>3263.64</v>
      </c>
      <c r="W120">
        <v>400</v>
      </c>
      <c r="X120">
        <v>400</v>
      </c>
      <c r="Y120">
        <v>0</v>
      </c>
      <c r="Z120">
        <v>800</v>
      </c>
    </row>
    <row r="121" spans="18:26" x14ac:dyDescent="0.2">
      <c r="R121">
        <v>96000</v>
      </c>
      <c r="S121">
        <v>1546.12</v>
      </c>
      <c r="T121">
        <v>-3202.31</v>
      </c>
      <c r="U121">
        <v>55922</v>
      </c>
      <c r="V121">
        <v>844.11599999999999</v>
      </c>
      <c r="W121">
        <v>400</v>
      </c>
      <c r="X121">
        <v>400</v>
      </c>
      <c r="Y121">
        <v>0</v>
      </c>
      <c r="Z121">
        <v>800</v>
      </c>
    </row>
    <row r="122" spans="18:26" x14ac:dyDescent="0.2">
      <c r="R122">
        <v>97000</v>
      </c>
      <c r="S122" s="3">
        <v>1507.61</v>
      </c>
      <c r="T122">
        <v>-3196.41</v>
      </c>
      <c r="U122" s="3">
        <v>56757.599999999999</v>
      </c>
      <c r="V122" s="3">
        <v>-1567.11</v>
      </c>
      <c r="W122">
        <v>400</v>
      </c>
      <c r="X122">
        <v>400</v>
      </c>
      <c r="Y122">
        <v>0</v>
      </c>
      <c r="Z122">
        <v>800</v>
      </c>
    </row>
    <row r="123" spans="18:26" x14ac:dyDescent="0.2">
      <c r="R123">
        <v>98000</v>
      </c>
      <c r="S123" s="3">
        <v>1469.99</v>
      </c>
      <c r="T123">
        <v>-3211.99</v>
      </c>
      <c r="U123" s="3">
        <v>55555.199999999997</v>
      </c>
      <c r="V123" s="3">
        <v>894.92200000000003</v>
      </c>
      <c r="W123">
        <v>400</v>
      </c>
      <c r="X123">
        <v>400</v>
      </c>
      <c r="Y123">
        <v>0</v>
      </c>
      <c r="Z123">
        <v>800</v>
      </c>
    </row>
    <row r="124" spans="18:26" x14ac:dyDescent="0.2">
      <c r="R124">
        <v>99000</v>
      </c>
      <c r="S124" s="3">
        <v>1487.45</v>
      </c>
      <c r="T124">
        <v>-3195.85</v>
      </c>
      <c r="U124" s="3">
        <v>56170.7</v>
      </c>
      <c r="V124" s="3">
        <v>-982.52599999999995</v>
      </c>
      <c r="W124">
        <v>400</v>
      </c>
      <c r="X124">
        <v>400</v>
      </c>
      <c r="Y124">
        <v>0</v>
      </c>
      <c r="Z124">
        <v>800</v>
      </c>
    </row>
    <row r="125" spans="18:26" x14ac:dyDescent="0.2">
      <c r="R125">
        <v>100000</v>
      </c>
      <c r="S125" s="3">
        <v>1497.91</v>
      </c>
      <c r="T125">
        <v>-3191.11</v>
      </c>
      <c r="U125" s="3">
        <v>57178</v>
      </c>
      <c r="V125" s="3">
        <v>-1719.98</v>
      </c>
      <c r="W125">
        <v>400</v>
      </c>
      <c r="X125">
        <v>400</v>
      </c>
      <c r="Y125">
        <v>0</v>
      </c>
      <c r="Z125">
        <v>800</v>
      </c>
    </row>
    <row r="126" spans="18:26" x14ac:dyDescent="0.2">
      <c r="S126" s="3"/>
      <c r="U126" s="3"/>
      <c r="V126" s="3"/>
    </row>
    <row r="127" spans="18:26" x14ac:dyDescent="0.2">
      <c r="S127" s="3"/>
      <c r="U127" s="3"/>
      <c r="V127" s="3"/>
    </row>
    <row r="128" spans="18:26" x14ac:dyDescent="0.2">
      <c r="S128" s="3"/>
      <c r="U128" s="3"/>
      <c r="V128" s="3"/>
    </row>
    <row r="129" spans="12:22" x14ac:dyDescent="0.2">
      <c r="S129" s="3"/>
      <c r="U129" s="3"/>
      <c r="V129" s="3"/>
    </row>
    <row r="130" spans="12:22" x14ac:dyDescent="0.2">
      <c r="S130" s="3"/>
      <c r="U130" s="3"/>
      <c r="V130" s="3"/>
    </row>
    <row r="131" spans="12:22" x14ac:dyDescent="0.2">
      <c r="S131" s="3"/>
      <c r="U131" s="3"/>
      <c r="V131" s="3"/>
    </row>
    <row r="132" spans="12:22" x14ac:dyDescent="0.2">
      <c r="S132" s="3"/>
      <c r="U132" s="3"/>
      <c r="V132" s="3"/>
    </row>
    <row r="133" spans="12:22" x14ac:dyDescent="0.2">
      <c r="S133" s="3"/>
      <c r="U133" s="3"/>
      <c r="V133" s="3"/>
    </row>
    <row r="134" spans="12:22" x14ac:dyDescent="0.2">
      <c r="S134" s="3"/>
      <c r="U134" s="3"/>
      <c r="V134" s="3"/>
    </row>
    <row r="135" spans="12:22" x14ac:dyDescent="0.2">
      <c r="S135" s="3"/>
      <c r="U135" s="3"/>
      <c r="V135" s="3"/>
    </row>
    <row r="136" spans="12:22" x14ac:dyDescent="0.2">
      <c r="S136" s="3"/>
      <c r="U136" s="3"/>
      <c r="V136" s="3"/>
    </row>
    <row r="137" spans="12:22" x14ac:dyDescent="0.2">
      <c r="S137" s="3"/>
      <c r="U137" s="3"/>
      <c r="V137" s="3"/>
    </row>
    <row r="138" spans="12:22" x14ac:dyDescent="0.2">
      <c r="S138" s="3"/>
      <c r="U138" s="3"/>
      <c r="V138" s="3"/>
    </row>
    <row r="139" spans="12:22" x14ac:dyDescent="0.2">
      <c r="S139" s="3"/>
      <c r="U139" s="3"/>
      <c r="V139" s="3"/>
    </row>
    <row r="140" spans="12:22" x14ac:dyDescent="0.2">
      <c r="L140" s="3"/>
      <c r="N140" s="3"/>
      <c r="O140" s="3"/>
      <c r="P140" s="3"/>
    </row>
    <row r="141" spans="12:22" x14ac:dyDescent="0.2">
      <c r="L141" s="3"/>
      <c r="N141" s="3"/>
      <c r="O141" s="3"/>
      <c r="P141" s="3"/>
    </row>
    <row r="142" spans="12:22" x14ac:dyDescent="0.2">
      <c r="L142" s="3"/>
      <c r="N142" s="3"/>
      <c r="O142" s="3"/>
      <c r="P142" s="3"/>
    </row>
    <row r="143" spans="12:22" x14ac:dyDescent="0.2">
      <c r="L143" s="3"/>
      <c r="N143" s="3"/>
      <c r="O143" s="3"/>
      <c r="P143" s="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FEA47-3510-AB49-95AB-54E47F699F5B}">
  <dimension ref="A2:AB228"/>
  <sheetViews>
    <sheetView workbookViewId="0">
      <selection activeCell="J37" sqref="J37"/>
    </sheetView>
  </sheetViews>
  <sheetFormatPr baseColWidth="10" defaultRowHeight="16" x14ac:dyDescent="0.2"/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D3" t="s">
        <v>40</v>
      </c>
      <c r="I3" t="s">
        <v>10</v>
      </c>
      <c r="J3" t="s">
        <v>11</v>
      </c>
      <c r="K3" t="s">
        <v>12</v>
      </c>
      <c r="L3" t="s">
        <v>13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1</v>
      </c>
      <c r="B8">
        <f>J8/SUM(I8:K8)</f>
        <v>0</v>
      </c>
      <c r="C8">
        <f>K8/SUM(I8:K8)</f>
        <v>0</v>
      </c>
      <c r="D8">
        <v>200000</v>
      </c>
      <c r="E8">
        <v>1500.55</v>
      </c>
      <c r="F8">
        <v>-4063.51</v>
      </c>
      <c r="G8">
        <v>41384.199999999997</v>
      </c>
      <c r="H8">
        <v>1.8596299999999999</v>
      </c>
      <c r="I8">
        <v>800</v>
      </c>
      <c r="J8">
        <v>0</v>
      </c>
      <c r="K8">
        <v>0</v>
      </c>
      <c r="L8">
        <v>800</v>
      </c>
      <c r="M8">
        <f t="shared" ref="M8" si="0">I8*I$2+J8*J$2+K8*K$2+L8*L$2</f>
        <v>33912</v>
      </c>
      <c r="N8">
        <f t="shared" ref="N8" si="1">M8*(1.66054E-24)/(G8)/(1E-24)</f>
        <v>1.3607181600707519</v>
      </c>
      <c r="O8">
        <f t="shared" ref="O8" si="2">F8+SUM(I8:L8)*1.5*(0.000086173)*E8</f>
        <v>-3753.1734516400002</v>
      </c>
    </row>
    <row r="9" spans="1:15" x14ac:dyDescent="0.2">
      <c r="A9">
        <f t="shared" ref="A9:A18" si="3">I9/SUM(I9:K9)</f>
        <v>0.9</v>
      </c>
      <c r="B9">
        <f t="shared" ref="B9:B18" si="4">J9/SUM(I9:K9)</f>
        <v>0</v>
      </c>
      <c r="C9">
        <f t="shared" ref="C9:C18" si="5">K9/SUM(I9:K9)</f>
        <v>0.1</v>
      </c>
      <c r="D9">
        <v>200000</v>
      </c>
      <c r="E9" s="4">
        <v>1500.85</v>
      </c>
      <c r="F9">
        <v>-3875.92</v>
      </c>
      <c r="G9">
        <v>42568</v>
      </c>
      <c r="H9">
        <v>3.6545399999999999</v>
      </c>
      <c r="I9">
        <v>720</v>
      </c>
      <c r="J9">
        <v>0</v>
      </c>
      <c r="K9">
        <v>80</v>
      </c>
      <c r="L9">
        <v>800</v>
      </c>
      <c r="M9">
        <f>I9*I$2+J9*J$2+K9*K$2+L9*L$2</f>
        <v>35196</v>
      </c>
      <c r="N9">
        <f>M9*(1.66054E-24)/(G9)/(1E-24)</f>
        <v>1.3729648054876904</v>
      </c>
      <c r="O9">
        <f t="shared" ref="O9:O17" si="6">F9+SUM(I9:L9)*1.5*(0.000086173)*E9</f>
        <v>-3565.5214070800002</v>
      </c>
    </row>
    <row r="10" spans="1:15" x14ac:dyDescent="0.2">
      <c r="A10">
        <f t="shared" si="3"/>
        <v>0.8</v>
      </c>
      <c r="B10">
        <f t="shared" si="4"/>
        <v>0</v>
      </c>
      <c r="C10">
        <f t="shared" si="5"/>
        <v>0.2</v>
      </c>
      <c r="D10">
        <v>200000</v>
      </c>
      <c r="E10">
        <v>1500.02</v>
      </c>
      <c r="F10">
        <v>-3689.38</v>
      </c>
      <c r="G10">
        <v>43658</v>
      </c>
      <c r="H10">
        <v>3.8772500000000001</v>
      </c>
      <c r="I10">
        <v>640</v>
      </c>
      <c r="J10">
        <v>0</v>
      </c>
      <c r="K10">
        <v>160</v>
      </c>
      <c r="L10">
        <v>800</v>
      </c>
      <c r="M10">
        <f t="shared" ref="M10:M17" si="7">I10*I$2+J10*J$2+K10*K$2+L10*L$2</f>
        <v>36480</v>
      </c>
      <c r="N10">
        <f t="shared" ref="N10:N17" si="8">M10*(1.66054E-24)/(G10)/(1E-24)</f>
        <v>1.3875234596179395</v>
      </c>
      <c r="O10">
        <f t="shared" si="6"/>
        <v>-3379.1530636960001</v>
      </c>
    </row>
    <row r="11" spans="1:15" x14ac:dyDescent="0.2">
      <c r="A11">
        <f t="shared" si="3"/>
        <v>0.7</v>
      </c>
      <c r="B11">
        <f t="shared" si="4"/>
        <v>0</v>
      </c>
      <c r="C11">
        <f t="shared" si="5"/>
        <v>0.3</v>
      </c>
      <c r="D11">
        <v>200000</v>
      </c>
      <c r="E11">
        <v>1499.87</v>
      </c>
      <c r="F11">
        <v>-3501.77</v>
      </c>
      <c r="G11">
        <v>44793.9</v>
      </c>
      <c r="H11">
        <v>9.0091199999999994</v>
      </c>
      <c r="I11">
        <v>560</v>
      </c>
      <c r="J11">
        <v>0</v>
      </c>
      <c r="K11">
        <v>240</v>
      </c>
      <c r="L11">
        <v>800</v>
      </c>
      <c r="M11">
        <f t="shared" si="7"/>
        <v>37764</v>
      </c>
      <c r="N11">
        <f t="shared" si="8"/>
        <v>1.3999368789053868</v>
      </c>
      <c r="O11">
        <f t="shared" si="6"/>
        <v>-3191.5740859759999</v>
      </c>
    </row>
    <row r="12" spans="1:15" x14ac:dyDescent="0.2">
      <c r="A12">
        <f t="shared" si="3"/>
        <v>0.6</v>
      </c>
      <c r="B12">
        <f t="shared" si="4"/>
        <v>0</v>
      </c>
      <c r="C12">
        <f t="shared" si="5"/>
        <v>0.4</v>
      </c>
      <c r="D12">
        <v>200000</v>
      </c>
      <c r="E12">
        <v>1497.77</v>
      </c>
      <c r="F12">
        <v>-3313.14</v>
      </c>
      <c r="G12">
        <v>45990.1</v>
      </c>
      <c r="H12">
        <v>1.9111800000000001</v>
      </c>
      <c r="I12">
        <v>480</v>
      </c>
      <c r="J12">
        <v>0</v>
      </c>
      <c r="K12">
        <v>320</v>
      </c>
      <c r="L12">
        <v>800</v>
      </c>
      <c r="M12">
        <f t="shared" si="7"/>
        <v>39048</v>
      </c>
      <c r="N12">
        <f t="shared" si="8"/>
        <v>1.4098852996623188</v>
      </c>
      <c r="O12">
        <f t="shared" si="6"/>
        <v>-3003.378397896</v>
      </c>
    </row>
    <row r="13" spans="1:15" x14ac:dyDescent="0.2">
      <c r="A13">
        <f t="shared" si="3"/>
        <v>0.5</v>
      </c>
      <c r="B13">
        <f t="shared" si="4"/>
        <v>0</v>
      </c>
      <c r="C13">
        <f t="shared" si="5"/>
        <v>0.5</v>
      </c>
      <c r="D13">
        <v>200000</v>
      </c>
      <c r="E13" s="3">
        <v>1499.46</v>
      </c>
      <c r="F13">
        <v>-3124.1</v>
      </c>
      <c r="G13" s="3">
        <v>47060.6</v>
      </c>
      <c r="H13" s="3">
        <v>12.236800000000001</v>
      </c>
      <c r="I13">
        <v>400</v>
      </c>
      <c r="J13">
        <v>0</v>
      </c>
      <c r="K13">
        <v>400</v>
      </c>
      <c r="L13">
        <v>800</v>
      </c>
      <c r="M13">
        <f t="shared" si="7"/>
        <v>40332</v>
      </c>
      <c r="N13">
        <f t="shared" si="8"/>
        <v>1.4231203869053943</v>
      </c>
      <c r="O13">
        <f t="shared" si="6"/>
        <v>-2813.988880208</v>
      </c>
    </row>
    <row r="14" spans="1:15" x14ac:dyDescent="0.2">
      <c r="A14">
        <f t="shared" si="3"/>
        <v>0.4</v>
      </c>
      <c r="B14">
        <f t="shared" si="4"/>
        <v>0</v>
      </c>
      <c r="C14">
        <f t="shared" si="5"/>
        <v>0.6</v>
      </c>
      <c r="D14">
        <v>200000</v>
      </c>
      <c r="E14">
        <v>1501.73</v>
      </c>
      <c r="F14">
        <v>-2933.51</v>
      </c>
      <c r="G14">
        <v>48304.7</v>
      </c>
      <c r="H14">
        <v>3.11869</v>
      </c>
      <c r="I14">
        <v>320</v>
      </c>
      <c r="J14">
        <v>0</v>
      </c>
      <c r="K14">
        <v>480</v>
      </c>
      <c r="L14">
        <v>800</v>
      </c>
      <c r="M14">
        <f t="shared" si="7"/>
        <v>41616</v>
      </c>
      <c r="N14">
        <f t="shared" si="8"/>
        <v>1.4306068072050961</v>
      </c>
      <c r="O14">
        <f t="shared" si="6"/>
        <v>-2622.9294097040001</v>
      </c>
    </row>
    <row r="15" spans="1:15" x14ac:dyDescent="0.2">
      <c r="A15">
        <f t="shared" si="3"/>
        <v>0.3</v>
      </c>
      <c r="B15">
        <f t="shared" si="4"/>
        <v>0</v>
      </c>
      <c r="C15">
        <f t="shared" si="5"/>
        <v>0.7</v>
      </c>
      <c r="D15">
        <v>200000</v>
      </c>
      <c r="E15">
        <v>1499.48</v>
      </c>
      <c r="F15">
        <v>-2743.31</v>
      </c>
      <c r="G15">
        <v>49444.6</v>
      </c>
      <c r="H15">
        <v>-6.5408600000000003</v>
      </c>
      <c r="I15">
        <v>240</v>
      </c>
      <c r="J15">
        <v>0</v>
      </c>
      <c r="K15">
        <v>560</v>
      </c>
      <c r="L15">
        <v>800</v>
      </c>
      <c r="M15">
        <f t="shared" si="7"/>
        <v>42900</v>
      </c>
      <c r="N15">
        <f t="shared" si="8"/>
        <v>1.4407471392224833</v>
      </c>
      <c r="O15">
        <f t="shared" si="6"/>
        <v>-2433.194743904</v>
      </c>
    </row>
    <row r="16" spans="1:15" x14ac:dyDescent="0.2">
      <c r="A16">
        <f t="shared" si="3"/>
        <v>0.2</v>
      </c>
      <c r="B16">
        <f t="shared" si="4"/>
        <v>0</v>
      </c>
      <c r="C16">
        <f t="shared" si="5"/>
        <v>0.8</v>
      </c>
      <c r="D16">
        <v>200000</v>
      </c>
      <c r="E16">
        <v>1499.02</v>
      </c>
      <c r="F16">
        <v>-2551.61</v>
      </c>
      <c r="G16">
        <v>50632</v>
      </c>
      <c r="H16">
        <v>8.3697999999999997</v>
      </c>
      <c r="I16">
        <v>160</v>
      </c>
      <c r="J16">
        <v>0</v>
      </c>
      <c r="K16">
        <v>640</v>
      </c>
      <c r="L16">
        <v>800</v>
      </c>
      <c r="M16">
        <f t="shared" si="7"/>
        <v>44184</v>
      </c>
      <c r="N16">
        <f t="shared" si="8"/>
        <v>1.4490697456154211</v>
      </c>
      <c r="O16">
        <f t="shared" si="6"/>
        <v>-2241.5898788960003</v>
      </c>
    </row>
    <row r="17" spans="1:28" x14ac:dyDescent="0.2">
      <c r="A17">
        <f t="shared" si="3"/>
        <v>0.1</v>
      </c>
      <c r="B17">
        <f t="shared" si="4"/>
        <v>0</v>
      </c>
      <c r="C17">
        <f t="shared" si="5"/>
        <v>0.9</v>
      </c>
      <c r="D17">
        <v>200000</v>
      </c>
      <c r="E17">
        <v>1500.76</v>
      </c>
      <c r="F17">
        <v>-2360.4</v>
      </c>
      <c r="G17">
        <v>51780</v>
      </c>
      <c r="H17">
        <v>2.58318</v>
      </c>
      <c r="I17">
        <v>80</v>
      </c>
      <c r="J17">
        <v>0</v>
      </c>
      <c r="K17">
        <v>720</v>
      </c>
      <c r="L17">
        <v>800</v>
      </c>
      <c r="M17">
        <f t="shared" si="7"/>
        <v>45468</v>
      </c>
      <c r="N17">
        <f t="shared" si="8"/>
        <v>1.4581195967555041</v>
      </c>
      <c r="O17">
        <f t="shared" si="6"/>
        <v>-2050.0200204480002</v>
      </c>
    </row>
    <row r="18" spans="1:28" x14ac:dyDescent="0.2">
      <c r="A18">
        <f t="shared" si="3"/>
        <v>0</v>
      </c>
      <c r="B18">
        <f t="shared" si="4"/>
        <v>0</v>
      </c>
      <c r="C18">
        <f t="shared" si="5"/>
        <v>1</v>
      </c>
      <c r="D18">
        <v>200000</v>
      </c>
      <c r="E18">
        <v>1498.98</v>
      </c>
      <c r="F18">
        <v>-2167.88</v>
      </c>
      <c r="G18">
        <v>52975.7</v>
      </c>
      <c r="H18">
        <v>7.6271500000000003</v>
      </c>
      <c r="I18">
        <v>0</v>
      </c>
      <c r="J18">
        <v>0</v>
      </c>
      <c r="K18">
        <v>800</v>
      </c>
      <c r="L18">
        <v>800</v>
      </c>
      <c r="M18">
        <f>I18*I$2+J18*J$2+K18*K$2+L18*L$2</f>
        <v>46752</v>
      </c>
      <c r="N18">
        <f>M18*(1.66054E-24)/(G18)/(1E-24)</f>
        <v>1.4654561634862777</v>
      </c>
      <c r="O18">
        <f>F18+SUM(I18:L18)*1.5*(0.000086173)*E18</f>
        <v>-1857.868151504</v>
      </c>
    </row>
    <row r="21" spans="1:28" x14ac:dyDescent="0.2">
      <c r="A21" t="s">
        <v>49</v>
      </c>
      <c r="B21" t="s">
        <v>41</v>
      </c>
      <c r="C21" t="s">
        <v>48</v>
      </c>
      <c r="D21" t="s">
        <v>1</v>
      </c>
      <c r="E21" t="s">
        <v>2</v>
      </c>
      <c r="F21" t="s">
        <v>3</v>
      </c>
      <c r="G21" t="s">
        <v>4</v>
      </c>
      <c r="H21" t="s">
        <v>5</v>
      </c>
      <c r="I21" t="s">
        <v>6</v>
      </c>
      <c r="J21" t="s">
        <v>7</v>
      </c>
      <c r="K21" t="s">
        <v>8</v>
      </c>
      <c r="L21" t="s">
        <v>9</v>
      </c>
      <c r="M21" t="s">
        <v>15</v>
      </c>
      <c r="N21" t="s">
        <v>16</v>
      </c>
      <c r="O21" t="s">
        <v>21</v>
      </c>
    </row>
    <row r="24" spans="1:28" x14ac:dyDescent="0.2">
      <c r="A24">
        <f>I24/SUM(I24:K24)</f>
        <v>1</v>
      </c>
      <c r="B24">
        <f>J24/SUM(I24:K24)</f>
        <v>0</v>
      </c>
      <c r="C24">
        <f>K24/SUM(I24:K24)</f>
        <v>0</v>
      </c>
      <c r="D24">
        <v>200000</v>
      </c>
      <c r="E24">
        <v>1199.21</v>
      </c>
      <c r="F24">
        <v>-4143.99</v>
      </c>
      <c r="G24">
        <v>38874.300000000003</v>
      </c>
      <c r="H24">
        <v>2.8257599999999998</v>
      </c>
      <c r="I24">
        <v>800</v>
      </c>
      <c r="J24">
        <v>0</v>
      </c>
      <c r="K24">
        <v>0</v>
      </c>
      <c r="L24">
        <v>800</v>
      </c>
      <c r="M24">
        <f t="shared" ref="M24" si="9">I24*I$2+J24*J$2+K24*K$2+L24*L$2</f>
        <v>33912</v>
      </c>
      <c r="N24">
        <f t="shared" ref="N24" si="10">M24*(1.66054E-24)/(G24)/(1E-24)</f>
        <v>1.4485722567351693</v>
      </c>
      <c r="O24">
        <f t="shared" ref="O24" si="11">F24+SUM(I24:L24)*1.5*(0.000086173)*E24</f>
        <v>-3895.9751440079999</v>
      </c>
    </row>
    <row r="25" spans="1:28" x14ac:dyDescent="0.2">
      <c r="A25">
        <f t="shared" ref="A25:A34" si="12">I25/SUM(I25:K25)</f>
        <v>0.9</v>
      </c>
      <c r="B25">
        <f t="shared" ref="B25:B34" si="13">J25/SUM(I25:K25)</f>
        <v>0</v>
      </c>
      <c r="C25">
        <f t="shared" ref="C25:C34" si="14">K25/SUM(I25:K25)</f>
        <v>0.1</v>
      </c>
      <c r="D25">
        <v>200000</v>
      </c>
      <c r="E25" s="4">
        <v>1199.6300000000001</v>
      </c>
      <c r="F25">
        <v>-3957.94</v>
      </c>
      <c r="G25">
        <v>39908.1</v>
      </c>
      <c r="H25">
        <v>0.104292</v>
      </c>
      <c r="I25">
        <v>720</v>
      </c>
      <c r="J25">
        <v>0</v>
      </c>
      <c r="K25">
        <v>80</v>
      </c>
      <c r="L25">
        <v>800</v>
      </c>
      <c r="M25">
        <f>I25*I$2+J25*J$2+K25*K$2+L25*L$2</f>
        <v>35196</v>
      </c>
      <c r="N25">
        <f>M25*(1.66054E-24)/(G25)/(1E-24)</f>
        <v>1.4644737744969067</v>
      </c>
      <c r="O25">
        <f t="shared" ref="O25:O33" si="15">F25+SUM(I25:L25)*1.5*(0.000086173)*E25</f>
        <v>-3709.838281624</v>
      </c>
    </row>
    <row r="26" spans="1:28" x14ac:dyDescent="0.2">
      <c r="A26">
        <f t="shared" si="12"/>
        <v>0.8</v>
      </c>
      <c r="B26">
        <f t="shared" si="13"/>
        <v>0</v>
      </c>
      <c r="C26">
        <f t="shared" si="14"/>
        <v>0.2</v>
      </c>
      <c r="D26">
        <v>200000</v>
      </c>
      <c r="E26">
        <v>1199.46</v>
      </c>
      <c r="F26">
        <v>-3771.28</v>
      </c>
      <c r="G26">
        <v>40980.9</v>
      </c>
      <c r="H26">
        <v>1.57287</v>
      </c>
      <c r="I26">
        <v>640</v>
      </c>
      <c r="J26">
        <v>0</v>
      </c>
      <c r="K26">
        <v>160</v>
      </c>
      <c r="L26">
        <v>800</v>
      </c>
      <c r="M26">
        <f t="shared" ref="M26:M33" si="16">I26*I$2+J26*J$2+K26*K$2+L26*L$2</f>
        <v>36480</v>
      </c>
      <c r="N26">
        <f t="shared" ref="N26:N33" si="17">M26*(1.66054E-24)/(G26)/(1E-24)</f>
        <v>1.4781641984436653</v>
      </c>
      <c r="O26">
        <f t="shared" si="15"/>
        <v>-3523.2134402080001</v>
      </c>
    </row>
    <row r="27" spans="1:28" x14ac:dyDescent="0.2">
      <c r="A27">
        <f t="shared" si="12"/>
        <v>0.7</v>
      </c>
      <c r="B27">
        <f t="shared" si="13"/>
        <v>0</v>
      </c>
      <c r="C27">
        <f t="shared" si="14"/>
        <v>0.3</v>
      </c>
      <c r="D27">
        <v>200000</v>
      </c>
      <c r="E27">
        <v>1199.55</v>
      </c>
      <c r="F27">
        <v>-3584.82</v>
      </c>
      <c r="G27">
        <v>41964.9</v>
      </c>
      <c r="H27">
        <v>5.8657500000000002</v>
      </c>
      <c r="I27">
        <v>560</v>
      </c>
      <c r="J27">
        <v>0</v>
      </c>
      <c r="K27">
        <v>240</v>
      </c>
      <c r="L27">
        <v>800</v>
      </c>
      <c r="M27">
        <f t="shared" si="16"/>
        <v>37764</v>
      </c>
      <c r="N27">
        <f t="shared" si="17"/>
        <v>1.4943114974657394</v>
      </c>
      <c r="O27">
        <f t="shared" si="15"/>
        <v>-3336.7348268400001</v>
      </c>
      <c r="S27" t="s">
        <v>24</v>
      </c>
      <c r="T27" t="s">
        <v>25</v>
      </c>
      <c r="U27" t="s">
        <v>26</v>
      </c>
      <c r="V27" t="s">
        <v>27</v>
      </c>
      <c r="W27" t="s">
        <v>28</v>
      </c>
      <c r="X27">
        <v>3</v>
      </c>
    </row>
    <row r="28" spans="1:28" x14ac:dyDescent="0.2">
      <c r="A28">
        <f t="shared" si="12"/>
        <v>0.6</v>
      </c>
      <c r="B28">
        <f t="shared" si="13"/>
        <v>0</v>
      </c>
      <c r="C28">
        <f t="shared" si="14"/>
        <v>0.4</v>
      </c>
      <c r="D28">
        <v>200000</v>
      </c>
      <c r="E28">
        <v>1201.55</v>
      </c>
      <c r="F28">
        <v>-3396.5</v>
      </c>
      <c r="G28">
        <v>43049</v>
      </c>
      <c r="H28">
        <v>2.6920600000000001</v>
      </c>
      <c r="I28">
        <v>480</v>
      </c>
      <c r="J28">
        <v>0</v>
      </c>
      <c r="K28">
        <v>320</v>
      </c>
      <c r="L28">
        <v>800</v>
      </c>
      <c r="M28">
        <f t="shared" si="16"/>
        <v>39048</v>
      </c>
      <c r="N28">
        <f t="shared" si="17"/>
        <v>1.5062084118097983</v>
      </c>
      <c r="O28">
        <f t="shared" si="15"/>
        <v>-3148.0011964400001</v>
      </c>
      <c r="S28" t="s">
        <v>24</v>
      </c>
      <c r="T28" t="s">
        <v>1</v>
      </c>
      <c r="U28" t="s">
        <v>2</v>
      </c>
      <c r="V28" t="s">
        <v>3</v>
      </c>
      <c r="W28" t="s">
        <v>4</v>
      </c>
      <c r="X28" t="s">
        <v>5</v>
      </c>
      <c r="Y28" t="s">
        <v>6</v>
      </c>
      <c r="Z28" t="s">
        <v>7</v>
      </c>
      <c r="AA28" t="s">
        <v>8</v>
      </c>
      <c r="AB28" t="s">
        <v>9</v>
      </c>
    </row>
    <row r="29" spans="1:28" x14ac:dyDescent="0.2">
      <c r="A29">
        <f t="shared" si="12"/>
        <v>0.5</v>
      </c>
      <c r="B29">
        <f t="shared" si="13"/>
        <v>0</v>
      </c>
      <c r="C29">
        <f t="shared" si="14"/>
        <v>0.5</v>
      </c>
      <c r="D29">
        <v>200000</v>
      </c>
      <c r="E29" s="3">
        <v>1200.06</v>
      </c>
      <c r="F29">
        <v>-3208.26</v>
      </c>
      <c r="G29" s="3">
        <v>44103.199999999997</v>
      </c>
      <c r="H29" s="3">
        <v>2.8780100000000002</v>
      </c>
      <c r="I29">
        <v>400</v>
      </c>
      <c r="J29">
        <v>0</v>
      </c>
      <c r="K29">
        <v>400</v>
      </c>
      <c r="L29">
        <v>800</v>
      </c>
      <c r="M29">
        <f t="shared" si="16"/>
        <v>40332</v>
      </c>
      <c r="N29">
        <f t="shared" si="17"/>
        <v>1.5185496580746976</v>
      </c>
      <c r="O29">
        <f t="shared" si="15"/>
        <v>-2960.0693510880001</v>
      </c>
      <c r="S29">
        <v>1000</v>
      </c>
      <c r="T29">
        <v>700.97799999999995</v>
      </c>
      <c r="U29">
        <v>-3310.73</v>
      </c>
      <c r="V29">
        <v>40682.199999999997</v>
      </c>
      <c r="W29">
        <v>5541.2</v>
      </c>
      <c r="X29">
        <v>400</v>
      </c>
      <c r="Y29">
        <v>0</v>
      </c>
      <c r="Z29">
        <v>400</v>
      </c>
      <c r="AA29">
        <v>800</v>
      </c>
    </row>
    <row r="30" spans="1:28" x14ac:dyDescent="0.2">
      <c r="A30">
        <f t="shared" si="12"/>
        <v>0.4</v>
      </c>
      <c r="B30">
        <f t="shared" si="13"/>
        <v>0</v>
      </c>
      <c r="C30">
        <f t="shared" si="14"/>
        <v>0.6</v>
      </c>
      <c r="D30">
        <v>200000</v>
      </c>
      <c r="E30">
        <v>1199.25</v>
      </c>
      <c r="F30">
        <v>-3020.4</v>
      </c>
      <c r="G30">
        <v>45131.8</v>
      </c>
      <c r="H30">
        <v>11.125299999999999</v>
      </c>
      <c r="I30">
        <v>320</v>
      </c>
      <c r="J30">
        <v>0</v>
      </c>
      <c r="K30">
        <v>480</v>
      </c>
      <c r="L30">
        <v>800</v>
      </c>
      <c r="M30">
        <f t="shared" si="16"/>
        <v>41616</v>
      </c>
      <c r="N30">
        <f t="shared" si="17"/>
        <v>1.5311827279213326</v>
      </c>
      <c r="O30">
        <f t="shared" si="15"/>
        <v>-2772.3768714000003</v>
      </c>
      <c r="S30">
        <v>2000</v>
      </c>
      <c r="T30">
        <v>869.61599999999999</v>
      </c>
      <c r="U30">
        <v>-3303.59</v>
      </c>
      <c r="V30">
        <v>42014.7</v>
      </c>
      <c r="W30">
        <v>-1964.75</v>
      </c>
      <c r="X30">
        <v>400</v>
      </c>
      <c r="Y30">
        <v>0</v>
      </c>
      <c r="Z30">
        <v>400</v>
      </c>
      <c r="AA30">
        <v>800</v>
      </c>
    </row>
    <row r="31" spans="1:28" x14ac:dyDescent="0.2">
      <c r="A31">
        <f t="shared" si="12"/>
        <v>0.3</v>
      </c>
      <c r="B31">
        <f t="shared" si="13"/>
        <v>0</v>
      </c>
      <c r="C31">
        <f t="shared" si="14"/>
        <v>0.7</v>
      </c>
      <c r="D31">
        <v>200000</v>
      </c>
      <c r="E31">
        <v>1198.9100000000001</v>
      </c>
      <c r="F31">
        <v>-2830.63</v>
      </c>
      <c r="G31">
        <v>46166.1</v>
      </c>
      <c r="H31">
        <v>1.4695499999999999</v>
      </c>
      <c r="I31">
        <v>240</v>
      </c>
      <c r="J31">
        <v>0</v>
      </c>
      <c r="K31">
        <v>560</v>
      </c>
      <c r="L31">
        <v>800</v>
      </c>
      <c r="M31">
        <f t="shared" si="16"/>
        <v>42900</v>
      </c>
      <c r="N31">
        <f t="shared" si="17"/>
        <v>1.5430622469734285</v>
      </c>
      <c r="O31">
        <f t="shared" si="15"/>
        <v>-2582.677188568</v>
      </c>
      <c r="S31">
        <v>3000</v>
      </c>
      <c r="T31">
        <v>994.95500000000004</v>
      </c>
      <c r="U31">
        <v>-3276.97</v>
      </c>
      <c r="V31">
        <v>42473.9</v>
      </c>
      <c r="W31">
        <v>-3135.87</v>
      </c>
      <c r="X31">
        <v>400</v>
      </c>
      <c r="Y31">
        <v>0</v>
      </c>
      <c r="Z31">
        <v>400</v>
      </c>
      <c r="AA31">
        <v>800</v>
      </c>
    </row>
    <row r="32" spans="1:28" x14ac:dyDescent="0.2">
      <c r="A32">
        <f t="shared" si="12"/>
        <v>0.2</v>
      </c>
      <c r="B32">
        <f t="shared" si="13"/>
        <v>0</v>
      </c>
      <c r="C32">
        <f t="shared" si="14"/>
        <v>0.8</v>
      </c>
      <c r="D32">
        <v>200000</v>
      </c>
      <c r="E32">
        <v>1199.6400000000001</v>
      </c>
      <c r="F32">
        <v>-2640.24</v>
      </c>
      <c r="G32">
        <v>47227.7</v>
      </c>
      <c r="H32">
        <v>0.37171100000000001</v>
      </c>
      <c r="I32">
        <v>160</v>
      </c>
      <c r="J32">
        <v>0</v>
      </c>
      <c r="K32">
        <v>640</v>
      </c>
      <c r="L32">
        <v>800</v>
      </c>
      <c r="M32">
        <f t="shared" si="16"/>
        <v>44184</v>
      </c>
      <c r="N32">
        <f t="shared" si="17"/>
        <v>1.5535226013547137</v>
      </c>
      <c r="O32">
        <f t="shared" si="15"/>
        <v>-2392.1362134719998</v>
      </c>
      <c r="S32">
        <v>4000</v>
      </c>
      <c r="T32">
        <v>1141.8599999999999</v>
      </c>
      <c r="U32">
        <v>-3248.4</v>
      </c>
      <c r="V32">
        <v>42505.9</v>
      </c>
      <c r="W32">
        <v>1246.07</v>
      </c>
      <c r="X32">
        <v>400</v>
      </c>
      <c r="Y32">
        <v>0</v>
      </c>
      <c r="Z32">
        <v>400</v>
      </c>
      <c r="AA32">
        <v>800</v>
      </c>
    </row>
    <row r="33" spans="1:27" x14ac:dyDescent="0.2">
      <c r="A33">
        <f t="shared" si="12"/>
        <v>0.1</v>
      </c>
      <c r="B33">
        <f t="shared" si="13"/>
        <v>0</v>
      </c>
      <c r="C33">
        <f t="shared" si="14"/>
        <v>0.9</v>
      </c>
      <c r="D33">
        <v>200000</v>
      </c>
      <c r="E33">
        <v>1198.1400000000001</v>
      </c>
      <c r="F33">
        <v>-2449.86</v>
      </c>
      <c r="G33">
        <v>48267.5</v>
      </c>
      <c r="H33">
        <v>-0.44730999999999999</v>
      </c>
      <c r="I33">
        <v>80</v>
      </c>
      <c r="J33">
        <v>0</v>
      </c>
      <c r="K33">
        <v>720</v>
      </c>
      <c r="L33">
        <v>800</v>
      </c>
      <c r="M33">
        <f t="shared" si="16"/>
        <v>45468</v>
      </c>
      <c r="N33">
        <f t="shared" si="17"/>
        <v>1.564229196042886</v>
      </c>
      <c r="O33">
        <f t="shared" si="15"/>
        <v>-2202.0664362719999</v>
      </c>
      <c r="S33">
        <v>5000</v>
      </c>
      <c r="T33">
        <v>1273.92</v>
      </c>
      <c r="U33">
        <v>-3215.44</v>
      </c>
      <c r="V33">
        <v>42775</v>
      </c>
      <c r="W33">
        <v>5783.58</v>
      </c>
      <c r="X33">
        <v>400</v>
      </c>
      <c r="Y33">
        <v>0</v>
      </c>
      <c r="Z33">
        <v>400</v>
      </c>
      <c r="AA33">
        <v>800</v>
      </c>
    </row>
    <row r="34" spans="1:27" x14ac:dyDescent="0.2">
      <c r="A34">
        <f t="shared" si="12"/>
        <v>0</v>
      </c>
      <c r="B34">
        <f t="shared" si="13"/>
        <v>0</v>
      </c>
      <c r="C34">
        <f t="shared" si="14"/>
        <v>1</v>
      </c>
      <c r="D34">
        <v>200000</v>
      </c>
      <c r="E34">
        <v>1199.45</v>
      </c>
      <c r="F34">
        <v>-2257.54</v>
      </c>
      <c r="G34">
        <v>49308</v>
      </c>
      <c r="H34">
        <v>2.895</v>
      </c>
      <c r="I34">
        <v>0</v>
      </c>
      <c r="J34">
        <v>0</v>
      </c>
      <c r="K34">
        <v>800</v>
      </c>
      <c r="L34">
        <v>800</v>
      </c>
      <c r="M34">
        <f>I34*I$2+J34*J$2+K34*K$2+L34*L$2</f>
        <v>46752</v>
      </c>
      <c r="N34">
        <f>M34*(1.66054E-24)/(G34)/(1E-24)</f>
        <v>1.574461873935264</v>
      </c>
      <c r="O34">
        <f>F34+SUM(I34:L34)*1.5*(0.000086173)*E34</f>
        <v>-2009.4755083599998</v>
      </c>
      <c r="S34">
        <v>6000</v>
      </c>
      <c r="T34">
        <v>1406.64</v>
      </c>
      <c r="U34">
        <v>-3189.05</v>
      </c>
      <c r="V34">
        <v>43704.800000000003</v>
      </c>
      <c r="W34">
        <v>2887.79</v>
      </c>
      <c r="X34">
        <v>400</v>
      </c>
      <c r="Y34">
        <v>0</v>
      </c>
      <c r="Z34">
        <v>400</v>
      </c>
      <c r="AA34">
        <v>800</v>
      </c>
    </row>
    <row r="35" spans="1:27" x14ac:dyDescent="0.2">
      <c r="S35">
        <v>7000</v>
      </c>
      <c r="T35">
        <v>1458.53</v>
      </c>
      <c r="U35">
        <v>-3153.68</v>
      </c>
      <c r="V35">
        <v>44898.1</v>
      </c>
      <c r="W35">
        <v>3480.74</v>
      </c>
      <c r="X35">
        <v>400</v>
      </c>
      <c r="Y35">
        <v>0</v>
      </c>
      <c r="Z35">
        <v>400</v>
      </c>
      <c r="AA35">
        <v>800</v>
      </c>
    </row>
    <row r="36" spans="1:27" x14ac:dyDescent="0.2">
      <c r="S36">
        <v>8000</v>
      </c>
      <c r="T36">
        <v>1491.68</v>
      </c>
      <c r="U36">
        <v>-3123.53</v>
      </c>
      <c r="V36">
        <v>45901.7</v>
      </c>
      <c r="W36">
        <v>1255.1500000000001</v>
      </c>
      <c r="X36">
        <v>400</v>
      </c>
      <c r="Y36">
        <v>0</v>
      </c>
      <c r="Z36">
        <v>400</v>
      </c>
      <c r="AA36">
        <v>800</v>
      </c>
    </row>
    <row r="37" spans="1:27" x14ac:dyDescent="0.2">
      <c r="S37">
        <v>9000</v>
      </c>
      <c r="T37">
        <v>1603.26</v>
      </c>
      <c r="U37">
        <v>-3124.7</v>
      </c>
      <c r="V37">
        <v>46472.3</v>
      </c>
      <c r="W37">
        <v>-2191.94</v>
      </c>
      <c r="X37">
        <v>400</v>
      </c>
      <c r="Y37">
        <v>0</v>
      </c>
      <c r="Z37">
        <v>400</v>
      </c>
      <c r="AA37">
        <v>800</v>
      </c>
    </row>
    <row r="38" spans="1:27" x14ac:dyDescent="0.2">
      <c r="D38">
        <v>1500</v>
      </c>
      <c r="E38">
        <v>1200</v>
      </c>
      <c r="H38" t="s">
        <v>59</v>
      </c>
      <c r="S38">
        <v>10000</v>
      </c>
      <c r="T38">
        <v>1503.92</v>
      </c>
      <c r="U38">
        <v>-3113.07</v>
      </c>
      <c r="V38">
        <v>46694.400000000001</v>
      </c>
      <c r="W38">
        <v>1481.27</v>
      </c>
      <c r="X38">
        <v>400</v>
      </c>
      <c r="Y38">
        <v>0</v>
      </c>
      <c r="Z38">
        <v>400</v>
      </c>
      <c r="AA38">
        <v>800</v>
      </c>
    </row>
    <row r="39" spans="1:27" x14ac:dyDescent="0.2">
      <c r="D39">
        <v>-3753.1734516400002</v>
      </c>
      <c r="E39">
        <v>-3895.9751440079999</v>
      </c>
      <c r="F39" cm="1">
        <f t="array" ref="F39:G39">LINEST(D39:E39,$D$38:$E$38)</f>
        <v>0.47600564122666578</v>
      </c>
      <c r="G39">
        <v>-4467.1819134799989</v>
      </c>
      <c r="H39">
        <f>F39/SUM(I24:K24)*(1.602E-19)*(6.022E+23)</f>
        <v>57.401782078626297</v>
      </c>
      <c r="S39">
        <v>11000</v>
      </c>
      <c r="T39">
        <v>1480.36</v>
      </c>
      <c r="U39">
        <v>-3126.77</v>
      </c>
      <c r="V39">
        <v>46936.4</v>
      </c>
      <c r="W39">
        <v>-2820.01</v>
      </c>
      <c r="X39">
        <v>400</v>
      </c>
      <c r="Y39">
        <v>0</v>
      </c>
      <c r="Z39">
        <v>400</v>
      </c>
      <c r="AA39">
        <v>800</v>
      </c>
    </row>
    <row r="40" spans="1:27" x14ac:dyDescent="0.2">
      <c r="D40">
        <v>-3565.5214070800002</v>
      </c>
      <c r="E40">
        <v>-3709.838281624</v>
      </c>
      <c r="F40" cm="1">
        <f t="array" ref="F40:G40">LINEST(D40:E40,$D$38:$E$38)</f>
        <v>0.48105624847999945</v>
      </c>
      <c r="G40">
        <v>-4287.1057797999993</v>
      </c>
      <c r="H40">
        <f t="shared" ref="H40:H48" si="18">F40/SUM(I25:K25)*(1.602E-19)*(6.022E+23)</f>
        <v>58.010837585139797</v>
      </c>
      <c r="S40">
        <v>12000</v>
      </c>
      <c r="T40">
        <v>1475.94</v>
      </c>
      <c r="U40">
        <v>-3134.81</v>
      </c>
      <c r="V40">
        <v>46898.400000000001</v>
      </c>
      <c r="W40">
        <v>-862.25800000000004</v>
      </c>
      <c r="X40">
        <v>400</v>
      </c>
      <c r="Y40">
        <v>0</v>
      </c>
      <c r="Z40">
        <v>400</v>
      </c>
      <c r="AA40">
        <v>800</v>
      </c>
    </row>
    <row r="41" spans="1:27" x14ac:dyDescent="0.2">
      <c r="D41">
        <v>-3379.1530636960001</v>
      </c>
      <c r="E41">
        <v>-3523.2134402080001</v>
      </c>
      <c r="F41" cm="1">
        <f t="array" ref="F41:G41">LINEST(D41:E41,$D$38:$E$38)</f>
        <v>0.48020125503999977</v>
      </c>
      <c r="G41">
        <v>-4099.4549462559999</v>
      </c>
      <c r="H41">
        <f t="shared" si="18"/>
        <v>57.907733455963843</v>
      </c>
      <c r="S41">
        <v>13000</v>
      </c>
      <c r="T41">
        <v>1518.71</v>
      </c>
      <c r="U41">
        <v>-3141.19</v>
      </c>
      <c r="V41">
        <v>46742.7</v>
      </c>
      <c r="W41">
        <v>-234.804</v>
      </c>
      <c r="X41">
        <v>400</v>
      </c>
      <c r="Y41">
        <v>0</v>
      </c>
      <c r="Z41">
        <v>400</v>
      </c>
      <c r="AA41">
        <v>800</v>
      </c>
    </row>
    <row r="42" spans="1:27" x14ac:dyDescent="0.2">
      <c r="D42">
        <v>-3191.5740859759999</v>
      </c>
      <c r="E42">
        <v>-3336.7348268400001</v>
      </c>
      <c r="F42" cm="1">
        <f t="array" ref="F42:G42">LINEST(D42:E42,$D$38:$E$38)</f>
        <v>0.48386913621333399</v>
      </c>
      <c r="G42">
        <v>-3917.377790296001</v>
      </c>
      <c r="H42">
        <f t="shared" si="18"/>
        <v>58.350045263990864</v>
      </c>
      <c r="S42">
        <v>14000</v>
      </c>
      <c r="T42">
        <v>1465.61</v>
      </c>
      <c r="U42">
        <v>-3127.17</v>
      </c>
      <c r="V42">
        <v>46663</v>
      </c>
      <c r="W42">
        <v>-274.33800000000002</v>
      </c>
      <c r="X42">
        <v>400</v>
      </c>
      <c r="Y42">
        <v>0</v>
      </c>
      <c r="Z42">
        <v>400</v>
      </c>
      <c r="AA42">
        <v>800</v>
      </c>
    </row>
    <row r="43" spans="1:27" x14ac:dyDescent="0.2">
      <c r="D43">
        <v>-3003.378397896</v>
      </c>
      <c r="E43">
        <v>-3148.0011964400001</v>
      </c>
      <c r="F43" cm="1">
        <f t="array" ref="F43:G43">LINEST(D43:E43,$D$38:$E$38)</f>
        <v>0.48207599514666677</v>
      </c>
      <c r="G43">
        <v>-3726.4923906160002</v>
      </c>
      <c r="H43">
        <f t="shared" si="18"/>
        <v>58.133809396533877</v>
      </c>
      <c r="S43">
        <v>15000</v>
      </c>
      <c r="T43">
        <v>1517.26</v>
      </c>
      <c r="U43">
        <v>-3125.34</v>
      </c>
      <c r="V43">
        <v>46700.5</v>
      </c>
      <c r="W43">
        <v>-596.70600000000002</v>
      </c>
      <c r="X43">
        <v>400</v>
      </c>
      <c r="Y43">
        <v>0</v>
      </c>
      <c r="Z43">
        <v>400</v>
      </c>
      <c r="AA43">
        <v>800</v>
      </c>
    </row>
    <row r="44" spans="1:27" x14ac:dyDescent="0.2">
      <c r="D44">
        <v>-2813.988880208</v>
      </c>
      <c r="E44">
        <v>-2960.0693510880001</v>
      </c>
      <c r="F44" cm="1">
        <f t="array" ref="F44:G44">LINEST(D44:E44,$D$38:$E$38)</f>
        <v>0.48693490293333369</v>
      </c>
      <c r="G44">
        <v>-3544.3912346080001</v>
      </c>
      <c r="H44">
        <f t="shared" si="18"/>
        <v>58.719747758927333</v>
      </c>
      <c r="S44">
        <v>16000</v>
      </c>
      <c r="T44">
        <v>1585.93</v>
      </c>
      <c r="U44">
        <v>-3129.03</v>
      </c>
      <c r="V44">
        <v>46832.4</v>
      </c>
      <c r="W44">
        <v>-1422.46</v>
      </c>
      <c r="X44">
        <v>400</v>
      </c>
      <c r="Y44">
        <v>0</v>
      </c>
      <c r="Z44">
        <v>400</v>
      </c>
      <c r="AA44">
        <v>800</v>
      </c>
    </row>
    <row r="45" spans="1:27" x14ac:dyDescent="0.2">
      <c r="D45">
        <v>-2622.9294097040001</v>
      </c>
      <c r="E45">
        <v>-2772.3768714000003</v>
      </c>
      <c r="F45" cm="1">
        <f t="array" ref="F45:G45">LINEST(D45:E45,$D$38:$E$38)</f>
        <v>0.4981582056533338</v>
      </c>
      <c r="G45">
        <v>-3370.1667181840007</v>
      </c>
      <c r="H45">
        <f t="shared" si="18"/>
        <v>60.073172006748635</v>
      </c>
      <c r="S45">
        <v>17000</v>
      </c>
      <c r="T45">
        <v>1511.87</v>
      </c>
      <c r="U45">
        <v>-3118.76</v>
      </c>
      <c r="V45">
        <v>46829.5</v>
      </c>
      <c r="W45">
        <v>1734.63</v>
      </c>
      <c r="X45">
        <v>400</v>
      </c>
      <c r="Y45">
        <v>0</v>
      </c>
      <c r="Z45">
        <v>400</v>
      </c>
      <c r="AA45">
        <v>800</v>
      </c>
    </row>
    <row r="46" spans="1:27" x14ac:dyDescent="0.2">
      <c r="D46">
        <v>-2433.194743904</v>
      </c>
      <c r="E46">
        <v>-2582.677188568</v>
      </c>
      <c r="F46" cm="1">
        <f t="array" ref="F46:G46">LINEST(D46:E46,$D$38:$E$38)</f>
        <v>0.4982748155466668</v>
      </c>
      <c r="G46">
        <v>-3180.6069672240005</v>
      </c>
      <c r="H46">
        <f t="shared" si="18"/>
        <v>60.087234057921101</v>
      </c>
      <c r="S46">
        <v>18000</v>
      </c>
      <c r="T46">
        <v>1486.57</v>
      </c>
      <c r="U46">
        <v>-3128.45</v>
      </c>
      <c r="V46">
        <v>46999.5</v>
      </c>
      <c r="W46">
        <v>1196.92</v>
      </c>
      <c r="X46">
        <v>400</v>
      </c>
      <c r="Y46">
        <v>0</v>
      </c>
      <c r="Z46">
        <v>400</v>
      </c>
      <c r="AA46">
        <v>800</v>
      </c>
    </row>
    <row r="47" spans="1:27" x14ac:dyDescent="0.2">
      <c r="D47">
        <v>-2241.5898788960003</v>
      </c>
      <c r="E47">
        <v>-2392.1362134719998</v>
      </c>
      <c r="F47" cm="1">
        <f t="array" ref="F47:G47">LINEST(D47:E47,$D$38:$E$38)</f>
        <v>0.50182111525333173</v>
      </c>
      <c r="G47">
        <v>-2994.3215517759982</v>
      </c>
      <c r="H47">
        <f t="shared" si="18"/>
        <v>60.514884290012667</v>
      </c>
      <c r="S47">
        <v>19000</v>
      </c>
      <c r="T47">
        <v>1449.36</v>
      </c>
      <c r="U47">
        <v>-3126.7</v>
      </c>
      <c r="V47">
        <v>47338.1</v>
      </c>
      <c r="W47">
        <v>-827.87199999999996</v>
      </c>
      <c r="X47">
        <v>400</v>
      </c>
      <c r="Y47">
        <v>0</v>
      </c>
      <c r="Z47">
        <v>400</v>
      </c>
      <c r="AA47">
        <v>800</v>
      </c>
    </row>
    <row r="48" spans="1:27" x14ac:dyDescent="0.2">
      <c r="D48">
        <v>-2050.0200204480002</v>
      </c>
      <c r="E48">
        <v>-2202.0664362719999</v>
      </c>
      <c r="F48" cm="1">
        <f t="array" ref="F48:G48">LINEST(D48:E48,$D$38:$E$38)</f>
        <v>0.50682138607999916</v>
      </c>
      <c r="G48">
        <v>-2810.2520995679993</v>
      </c>
      <c r="H48">
        <f t="shared" si="18"/>
        <v>61.117869699149445</v>
      </c>
      <c r="S48">
        <v>20000</v>
      </c>
      <c r="T48">
        <v>1501.74</v>
      </c>
      <c r="U48">
        <v>-3126.27</v>
      </c>
      <c r="V48">
        <v>47490.9</v>
      </c>
      <c r="W48">
        <v>-1095.01</v>
      </c>
      <c r="X48">
        <v>400</v>
      </c>
      <c r="Y48">
        <v>0</v>
      </c>
      <c r="Z48">
        <v>400</v>
      </c>
      <c r="AA48">
        <v>800</v>
      </c>
    </row>
    <row r="49" spans="4:27" x14ac:dyDescent="0.2">
      <c r="D49">
        <v>-1857.868151504</v>
      </c>
      <c r="E49">
        <v>-2009.4755083599998</v>
      </c>
      <c r="F49" cm="1">
        <f t="array" ref="F49:G49">LINEST(D49:E49,$D$38:$E$38)</f>
        <v>0.50535785618666595</v>
      </c>
      <c r="G49">
        <v>-2615.904935783999</v>
      </c>
      <c r="H49">
        <f>F49/SUM(I34:K34)*(1.602E-19)*(6.022E+23)</f>
        <v>60.94138182437095</v>
      </c>
      <c r="S49">
        <v>21000</v>
      </c>
      <c r="T49">
        <v>1544.49</v>
      </c>
      <c r="U49">
        <v>-3123.49</v>
      </c>
      <c r="V49">
        <v>47458.9</v>
      </c>
      <c r="W49">
        <v>-2057.77</v>
      </c>
      <c r="X49">
        <v>400</v>
      </c>
      <c r="Y49">
        <v>0</v>
      </c>
      <c r="Z49">
        <v>400</v>
      </c>
      <c r="AA49">
        <v>800</v>
      </c>
    </row>
    <row r="50" spans="4:27" x14ac:dyDescent="0.2">
      <c r="S50">
        <v>22000</v>
      </c>
      <c r="T50">
        <v>1510.93</v>
      </c>
      <c r="U50">
        <v>-3113.89</v>
      </c>
      <c r="V50">
        <v>47236.9</v>
      </c>
      <c r="W50">
        <v>-8.9232499999999995</v>
      </c>
      <c r="X50">
        <v>400</v>
      </c>
      <c r="Y50">
        <v>0</v>
      </c>
      <c r="Z50">
        <v>400</v>
      </c>
      <c r="AA50">
        <v>800</v>
      </c>
    </row>
    <row r="51" spans="4:27" x14ac:dyDescent="0.2">
      <c r="S51">
        <v>23000</v>
      </c>
      <c r="T51">
        <v>1496.78</v>
      </c>
      <c r="U51">
        <v>-3116.53</v>
      </c>
      <c r="V51">
        <v>47160.800000000003</v>
      </c>
      <c r="W51">
        <v>-1014.43</v>
      </c>
      <c r="X51">
        <v>400</v>
      </c>
      <c r="Y51">
        <v>0</v>
      </c>
      <c r="Z51">
        <v>400</v>
      </c>
      <c r="AA51">
        <v>800</v>
      </c>
    </row>
    <row r="52" spans="4:27" x14ac:dyDescent="0.2">
      <c r="S52">
        <v>24000</v>
      </c>
      <c r="T52">
        <v>1483.93</v>
      </c>
      <c r="U52">
        <v>-3121.45</v>
      </c>
      <c r="V52">
        <v>47106.3</v>
      </c>
      <c r="W52">
        <v>-1693.16</v>
      </c>
      <c r="X52">
        <v>400</v>
      </c>
      <c r="Y52">
        <v>0</v>
      </c>
      <c r="Z52">
        <v>400</v>
      </c>
      <c r="AA52">
        <v>800</v>
      </c>
    </row>
    <row r="53" spans="4:27" x14ac:dyDescent="0.2">
      <c r="S53">
        <v>25000</v>
      </c>
      <c r="T53">
        <v>1469.27</v>
      </c>
      <c r="U53">
        <v>-3122.17</v>
      </c>
      <c r="V53">
        <v>46803.6</v>
      </c>
      <c r="W53">
        <v>-769.40599999999995</v>
      </c>
      <c r="X53">
        <v>400</v>
      </c>
      <c r="Y53">
        <v>0</v>
      </c>
      <c r="Z53">
        <v>400</v>
      </c>
      <c r="AA53">
        <v>800</v>
      </c>
    </row>
    <row r="54" spans="4:27" x14ac:dyDescent="0.2">
      <c r="S54">
        <v>26000</v>
      </c>
      <c r="T54">
        <v>1495.71</v>
      </c>
      <c r="U54">
        <v>-3125.89</v>
      </c>
      <c r="V54">
        <v>46387</v>
      </c>
      <c r="W54">
        <v>1015.54</v>
      </c>
      <c r="X54">
        <v>400</v>
      </c>
      <c r="Y54">
        <v>0</v>
      </c>
      <c r="Z54">
        <v>400</v>
      </c>
      <c r="AA54">
        <v>800</v>
      </c>
    </row>
    <row r="55" spans="4:27" x14ac:dyDescent="0.2">
      <c r="S55">
        <v>27000</v>
      </c>
      <c r="T55">
        <v>1513.12</v>
      </c>
      <c r="U55">
        <v>-3127.79</v>
      </c>
      <c r="V55">
        <v>46313.5</v>
      </c>
      <c r="W55">
        <v>-154.452</v>
      </c>
      <c r="X55">
        <v>400</v>
      </c>
      <c r="Y55">
        <v>0</v>
      </c>
      <c r="Z55">
        <v>400</v>
      </c>
      <c r="AA55">
        <v>800</v>
      </c>
    </row>
    <row r="56" spans="4:27" x14ac:dyDescent="0.2">
      <c r="S56">
        <v>28000</v>
      </c>
      <c r="T56">
        <v>1494.94</v>
      </c>
      <c r="U56">
        <v>-3125.11</v>
      </c>
      <c r="V56">
        <v>46417.599999999999</v>
      </c>
      <c r="W56">
        <v>1119.75</v>
      </c>
      <c r="X56">
        <v>400</v>
      </c>
      <c r="Y56">
        <v>0</v>
      </c>
      <c r="Z56">
        <v>400</v>
      </c>
      <c r="AA56">
        <v>800</v>
      </c>
    </row>
    <row r="57" spans="4:27" x14ac:dyDescent="0.2">
      <c r="S57">
        <v>29000</v>
      </c>
      <c r="T57">
        <v>1542.27</v>
      </c>
      <c r="U57">
        <v>-3139.05</v>
      </c>
      <c r="V57">
        <v>46571.5</v>
      </c>
      <c r="W57">
        <v>362.59699999999998</v>
      </c>
      <c r="X57">
        <v>400</v>
      </c>
      <c r="Y57">
        <v>0</v>
      </c>
      <c r="Z57">
        <v>400</v>
      </c>
      <c r="AA57">
        <v>800</v>
      </c>
    </row>
    <row r="58" spans="4:27" x14ac:dyDescent="0.2">
      <c r="S58">
        <v>30000</v>
      </c>
      <c r="T58">
        <v>1479.12</v>
      </c>
      <c r="U58">
        <v>-3133.81</v>
      </c>
      <c r="V58">
        <v>46923</v>
      </c>
      <c r="W58">
        <v>1580.55</v>
      </c>
      <c r="X58">
        <v>400</v>
      </c>
      <c r="Y58">
        <v>0</v>
      </c>
      <c r="Z58">
        <v>400</v>
      </c>
      <c r="AA58">
        <v>800</v>
      </c>
    </row>
    <row r="59" spans="4:27" x14ac:dyDescent="0.2">
      <c r="S59">
        <v>31000</v>
      </c>
      <c r="T59">
        <v>1493.48</v>
      </c>
      <c r="U59">
        <v>-3136.65</v>
      </c>
      <c r="V59">
        <v>47370.2</v>
      </c>
      <c r="W59">
        <v>-3602.42</v>
      </c>
      <c r="X59">
        <v>400</v>
      </c>
      <c r="Y59">
        <v>0</v>
      </c>
      <c r="Z59">
        <v>400</v>
      </c>
      <c r="AA59">
        <v>800</v>
      </c>
    </row>
    <row r="60" spans="4:27" x14ac:dyDescent="0.2">
      <c r="S60">
        <v>32000</v>
      </c>
      <c r="T60">
        <v>1514.06</v>
      </c>
      <c r="U60">
        <v>-3130.62</v>
      </c>
      <c r="V60">
        <v>47198.6</v>
      </c>
      <c r="W60">
        <v>-1813.06</v>
      </c>
      <c r="X60">
        <v>400</v>
      </c>
      <c r="Y60">
        <v>0</v>
      </c>
      <c r="Z60">
        <v>400</v>
      </c>
      <c r="AA60">
        <v>800</v>
      </c>
    </row>
    <row r="61" spans="4:27" x14ac:dyDescent="0.2">
      <c r="S61">
        <v>33000</v>
      </c>
      <c r="T61">
        <v>1505.77</v>
      </c>
      <c r="U61">
        <v>-3119.91</v>
      </c>
      <c r="V61">
        <v>46873.1</v>
      </c>
      <c r="W61">
        <v>701.92</v>
      </c>
      <c r="X61">
        <v>400</v>
      </c>
      <c r="Y61">
        <v>0</v>
      </c>
      <c r="Z61">
        <v>400</v>
      </c>
      <c r="AA61">
        <v>800</v>
      </c>
    </row>
    <row r="62" spans="4:27" x14ac:dyDescent="0.2">
      <c r="S62">
        <v>34000</v>
      </c>
      <c r="T62">
        <v>1521.72</v>
      </c>
      <c r="U62">
        <v>-3119.02</v>
      </c>
      <c r="V62">
        <v>46895.7</v>
      </c>
      <c r="W62">
        <v>1019.72</v>
      </c>
      <c r="X62">
        <v>400</v>
      </c>
      <c r="Y62">
        <v>0</v>
      </c>
      <c r="Z62">
        <v>400</v>
      </c>
      <c r="AA62">
        <v>800</v>
      </c>
    </row>
    <row r="63" spans="4:27" x14ac:dyDescent="0.2">
      <c r="S63">
        <v>35000</v>
      </c>
      <c r="T63">
        <v>1516.78</v>
      </c>
      <c r="U63">
        <v>-3120.8</v>
      </c>
      <c r="V63">
        <v>47091.5</v>
      </c>
      <c r="W63">
        <v>-1442.89</v>
      </c>
      <c r="X63">
        <v>400</v>
      </c>
      <c r="Y63">
        <v>0</v>
      </c>
      <c r="Z63">
        <v>400</v>
      </c>
      <c r="AA63">
        <v>800</v>
      </c>
    </row>
    <row r="64" spans="4:27" x14ac:dyDescent="0.2">
      <c r="S64">
        <v>36000</v>
      </c>
      <c r="T64">
        <v>1475.14</v>
      </c>
      <c r="U64">
        <v>-3120.16</v>
      </c>
      <c r="V64">
        <v>47136.800000000003</v>
      </c>
      <c r="W64">
        <v>-179.90899999999999</v>
      </c>
      <c r="X64">
        <v>400</v>
      </c>
      <c r="Y64">
        <v>0</v>
      </c>
      <c r="Z64">
        <v>400</v>
      </c>
      <c r="AA64">
        <v>800</v>
      </c>
    </row>
    <row r="65" spans="19:27" x14ac:dyDescent="0.2">
      <c r="S65">
        <v>37000</v>
      </c>
      <c r="T65">
        <v>1515.02</v>
      </c>
      <c r="U65">
        <v>-3133.29</v>
      </c>
      <c r="V65">
        <v>47086.7</v>
      </c>
      <c r="W65">
        <v>-2073.09</v>
      </c>
      <c r="X65">
        <v>400</v>
      </c>
      <c r="Y65">
        <v>0</v>
      </c>
      <c r="Z65">
        <v>400</v>
      </c>
      <c r="AA65">
        <v>800</v>
      </c>
    </row>
    <row r="66" spans="19:27" x14ac:dyDescent="0.2">
      <c r="S66">
        <v>38000</v>
      </c>
      <c r="T66">
        <v>1520.66</v>
      </c>
      <c r="U66">
        <v>-3135.98</v>
      </c>
      <c r="V66">
        <v>46922.400000000001</v>
      </c>
      <c r="W66">
        <v>1502.25</v>
      </c>
      <c r="X66">
        <v>400</v>
      </c>
      <c r="Y66">
        <v>0</v>
      </c>
      <c r="Z66">
        <v>400</v>
      </c>
      <c r="AA66">
        <v>800</v>
      </c>
    </row>
    <row r="67" spans="19:27" x14ac:dyDescent="0.2">
      <c r="S67">
        <v>39000</v>
      </c>
      <c r="T67">
        <v>1502.79</v>
      </c>
      <c r="U67">
        <v>-3138.72</v>
      </c>
      <c r="V67">
        <v>46882.7</v>
      </c>
      <c r="W67">
        <v>-269.98899999999998</v>
      </c>
      <c r="X67">
        <v>400</v>
      </c>
      <c r="Y67">
        <v>0</v>
      </c>
      <c r="Z67">
        <v>400</v>
      </c>
      <c r="AA67">
        <v>800</v>
      </c>
    </row>
    <row r="68" spans="19:27" x14ac:dyDescent="0.2">
      <c r="S68">
        <v>40000</v>
      </c>
      <c r="T68">
        <v>1475.65</v>
      </c>
      <c r="U68">
        <v>-3127.73</v>
      </c>
      <c r="V68">
        <v>46764.800000000003</v>
      </c>
      <c r="W68">
        <v>-152.501</v>
      </c>
      <c r="X68">
        <v>400</v>
      </c>
      <c r="Y68">
        <v>0</v>
      </c>
      <c r="Z68">
        <v>400</v>
      </c>
      <c r="AA68">
        <v>800</v>
      </c>
    </row>
    <row r="69" spans="19:27" x14ac:dyDescent="0.2">
      <c r="S69">
        <v>41000</v>
      </c>
      <c r="T69">
        <v>1517.61</v>
      </c>
      <c r="U69">
        <v>-3123.4</v>
      </c>
      <c r="V69">
        <v>46567.3</v>
      </c>
      <c r="W69">
        <v>1300.31</v>
      </c>
      <c r="X69">
        <v>400</v>
      </c>
      <c r="Y69">
        <v>0</v>
      </c>
      <c r="Z69">
        <v>400</v>
      </c>
      <c r="AA69">
        <v>800</v>
      </c>
    </row>
    <row r="70" spans="19:27" x14ac:dyDescent="0.2">
      <c r="S70">
        <v>42000</v>
      </c>
      <c r="T70">
        <v>1533.11</v>
      </c>
      <c r="U70">
        <v>-3121.37</v>
      </c>
      <c r="V70">
        <v>46571.7</v>
      </c>
      <c r="W70">
        <v>-57.890999999999998</v>
      </c>
      <c r="X70">
        <v>400</v>
      </c>
      <c r="Y70">
        <v>0</v>
      </c>
      <c r="Z70">
        <v>400</v>
      </c>
      <c r="AA70">
        <v>800</v>
      </c>
    </row>
    <row r="71" spans="19:27" x14ac:dyDescent="0.2">
      <c r="S71">
        <v>43000</v>
      </c>
      <c r="T71">
        <v>1509.64</v>
      </c>
      <c r="U71">
        <v>-3119.27</v>
      </c>
      <c r="V71">
        <v>46728.9</v>
      </c>
      <c r="W71">
        <v>1816.33</v>
      </c>
      <c r="X71">
        <v>400</v>
      </c>
      <c r="Y71">
        <v>0</v>
      </c>
      <c r="Z71">
        <v>400</v>
      </c>
      <c r="AA71">
        <v>800</v>
      </c>
    </row>
    <row r="72" spans="19:27" x14ac:dyDescent="0.2">
      <c r="S72">
        <v>44000</v>
      </c>
      <c r="T72">
        <v>1564.92</v>
      </c>
      <c r="U72">
        <v>-3139.38</v>
      </c>
      <c r="V72">
        <v>47105.4</v>
      </c>
      <c r="W72">
        <v>-186.61199999999999</v>
      </c>
      <c r="X72">
        <v>400</v>
      </c>
      <c r="Y72">
        <v>0</v>
      </c>
      <c r="Z72">
        <v>400</v>
      </c>
      <c r="AA72">
        <v>800</v>
      </c>
    </row>
    <row r="73" spans="19:27" x14ac:dyDescent="0.2">
      <c r="S73">
        <v>45000</v>
      </c>
      <c r="T73">
        <v>1407.46</v>
      </c>
      <c r="U73">
        <v>-3117.5</v>
      </c>
      <c r="V73">
        <v>47597.4</v>
      </c>
      <c r="W73">
        <v>-2322.66</v>
      </c>
      <c r="X73">
        <v>400</v>
      </c>
      <c r="Y73">
        <v>0</v>
      </c>
      <c r="Z73">
        <v>400</v>
      </c>
      <c r="AA73">
        <v>800</v>
      </c>
    </row>
    <row r="74" spans="19:27" x14ac:dyDescent="0.2">
      <c r="S74">
        <v>46000</v>
      </c>
      <c r="T74">
        <v>1490.34</v>
      </c>
      <c r="U74">
        <v>-3123.02</v>
      </c>
      <c r="V74">
        <v>47699</v>
      </c>
      <c r="W74">
        <v>-1504.17</v>
      </c>
      <c r="X74">
        <v>400</v>
      </c>
      <c r="Y74">
        <v>0</v>
      </c>
      <c r="Z74">
        <v>400</v>
      </c>
      <c r="AA74">
        <v>800</v>
      </c>
    </row>
    <row r="75" spans="19:27" x14ac:dyDescent="0.2">
      <c r="S75">
        <v>47000</v>
      </c>
      <c r="T75">
        <v>1510.39</v>
      </c>
      <c r="U75">
        <v>-3116.84</v>
      </c>
      <c r="V75">
        <v>47648.3</v>
      </c>
      <c r="W75">
        <v>-764.48900000000003</v>
      </c>
      <c r="X75">
        <v>400</v>
      </c>
      <c r="Y75">
        <v>0</v>
      </c>
      <c r="Z75">
        <v>400</v>
      </c>
      <c r="AA75">
        <v>800</v>
      </c>
    </row>
    <row r="76" spans="19:27" x14ac:dyDescent="0.2">
      <c r="S76">
        <v>48000</v>
      </c>
      <c r="T76">
        <v>1537.67</v>
      </c>
      <c r="U76">
        <v>-3120.51</v>
      </c>
      <c r="V76">
        <v>47436.1</v>
      </c>
      <c r="W76">
        <v>63.985700000000001</v>
      </c>
      <c r="X76">
        <v>400</v>
      </c>
      <c r="Y76">
        <v>0</v>
      </c>
      <c r="Z76">
        <v>400</v>
      </c>
      <c r="AA76">
        <v>800</v>
      </c>
    </row>
    <row r="77" spans="19:27" x14ac:dyDescent="0.2">
      <c r="S77">
        <v>49000</v>
      </c>
      <c r="T77">
        <v>1484.53</v>
      </c>
      <c r="U77">
        <v>-3117.27</v>
      </c>
      <c r="V77">
        <v>47142</v>
      </c>
      <c r="W77">
        <v>102.456</v>
      </c>
      <c r="X77">
        <v>400</v>
      </c>
      <c r="Y77">
        <v>0</v>
      </c>
      <c r="Z77">
        <v>400</v>
      </c>
      <c r="AA77">
        <v>800</v>
      </c>
    </row>
    <row r="78" spans="19:27" x14ac:dyDescent="0.2">
      <c r="S78">
        <v>50000</v>
      </c>
      <c r="T78">
        <v>1474.59</v>
      </c>
      <c r="U78">
        <v>-3126.4</v>
      </c>
      <c r="V78">
        <v>46917.8</v>
      </c>
      <c r="W78">
        <v>3895.58</v>
      </c>
      <c r="X78">
        <v>400</v>
      </c>
      <c r="Y78">
        <v>0</v>
      </c>
      <c r="Z78">
        <v>400</v>
      </c>
      <c r="AA78">
        <v>800</v>
      </c>
    </row>
    <row r="79" spans="19:27" x14ac:dyDescent="0.2">
      <c r="S79">
        <v>51000</v>
      </c>
      <c r="T79">
        <v>1475.59</v>
      </c>
      <c r="U79">
        <v>-3131.28</v>
      </c>
      <c r="V79">
        <v>46970.7</v>
      </c>
      <c r="W79">
        <v>733.01499999999999</v>
      </c>
      <c r="X79">
        <v>400</v>
      </c>
      <c r="Y79">
        <v>0</v>
      </c>
      <c r="Z79">
        <v>400</v>
      </c>
      <c r="AA79">
        <v>800</v>
      </c>
    </row>
    <row r="80" spans="19:27" x14ac:dyDescent="0.2">
      <c r="S80">
        <v>52000</v>
      </c>
      <c r="T80">
        <v>1482.71</v>
      </c>
      <c r="U80">
        <v>-3122.26</v>
      </c>
      <c r="V80">
        <v>47048.2</v>
      </c>
      <c r="W80">
        <v>-1887.34</v>
      </c>
      <c r="X80">
        <v>400</v>
      </c>
      <c r="Y80">
        <v>0</v>
      </c>
      <c r="Z80">
        <v>400</v>
      </c>
      <c r="AA80">
        <v>800</v>
      </c>
    </row>
    <row r="81" spans="19:27" x14ac:dyDescent="0.2">
      <c r="S81">
        <v>53000</v>
      </c>
      <c r="T81">
        <v>1506.12</v>
      </c>
      <c r="U81">
        <v>-3116.66</v>
      </c>
      <c r="V81">
        <v>47104.9</v>
      </c>
      <c r="W81">
        <v>1256.82</v>
      </c>
      <c r="X81">
        <v>400</v>
      </c>
      <c r="Y81">
        <v>0</v>
      </c>
      <c r="Z81">
        <v>400</v>
      </c>
      <c r="AA81">
        <v>800</v>
      </c>
    </row>
    <row r="82" spans="19:27" x14ac:dyDescent="0.2">
      <c r="S82">
        <v>54000</v>
      </c>
      <c r="T82">
        <v>1502.5</v>
      </c>
      <c r="U82">
        <v>-3112.2</v>
      </c>
      <c r="V82">
        <v>47366.2</v>
      </c>
      <c r="W82">
        <v>2196.86</v>
      </c>
      <c r="X82">
        <v>400</v>
      </c>
      <c r="Y82">
        <v>0</v>
      </c>
      <c r="Z82">
        <v>400</v>
      </c>
      <c r="AA82">
        <v>800</v>
      </c>
    </row>
    <row r="83" spans="19:27" x14ac:dyDescent="0.2">
      <c r="S83">
        <v>55000</v>
      </c>
      <c r="T83">
        <v>1492.12</v>
      </c>
      <c r="U83">
        <v>-3106.47</v>
      </c>
      <c r="V83">
        <v>47745.5</v>
      </c>
      <c r="W83">
        <v>-343.65899999999999</v>
      </c>
      <c r="X83">
        <v>400</v>
      </c>
      <c r="Y83">
        <v>0</v>
      </c>
      <c r="Z83">
        <v>400</v>
      </c>
      <c r="AA83">
        <v>800</v>
      </c>
    </row>
    <row r="84" spans="19:27" x14ac:dyDescent="0.2">
      <c r="S84">
        <v>56000</v>
      </c>
      <c r="T84">
        <v>1537.26</v>
      </c>
      <c r="U84">
        <v>-3113.86</v>
      </c>
      <c r="V84">
        <v>47874</v>
      </c>
      <c r="W84">
        <v>-2015.34</v>
      </c>
      <c r="X84">
        <v>400</v>
      </c>
      <c r="Y84">
        <v>0</v>
      </c>
      <c r="Z84">
        <v>400</v>
      </c>
      <c r="AA84">
        <v>800</v>
      </c>
    </row>
    <row r="85" spans="19:27" x14ac:dyDescent="0.2">
      <c r="S85">
        <v>57000</v>
      </c>
      <c r="T85">
        <v>1464.02</v>
      </c>
      <c r="U85">
        <v>-3111.05</v>
      </c>
      <c r="V85">
        <v>47583.6</v>
      </c>
      <c r="W85">
        <v>-1854.53</v>
      </c>
      <c r="X85">
        <v>400</v>
      </c>
      <c r="Y85">
        <v>0</v>
      </c>
      <c r="Z85">
        <v>400</v>
      </c>
      <c r="AA85">
        <v>800</v>
      </c>
    </row>
    <row r="86" spans="19:27" x14ac:dyDescent="0.2">
      <c r="S86">
        <v>58000</v>
      </c>
      <c r="T86">
        <v>1486.75</v>
      </c>
      <c r="U86">
        <v>-3124.78</v>
      </c>
      <c r="V86">
        <v>46962.8</v>
      </c>
      <c r="W86">
        <v>-596.904</v>
      </c>
      <c r="X86">
        <v>400</v>
      </c>
      <c r="Y86">
        <v>0</v>
      </c>
      <c r="Z86">
        <v>400</v>
      </c>
      <c r="AA86">
        <v>800</v>
      </c>
    </row>
    <row r="87" spans="19:27" x14ac:dyDescent="0.2">
      <c r="S87">
        <v>59000</v>
      </c>
      <c r="T87">
        <v>1510.47</v>
      </c>
      <c r="U87">
        <v>-3132.54</v>
      </c>
      <c r="V87">
        <v>46331</v>
      </c>
      <c r="W87">
        <v>2355.92</v>
      </c>
      <c r="X87">
        <v>400</v>
      </c>
      <c r="Y87">
        <v>0</v>
      </c>
      <c r="Z87">
        <v>400</v>
      </c>
      <c r="AA87">
        <v>800</v>
      </c>
    </row>
    <row r="88" spans="19:27" x14ac:dyDescent="0.2">
      <c r="S88">
        <v>60000</v>
      </c>
      <c r="T88">
        <v>1480.67</v>
      </c>
      <c r="U88">
        <v>-3128.9</v>
      </c>
      <c r="V88">
        <v>46185.7</v>
      </c>
      <c r="W88">
        <v>1637.27</v>
      </c>
      <c r="X88">
        <v>400</v>
      </c>
      <c r="Y88">
        <v>0</v>
      </c>
      <c r="Z88">
        <v>400</v>
      </c>
      <c r="AA88">
        <v>800</v>
      </c>
    </row>
    <row r="89" spans="19:27" x14ac:dyDescent="0.2">
      <c r="S89">
        <v>61000</v>
      </c>
      <c r="T89">
        <v>1493.81</v>
      </c>
      <c r="U89">
        <v>-3125.79</v>
      </c>
      <c r="V89">
        <v>46427.3</v>
      </c>
      <c r="W89">
        <v>387.11099999999999</v>
      </c>
      <c r="X89">
        <v>400</v>
      </c>
      <c r="Y89">
        <v>0</v>
      </c>
      <c r="Z89">
        <v>400</v>
      </c>
      <c r="AA89">
        <v>800</v>
      </c>
    </row>
    <row r="90" spans="19:27" x14ac:dyDescent="0.2">
      <c r="S90">
        <v>62000</v>
      </c>
      <c r="T90">
        <v>1558.79</v>
      </c>
      <c r="U90">
        <v>-3124.97</v>
      </c>
      <c r="V90">
        <v>46691</v>
      </c>
      <c r="W90">
        <v>1107.76</v>
      </c>
      <c r="X90">
        <v>400</v>
      </c>
      <c r="Y90">
        <v>0</v>
      </c>
      <c r="Z90">
        <v>400</v>
      </c>
      <c r="AA90">
        <v>800</v>
      </c>
    </row>
    <row r="91" spans="19:27" x14ac:dyDescent="0.2">
      <c r="S91">
        <v>63000</v>
      </c>
      <c r="T91">
        <v>1493.09</v>
      </c>
      <c r="U91">
        <v>-3113.94</v>
      </c>
      <c r="V91">
        <v>46869.2</v>
      </c>
      <c r="W91">
        <v>1796.76</v>
      </c>
      <c r="X91">
        <v>400</v>
      </c>
      <c r="Y91">
        <v>0</v>
      </c>
      <c r="Z91">
        <v>400</v>
      </c>
      <c r="AA91">
        <v>800</v>
      </c>
    </row>
    <row r="92" spans="19:27" x14ac:dyDescent="0.2">
      <c r="S92">
        <v>64000</v>
      </c>
      <c r="T92">
        <v>1494.81</v>
      </c>
      <c r="U92">
        <v>-3124.52</v>
      </c>
      <c r="V92">
        <v>47033.599999999999</v>
      </c>
      <c r="W92">
        <v>583.32399999999996</v>
      </c>
      <c r="X92">
        <v>400</v>
      </c>
      <c r="Y92">
        <v>0</v>
      </c>
      <c r="Z92">
        <v>400</v>
      </c>
      <c r="AA92">
        <v>800</v>
      </c>
    </row>
    <row r="93" spans="19:27" x14ac:dyDescent="0.2">
      <c r="S93">
        <v>65000</v>
      </c>
      <c r="T93">
        <v>1507.05</v>
      </c>
      <c r="U93">
        <v>-3134.65</v>
      </c>
      <c r="V93">
        <v>47104.6</v>
      </c>
      <c r="W93">
        <v>-3150.45</v>
      </c>
      <c r="X93">
        <v>400</v>
      </c>
      <c r="Y93">
        <v>0</v>
      </c>
      <c r="Z93">
        <v>400</v>
      </c>
      <c r="AA93">
        <v>800</v>
      </c>
    </row>
    <row r="94" spans="19:27" x14ac:dyDescent="0.2">
      <c r="S94">
        <v>66000</v>
      </c>
      <c r="T94">
        <v>1468.35</v>
      </c>
      <c r="U94">
        <v>-3127.27</v>
      </c>
      <c r="V94">
        <v>46888.2</v>
      </c>
      <c r="W94">
        <v>2373.0700000000002</v>
      </c>
      <c r="X94">
        <v>400</v>
      </c>
      <c r="Y94">
        <v>0</v>
      </c>
      <c r="Z94">
        <v>400</v>
      </c>
      <c r="AA94">
        <v>800</v>
      </c>
    </row>
    <row r="95" spans="19:27" x14ac:dyDescent="0.2">
      <c r="S95">
        <v>67000</v>
      </c>
      <c r="T95">
        <v>1508.09</v>
      </c>
      <c r="U95">
        <v>-3131.95</v>
      </c>
      <c r="V95">
        <v>46956.9</v>
      </c>
      <c r="W95">
        <v>-2919.89</v>
      </c>
      <c r="X95">
        <v>400</v>
      </c>
      <c r="Y95">
        <v>0</v>
      </c>
      <c r="Z95">
        <v>400</v>
      </c>
      <c r="AA95">
        <v>800</v>
      </c>
    </row>
    <row r="96" spans="19:27" x14ac:dyDescent="0.2">
      <c r="S96">
        <v>68000</v>
      </c>
      <c r="T96">
        <v>1504.9</v>
      </c>
      <c r="U96">
        <v>-3127.07</v>
      </c>
      <c r="V96">
        <v>46866.400000000001</v>
      </c>
      <c r="W96">
        <v>2163.02</v>
      </c>
      <c r="X96">
        <v>400</v>
      </c>
      <c r="Y96">
        <v>0</v>
      </c>
      <c r="Z96">
        <v>400</v>
      </c>
      <c r="AA96">
        <v>800</v>
      </c>
    </row>
    <row r="97" spans="19:27" x14ac:dyDescent="0.2">
      <c r="S97">
        <v>69000</v>
      </c>
      <c r="T97">
        <v>1535.6</v>
      </c>
      <c r="U97">
        <v>-3132.52</v>
      </c>
      <c r="V97">
        <v>47021.3</v>
      </c>
      <c r="W97">
        <v>-846.56600000000003</v>
      </c>
      <c r="X97">
        <v>400</v>
      </c>
      <c r="Y97">
        <v>0</v>
      </c>
      <c r="Z97">
        <v>400</v>
      </c>
      <c r="AA97">
        <v>800</v>
      </c>
    </row>
    <row r="98" spans="19:27" x14ac:dyDescent="0.2">
      <c r="S98">
        <v>70000</v>
      </c>
      <c r="T98">
        <v>1477.72</v>
      </c>
      <c r="U98">
        <v>-3127.58</v>
      </c>
      <c r="V98">
        <v>47188.2</v>
      </c>
      <c r="W98">
        <v>863.84900000000005</v>
      </c>
      <c r="X98">
        <v>400</v>
      </c>
      <c r="Y98">
        <v>0</v>
      </c>
      <c r="Z98">
        <v>400</v>
      </c>
      <c r="AA98">
        <v>800</v>
      </c>
    </row>
    <row r="99" spans="19:27" x14ac:dyDescent="0.2">
      <c r="S99">
        <v>71000</v>
      </c>
      <c r="T99">
        <v>1447.28</v>
      </c>
      <c r="U99">
        <v>-3130.48</v>
      </c>
      <c r="V99">
        <v>47229.2</v>
      </c>
      <c r="W99">
        <v>-2767.15</v>
      </c>
      <c r="X99">
        <v>400</v>
      </c>
      <c r="Y99">
        <v>0</v>
      </c>
      <c r="Z99">
        <v>400</v>
      </c>
      <c r="AA99">
        <v>800</v>
      </c>
    </row>
    <row r="100" spans="19:27" x14ac:dyDescent="0.2">
      <c r="S100">
        <v>72000</v>
      </c>
      <c r="T100">
        <v>1462.34</v>
      </c>
      <c r="U100">
        <v>-3131.49</v>
      </c>
      <c r="V100">
        <v>46809.3</v>
      </c>
      <c r="W100">
        <v>728.13900000000001</v>
      </c>
      <c r="X100">
        <v>400</v>
      </c>
      <c r="Y100">
        <v>0</v>
      </c>
      <c r="Z100">
        <v>400</v>
      </c>
      <c r="AA100">
        <v>800</v>
      </c>
    </row>
    <row r="101" spans="19:27" x14ac:dyDescent="0.2">
      <c r="S101">
        <v>73000</v>
      </c>
      <c r="T101">
        <v>1506.69</v>
      </c>
      <c r="U101">
        <v>-3123.61</v>
      </c>
      <c r="V101">
        <v>46445.8</v>
      </c>
      <c r="W101">
        <v>406.10599999999999</v>
      </c>
      <c r="X101">
        <v>400</v>
      </c>
      <c r="Y101">
        <v>0</v>
      </c>
      <c r="Z101">
        <v>400</v>
      </c>
      <c r="AA101">
        <v>800</v>
      </c>
    </row>
    <row r="102" spans="19:27" x14ac:dyDescent="0.2">
      <c r="S102">
        <v>74000</v>
      </c>
      <c r="T102">
        <v>1540.54</v>
      </c>
      <c r="U102">
        <v>-3125.9</v>
      </c>
      <c r="V102">
        <v>46323.9</v>
      </c>
      <c r="W102">
        <v>878.56200000000001</v>
      </c>
      <c r="X102">
        <v>400</v>
      </c>
      <c r="Y102">
        <v>0</v>
      </c>
      <c r="Z102">
        <v>400</v>
      </c>
      <c r="AA102">
        <v>800</v>
      </c>
    </row>
    <row r="103" spans="19:27" x14ac:dyDescent="0.2">
      <c r="S103">
        <v>75000</v>
      </c>
      <c r="T103">
        <v>1473.58</v>
      </c>
      <c r="U103">
        <v>-3119.8</v>
      </c>
      <c r="V103">
        <v>46557</v>
      </c>
      <c r="W103">
        <v>927.80399999999997</v>
      </c>
      <c r="X103">
        <v>400</v>
      </c>
      <c r="Y103">
        <v>0</v>
      </c>
      <c r="Z103">
        <v>400</v>
      </c>
      <c r="AA103">
        <v>800</v>
      </c>
    </row>
    <row r="104" spans="19:27" x14ac:dyDescent="0.2">
      <c r="S104">
        <v>76000</v>
      </c>
      <c r="T104">
        <v>1480.8</v>
      </c>
      <c r="U104">
        <v>-3127.99</v>
      </c>
      <c r="V104">
        <v>46895.7</v>
      </c>
      <c r="W104">
        <v>-650.89300000000003</v>
      </c>
      <c r="X104">
        <v>400</v>
      </c>
      <c r="Y104">
        <v>0</v>
      </c>
      <c r="Z104">
        <v>400</v>
      </c>
      <c r="AA104">
        <v>800</v>
      </c>
    </row>
    <row r="105" spans="19:27" x14ac:dyDescent="0.2">
      <c r="S105">
        <v>77000</v>
      </c>
      <c r="T105">
        <v>1454.74</v>
      </c>
      <c r="U105">
        <v>-3124.2</v>
      </c>
      <c r="V105">
        <v>46969.1</v>
      </c>
      <c r="W105">
        <v>150.82300000000001</v>
      </c>
      <c r="X105">
        <v>400</v>
      </c>
      <c r="Y105">
        <v>0</v>
      </c>
      <c r="Z105">
        <v>400</v>
      </c>
      <c r="AA105">
        <v>800</v>
      </c>
    </row>
    <row r="106" spans="19:27" x14ac:dyDescent="0.2">
      <c r="S106">
        <v>78000</v>
      </c>
      <c r="T106">
        <v>1507.09</v>
      </c>
      <c r="U106">
        <v>-3119.92</v>
      </c>
      <c r="V106">
        <v>46853.3</v>
      </c>
      <c r="W106">
        <v>-757.89499999999998</v>
      </c>
      <c r="X106">
        <v>400</v>
      </c>
      <c r="Y106">
        <v>0</v>
      </c>
      <c r="Z106">
        <v>400</v>
      </c>
      <c r="AA106">
        <v>800</v>
      </c>
    </row>
    <row r="107" spans="19:27" x14ac:dyDescent="0.2">
      <c r="S107">
        <v>79000</v>
      </c>
      <c r="T107">
        <v>1483.67</v>
      </c>
      <c r="U107">
        <v>-3109.34</v>
      </c>
      <c r="V107">
        <v>46556.2</v>
      </c>
      <c r="W107">
        <v>2203.84</v>
      </c>
      <c r="X107">
        <v>400</v>
      </c>
      <c r="Y107">
        <v>0</v>
      </c>
      <c r="Z107">
        <v>400</v>
      </c>
      <c r="AA107">
        <v>800</v>
      </c>
    </row>
    <row r="108" spans="19:27" x14ac:dyDescent="0.2">
      <c r="S108">
        <v>80000</v>
      </c>
      <c r="T108">
        <v>1517.4</v>
      </c>
      <c r="U108">
        <v>-3120.46</v>
      </c>
      <c r="V108">
        <v>46428.800000000003</v>
      </c>
      <c r="W108">
        <v>1053.99</v>
      </c>
      <c r="X108">
        <v>400</v>
      </c>
      <c r="Y108">
        <v>0</v>
      </c>
      <c r="Z108">
        <v>400</v>
      </c>
      <c r="AA108">
        <v>800</v>
      </c>
    </row>
    <row r="109" spans="19:27" x14ac:dyDescent="0.2">
      <c r="S109">
        <v>81000</v>
      </c>
      <c r="T109">
        <v>1513.12</v>
      </c>
      <c r="U109">
        <v>-3132.98</v>
      </c>
      <c r="V109">
        <v>46424.6</v>
      </c>
      <c r="W109">
        <v>-1433.19</v>
      </c>
      <c r="X109">
        <v>400</v>
      </c>
      <c r="Y109">
        <v>0</v>
      </c>
      <c r="Z109">
        <v>400</v>
      </c>
      <c r="AA109">
        <v>800</v>
      </c>
    </row>
    <row r="110" spans="19:27" x14ac:dyDescent="0.2">
      <c r="S110">
        <v>82000</v>
      </c>
      <c r="T110">
        <v>1485.94</v>
      </c>
      <c r="U110">
        <v>-3133.51</v>
      </c>
      <c r="V110">
        <v>46261.599999999999</v>
      </c>
      <c r="W110">
        <v>1661.4</v>
      </c>
      <c r="X110">
        <v>400</v>
      </c>
      <c r="Y110">
        <v>0</v>
      </c>
      <c r="Z110">
        <v>400</v>
      </c>
      <c r="AA110">
        <v>800</v>
      </c>
    </row>
    <row r="111" spans="19:27" x14ac:dyDescent="0.2">
      <c r="S111">
        <v>83000</v>
      </c>
      <c r="T111">
        <v>1467.33</v>
      </c>
      <c r="U111">
        <v>-3127.46</v>
      </c>
      <c r="V111">
        <v>46329.3</v>
      </c>
      <c r="W111">
        <v>1520.07</v>
      </c>
      <c r="X111">
        <v>400</v>
      </c>
      <c r="Y111">
        <v>0</v>
      </c>
      <c r="Z111">
        <v>400</v>
      </c>
      <c r="AA111">
        <v>800</v>
      </c>
    </row>
    <row r="112" spans="19:27" x14ac:dyDescent="0.2">
      <c r="S112">
        <v>84000</v>
      </c>
      <c r="T112">
        <v>1493.44</v>
      </c>
      <c r="U112">
        <v>-3127.25</v>
      </c>
      <c r="V112">
        <v>46465.5</v>
      </c>
      <c r="W112">
        <v>-1533.54</v>
      </c>
      <c r="X112">
        <v>400</v>
      </c>
      <c r="Y112">
        <v>0</v>
      </c>
      <c r="Z112">
        <v>400</v>
      </c>
      <c r="AA112">
        <v>800</v>
      </c>
    </row>
    <row r="113" spans="19:27" x14ac:dyDescent="0.2">
      <c r="S113">
        <v>85000</v>
      </c>
      <c r="T113">
        <v>1511.28</v>
      </c>
      <c r="U113">
        <v>-3126.62</v>
      </c>
      <c r="V113">
        <v>46429.8</v>
      </c>
      <c r="W113">
        <v>1565.07</v>
      </c>
      <c r="X113">
        <v>400</v>
      </c>
      <c r="Y113">
        <v>0</v>
      </c>
      <c r="Z113">
        <v>400</v>
      </c>
      <c r="AA113">
        <v>800</v>
      </c>
    </row>
    <row r="114" spans="19:27" x14ac:dyDescent="0.2">
      <c r="S114">
        <v>86000</v>
      </c>
      <c r="T114">
        <v>1483.01</v>
      </c>
      <c r="U114">
        <v>-3121.11</v>
      </c>
      <c r="V114">
        <v>46489.599999999999</v>
      </c>
      <c r="W114">
        <v>-395.834</v>
      </c>
      <c r="X114">
        <v>400</v>
      </c>
      <c r="Y114">
        <v>0</v>
      </c>
      <c r="Z114">
        <v>400</v>
      </c>
      <c r="AA114">
        <v>800</v>
      </c>
    </row>
    <row r="115" spans="19:27" x14ac:dyDescent="0.2">
      <c r="S115">
        <v>87000</v>
      </c>
      <c r="T115">
        <v>1507.04</v>
      </c>
      <c r="U115">
        <v>-3131.96</v>
      </c>
      <c r="V115">
        <v>46607.1</v>
      </c>
      <c r="W115">
        <v>-199.751</v>
      </c>
      <c r="X115">
        <v>400</v>
      </c>
      <c r="Y115">
        <v>0</v>
      </c>
      <c r="Z115">
        <v>400</v>
      </c>
      <c r="AA115">
        <v>800</v>
      </c>
    </row>
    <row r="116" spans="19:27" x14ac:dyDescent="0.2">
      <c r="S116">
        <v>88000</v>
      </c>
      <c r="T116">
        <v>1431.35</v>
      </c>
      <c r="U116">
        <v>-3125.71</v>
      </c>
      <c r="V116">
        <v>46628.800000000003</v>
      </c>
      <c r="W116">
        <v>-1911.8</v>
      </c>
      <c r="X116">
        <v>400</v>
      </c>
      <c r="Y116">
        <v>0</v>
      </c>
      <c r="Z116">
        <v>400</v>
      </c>
      <c r="AA116">
        <v>800</v>
      </c>
    </row>
    <row r="117" spans="19:27" x14ac:dyDescent="0.2">
      <c r="S117">
        <v>89000</v>
      </c>
      <c r="T117">
        <v>1505.13</v>
      </c>
      <c r="U117">
        <v>-3134.85</v>
      </c>
      <c r="V117">
        <v>46401.3</v>
      </c>
      <c r="W117">
        <v>2109.0300000000002</v>
      </c>
      <c r="X117">
        <v>400</v>
      </c>
      <c r="Y117">
        <v>0</v>
      </c>
      <c r="Z117">
        <v>400</v>
      </c>
      <c r="AA117">
        <v>800</v>
      </c>
    </row>
    <row r="118" spans="19:27" x14ac:dyDescent="0.2">
      <c r="S118">
        <v>90000</v>
      </c>
      <c r="T118">
        <v>1497.02</v>
      </c>
      <c r="U118">
        <v>-3124.07</v>
      </c>
      <c r="V118">
        <v>46451.6</v>
      </c>
      <c r="W118">
        <v>572.63800000000003</v>
      </c>
      <c r="X118">
        <v>400</v>
      </c>
      <c r="Y118">
        <v>0</v>
      </c>
      <c r="Z118">
        <v>400</v>
      </c>
      <c r="AA118">
        <v>800</v>
      </c>
    </row>
    <row r="119" spans="19:27" x14ac:dyDescent="0.2">
      <c r="S119">
        <v>91000</v>
      </c>
      <c r="T119">
        <v>1546.51</v>
      </c>
      <c r="U119">
        <v>-3126.42</v>
      </c>
      <c r="V119">
        <v>46579.8</v>
      </c>
      <c r="W119">
        <v>1164.52</v>
      </c>
      <c r="X119">
        <v>400</v>
      </c>
      <c r="Y119">
        <v>0</v>
      </c>
      <c r="Z119">
        <v>400</v>
      </c>
      <c r="AA119">
        <v>800</v>
      </c>
    </row>
    <row r="120" spans="19:27" x14ac:dyDescent="0.2">
      <c r="S120">
        <v>92000</v>
      </c>
      <c r="T120">
        <v>1507.12</v>
      </c>
      <c r="U120">
        <v>-3120.38</v>
      </c>
      <c r="V120">
        <v>46853.1</v>
      </c>
      <c r="W120">
        <v>246.364</v>
      </c>
      <c r="X120">
        <v>400</v>
      </c>
      <c r="Y120">
        <v>0</v>
      </c>
      <c r="Z120">
        <v>400</v>
      </c>
      <c r="AA120">
        <v>800</v>
      </c>
    </row>
    <row r="121" spans="19:27" x14ac:dyDescent="0.2">
      <c r="S121">
        <v>93000</v>
      </c>
      <c r="T121">
        <v>1454.8</v>
      </c>
      <c r="U121">
        <v>-3125.42</v>
      </c>
      <c r="V121">
        <v>47042.5</v>
      </c>
      <c r="W121">
        <v>-1128.07</v>
      </c>
      <c r="X121">
        <v>400</v>
      </c>
      <c r="Y121">
        <v>0</v>
      </c>
      <c r="Z121">
        <v>400</v>
      </c>
      <c r="AA121">
        <v>800</v>
      </c>
    </row>
    <row r="122" spans="19:27" x14ac:dyDescent="0.2">
      <c r="S122">
        <v>94000</v>
      </c>
      <c r="T122">
        <v>1611.41</v>
      </c>
      <c r="U122">
        <v>-3141.43</v>
      </c>
      <c r="V122">
        <v>47057.1</v>
      </c>
      <c r="W122">
        <v>1947.31</v>
      </c>
      <c r="X122">
        <v>400</v>
      </c>
      <c r="Y122">
        <v>0</v>
      </c>
      <c r="Z122">
        <v>400</v>
      </c>
      <c r="AA122">
        <v>800</v>
      </c>
    </row>
    <row r="123" spans="19:27" x14ac:dyDescent="0.2">
      <c r="S123">
        <v>95000</v>
      </c>
      <c r="T123">
        <v>1642.71</v>
      </c>
      <c r="U123">
        <v>-3160.39</v>
      </c>
      <c r="V123">
        <v>47185.5</v>
      </c>
      <c r="W123">
        <v>-1224.44</v>
      </c>
      <c r="X123">
        <v>400</v>
      </c>
      <c r="Y123">
        <v>0</v>
      </c>
      <c r="Z123">
        <v>400</v>
      </c>
      <c r="AA123">
        <v>800</v>
      </c>
    </row>
    <row r="124" spans="19:27" x14ac:dyDescent="0.2">
      <c r="S124">
        <v>96000</v>
      </c>
      <c r="T124">
        <v>1501.54</v>
      </c>
      <c r="U124">
        <v>-3130.2</v>
      </c>
      <c r="V124">
        <v>47138.9</v>
      </c>
      <c r="W124">
        <v>-615.49699999999996</v>
      </c>
      <c r="X124">
        <v>400</v>
      </c>
      <c r="Y124">
        <v>0</v>
      </c>
      <c r="Z124">
        <v>400</v>
      </c>
      <c r="AA124">
        <v>800</v>
      </c>
    </row>
    <row r="125" spans="19:27" x14ac:dyDescent="0.2">
      <c r="S125">
        <v>97000</v>
      </c>
      <c r="T125">
        <v>1446.33</v>
      </c>
      <c r="U125">
        <v>-3125.23</v>
      </c>
      <c r="V125">
        <v>46965.3</v>
      </c>
      <c r="W125">
        <v>-265.45400000000001</v>
      </c>
      <c r="X125">
        <v>400</v>
      </c>
      <c r="Y125">
        <v>0</v>
      </c>
      <c r="Z125">
        <v>400</v>
      </c>
      <c r="AA125">
        <v>800</v>
      </c>
    </row>
    <row r="126" spans="19:27" x14ac:dyDescent="0.2">
      <c r="S126">
        <v>98000</v>
      </c>
      <c r="T126">
        <v>1474.83</v>
      </c>
      <c r="U126">
        <v>-3120.75</v>
      </c>
      <c r="V126">
        <v>46741.1</v>
      </c>
      <c r="W126">
        <v>-1023.7</v>
      </c>
      <c r="X126">
        <v>400</v>
      </c>
      <c r="Y126">
        <v>0</v>
      </c>
      <c r="Z126">
        <v>400</v>
      </c>
      <c r="AA126">
        <v>800</v>
      </c>
    </row>
    <row r="127" spans="19:27" x14ac:dyDescent="0.2">
      <c r="S127">
        <v>99000</v>
      </c>
      <c r="T127">
        <v>1523.29</v>
      </c>
      <c r="U127">
        <v>-3118.23</v>
      </c>
      <c r="V127">
        <v>46489.599999999999</v>
      </c>
      <c r="W127">
        <v>877.07</v>
      </c>
      <c r="X127">
        <v>400</v>
      </c>
      <c r="Y127">
        <v>0</v>
      </c>
      <c r="Z127">
        <v>400</v>
      </c>
      <c r="AA127">
        <v>800</v>
      </c>
    </row>
    <row r="128" spans="19:27" x14ac:dyDescent="0.2">
      <c r="S128">
        <v>100000</v>
      </c>
      <c r="T128">
        <v>1517.62</v>
      </c>
      <c r="U128">
        <v>-3117.18</v>
      </c>
      <c r="V128">
        <v>46454.3</v>
      </c>
      <c r="W128">
        <v>1981.45</v>
      </c>
      <c r="X128">
        <v>400</v>
      </c>
      <c r="Y128">
        <v>0</v>
      </c>
      <c r="Z128">
        <v>400</v>
      </c>
      <c r="AA128">
        <v>800</v>
      </c>
    </row>
    <row r="129" spans="19:27" x14ac:dyDescent="0.2">
      <c r="S129">
        <v>101000</v>
      </c>
      <c r="T129">
        <v>1499.3</v>
      </c>
      <c r="U129">
        <v>-3127</v>
      </c>
      <c r="V129">
        <v>46797.4</v>
      </c>
      <c r="W129">
        <v>-1224.33</v>
      </c>
      <c r="X129">
        <v>400</v>
      </c>
      <c r="Y129">
        <v>0</v>
      </c>
      <c r="Z129">
        <v>400</v>
      </c>
      <c r="AA129">
        <v>800</v>
      </c>
    </row>
    <row r="130" spans="19:27" x14ac:dyDescent="0.2">
      <c r="S130">
        <v>102000</v>
      </c>
      <c r="T130">
        <v>1484.69</v>
      </c>
      <c r="U130">
        <v>-3131.83</v>
      </c>
      <c r="V130">
        <v>47030.3</v>
      </c>
      <c r="W130">
        <v>-841.69500000000005</v>
      </c>
      <c r="X130">
        <v>400</v>
      </c>
      <c r="Y130">
        <v>0</v>
      </c>
      <c r="Z130">
        <v>400</v>
      </c>
      <c r="AA130">
        <v>800</v>
      </c>
    </row>
    <row r="131" spans="19:27" x14ac:dyDescent="0.2">
      <c r="S131">
        <v>103000</v>
      </c>
      <c r="T131">
        <v>1477.47</v>
      </c>
      <c r="U131">
        <v>-3127.63</v>
      </c>
      <c r="V131">
        <v>47093.4</v>
      </c>
      <c r="W131">
        <v>-948.36800000000005</v>
      </c>
      <c r="X131">
        <v>400</v>
      </c>
      <c r="Y131">
        <v>0</v>
      </c>
      <c r="Z131">
        <v>400</v>
      </c>
      <c r="AA131">
        <v>800</v>
      </c>
    </row>
    <row r="132" spans="19:27" x14ac:dyDescent="0.2">
      <c r="S132">
        <v>104000</v>
      </c>
      <c r="T132">
        <v>1512.75</v>
      </c>
      <c r="U132">
        <v>-3127.21</v>
      </c>
      <c r="V132">
        <v>46892.5</v>
      </c>
      <c r="W132">
        <v>825.04600000000005</v>
      </c>
      <c r="X132">
        <v>400</v>
      </c>
      <c r="Y132">
        <v>0</v>
      </c>
      <c r="Z132">
        <v>400</v>
      </c>
      <c r="AA132">
        <v>800</v>
      </c>
    </row>
    <row r="133" spans="19:27" x14ac:dyDescent="0.2">
      <c r="S133">
        <v>105000</v>
      </c>
      <c r="T133">
        <v>1499.47</v>
      </c>
      <c r="U133">
        <v>-3116.66</v>
      </c>
      <c r="V133">
        <v>46852.800000000003</v>
      </c>
      <c r="W133">
        <v>3755.4</v>
      </c>
      <c r="X133">
        <v>400</v>
      </c>
      <c r="Y133">
        <v>0</v>
      </c>
      <c r="Z133">
        <v>400</v>
      </c>
      <c r="AA133">
        <v>800</v>
      </c>
    </row>
    <row r="134" spans="19:27" x14ac:dyDescent="0.2">
      <c r="S134">
        <v>106000</v>
      </c>
      <c r="T134">
        <v>1549.07</v>
      </c>
      <c r="U134">
        <v>-3112.94</v>
      </c>
      <c r="V134">
        <v>47158</v>
      </c>
      <c r="W134">
        <v>683.31500000000005</v>
      </c>
      <c r="X134">
        <v>400</v>
      </c>
      <c r="Y134">
        <v>0</v>
      </c>
      <c r="Z134">
        <v>400</v>
      </c>
      <c r="AA134">
        <v>800</v>
      </c>
    </row>
    <row r="135" spans="19:27" x14ac:dyDescent="0.2">
      <c r="S135">
        <v>107000</v>
      </c>
      <c r="T135">
        <v>1547.28</v>
      </c>
      <c r="U135">
        <v>-3114.32</v>
      </c>
      <c r="V135">
        <v>47636.7</v>
      </c>
      <c r="W135">
        <v>-713.99699999999996</v>
      </c>
      <c r="X135">
        <v>400</v>
      </c>
      <c r="Y135">
        <v>0</v>
      </c>
      <c r="Z135">
        <v>400</v>
      </c>
      <c r="AA135">
        <v>800</v>
      </c>
    </row>
    <row r="136" spans="19:27" x14ac:dyDescent="0.2">
      <c r="S136">
        <v>108000</v>
      </c>
      <c r="T136">
        <v>1486.69</v>
      </c>
      <c r="U136">
        <v>-3119.22</v>
      </c>
      <c r="V136">
        <v>48026.400000000001</v>
      </c>
      <c r="W136">
        <v>-3233.12</v>
      </c>
      <c r="X136">
        <v>400</v>
      </c>
      <c r="Y136">
        <v>0</v>
      </c>
      <c r="Z136">
        <v>400</v>
      </c>
      <c r="AA136">
        <v>800</v>
      </c>
    </row>
    <row r="137" spans="19:27" x14ac:dyDescent="0.2">
      <c r="S137">
        <v>109000</v>
      </c>
      <c r="T137">
        <v>1480.92</v>
      </c>
      <c r="U137">
        <v>-3118.84</v>
      </c>
      <c r="V137">
        <v>47839.6</v>
      </c>
      <c r="W137">
        <v>-3412.62</v>
      </c>
      <c r="X137">
        <v>400</v>
      </c>
      <c r="Y137">
        <v>0</v>
      </c>
      <c r="Z137">
        <v>400</v>
      </c>
      <c r="AA137">
        <v>800</v>
      </c>
    </row>
    <row r="138" spans="19:27" x14ac:dyDescent="0.2">
      <c r="S138">
        <v>110000</v>
      </c>
      <c r="T138">
        <v>1529.06</v>
      </c>
      <c r="U138">
        <v>-3124.24</v>
      </c>
      <c r="V138">
        <v>47170.5</v>
      </c>
      <c r="W138">
        <v>320.113</v>
      </c>
      <c r="X138">
        <v>400</v>
      </c>
      <c r="Y138">
        <v>0</v>
      </c>
      <c r="Z138">
        <v>400</v>
      </c>
      <c r="AA138">
        <v>800</v>
      </c>
    </row>
    <row r="139" spans="19:27" x14ac:dyDescent="0.2">
      <c r="S139">
        <v>111000</v>
      </c>
      <c r="T139">
        <v>1473.96</v>
      </c>
      <c r="U139">
        <v>-3121.67</v>
      </c>
      <c r="V139">
        <v>46827.199999999997</v>
      </c>
      <c r="W139">
        <v>2329.08</v>
      </c>
      <c r="X139">
        <v>400</v>
      </c>
      <c r="Y139">
        <v>0</v>
      </c>
      <c r="Z139">
        <v>400</v>
      </c>
      <c r="AA139">
        <v>800</v>
      </c>
    </row>
    <row r="140" spans="19:27" x14ac:dyDescent="0.2">
      <c r="S140">
        <v>112000</v>
      </c>
      <c r="T140">
        <v>1445.12</v>
      </c>
      <c r="U140">
        <v>-3126.08</v>
      </c>
      <c r="V140">
        <v>46892</v>
      </c>
      <c r="W140">
        <v>-1139.47</v>
      </c>
      <c r="X140">
        <v>400</v>
      </c>
      <c r="Y140">
        <v>0</v>
      </c>
      <c r="Z140">
        <v>400</v>
      </c>
      <c r="AA140">
        <v>800</v>
      </c>
    </row>
    <row r="141" spans="19:27" x14ac:dyDescent="0.2">
      <c r="S141">
        <v>113000</v>
      </c>
      <c r="T141">
        <v>1499.35</v>
      </c>
      <c r="U141">
        <v>-3130.56</v>
      </c>
      <c r="V141">
        <v>46733.8</v>
      </c>
      <c r="W141">
        <v>-294.80200000000002</v>
      </c>
      <c r="X141">
        <v>400</v>
      </c>
      <c r="Y141">
        <v>0</v>
      </c>
      <c r="Z141">
        <v>400</v>
      </c>
      <c r="AA141">
        <v>800</v>
      </c>
    </row>
    <row r="142" spans="19:27" x14ac:dyDescent="0.2">
      <c r="S142">
        <v>114000</v>
      </c>
      <c r="T142">
        <v>1507.73</v>
      </c>
      <c r="U142">
        <v>-3113.53</v>
      </c>
      <c r="V142">
        <v>46642.1</v>
      </c>
      <c r="W142">
        <v>194.69399999999999</v>
      </c>
      <c r="X142">
        <v>400</v>
      </c>
      <c r="Y142">
        <v>0</v>
      </c>
      <c r="Z142">
        <v>400</v>
      </c>
      <c r="AA142">
        <v>800</v>
      </c>
    </row>
    <row r="143" spans="19:27" x14ac:dyDescent="0.2">
      <c r="S143">
        <v>115000</v>
      </c>
      <c r="T143">
        <v>1522.72</v>
      </c>
      <c r="U143">
        <v>-3119.59</v>
      </c>
      <c r="V143">
        <v>46746.400000000001</v>
      </c>
      <c r="W143">
        <v>2223.5700000000002</v>
      </c>
      <c r="X143">
        <v>400</v>
      </c>
      <c r="Y143">
        <v>0</v>
      </c>
      <c r="Z143">
        <v>400</v>
      </c>
      <c r="AA143">
        <v>800</v>
      </c>
    </row>
    <row r="144" spans="19:27" x14ac:dyDescent="0.2">
      <c r="S144">
        <v>116000</v>
      </c>
      <c r="T144">
        <v>1471.14</v>
      </c>
      <c r="U144">
        <v>-3120.55</v>
      </c>
      <c r="V144">
        <v>47158.3</v>
      </c>
      <c r="W144">
        <v>-150.71299999999999</v>
      </c>
      <c r="X144">
        <v>400</v>
      </c>
      <c r="Y144">
        <v>0</v>
      </c>
      <c r="Z144">
        <v>400</v>
      </c>
      <c r="AA144">
        <v>800</v>
      </c>
    </row>
    <row r="145" spans="19:27" x14ac:dyDescent="0.2">
      <c r="S145">
        <v>117000</v>
      </c>
      <c r="T145">
        <v>1478.74</v>
      </c>
      <c r="U145">
        <v>-3123.93</v>
      </c>
      <c r="V145">
        <v>47532.800000000003</v>
      </c>
      <c r="W145">
        <v>-1761.06</v>
      </c>
      <c r="X145">
        <v>400</v>
      </c>
      <c r="Y145">
        <v>0</v>
      </c>
      <c r="Z145">
        <v>400</v>
      </c>
      <c r="AA145">
        <v>800</v>
      </c>
    </row>
    <row r="146" spans="19:27" x14ac:dyDescent="0.2">
      <c r="S146">
        <v>118000</v>
      </c>
      <c r="T146">
        <v>1494.73</v>
      </c>
      <c r="U146">
        <v>-3121.98</v>
      </c>
      <c r="V146">
        <v>47570.5</v>
      </c>
      <c r="W146">
        <v>177.084</v>
      </c>
      <c r="X146">
        <v>400</v>
      </c>
      <c r="Y146">
        <v>0</v>
      </c>
      <c r="Z146">
        <v>400</v>
      </c>
      <c r="AA146">
        <v>800</v>
      </c>
    </row>
    <row r="147" spans="19:27" x14ac:dyDescent="0.2">
      <c r="S147">
        <v>119000</v>
      </c>
      <c r="T147">
        <v>1530.06</v>
      </c>
      <c r="U147">
        <v>-3109.97</v>
      </c>
      <c r="V147">
        <v>47486.3</v>
      </c>
      <c r="W147">
        <v>-124.76600000000001</v>
      </c>
      <c r="X147">
        <v>400</v>
      </c>
      <c r="Y147">
        <v>0</v>
      </c>
      <c r="Z147">
        <v>400</v>
      </c>
      <c r="AA147">
        <v>800</v>
      </c>
    </row>
    <row r="148" spans="19:27" x14ac:dyDescent="0.2">
      <c r="S148">
        <v>120000</v>
      </c>
      <c r="T148">
        <v>1554.59</v>
      </c>
      <c r="U148">
        <v>-3110.99</v>
      </c>
      <c r="V148">
        <v>47300</v>
      </c>
      <c r="W148">
        <v>1850.47</v>
      </c>
      <c r="X148">
        <v>400</v>
      </c>
      <c r="Y148">
        <v>0</v>
      </c>
      <c r="Z148">
        <v>400</v>
      </c>
      <c r="AA148">
        <v>800</v>
      </c>
    </row>
    <row r="149" spans="19:27" x14ac:dyDescent="0.2">
      <c r="S149">
        <v>121000</v>
      </c>
      <c r="T149">
        <v>1519.8</v>
      </c>
      <c r="U149">
        <v>-3116.14</v>
      </c>
      <c r="V149">
        <v>47226.7</v>
      </c>
      <c r="W149">
        <v>-2006.97</v>
      </c>
      <c r="X149">
        <v>400</v>
      </c>
      <c r="Y149">
        <v>0</v>
      </c>
      <c r="Z149">
        <v>400</v>
      </c>
      <c r="AA149">
        <v>800</v>
      </c>
    </row>
    <row r="150" spans="19:27" x14ac:dyDescent="0.2">
      <c r="S150">
        <v>122000</v>
      </c>
      <c r="T150">
        <v>1519.28</v>
      </c>
      <c r="U150">
        <v>-3123.74</v>
      </c>
      <c r="V150">
        <v>46965</v>
      </c>
      <c r="W150">
        <v>-0.97529200000000005</v>
      </c>
      <c r="X150">
        <v>400</v>
      </c>
      <c r="Y150">
        <v>0</v>
      </c>
      <c r="Z150">
        <v>400</v>
      </c>
      <c r="AA150">
        <v>800</v>
      </c>
    </row>
    <row r="151" spans="19:27" x14ac:dyDescent="0.2">
      <c r="S151">
        <v>123000</v>
      </c>
      <c r="T151">
        <v>1527.42</v>
      </c>
      <c r="U151">
        <v>-3129.13</v>
      </c>
      <c r="V151">
        <v>46899.6</v>
      </c>
      <c r="W151">
        <v>1558.8</v>
      </c>
      <c r="X151">
        <v>400</v>
      </c>
      <c r="Y151">
        <v>0</v>
      </c>
      <c r="Z151">
        <v>400</v>
      </c>
      <c r="AA151">
        <v>800</v>
      </c>
    </row>
    <row r="152" spans="19:27" x14ac:dyDescent="0.2">
      <c r="S152">
        <v>124000</v>
      </c>
      <c r="T152">
        <v>1505.76</v>
      </c>
      <c r="U152">
        <v>-3130.25</v>
      </c>
      <c r="V152">
        <v>47039.3</v>
      </c>
      <c r="W152">
        <v>-1037.07</v>
      </c>
      <c r="X152">
        <v>400</v>
      </c>
      <c r="Y152">
        <v>0</v>
      </c>
      <c r="Z152">
        <v>400</v>
      </c>
      <c r="AA152">
        <v>800</v>
      </c>
    </row>
    <row r="153" spans="19:27" x14ac:dyDescent="0.2">
      <c r="S153">
        <v>125000</v>
      </c>
      <c r="T153">
        <v>1431.9</v>
      </c>
      <c r="U153">
        <v>-3127.04</v>
      </c>
      <c r="V153">
        <v>47090.3</v>
      </c>
      <c r="W153">
        <v>-1308.7</v>
      </c>
      <c r="X153">
        <v>400</v>
      </c>
      <c r="Y153">
        <v>0</v>
      </c>
      <c r="Z153">
        <v>400</v>
      </c>
      <c r="AA153">
        <v>800</v>
      </c>
    </row>
    <row r="154" spans="19:27" x14ac:dyDescent="0.2">
      <c r="S154">
        <v>126000</v>
      </c>
      <c r="T154">
        <v>1453.98</v>
      </c>
      <c r="U154">
        <v>-3128.78</v>
      </c>
      <c r="V154">
        <v>47095.9</v>
      </c>
      <c r="W154">
        <v>-948.05499999999995</v>
      </c>
      <c r="X154">
        <v>400</v>
      </c>
      <c r="Y154">
        <v>0</v>
      </c>
      <c r="Z154">
        <v>400</v>
      </c>
      <c r="AA154">
        <v>800</v>
      </c>
    </row>
    <row r="155" spans="19:27" x14ac:dyDescent="0.2">
      <c r="S155">
        <v>127000</v>
      </c>
      <c r="T155">
        <v>1498.46</v>
      </c>
      <c r="U155">
        <v>-3121.98</v>
      </c>
      <c r="V155">
        <v>47015.8</v>
      </c>
      <c r="W155">
        <v>-302.00200000000001</v>
      </c>
      <c r="X155">
        <v>400</v>
      </c>
      <c r="Y155">
        <v>0</v>
      </c>
      <c r="Z155">
        <v>400</v>
      </c>
      <c r="AA155">
        <v>800</v>
      </c>
    </row>
    <row r="156" spans="19:27" x14ac:dyDescent="0.2">
      <c r="S156">
        <v>128000</v>
      </c>
      <c r="T156">
        <v>1512.82</v>
      </c>
      <c r="U156">
        <v>-3118.27</v>
      </c>
      <c r="V156">
        <v>46872.4</v>
      </c>
      <c r="W156">
        <v>-1079.71</v>
      </c>
      <c r="X156">
        <v>400</v>
      </c>
      <c r="Y156">
        <v>0</v>
      </c>
      <c r="Z156">
        <v>400</v>
      </c>
      <c r="AA156">
        <v>800</v>
      </c>
    </row>
    <row r="157" spans="19:27" x14ac:dyDescent="0.2">
      <c r="S157">
        <v>129000</v>
      </c>
      <c r="T157">
        <v>1515.43</v>
      </c>
      <c r="U157">
        <v>-3120.4</v>
      </c>
      <c r="V157">
        <v>46629.7</v>
      </c>
      <c r="W157">
        <v>2770.55</v>
      </c>
      <c r="X157">
        <v>400</v>
      </c>
      <c r="Y157">
        <v>0</v>
      </c>
      <c r="Z157">
        <v>400</v>
      </c>
      <c r="AA157">
        <v>800</v>
      </c>
    </row>
    <row r="158" spans="19:27" x14ac:dyDescent="0.2">
      <c r="S158">
        <v>130000</v>
      </c>
      <c r="T158">
        <v>1477.26</v>
      </c>
      <c r="U158">
        <v>-3123.02</v>
      </c>
      <c r="V158">
        <v>46621.3</v>
      </c>
      <c r="W158">
        <v>437.66899999999998</v>
      </c>
      <c r="X158">
        <v>400</v>
      </c>
      <c r="Y158">
        <v>0</v>
      </c>
      <c r="Z158">
        <v>400</v>
      </c>
      <c r="AA158">
        <v>800</v>
      </c>
    </row>
    <row r="159" spans="19:27" x14ac:dyDescent="0.2">
      <c r="S159">
        <v>131000</v>
      </c>
      <c r="T159">
        <v>1451.39</v>
      </c>
      <c r="U159">
        <v>-3128.29</v>
      </c>
      <c r="V159">
        <v>46709.2</v>
      </c>
      <c r="W159">
        <v>334.46199999999999</v>
      </c>
      <c r="X159">
        <v>400</v>
      </c>
      <c r="Y159">
        <v>0</v>
      </c>
      <c r="Z159">
        <v>400</v>
      </c>
      <c r="AA159">
        <v>800</v>
      </c>
    </row>
    <row r="160" spans="19:27" x14ac:dyDescent="0.2">
      <c r="S160">
        <v>132000</v>
      </c>
      <c r="T160">
        <v>1491.13</v>
      </c>
      <c r="U160">
        <v>-3131.4</v>
      </c>
      <c r="V160">
        <v>46829.1</v>
      </c>
      <c r="W160">
        <v>-1429.4</v>
      </c>
      <c r="X160">
        <v>400</v>
      </c>
      <c r="Y160">
        <v>0</v>
      </c>
      <c r="Z160">
        <v>400</v>
      </c>
      <c r="AA160">
        <v>800</v>
      </c>
    </row>
    <row r="161" spans="19:27" x14ac:dyDescent="0.2">
      <c r="S161">
        <v>133000</v>
      </c>
      <c r="T161">
        <v>1522.61</v>
      </c>
      <c r="U161">
        <v>-3117.83</v>
      </c>
      <c r="V161">
        <v>46717.2</v>
      </c>
      <c r="W161">
        <v>1473.43</v>
      </c>
      <c r="X161">
        <v>400</v>
      </c>
      <c r="Y161">
        <v>0</v>
      </c>
      <c r="Z161">
        <v>400</v>
      </c>
      <c r="AA161">
        <v>800</v>
      </c>
    </row>
    <row r="162" spans="19:27" x14ac:dyDescent="0.2">
      <c r="S162">
        <v>134000</v>
      </c>
      <c r="T162">
        <v>1518.22</v>
      </c>
      <c r="U162">
        <v>-3118.92</v>
      </c>
      <c r="V162">
        <v>46826.9</v>
      </c>
      <c r="W162">
        <v>665.74199999999996</v>
      </c>
      <c r="X162">
        <v>400</v>
      </c>
      <c r="Y162">
        <v>0</v>
      </c>
      <c r="Z162">
        <v>400</v>
      </c>
      <c r="AA162">
        <v>800</v>
      </c>
    </row>
    <row r="163" spans="19:27" x14ac:dyDescent="0.2">
      <c r="S163">
        <v>135000</v>
      </c>
      <c r="T163">
        <v>1443.35</v>
      </c>
      <c r="U163">
        <v>-3114.17</v>
      </c>
      <c r="V163">
        <v>47124</v>
      </c>
      <c r="W163">
        <v>53.991199999999999</v>
      </c>
      <c r="X163">
        <v>400</v>
      </c>
      <c r="Y163">
        <v>0</v>
      </c>
      <c r="Z163">
        <v>400</v>
      </c>
      <c r="AA163">
        <v>800</v>
      </c>
    </row>
    <row r="164" spans="19:27" x14ac:dyDescent="0.2">
      <c r="S164">
        <v>136000</v>
      </c>
      <c r="T164">
        <v>1508.5</v>
      </c>
      <c r="U164">
        <v>-3128.86</v>
      </c>
      <c r="V164">
        <v>47250.7</v>
      </c>
      <c r="W164">
        <v>148.56200000000001</v>
      </c>
      <c r="X164">
        <v>400</v>
      </c>
      <c r="Y164">
        <v>0</v>
      </c>
      <c r="Z164">
        <v>400</v>
      </c>
      <c r="AA164">
        <v>800</v>
      </c>
    </row>
    <row r="165" spans="19:27" x14ac:dyDescent="0.2">
      <c r="S165">
        <v>137000</v>
      </c>
      <c r="T165">
        <v>1523.77</v>
      </c>
      <c r="U165">
        <v>-3128.7</v>
      </c>
      <c r="V165">
        <v>47314.9</v>
      </c>
      <c r="W165">
        <v>-929.54100000000005</v>
      </c>
      <c r="X165">
        <v>400</v>
      </c>
      <c r="Y165">
        <v>0</v>
      </c>
      <c r="Z165">
        <v>400</v>
      </c>
      <c r="AA165">
        <v>800</v>
      </c>
    </row>
    <row r="166" spans="19:27" x14ac:dyDescent="0.2">
      <c r="S166">
        <v>138000</v>
      </c>
      <c r="T166">
        <v>1536.28</v>
      </c>
      <c r="U166">
        <v>-3114.27</v>
      </c>
      <c r="V166">
        <v>47267.1</v>
      </c>
      <c r="W166">
        <v>-1197.4100000000001</v>
      </c>
      <c r="X166">
        <v>400</v>
      </c>
      <c r="Y166">
        <v>0</v>
      </c>
      <c r="Z166">
        <v>400</v>
      </c>
      <c r="AA166">
        <v>800</v>
      </c>
    </row>
    <row r="167" spans="19:27" x14ac:dyDescent="0.2">
      <c r="S167">
        <v>139000</v>
      </c>
      <c r="T167">
        <v>1544.5</v>
      </c>
      <c r="U167">
        <v>-3113.67</v>
      </c>
      <c r="V167">
        <v>46941.7</v>
      </c>
      <c r="W167">
        <v>-1076.3800000000001</v>
      </c>
      <c r="X167">
        <v>400</v>
      </c>
      <c r="Y167">
        <v>0</v>
      </c>
      <c r="Z167">
        <v>400</v>
      </c>
      <c r="AA167">
        <v>800</v>
      </c>
    </row>
    <row r="168" spans="19:27" x14ac:dyDescent="0.2">
      <c r="S168">
        <v>140000</v>
      </c>
      <c r="T168">
        <v>1547.45</v>
      </c>
      <c r="U168">
        <v>-3128.21</v>
      </c>
      <c r="V168">
        <v>46531.4</v>
      </c>
      <c r="W168">
        <v>1311.22</v>
      </c>
      <c r="X168">
        <v>400</v>
      </c>
      <c r="Y168">
        <v>0</v>
      </c>
      <c r="Z168">
        <v>400</v>
      </c>
      <c r="AA168">
        <v>800</v>
      </c>
    </row>
    <row r="169" spans="19:27" x14ac:dyDescent="0.2">
      <c r="S169">
        <v>141000</v>
      </c>
      <c r="T169">
        <v>1507.84</v>
      </c>
      <c r="U169">
        <v>-3127.79</v>
      </c>
      <c r="V169">
        <v>46482.6</v>
      </c>
      <c r="W169">
        <v>-166.11799999999999</v>
      </c>
      <c r="X169">
        <v>400</v>
      </c>
      <c r="Y169">
        <v>0</v>
      </c>
      <c r="Z169">
        <v>400</v>
      </c>
      <c r="AA169">
        <v>800</v>
      </c>
    </row>
    <row r="170" spans="19:27" x14ac:dyDescent="0.2">
      <c r="S170">
        <v>142000</v>
      </c>
      <c r="T170">
        <v>1480.58</v>
      </c>
      <c r="U170">
        <v>-3126.22</v>
      </c>
      <c r="V170">
        <v>46517.599999999999</v>
      </c>
      <c r="W170">
        <v>-209.68600000000001</v>
      </c>
      <c r="X170">
        <v>400</v>
      </c>
      <c r="Y170">
        <v>0</v>
      </c>
      <c r="Z170">
        <v>400</v>
      </c>
      <c r="AA170">
        <v>800</v>
      </c>
    </row>
    <row r="171" spans="19:27" x14ac:dyDescent="0.2">
      <c r="S171">
        <v>143000</v>
      </c>
      <c r="T171">
        <v>1445.52</v>
      </c>
      <c r="U171">
        <v>-3117.59</v>
      </c>
      <c r="V171">
        <v>46447.199999999997</v>
      </c>
      <c r="W171">
        <v>673.26</v>
      </c>
      <c r="X171">
        <v>400</v>
      </c>
      <c r="Y171">
        <v>0</v>
      </c>
      <c r="Z171">
        <v>400</v>
      </c>
      <c r="AA171">
        <v>800</v>
      </c>
    </row>
    <row r="172" spans="19:27" x14ac:dyDescent="0.2">
      <c r="S172">
        <v>144000</v>
      </c>
      <c r="T172">
        <v>1498.54</v>
      </c>
      <c r="U172">
        <v>-3113.1</v>
      </c>
      <c r="V172">
        <v>46345.1</v>
      </c>
      <c r="W172">
        <v>2610.5300000000002</v>
      </c>
      <c r="X172">
        <v>400</v>
      </c>
      <c r="Y172">
        <v>0</v>
      </c>
      <c r="Z172">
        <v>400</v>
      </c>
      <c r="AA172">
        <v>800</v>
      </c>
    </row>
    <row r="173" spans="19:27" x14ac:dyDescent="0.2">
      <c r="S173">
        <v>145000</v>
      </c>
      <c r="T173">
        <v>1569.52</v>
      </c>
      <c r="U173">
        <v>-3124.23</v>
      </c>
      <c r="V173">
        <v>46521.4</v>
      </c>
      <c r="W173">
        <v>138.51599999999999</v>
      </c>
      <c r="X173">
        <v>400</v>
      </c>
      <c r="Y173">
        <v>0</v>
      </c>
      <c r="Z173">
        <v>400</v>
      </c>
      <c r="AA173">
        <v>800</v>
      </c>
    </row>
    <row r="174" spans="19:27" x14ac:dyDescent="0.2">
      <c r="S174">
        <v>146000</v>
      </c>
      <c r="T174">
        <v>1506.68</v>
      </c>
      <c r="U174">
        <v>-3120.34</v>
      </c>
      <c r="V174">
        <v>46797.2</v>
      </c>
      <c r="W174">
        <v>-998.35900000000004</v>
      </c>
      <c r="X174">
        <v>400</v>
      </c>
      <c r="Y174">
        <v>0</v>
      </c>
      <c r="Z174">
        <v>400</v>
      </c>
      <c r="AA174">
        <v>800</v>
      </c>
    </row>
    <row r="175" spans="19:27" x14ac:dyDescent="0.2">
      <c r="S175">
        <v>147000</v>
      </c>
      <c r="T175">
        <v>1507.73</v>
      </c>
      <c r="U175">
        <v>-3128.77</v>
      </c>
      <c r="V175">
        <v>46864.6</v>
      </c>
      <c r="W175">
        <v>57.335799999999999</v>
      </c>
      <c r="X175">
        <v>400</v>
      </c>
      <c r="Y175">
        <v>0</v>
      </c>
      <c r="Z175">
        <v>400</v>
      </c>
      <c r="AA175">
        <v>800</v>
      </c>
    </row>
    <row r="176" spans="19:27" x14ac:dyDescent="0.2">
      <c r="S176">
        <v>148000</v>
      </c>
      <c r="T176">
        <v>1476.61</v>
      </c>
      <c r="U176">
        <v>-3125.27</v>
      </c>
      <c r="V176">
        <v>46899.6</v>
      </c>
      <c r="W176">
        <v>-947.86599999999999</v>
      </c>
      <c r="X176">
        <v>400</v>
      </c>
      <c r="Y176">
        <v>0</v>
      </c>
      <c r="Z176">
        <v>400</v>
      </c>
      <c r="AA176">
        <v>800</v>
      </c>
    </row>
    <row r="177" spans="19:27" x14ac:dyDescent="0.2">
      <c r="S177">
        <v>149000</v>
      </c>
      <c r="T177">
        <v>1505.19</v>
      </c>
      <c r="U177">
        <v>-3125.29</v>
      </c>
      <c r="V177">
        <v>46870</v>
      </c>
      <c r="W177">
        <v>2410.3200000000002</v>
      </c>
      <c r="X177">
        <v>400</v>
      </c>
      <c r="Y177">
        <v>0</v>
      </c>
      <c r="Z177">
        <v>400</v>
      </c>
      <c r="AA177">
        <v>800</v>
      </c>
    </row>
    <row r="178" spans="19:27" x14ac:dyDescent="0.2">
      <c r="S178">
        <v>150000</v>
      </c>
      <c r="T178">
        <v>1530.88</v>
      </c>
      <c r="U178">
        <v>-3127.08</v>
      </c>
      <c r="V178">
        <v>47006.2</v>
      </c>
      <c r="W178">
        <v>-3593.66</v>
      </c>
      <c r="X178">
        <v>400</v>
      </c>
      <c r="Y178">
        <v>0</v>
      </c>
      <c r="Z178">
        <v>400</v>
      </c>
      <c r="AA178">
        <v>800</v>
      </c>
    </row>
    <row r="179" spans="19:27" x14ac:dyDescent="0.2">
      <c r="S179">
        <v>151000</v>
      </c>
      <c r="T179">
        <v>1488.1</v>
      </c>
      <c r="U179">
        <v>-3125.65</v>
      </c>
      <c r="V179">
        <v>46906.3</v>
      </c>
      <c r="W179">
        <v>-2150.4299999999998</v>
      </c>
      <c r="X179">
        <v>400</v>
      </c>
      <c r="Y179">
        <v>0</v>
      </c>
      <c r="Z179">
        <v>400</v>
      </c>
      <c r="AA179">
        <v>800</v>
      </c>
    </row>
    <row r="180" spans="19:27" x14ac:dyDescent="0.2">
      <c r="S180">
        <v>152000</v>
      </c>
      <c r="T180">
        <v>1471.13</v>
      </c>
      <c r="U180">
        <v>-3130.24</v>
      </c>
      <c r="V180">
        <v>46700.9</v>
      </c>
      <c r="W180">
        <v>256.33800000000002</v>
      </c>
      <c r="X180">
        <v>400</v>
      </c>
      <c r="Y180">
        <v>0</v>
      </c>
      <c r="Z180">
        <v>400</v>
      </c>
      <c r="AA180">
        <v>800</v>
      </c>
    </row>
    <row r="181" spans="19:27" x14ac:dyDescent="0.2">
      <c r="S181">
        <v>153000</v>
      </c>
      <c r="T181">
        <v>1437.94</v>
      </c>
      <c r="U181">
        <v>-3122.01</v>
      </c>
      <c r="V181">
        <v>46644.1</v>
      </c>
      <c r="W181">
        <v>1220.69</v>
      </c>
      <c r="X181">
        <v>400</v>
      </c>
      <c r="Y181">
        <v>0</v>
      </c>
      <c r="Z181">
        <v>400</v>
      </c>
      <c r="AA181">
        <v>800</v>
      </c>
    </row>
    <row r="182" spans="19:27" x14ac:dyDescent="0.2">
      <c r="S182">
        <v>154000</v>
      </c>
      <c r="T182">
        <v>1525.4</v>
      </c>
      <c r="U182">
        <v>-3126.85</v>
      </c>
      <c r="V182">
        <v>46652.4</v>
      </c>
      <c r="W182">
        <v>-1042.93</v>
      </c>
      <c r="X182">
        <v>400</v>
      </c>
      <c r="Y182">
        <v>0</v>
      </c>
      <c r="Z182">
        <v>400</v>
      </c>
      <c r="AA182">
        <v>800</v>
      </c>
    </row>
    <row r="183" spans="19:27" x14ac:dyDescent="0.2">
      <c r="S183">
        <v>155000</v>
      </c>
      <c r="T183">
        <v>1565.65</v>
      </c>
      <c r="U183">
        <v>-3131.13</v>
      </c>
      <c r="V183">
        <v>46545.9</v>
      </c>
      <c r="W183">
        <v>815.82899999999995</v>
      </c>
      <c r="X183">
        <v>400</v>
      </c>
      <c r="Y183">
        <v>0</v>
      </c>
      <c r="Z183">
        <v>400</v>
      </c>
      <c r="AA183">
        <v>800</v>
      </c>
    </row>
    <row r="184" spans="19:27" x14ac:dyDescent="0.2">
      <c r="S184">
        <v>156000</v>
      </c>
      <c r="T184">
        <v>1531.11</v>
      </c>
      <c r="U184">
        <v>-3134.03</v>
      </c>
      <c r="V184">
        <v>46672.6</v>
      </c>
      <c r="W184">
        <v>-265.613</v>
      </c>
      <c r="X184">
        <v>400</v>
      </c>
      <c r="Y184">
        <v>0</v>
      </c>
      <c r="Z184">
        <v>400</v>
      </c>
      <c r="AA184">
        <v>800</v>
      </c>
    </row>
    <row r="185" spans="19:27" x14ac:dyDescent="0.2">
      <c r="S185">
        <v>157000</v>
      </c>
      <c r="T185">
        <v>1476.82</v>
      </c>
      <c r="U185">
        <v>-3124.43</v>
      </c>
      <c r="V185">
        <v>46971.1</v>
      </c>
      <c r="W185">
        <v>-878.29899999999998</v>
      </c>
      <c r="X185">
        <v>400</v>
      </c>
      <c r="Y185">
        <v>0</v>
      </c>
      <c r="Z185">
        <v>400</v>
      </c>
      <c r="AA185">
        <v>800</v>
      </c>
    </row>
    <row r="186" spans="19:27" x14ac:dyDescent="0.2">
      <c r="S186">
        <v>158000</v>
      </c>
      <c r="T186">
        <v>1501.24</v>
      </c>
      <c r="U186">
        <v>-3122.44</v>
      </c>
      <c r="V186">
        <v>47030.6</v>
      </c>
      <c r="W186">
        <v>-2465.59</v>
      </c>
      <c r="X186">
        <v>400</v>
      </c>
      <c r="Y186">
        <v>0</v>
      </c>
      <c r="Z186">
        <v>400</v>
      </c>
      <c r="AA186">
        <v>800</v>
      </c>
    </row>
    <row r="187" spans="19:27" x14ac:dyDescent="0.2">
      <c r="S187">
        <v>159000</v>
      </c>
      <c r="T187">
        <v>1555.14</v>
      </c>
      <c r="U187">
        <v>-3127.7</v>
      </c>
      <c r="V187">
        <v>46940.4</v>
      </c>
      <c r="W187">
        <v>2588.65</v>
      </c>
      <c r="X187">
        <v>400</v>
      </c>
      <c r="Y187">
        <v>0</v>
      </c>
      <c r="Z187">
        <v>400</v>
      </c>
      <c r="AA187">
        <v>800</v>
      </c>
    </row>
    <row r="188" spans="19:27" x14ac:dyDescent="0.2">
      <c r="S188">
        <v>160000</v>
      </c>
      <c r="T188">
        <v>1502.52</v>
      </c>
      <c r="U188">
        <v>-3124.17</v>
      </c>
      <c r="V188">
        <v>47208.1</v>
      </c>
      <c r="W188">
        <v>-638.495</v>
      </c>
      <c r="X188">
        <v>400</v>
      </c>
      <c r="Y188">
        <v>0</v>
      </c>
      <c r="Z188">
        <v>400</v>
      </c>
      <c r="AA188">
        <v>800</v>
      </c>
    </row>
    <row r="189" spans="19:27" x14ac:dyDescent="0.2">
      <c r="S189">
        <v>161000</v>
      </c>
      <c r="T189">
        <v>1471.52</v>
      </c>
      <c r="U189">
        <v>-3129.47</v>
      </c>
      <c r="V189">
        <v>47391.7</v>
      </c>
      <c r="W189">
        <v>-3226.71</v>
      </c>
      <c r="X189">
        <v>400</v>
      </c>
      <c r="Y189">
        <v>0</v>
      </c>
      <c r="Z189">
        <v>400</v>
      </c>
      <c r="AA189">
        <v>800</v>
      </c>
    </row>
    <row r="190" spans="19:27" x14ac:dyDescent="0.2">
      <c r="S190">
        <v>162000</v>
      </c>
      <c r="T190">
        <v>1452.34</v>
      </c>
      <c r="U190">
        <v>-3132.11</v>
      </c>
      <c r="V190">
        <v>47002.1</v>
      </c>
      <c r="W190">
        <v>-2112.81</v>
      </c>
      <c r="X190">
        <v>400</v>
      </c>
      <c r="Y190">
        <v>0</v>
      </c>
      <c r="Z190">
        <v>400</v>
      </c>
      <c r="AA190">
        <v>800</v>
      </c>
    </row>
    <row r="191" spans="19:27" x14ac:dyDescent="0.2">
      <c r="S191">
        <v>163000</v>
      </c>
      <c r="T191">
        <v>1474.11</v>
      </c>
      <c r="U191">
        <v>-3125.58</v>
      </c>
      <c r="V191">
        <v>46389.1</v>
      </c>
      <c r="W191">
        <v>1653.94</v>
      </c>
      <c r="X191">
        <v>400</v>
      </c>
      <c r="Y191">
        <v>0</v>
      </c>
      <c r="Z191">
        <v>400</v>
      </c>
      <c r="AA191">
        <v>800</v>
      </c>
    </row>
    <row r="192" spans="19:27" x14ac:dyDescent="0.2">
      <c r="S192">
        <v>164000</v>
      </c>
      <c r="T192">
        <v>1549.52</v>
      </c>
      <c r="U192">
        <v>-3129.02</v>
      </c>
      <c r="V192">
        <v>46118.2</v>
      </c>
      <c r="W192">
        <v>3755.11</v>
      </c>
      <c r="X192">
        <v>400</v>
      </c>
      <c r="Y192">
        <v>0</v>
      </c>
      <c r="Z192">
        <v>400</v>
      </c>
      <c r="AA192">
        <v>800</v>
      </c>
    </row>
    <row r="193" spans="19:27" x14ac:dyDescent="0.2">
      <c r="S193">
        <v>165000</v>
      </c>
      <c r="T193">
        <v>1512.92</v>
      </c>
      <c r="U193">
        <v>-3125.06</v>
      </c>
      <c r="V193">
        <v>46250.7</v>
      </c>
      <c r="W193">
        <v>-384.97800000000001</v>
      </c>
      <c r="X193">
        <v>400</v>
      </c>
      <c r="Y193">
        <v>0</v>
      </c>
      <c r="Z193">
        <v>400</v>
      </c>
      <c r="AA193">
        <v>800</v>
      </c>
    </row>
    <row r="194" spans="19:27" x14ac:dyDescent="0.2">
      <c r="S194">
        <v>166000</v>
      </c>
      <c r="T194">
        <v>1500.41</v>
      </c>
      <c r="U194">
        <v>-3126.57</v>
      </c>
      <c r="V194">
        <v>46481</v>
      </c>
      <c r="W194">
        <v>-732.74900000000002</v>
      </c>
      <c r="X194">
        <v>400</v>
      </c>
      <c r="Y194">
        <v>0</v>
      </c>
      <c r="Z194">
        <v>400</v>
      </c>
      <c r="AA194">
        <v>800</v>
      </c>
    </row>
    <row r="195" spans="19:27" x14ac:dyDescent="0.2">
      <c r="S195">
        <v>167000</v>
      </c>
      <c r="T195">
        <v>1461.31</v>
      </c>
      <c r="U195">
        <v>-3131.3</v>
      </c>
      <c r="V195">
        <v>46516.9</v>
      </c>
      <c r="W195">
        <v>-2767.77</v>
      </c>
      <c r="X195">
        <v>400</v>
      </c>
      <c r="Y195">
        <v>0</v>
      </c>
      <c r="Z195">
        <v>400</v>
      </c>
      <c r="AA195">
        <v>800</v>
      </c>
    </row>
    <row r="196" spans="19:27" x14ac:dyDescent="0.2">
      <c r="S196">
        <v>168000</v>
      </c>
      <c r="T196">
        <v>1491.39</v>
      </c>
      <c r="U196">
        <v>-3142.83</v>
      </c>
      <c r="V196">
        <v>46268.3</v>
      </c>
      <c r="W196">
        <v>-973.92899999999997</v>
      </c>
      <c r="X196">
        <v>400</v>
      </c>
      <c r="Y196">
        <v>0</v>
      </c>
      <c r="Z196">
        <v>400</v>
      </c>
      <c r="AA196">
        <v>800</v>
      </c>
    </row>
    <row r="197" spans="19:27" x14ac:dyDescent="0.2">
      <c r="S197">
        <v>169000</v>
      </c>
      <c r="T197">
        <v>1541.18</v>
      </c>
      <c r="U197">
        <v>-3139.72</v>
      </c>
      <c r="V197">
        <v>46086.2</v>
      </c>
      <c r="W197">
        <v>2303.84</v>
      </c>
      <c r="X197">
        <v>400</v>
      </c>
      <c r="Y197">
        <v>0</v>
      </c>
      <c r="Z197">
        <v>400</v>
      </c>
      <c r="AA197">
        <v>800</v>
      </c>
    </row>
    <row r="198" spans="19:27" x14ac:dyDescent="0.2">
      <c r="S198">
        <v>170000</v>
      </c>
      <c r="T198">
        <v>1506.51</v>
      </c>
      <c r="U198">
        <v>-3125.43</v>
      </c>
      <c r="V198">
        <v>46268.5</v>
      </c>
      <c r="W198">
        <v>-177.69399999999999</v>
      </c>
      <c r="X198">
        <v>400</v>
      </c>
      <c r="Y198">
        <v>0</v>
      </c>
      <c r="Z198">
        <v>400</v>
      </c>
      <c r="AA198">
        <v>800</v>
      </c>
    </row>
    <row r="199" spans="19:27" x14ac:dyDescent="0.2">
      <c r="S199">
        <v>171000</v>
      </c>
      <c r="T199">
        <v>1488.99</v>
      </c>
      <c r="U199">
        <v>-3122.54</v>
      </c>
      <c r="V199">
        <v>46267.7</v>
      </c>
      <c r="W199">
        <v>1683.1</v>
      </c>
      <c r="X199">
        <v>400</v>
      </c>
      <c r="Y199">
        <v>0</v>
      </c>
      <c r="Z199">
        <v>400</v>
      </c>
      <c r="AA199">
        <v>800</v>
      </c>
    </row>
    <row r="200" spans="19:27" x14ac:dyDescent="0.2">
      <c r="S200">
        <v>172000</v>
      </c>
      <c r="T200">
        <v>1517.39</v>
      </c>
      <c r="U200">
        <v>-3127.6</v>
      </c>
      <c r="V200">
        <v>46310.5</v>
      </c>
      <c r="W200">
        <v>-1732.71</v>
      </c>
      <c r="X200">
        <v>400</v>
      </c>
      <c r="Y200">
        <v>0</v>
      </c>
      <c r="Z200">
        <v>400</v>
      </c>
      <c r="AA200">
        <v>800</v>
      </c>
    </row>
    <row r="201" spans="19:27" x14ac:dyDescent="0.2">
      <c r="S201">
        <v>173000</v>
      </c>
      <c r="T201">
        <v>1482.39</v>
      </c>
      <c r="U201">
        <v>-3121.73</v>
      </c>
      <c r="V201">
        <v>46447.1</v>
      </c>
      <c r="W201">
        <v>1676.18</v>
      </c>
      <c r="X201">
        <v>400</v>
      </c>
      <c r="Y201">
        <v>0</v>
      </c>
      <c r="Z201">
        <v>400</v>
      </c>
      <c r="AA201">
        <v>800</v>
      </c>
    </row>
    <row r="202" spans="19:27" x14ac:dyDescent="0.2">
      <c r="S202">
        <v>174000</v>
      </c>
      <c r="T202">
        <v>1482.69</v>
      </c>
      <c r="U202">
        <v>-3120.27</v>
      </c>
      <c r="V202">
        <v>46816.3</v>
      </c>
      <c r="W202">
        <v>-521.495</v>
      </c>
      <c r="X202">
        <v>400</v>
      </c>
      <c r="Y202">
        <v>0</v>
      </c>
      <c r="Z202">
        <v>400</v>
      </c>
      <c r="AA202">
        <v>800</v>
      </c>
    </row>
    <row r="203" spans="19:27" x14ac:dyDescent="0.2">
      <c r="S203">
        <v>175000</v>
      </c>
      <c r="T203">
        <v>1496.72</v>
      </c>
      <c r="U203">
        <v>-3117.31</v>
      </c>
      <c r="V203">
        <v>47033.8</v>
      </c>
      <c r="W203">
        <v>-500.911</v>
      </c>
      <c r="X203">
        <v>400</v>
      </c>
      <c r="Y203">
        <v>0</v>
      </c>
      <c r="Z203">
        <v>400</v>
      </c>
      <c r="AA203">
        <v>800</v>
      </c>
    </row>
    <row r="204" spans="19:27" x14ac:dyDescent="0.2">
      <c r="S204">
        <v>176000</v>
      </c>
      <c r="T204">
        <v>1514.95</v>
      </c>
      <c r="U204">
        <v>-3112.78</v>
      </c>
      <c r="V204">
        <v>47194.9</v>
      </c>
      <c r="W204">
        <v>545.27099999999996</v>
      </c>
      <c r="X204">
        <v>400</v>
      </c>
      <c r="Y204">
        <v>0</v>
      </c>
      <c r="Z204">
        <v>400</v>
      </c>
      <c r="AA204">
        <v>800</v>
      </c>
    </row>
    <row r="205" spans="19:27" x14ac:dyDescent="0.2">
      <c r="S205">
        <v>177000</v>
      </c>
      <c r="T205">
        <v>1544.47</v>
      </c>
      <c r="U205">
        <v>-3118.21</v>
      </c>
      <c r="V205">
        <v>47278.8</v>
      </c>
      <c r="W205">
        <v>-990.31500000000005</v>
      </c>
      <c r="X205">
        <v>400</v>
      </c>
      <c r="Y205">
        <v>0</v>
      </c>
      <c r="Z205">
        <v>400</v>
      </c>
      <c r="AA205">
        <v>800</v>
      </c>
    </row>
    <row r="206" spans="19:27" x14ac:dyDescent="0.2">
      <c r="S206">
        <v>178000</v>
      </c>
      <c r="T206">
        <v>1487.93</v>
      </c>
      <c r="U206">
        <v>-3122.22</v>
      </c>
      <c r="V206">
        <v>47148.3</v>
      </c>
      <c r="W206">
        <v>-3106.82</v>
      </c>
      <c r="X206">
        <v>400</v>
      </c>
      <c r="Y206">
        <v>0</v>
      </c>
      <c r="Z206">
        <v>400</v>
      </c>
      <c r="AA206">
        <v>800</v>
      </c>
    </row>
    <row r="207" spans="19:27" x14ac:dyDescent="0.2">
      <c r="S207">
        <v>179000</v>
      </c>
      <c r="T207">
        <v>1464.51</v>
      </c>
      <c r="U207">
        <v>-3119.64</v>
      </c>
      <c r="V207">
        <v>46755</v>
      </c>
      <c r="W207">
        <v>200.887</v>
      </c>
      <c r="X207">
        <v>400</v>
      </c>
      <c r="Y207">
        <v>0</v>
      </c>
      <c r="Z207">
        <v>400</v>
      </c>
      <c r="AA207">
        <v>800</v>
      </c>
    </row>
    <row r="208" spans="19:27" x14ac:dyDescent="0.2">
      <c r="S208">
        <v>180000</v>
      </c>
      <c r="T208">
        <v>1515.81</v>
      </c>
      <c r="U208">
        <v>-3128.22</v>
      </c>
      <c r="V208">
        <v>46420.7</v>
      </c>
      <c r="W208">
        <v>1722.94</v>
      </c>
      <c r="X208">
        <v>400</v>
      </c>
      <c r="Y208">
        <v>0</v>
      </c>
      <c r="Z208">
        <v>400</v>
      </c>
      <c r="AA208">
        <v>800</v>
      </c>
    </row>
    <row r="209" spans="19:27" x14ac:dyDescent="0.2">
      <c r="S209">
        <v>181000</v>
      </c>
      <c r="T209">
        <v>1511.03</v>
      </c>
      <c r="U209">
        <v>-3129.4</v>
      </c>
      <c r="V209">
        <v>46448.4</v>
      </c>
      <c r="W209">
        <v>355.14</v>
      </c>
      <c r="X209">
        <v>400</v>
      </c>
      <c r="Y209">
        <v>0</v>
      </c>
      <c r="Z209">
        <v>400</v>
      </c>
      <c r="AA209">
        <v>800</v>
      </c>
    </row>
    <row r="210" spans="19:27" x14ac:dyDescent="0.2">
      <c r="S210">
        <v>182000</v>
      </c>
      <c r="T210">
        <v>1452.14</v>
      </c>
      <c r="U210">
        <v>-3126.04</v>
      </c>
      <c r="V210">
        <v>46645.3</v>
      </c>
      <c r="W210">
        <v>-1297.6099999999999</v>
      </c>
      <c r="X210">
        <v>400</v>
      </c>
      <c r="Y210">
        <v>0</v>
      </c>
      <c r="Z210">
        <v>400</v>
      </c>
      <c r="AA210">
        <v>800</v>
      </c>
    </row>
    <row r="211" spans="19:27" x14ac:dyDescent="0.2">
      <c r="S211">
        <v>183000</v>
      </c>
      <c r="T211">
        <v>1441.07</v>
      </c>
      <c r="U211">
        <v>-3124.11</v>
      </c>
      <c r="V211">
        <v>46530.5</v>
      </c>
      <c r="W211">
        <v>-296.61599999999999</v>
      </c>
      <c r="X211">
        <v>400</v>
      </c>
      <c r="Y211">
        <v>0</v>
      </c>
      <c r="Z211">
        <v>400</v>
      </c>
      <c r="AA211">
        <v>800</v>
      </c>
    </row>
    <row r="212" spans="19:27" x14ac:dyDescent="0.2">
      <c r="S212">
        <v>184000</v>
      </c>
      <c r="T212">
        <v>1579.87</v>
      </c>
      <c r="U212">
        <v>-3138.47</v>
      </c>
      <c r="V212">
        <v>46327.6</v>
      </c>
      <c r="W212">
        <v>543.875</v>
      </c>
      <c r="X212">
        <v>400</v>
      </c>
      <c r="Y212">
        <v>0</v>
      </c>
      <c r="Z212">
        <v>400</v>
      </c>
      <c r="AA212">
        <v>800</v>
      </c>
    </row>
    <row r="213" spans="19:27" x14ac:dyDescent="0.2">
      <c r="S213">
        <v>185000</v>
      </c>
      <c r="T213">
        <v>1529.52</v>
      </c>
      <c r="U213">
        <v>-3128.37</v>
      </c>
      <c r="V213">
        <v>46452.7</v>
      </c>
      <c r="W213">
        <v>1902.81</v>
      </c>
      <c r="X213">
        <v>400</v>
      </c>
      <c r="Y213">
        <v>0</v>
      </c>
      <c r="Z213">
        <v>400</v>
      </c>
      <c r="AA213">
        <v>800</v>
      </c>
    </row>
    <row r="214" spans="19:27" x14ac:dyDescent="0.2">
      <c r="S214">
        <v>186000</v>
      </c>
      <c r="T214">
        <v>1479.55</v>
      </c>
      <c r="U214">
        <v>-3124.08</v>
      </c>
      <c r="V214">
        <v>46737.599999999999</v>
      </c>
      <c r="W214">
        <v>-118.521</v>
      </c>
      <c r="X214">
        <v>400</v>
      </c>
      <c r="Y214">
        <v>0</v>
      </c>
      <c r="Z214">
        <v>400</v>
      </c>
      <c r="AA214">
        <v>800</v>
      </c>
    </row>
    <row r="215" spans="19:27" x14ac:dyDescent="0.2">
      <c r="S215">
        <v>187000</v>
      </c>
      <c r="T215">
        <v>1476.04</v>
      </c>
      <c r="U215">
        <v>-3135.47</v>
      </c>
      <c r="V215">
        <v>46877.2</v>
      </c>
      <c r="W215">
        <v>-667.64300000000003</v>
      </c>
      <c r="X215">
        <v>400</v>
      </c>
      <c r="Y215">
        <v>0</v>
      </c>
      <c r="Z215">
        <v>400</v>
      </c>
      <c r="AA215">
        <v>800</v>
      </c>
    </row>
    <row r="216" spans="19:27" x14ac:dyDescent="0.2">
      <c r="S216">
        <v>188000</v>
      </c>
      <c r="T216">
        <v>1452.03</v>
      </c>
      <c r="U216">
        <v>-3135.87</v>
      </c>
      <c r="V216">
        <v>46859</v>
      </c>
      <c r="W216">
        <v>-2012.91</v>
      </c>
      <c r="X216">
        <v>400</v>
      </c>
      <c r="Y216">
        <v>0</v>
      </c>
      <c r="Z216">
        <v>400</v>
      </c>
      <c r="AA216">
        <v>800</v>
      </c>
    </row>
    <row r="217" spans="19:27" x14ac:dyDescent="0.2">
      <c r="S217">
        <v>189000</v>
      </c>
      <c r="T217">
        <v>1541.42</v>
      </c>
      <c r="U217">
        <v>-3141.05</v>
      </c>
      <c r="V217">
        <v>46630</v>
      </c>
      <c r="W217">
        <v>-589.73</v>
      </c>
      <c r="X217">
        <v>400</v>
      </c>
      <c r="Y217">
        <v>0</v>
      </c>
      <c r="Z217">
        <v>400</v>
      </c>
      <c r="AA217">
        <v>800</v>
      </c>
    </row>
    <row r="218" spans="19:27" x14ac:dyDescent="0.2">
      <c r="S218">
        <v>190000</v>
      </c>
      <c r="T218">
        <v>1486.78</v>
      </c>
      <c r="U218">
        <v>-3126.26</v>
      </c>
      <c r="V218">
        <v>46479.9</v>
      </c>
      <c r="W218">
        <v>2885.68</v>
      </c>
      <c r="X218">
        <v>400</v>
      </c>
      <c r="Y218">
        <v>0</v>
      </c>
      <c r="Z218">
        <v>400</v>
      </c>
      <c r="AA218">
        <v>800</v>
      </c>
    </row>
    <row r="219" spans="19:27" x14ac:dyDescent="0.2">
      <c r="S219">
        <v>191000</v>
      </c>
      <c r="T219">
        <v>1509.5</v>
      </c>
      <c r="U219">
        <v>-3127.66</v>
      </c>
      <c r="V219">
        <v>46690</v>
      </c>
      <c r="W219">
        <v>-410.22500000000002</v>
      </c>
      <c r="X219">
        <v>400</v>
      </c>
      <c r="Y219">
        <v>0</v>
      </c>
      <c r="Z219">
        <v>400</v>
      </c>
      <c r="AA219">
        <v>800</v>
      </c>
    </row>
    <row r="220" spans="19:27" x14ac:dyDescent="0.2">
      <c r="S220">
        <v>192000</v>
      </c>
      <c r="T220">
        <v>1473.73</v>
      </c>
      <c r="U220">
        <v>-3121.3</v>
      </c>
      <c r="V220">
        <v>46976</v>
      </c>
      <c r="W220">
        <v>-1062.01</v>
      </c>
      <c r="X220">
        <v>400</v>
      </c>
      <c r="Y220">
        <v>0</v>
      </c>
      <c r="Z220">
        <v>400</v>
      </c>
      <c r="AA220">
        <v>800</v>
      </c>
    </row>
    <row r="221" spans="19:27" x14ac:dyDescent="0.2">
      <c r="S221">
        <v>193000</v>
      </c>
      <c r="T221">
        <v>1471.25</v>
      </c>
      <c r="U221">
        <v>-3127.62</v>
      </c>
      <c r="V221">
        <v>46951.1</v>
      </c>
      <c r="W221">
        <v>-2153.96</v>
      </c>
      <c r="X221">
        <v>400</v>
      </c>
      <c r="Y221">
        <v>0</v>
      </c>
      <c r="Z221">
        <v>400</v>
      </c>
      <c r="AA221">
        <v>800</v>
      </c>
    </row>
    <row r="222" spans="19:27" x14ac:dyDescent="0.2">
      <c r="S222">
        <v>194000</v>
      </c>
      <c r="T222">
        <v>1461.52</v>
      </c>
      <c r="U222">
        <v>-3126.91</v>
      </c>
      <c r="V222">
        <v>46677.1</v>
      </c>
      <c r="W222">
        <v>-34.598399999999998</v>
      </c>
      <c r="X222">
        <v>400</v>
      </c>
      <c r="Y222">
        <v>0</v>
      </c>
      <c r="Z222">
        <v>400</v>
      </c>
      <c r="AA222">
        <v>800</v>
      </c>
    </row>
    <row r="223" spans="19:27" x14ac:dyDescent="0.2">
      <c r="S223">
        <v>195000</v>
      </c>
      <c r="T223">
        <v>1521.28</v>
      </c>
      <c r="U223">
        <v>-3126.36</v>
      </c>
      <c r="V223">
        <v>46445</v>
      </c>
      <c r="W223">
        <v>2346.96</v>
      </c>
      <c r="X223">
        <v>400</v>
      </c>
      <c r="Y223">
        <v>0</v>
      </c>
      <c r="Z223">
        <v>400</v>
      </c>
      <c r="AA223">
        <v>800</v>
      </c>
    </row>
    <row r="224" spans="19:27" x14ac:dyDescent="0.2">
      <c r="S224">
        <v>196000</v>
      </c>
      <c r="T224">
        <v>1527.39</v>
      </c>
      <c r="U224">
        <v>-3126.61</v>
      </c>
      <c r="V224">
        <v>46621.2</v>
      </c>
      <c r="W224">
        <v>-34.573599999999999</v>
      </c>
      <c r="X224">
        <v>400</v>
      </c>
      <c r="Y224">
        <v>0</v>
      </c>
      <c r="Z224">
        <v>400</v>
      </c>
      <c r="AA224">
        <v>800</v>
      </c>
    </row>
    <row r="225" spans="19:27" x14ac:dyDescent="0.2">
      <c r="S225">
        <v>197000</v>
      </c>
      <c r="T225">
        <v>1459.79</v>
      </c>
      <c r="U225">
        <v>-3122.8</v>
      </c>
      <c r="V225">
        <v>46878.9</v>
      </c>
      <c r="W225">
        <v>-532.75900000000001</v>
      </c>
      <c r="X225">
        <v>400</v>
      </c>
      <c r="Y225">
        <v>0</v>
      </c>
      <c r="Z225">
        <v>400</v>
      </c>
      <c r="AA225">
        <v>800</v>
      </c>
    </row>
    <row r="226" spans="19:27" x14ac:dyDescent="0.2">
      <c r="S226">
        <v>198000</v>
      </c>
      <c r="T226">
        <v>1439.68</v>
      </c>
      <c r="U226">
        <v>-3125.29</v>
      </c>
      <c r="V226">
        <v>46830.9</v>
      </c>
      <c r="W226">
        <v>-1203.8699999999999</v>
      </c>
      <c r="X226">
        <v>400</v>
      </c>
      <c r="Y226">
        <v>0</v>
      </c>
      <c r="Z226">
        <v>400</v>
      </c>
      <c r="AA226">
        <v>800</v>
      </c>
    </row>
    <row r="227" spans="19:27" x14ac:dyDescent="0.2">
      <c r="S227">
        <v>199000</v>
      </c>
      <c r="T227">
        <v>1542.02</v>
      </c>
      <c r="U227">
        <v>-3127.83</v>
      </c>
      <c r="V227">
        <v>46677.3</v>
      </c>
      <c r="W227">
        <v>2342.02</v>
      </c>
      <c r="X227">
        <v>400</v>
      </c>
      <c r="Y227">
        <v>0</v>
      </c>
      <c r="Z227">
        <v>400</v>
      </c>
      <c r="AA227">
        <v>800</v>
      </c>
    </row>
    <row r="228" spans="19:27" x14ac:dyDescent="0.2">
      <c r="S228">
        <v>200000</v>
      </c>
      <c r="T228">
        <v>1499.22</v>
      </c>
      <c r="U228">
        <v>-3118.39</v>
      </c>
      <c r="V228">
        <v>46831.199999999997</v>
      </c>
      <c r="W228">
        <v>-303.60300000000001</v>
      </c>
      <c r="X228">
        <v>400</v>
      </c>
      <c r="Y228">
        <v>0</v>
      </c>
      <c r="Z228">
        <v>400</v>
      </c>
      <c r="AA228">
        <v>800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F4175-5943-914E-B62B-EF0CB5AE2BFD}">
  <dimension ref="A2:O49"/>
  <sheetViews>
    <sheetView workbookViewId="0">
      <selection activeCell="J41" sqref="J41"/>
    </sheetView>
  </sheetViews>
  <sheetFormatPr baseColWidth="10" defaultRowHeight="16" x14ac:dyDescent="0.2"/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D3" t="s">
        <v>47</v>
      </c>
      <c r="I3" t="s">
        <v>10</v>
      </c>
      <c r="J3" t="s">
        <v>11</v>
      </c>
      <c r="K3" t="s">
        <v>12</v>
      </c>
      <c r="L3" t="s">
        <v>13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0</v>
      </c>
      <c r="B8">
        <f>J8/SUM(I8:K8)</f>
        <v>1</v>
      </c>
      <c r="C8">
        <f>K8/SUM(I8:K8)</f>
        <v>0</v>
      </c>
      <c r="D8">
        <v>200000</v>
      </c>
      <c r="E8">
        <v>1501.18</v>
      </c>
      <c r="F8">
        <v>-2280.29</v>
      </c>
      <c r="G8">
        <v>72375.7</v>
      </c>
      <c r="H8">
        <v>-0.54600099999999996</v>
      </c>
      <c r="I8">
        <v>0</v>
      </c>
      <c r="J8">
        <v>800</v>
      </c>
      <c r="K8">
        <v>0</v>
      </c>
      <c r="L8">
        <v>800</v>
      </c>
      <c r="M8">
        <f t="shared" ref="M8" si="0">I8*I$2+J8*J$2+K8*K$2+L8*L$2</f>
        <v>59638.400000000001</v>
      </c>
      <c r="N8">
        <f t="shared" ref="N8" si="1">M8*(1.66054E-24)/(G8)/(1E-24)</f>
        <v>1.3683038469541575</v>
      </c>
      <c r="O8">
        <f t="shared" ref="O8" si="2">F8+SUM(I8:L8)*1.5*(0.000086173)*E8</f>
        <v>-1969.8231580639999</v>
      </c>
    </row>
    <row r="9" spans="1:15" x14ac:dyDescent="0.2">
      <c r="A9">
        <f t="shared" ref="A9:A18" si="3">I9/SUM(I9:K9)</f>
        <v>0</v>
      </c>
      <c r="B9">
        <f t="shared" ref="B9:B18" si="4">J9/SUM(I9:K9)</f>
        <v>0.9</v>
      </c>
      <c r="C9">
        <f t="shared" ref="C9:C18" si="5">K9/SUM(I9:K9)</f>
        <v>0.1</v>
      </c>
      <c r="D9">
        <v>200000</v>
      </c>
      <c r="E9" s="4">
        <v>1501.53</v>
      </c>
      <c r="F9">
        <v>-2269.77</v>
      </c>
      <c r="G9">
        <v>70530.7</v>
      </c>
      <c r="H9">
        <v>3.0581499999999999</v>
      </c>
      <c r="I9">
        <v>0</v>
      </c>
      <c r="J9">
        <v>720</v>
      </c>
      <c r="K9">
        <v>80</v>
      </c>
      <c r="L9">
        <v>800</v>
      </c>
      <c r="M9">
        <f>I9*I$2+J9*J$2+K9*K$2+L9*L$2</f>
        <v>58349.760000000002</v>
      </c>
      <c r="N9">
        <f>M9*(1.66054E-24)/(G9)/(1E-24)</f>
        <v>1.3737579588803175</v>
      </c>
      <c r="O9">
        <f t="shared" ref="O9:O17" si="6">F9+SUM(I9:L9)*1.5*(0.000086173)*E9</f>
        <v>-1959.230772744</v>
      </c>
    </row>
    <row r="10" spans="1:15" x14ac:dyDescent="0.2">
      <c r="A10">
        <f t="shared" si="3"/>
        <v>0</v>
      </c>
      <c r="B10">
        <f t="shared" si="4"/>
        <v>0.8</v>
      </c>
      <c r="C10">
        <f t="shared" si="5"/>
        <v>0.2</v>
      </c>
      <c r="D10">
        <v>200000</v>
      </c>
      <c r="E10">
        <v>1500.2</v>
      </c>
      <c r="F10">
        <v>-2259.5</v>
      </c>
      <c r="G10">
        <v>68566.100000000006</v>
      </c>
      <c r="H10">
        <v>1.39086</v>
      </c>
      <c r="I10">
        <v>0</v>
      </c>
      <c r="J10">
        <v>640</v>
      </c>
      <c r="K10">
        <v>160</v>
      </c>
      <c r="L10">
        <v>800</v>
      </c>
      <c r="M10">
        <f t="shared" ref="M10:M17" si="7">I10*I$2+J10*J$2+K10*K$2+L10*L$2</f>
        <v>57061.12000000001</v>
      </c>
      <c r="N10">
        <f t="shared" ref="N10:N17" si="8">M10*(1.66054E-24)/(G10)/(1E-24)</f>
        <v>1.3819113556815978</v>
      </c>
      <c r="O10">
        <f t="shared" si="6"/>
        <v>-1949.2358369599999</v>
      </c>
    </row>
    <row r="11" spans="1:15" x14ac:dyDescent="0.2">
      <c r="A11">
        <f t="shared" si="3"/>
        <v>0</v>
      </c>
      <c r="B11">
        <f t="shared" si="4"/>
        <v>0.7</v>
      </c>
      <c r="C11">
        <f t="shared" si="5"/>
        <v>0.3</v>
      </c>
      <c r="D11">
        <v>200000</v>
      </c>
      <c r="E11">
        <v>1498.94</v>
      </c>
      <c r="F11">
        <v>-2250.7399999999998</v>
      </c>
      <c r="G11">
        <v>66381.5</v>
      </c>
      <c r="H11">
        <v>7.5982500000000002</v>
      </c>
      <c r="I11">
        <v>0</v>
      </c>
      <c r="J11">
        <v>560</v>
      </c>
      <c r="K11">
        <v>240</v>
      </c>
      <c r="L11">
        <v>800</v>
      </c>
      <c r="M11">
        <f t="shared" si="7"/>
        <v>55772.480000000003</v>
      </c>
      <c r="N11">
        <f t="shared" si="8"/>
        <v>1.3951542815272329</v>
      </c>
      <c r="O11">
        <f t="shared" si="6"/>
        <v>-1940.7364241119999</v>
      </c>
    </row>
    <row r="12" spans="1:15" x14ac:dyDescent="0.2">
      <c r="A12">
        <f t="shared" si="3"/>
        <v>0</v>
      </c>
      <c r="B12">
        <f t="shared" si="4"/>
        <v>0.6</v>
      </c>
      <c r="C12">
        <f t="shared" si="5"/>
        <v>0.4</v>
      </c>
      <c r="D12">
        <v>200000</v>
      </c>
      <c r="E12">
        <v>1501.46</v>
      </c>
      <c r="F12">
        <v>-2239.88</v>
      </c>
      <c r="G12">
        <v>64509.1</v>
      </c>
      <c r="H12">
        <v>3.7416700000000001</v>
      </c>
      <c r="I12">
        <v>0</v>
      </c>
      <c r="J12">
        <v>480</v>
      </c>
      <c r="K12">
        <v>320</v>
      </c>
      <c r="L12">
        <v>800</v>
      </c>
      <c r="M12">
        <f t="shared" si="7"/>
        <v>54483.840000000004</v>
      </c>
      <c r="N12">
        <f t="shared" si="8"/>
        <v>1.4024780329224871</v>
      </c>
      <c r="O12">
        <f t="shared" si="6"/>
        <v>-1929.3552498080001</v>
      </c>
    </row>
    <row r="13" spans="1:15" x14ac:dyDescent="0.2">
      <c r="A13">
        <f t="shared" si="3"/>
        <v>0</v>
      </c>
      <c r="B13">
        <f t="shared" si="4"/>
        <v>0.5</v>
      </c>
      <c r="C13">
        <f t="shared" si="5"/>
        <v>0.5</v>
      </c>
      <c r="D13">
        <v>200000</v>
      </c>
      <c r="E13" s="3">
        <v>1499.75</v>
      </c>
      <c r="F13">
        <v>-2229.1999999999998</v>
      </c>
      <c r="G13" s="3">
        <v>62492</v>
      </c>
      <c r="H13" s="3">
        <v>5.97973</v>
      </c>
      <c r="I13">
        <v>0</v>
      </c>
      <c r="J13">
        <v>400</v>
      </c>
      <c r="K13">
        <v>400</v>
      </c>
      <c r="L13">
        <v>800</v>
      </c>
      <c r="M13">
        <f t="shared" si="7"/>
        <v>53195.199999999997</v>
      </c>
      <c r="N13">
        <f t="shared" si="8"/>
        <v>1.4135050471740382</v>
      </c>
      <c r="O13">
        <f t="shared" si="6"/>
        <v>-1919.0289037999999</v>
      </c>
    </row>
    <row r="14" spans="1:15" x14ac:dyDescent="0.2">
      <c r="A14">
        <f t="shared" si="3"/>
        <v>0</v>
      </c>
      <c r="B14">
        <f t="shared" si="4"/>
        <v>0.4</v>
      </c>
      <c r="C14">
        <f t="shared" si="5"/>
        <v>0.6</v>
      </c>
      <c r="D14">
        <v>200000</v>
      </c>
      <c r="E14">
        <v>1500.53</v>
      </c>
      <c r="F14">
        <v>-2216.9299999999998</v>
      </c>
      <c r="G14">
        <v>60621.9</v>
      </c>
      <c r="H14">
        <v>3.3103099999999999</v>
      </c>
      <c r="I14">
        <v>0</v>
      </c>
      <c r="J14">
        <v>320</v>
      </c>
      <c r="K14">
        <v>480</v>
      </c>
      <c r="L14">
        <v>800</v>
      </c>
      <c r="M14">
        <f t="shared" si="7"/>
        <v>51906.559999999998</v>
      </c>
      <c r="N14">
        <f t="shared" si="8"/>
        <v>1.4218115753943705</v>
      </c>
      <c r="O14">
        <f t="shared" si="6"/>
        <v>-1906.5975879439998</v>
      </c>
    </row>
    <row r="15" spans="1:15" x14ac:dyDescent="0.2">
      <c r="A15">
        <f t="shared" si="3"/>
        <v>0</v>
      </c>
      <c r="B15">
        <f t="shared" si="4"/>
        <v>0.3</v>
      </c>
      <c r="C15">
        <f t="shared" si="5"/>
        <v>0.7</v>
      </c>
      <c r="D15">
        <v>200000</v>
      </c>
      <c r="E15">
        <v>1499</v>
      </c>
      <c r="F15">
        <v>-2205.41</v>
      </c>
      <c r="G15">
        <v>58726.7</v>
      </c>
      <c r="H15">
        <v>1.3724099999999999</v>
      </c>
      <c r="I15">
        <v>0</v>
      </c>
      <c r="J15">
        <v>240</v>
      </c>
      <c r="K15">
        <v>560</v>
      </c>
      <c r="L15">
        <v>800</v>
      </c>
      <c r="M15">
        <f t="shared" si="7"/>
        <v>50617.919999999998</v>
      </c>
      <c r="N15">
        <f t="shared" si="8"/>
        <v>1.4312583693073169</v>
      </c>
      <c r="O15">
        <f t="shared" si="6"/>
        <v>-1895.3940151999998</v>
      </c>
    </row>
    <row r="16" spans="1:15" x14ac:dyDescent="0.2">
      <c r="A16">
        <f t="shared" si="3"/>
        <v>0</v>
      </c>
      <c r="B16">
        <f t="shared" si="4"/>
        <v>0.2</v>
      </c>
      <c r="C16">
        <f t="shared" si="5"/>
        <v>0.8</v>
      </c>
      <c r="D16">
        <v>200000</v>
      </c>
      <c r="E16">
        <v>1499.14</v>
      </c>
      <c r="F16">
        <v>-2193.89</v>
      </c>
      <c r="G16">
        <v>56770.7</v>
      </c>
      <c r="H16">
        <v>-0.150282</v>
      </c>
      <c r="I16">
        <v>0</v>
      </c>
      <c r="J16">
        <v>160</v>
      </c>
      <c r="K16">
        <v>640</v>
      </c>
      <c r="L16">
        <v>800</v>
      </c>
      <c r="M16">
        <f t="shared" si="7"/>
        <v>49329.279999999999</v>
      </c>
      <c r="N16">
        <f t="shared" si="8"/>
        <v>1.442878854958632</v>
      </c>
      <c r="O16">
        <f t="shared" si="6"/>
        <v>-1883.8450610719999</v>
      </c>
    </row>
    <row r="17" spans="1:15" x14ac:dyDescent="0.2">
      <c r="A17">
        <f t="shared" si="3"/>
        <v>0</v>
      </c>
      <c r="B17">
        <f t="shared" si="4"/>
        <v>0.1</v>
      </c>
      <c r="C17">
        <f t="shared" si="5"/>
        <v>0.9</v>
      </c>
      <c r="D17">
        <v>200000</v>
      </c>
      <c r="E17">
        <v>1498.4</v>
      </c>
      <c r="F17">
        <v>-2181.16</v>
      </c>
      <c r="G17">
        <v>54901</v>
      </c>
      <c r="H17">
        <v>0.17544100000000001</v>
      </c>
      <c r="I17">
        <v>0</v>
      </c>
      <c r="J17">
        <v>80</v>
      </c>
      <c r="K17">
        <v>720</v>
      </c>
      <c r="L17">
        <v>800</v>
      </c>
      <c r="M17">
        <f t="shared" si="7"/>
        <v>48040.639999999999</v>
      </c>
      <c r="N17">
        <f t="shared" si="8"/>
        <v>1.4530410073696292</v>
      </c>
      <c r="O17">
        <f t="shared" si="6"/>
        <v>-1871.2681043199998</v>
      </c>
    </row>
    <row r="18" spans="1:15" x14ac:dyDescent="0.2">
      <c r="A18">
        <f t="shared" si="3"/>
        <v>0</v>
      </c>
      <c r="B18">
        <f t="shared" si="4"/>
        <v>0</v>
      </c>
      <c r="C18">
        <f t="shared" si="5"/>
        <v>1</v>
      </c>
      <c r="D18">
        <v>200000</v>
      </c>
      <c r="E18">
        <v>1498.98</v>
      </c>
      <c r="F18">
        <v>-2167.88</v>
      </c>
      <c r="G18">
        <v>52975.7</v>
      </c>
      <c r="H18">
        <v>7.6271500000000003</v>
      </c>
      <c r="I18">
        <v>0</v>
      </c>
      <c r="J18">
        <v>0</v>
      </c>
      <c r="K18">
        <v>800</v>
      </c>
      <c r="L18">
        <v>800</v>
      </c>
      <c r="M18">
        <f>I18*I$2+J18*J$2+K18*K$2+L18*L$2</f>
        <v>46752</v>
      </c>
      <c r="N18">
        <f>M18*(1.66054E-24)/(G18)/(1E-24)</f>
        <v>1.4654561634862777</v>
      </c>
      <c r="O18">
        <f>F18+SUM(I18:L18)*1.5*(0.000086173)*E18</f>
        <v>-1857.868151504</v>
      </c>
    </row>
    <row r="21" spans="1:15" x14ac:dyDescent="0.2">
      <c r="A21" t="s">
        <v>49</v>
      </c>
      <c r="B21" t="s">
        <v>41</v>
      </c>
      <c r="C21" t="s">
        <v>48</v>
      </c>
      <c r="D21" t="s">
        <v>1</v>
      </c>
      <c r="E21" t="s">
        <v>2</v>
      </c>
      <c r="F21" t="s">
        <v>3</v>
      </c>
      <c r="G21" t="s">
        <v>4</v>
      </c>
      <c r="H21" t="s">
        <v>5</v>
      </c>
      <c r="I21" t="s">
        <v>6</v>
      </c>
      <c r="J21" t="s">
        <v>7</v>
      </c>
      <c r="K21" t="s">
        <v>8</v>
      </c>
      <c r="L21" t="s">
        <v>9</v>
      </c>
      <c r="M21" t="s">
        <v>15</v>
      </c>
      <c r="N21" t="s">
        <v>16</v>
      </c>
      <c r="O21" t="s">
        <v>21</v>
      </c>
    </row>
    <row r="24" spans="1:15" x14ac:dyDescent="0.2">
      <c r="A24">
        <f>I24/SUM(I24:K24)</f>
        <v>0</v>
      </c>
      <c r="B24">
        <f>J24/SUM(I24:K24)</f>
        <v>1</v>
      </c>
      <c r="C24">
        <f>K24/SUM(I24:K24)</f>
        <v>0</v>
      </c>
      <c r="D24">
        <v>200000</v>
      </c>
      <c r="E24">
        <v>1200.07</v>
      </c>
      <c r="F24">
        <v>-2379.2800000000002</v>
      </c>
      <c r="G24">
        <v>66494.7</v>
      </c>
      <c r="H24">
        <v>4.3596899999999996</v>
      </c>
      <c r="I24">
        <v>0</v>
      </c>
      <c r="J24">
        <v>800</v>
      </c>
      <c r="K24">
        <v>0</v>
      </c>
      <c r="L24">
        <v>800</v>
      </c>
      <c r="M24">
        <f t="shared" ref="M24" si="9">I24*I$2+J24*J$2+K24*K$2+L24*L$2</f>
        <v>59638.400000000001</v>
      </c>
      <c r="N24">
        <f t="shared" ref="N24" si="10">M24*(1.66054E-24)/(G24)/(1E-24)</f>
        <v>1.4893209343902598</v>
      </c>
      <c r="O24">
        <f>F24+SUM(I24:L24)*1.5*(0.000086173)*E24</f>
        <v>-2131.0872829360001</v>
      </c>
    </row>
    <row r="25" spans="1:15" x14ac:dyDescent="0.2">
      <c r="A25">
        <f t="shared" ref="A25:A34" si="11">I25/SUM(I25:K25)</f>
        <v>0</v>
      </c>
      <c r="B25">
        <f t="shared" ref="B25:B34" si="12">J25/SUM(I25:K25)</f>
        <v>0.9</v>
      </c>
      <c r="C25">
        <f t="shared" ref="C25:C34" si="13">K25/SUM(I25:K25)</f>
        <v>0.1</v>
      </c>
      <c r="D25">
        <v>200000</v>
      </c>
      <c r="E25" s="4">
        <v>1199</v>
      </c>
      <c r="F25">
        <v>-2369.16</v>
      </c>
      <c r="G25">
        <v>64682</v>
      </c>
      <c r="H25">
        <v>6.8219500000000002</v>
      </c>
      <c r="I25">
        <v>0</v>
      </c>
      <c r="J25">
        <v>720</v>
      </c>
      <c r="K25">
        <v>80</v>
      </c>
      <c r="L25">
        <v>800</v>
      </c>
      <c r="M25">
        <f>I25*I$2+J25*J$2+K25*K$2+L25*L$2</f>
        <v>58349.760000000002</v>
      </c>
      <c r="N25">
        <f>M25*(1.66054E-24)/(G25)/(1E-24)</f>
        <v>1.4979764149284192</v>
      </c>
      <c r="O25">
        <f t="shared" ref="O25:O33" si="14">F25+SUM(I25:L25)*1.5*(0.000086173)*E25</f>
        <v>-2121.1885751999998</v>
      </c>
    </row>
    <row r="26" spans="1:15" x14ac:dyDescent="0.2">
      <c r="A26">
        <f t="shared" si="11"/>
        <v>0</v>
      </c>
      <c r="B26">
        <f t="shared" si="12"/>
        <v>0.8</v>
      </c>
      <c r="C26">
        <f t="shared" si="13"/>
        <v>0.2</v>
      </c>
      <c r="D26">
        <v>200000</v>
      </c>
      <c r="E26">
        <v>1202.1099999999999</v>
      </c>
      <c r="F26">
        <v>-2357.1</v>
      </c>
      <c r="G26">
        <v>63083.199999999997</v>
      </c>
      <c r="H26">
        <v>3.4145500000000002</v>
      </c>
      <c r="I26">
        <v>0</v>
      </c>
      <c r="J26">
        <v>640</v>
      </c>
      <c r="K26">
        <v>160</v>
      </c>
      <c r="L26">
        <v>800</v>
      </c>
      <c r="M26">
        <f t="shared" ref="M26:M33" si="15">I26*I$2+J26*J$2+K26*K$2+L26*L$2</f>
        <v>57061.12000000001</v>
      </c>
      <c r="N26">
        <f t="shared" ref="N26:N33" si="16">M26*(1.66054E-24)/(G26)/(1E-24)</f>
        <v>1.5020206997235399</v>
      </c>
      <c r="O26">
        <f t="shared" si="14"/>
        <v>-2108.4853799279999</v>
      </c>
    </row>
    <row r="27" spans="1:15" x14ac:dyDescent="0.2">
      <c r="A27">
        <f t="shared" si="11"/>
        <v>0</v>
      </c>
      <c r="B27">
        <f t="shared" si="12"/>
        <v>0.7</v>
      </c>
      <c r="C27">
        <f t="shared" si="13"/>
        <v>0.3</v>
      </c>
      <c r="D27">
        <v>200000</v>
      </c>
      <c r="E27">
        <v>1200.1500000000001</v>
      </c>
      <c r="F27">
        <v>-2346.73</v>
      </c>
      <c r="G27">
        <v>61287.9</v>
      </c>
      <c r="H27">
        <v>8.5874000000000006</v>
      </c>
      <c r="I27">
        <v>0</v>
      </c>
      <c r="J27">
        <v>560</v>
      </c>
      <c r="K27">
        <v>240</v>
      </c>
      <c r="L27">
        <v>800</v>
      </c>
      <c r="M27">
        <f t="shared" si="15"/>
        <v>55772.480000000003</v>
      </c>
      <c r="N27">
        <f t="shared" si="16"/>
        <v>1.5111047031991633</v>
      </c>
      <c r="O27">
        <f t="shared" si="14"/>
        <v>-2098.5207377199999</v>
      </c>
    </row>
    <row r="28" spans="1:15" x14ac:dyDescent="0.2">
      <c r="A28">
        <f t="shared" si="11"/>
        <v>0</v>
      </c>
      <c r="B28">
        <f t="shared" si="12"/>
        <v>0.6</v>
      </c>
      <c r="C28">
        <f t="shared" si="13"/>
        <v>0.4</v>
      </c>
      <c r="D28">
        <v>200000</v>
      </c>
      <c r="E28">
        <v>1200.1600000000001</v>
      </c>
      <c r="F28">
        <v>-2334.79</v>
      </c>
      <c r="G28">
        <v>59624.1</v>
      </c>
      <c r="H28">
        <v>0.16036300000000001</v>
      </c>
      <c r="I28">
        <v>0</v>
      </c>
      <c r="J28">
        <v>480</v>
      </c>
      <c r="K28">
        <v>320</v>
      </c>
      <c r="L28">
        <v>800</v>
      </c>
      <c r="M28">
        <f t="shared" si="15"/>
        <v>54483.840000000004</v>
      </c>
      <c r="N28">
        <f t="shared" si="16"/>
        <v>1.5173829990490424</v>
      </c>
      <c r="O28">
        <f t="shared" si="14"/>
        <v>-2086.5786695679999</v>
      </c>
    </row>
    <row r="29" spans="1:15" x14ac:dyDescent="0.2">
      <c r="A29">
        <f t="shared" si="11"/>
        <v>0</v>
      </c>
      <c r="B29">
        <f t="shared" si="12"/>
        <v>0.5</v>
      </c>
      <c r="C29">
        <f t="shared" si="13"/>
        <v>0.5</v>
      </c>
      <c r="D29">
        <v>200000</v>
      </c>
      <c r="E29" s="3">
        <v>1201.24</v>
      </c>
      <c r="F29">
        <v>-2323.35</v>
      </c>
      <c r="G29" s="3">
        <v>57821.599999999999</v>
      </c>
      <c r="H29" s="3">
        <v>3.56691</v>
      </c>
      <c r="I29">
        <v>0</v>
      </c>
      <c r="J29">
        <v>400</v>
      </c>
      <c r="K29">
        <v>400</v>
      </c>
      <c r="L29">
        <v>800</v>
      </c>
      <c r="M29">
        <f t="shared" si="15"/>
        <v>53195.199999999997</v>
      </c>
      <c r="N29">
        <f t="shared" si="16"/>
        <v>1.5276775012797985</v>
      </c>
      <c r="O29">
        <f t="shared" si="14"/>
        <v>-2074.9153091519997</v>
      </c>
    </row>
    <row r="30" spans="1:15" x14ac:dyDescent="0.2">
      <c r="A30">
        <f t="shared" si="11"/>
        <v>0</v>
      </c>
      <c r="B30">
        <f t="shared" si="12"/>
        <v>0.4</v>
      </c>
      <c r="C30">
        <f t="shared" si="13"/>
        <v>0.6</v>
      </c>
      <c r="D30">
        <v>200000</v>
      </c>
      <c r="E30">
        <v>1198.32</v>
      </c>
      <c r="F30">
        <v>-2312.42</v>
      </c>
      <c r="G30">
        <v>56049.3</v>
      </c>
      <c r="H30">
        <v>3.7084199999999998</v>
      </c>
      <c r="I30">
        <v>0</v>
      </c>
      <c r="J30">
        <v>320</v>
      </c>
      <c r="K30">
        <v>480</v>
      </c>
      <c r="L30">
        <v>800</v>
      </c>
      <c r="M30">
        <f t="shared" si="15"/>
        <v>51906.559999999998</v>
      </c>
      <c r="N30">
        <f t="shared" si="16"/>
        <v>1.5378054523856675</v>
      </c>
      <c r="O30">
        <f t="shared" si="14"/>
        <v>-2064.589209536</v>
      </c>
    </row>
    <row r="31" spans="1:15" x14ac:dyDescent="0.2">
      <c r="A31">
        <f t="shared" si="11"/>
        <v>0</v>
      </c>
      <c r="B31">
        <f t="shared" si="12"/>
        <v>0.3</v>
      </c>
      <c r="C31">
        <f t="shared" si="13"/>
        <v>0.7</v>
      </c>
      <c r="D31">
        <v>200000</v>
      </c>
      <c r="E31">
        <v>1200.93</v>
      </c>
      <c r="F31">
        <v>-2297.9899999999998</v>
      </c>
      <c r="G31">
        <v>54371.7</v>
      </c>
      <c r="H31">
        <v>4.7849399999999997</v>
      </c>
      <c r="I31">
        <v>0</v>
      </c>
      <c r="J31">
        <v>240</v>
      </c>
      <c r="K31">
        <v>560</v>
      </c>
      <c r="L31">
        <v>800</v>
      </c>
      <c r="M31">
        <f t="shared" si="15"/>
        <v>50617.919999999998</v>
      </c>
      <c r="N31">
        <f t="shared" si="16"/>
        <v>1.5458976062326542</v>
      </c>
      <c r="O31">
        <f t="shared" si="14"/>
        <v>-2049.6194218639998</v>
      </c>
    </row>
    <row r="32" spans="1:15" x14ac:dyDescent="0.2">
      <c r="A32">
        <f t="shared" si="11"/>
        <v>0</v>
      </c>
      <c r="B32">
        <f t="shared" si="12"/>
        <v>0.2</v>
      </c>
      <c r="C32">
        <f t="shared" si="13"/>
        <v>0.8</v>
      </c>
      <c r="D32">
        <v>200000</v>
      </c>
      <c r="E32">
        <v>1200.51</v>
      </c>
      <c r="F32">
        <v>-2284.62</v>
      </c>
      <c r="G32">
        <v>52732.2</v>
      </c>
      <c r="H32">
        <v>-1.7662000000000001E-3</v>
      </c>
      <c r="I32">
        <v>0</v>
      </c>
      <c r="J32">
        <v>160</v>
      </c>
      <c r="K32">
        <v>640</v>
      </c>
      <c r="L32">
        <v>800</v>
      </c>
      <c r="M32">
        <f t="shared" si="15"/>
        <v>49329.279999999999</v>
      </c>
      <c r="N32">
        <f t="shared" si="16"/>
        <v>1.5533818541839712</v>
      </c>
      <c r="O32">
        <f t="shared" si="14"/>
        <v>-2036.3362842479999</v>
      </c>
    </row>
    <row r="33" spans="1:15" x14ac:dyDescent="0.2">
      <c r="A33">
        <f t="shared" si="11"/>
        <v>0</v>
      </c>
      <c r="B33">
        <f t="shared" si="12"/>
        <v>0.1</v>
      </c>
      <c r="C33">
        <f t="shared" si="13"/>
        <v>0.9</v>
      </c>
      <c r="D33">
        <v>200000</v>
      </c>
      <c r="E33">
        <v>1199.1400000000001</v>
      </c>
      <c r="F33">
        <v>-2271.7399999999998</v>
      </c>
      <c r="G33">
        <v>51023.8</v>
      </c>
      <c r="H33">
        <v>4.55124</v>
      </c>
      <c r="I33">
        <v>0</v>
      </c>
      <c r="J33">
        <v>80</v>
      </c>
      <c r="K33">
        <v>720</v>
      </c>
      <c r="L33">
        <v>800</v>
      </c>
      <c r="M33">
        <f t="shared" si="15"/>
        <v>48040.639999999999</v>
      </c>
      <c r="N33">
        <f t="shared" si="16"/>
        <v>1.5634547866995403</v>
      </c>
      <c r="O33">
        <f t="shared" si="14"/>
        <v>-2023.7396210719999</v>
      </c>
    </row>
    <row r="34" spans="1:15" x14ac:dyDescent="0.2">
      <c r="A34">
        <f t="shared" si="11"/>
        <v>0</v>
      </c>
      <c r="B34">
        <f t="shared" si="12"/>
        <v>0</v>
      </c>
      <c r="C34">
        <f t="shared" si="13"/>
        <v>1</v>
      </c>
      <c r="D34">
        <v>200000</v>
      </c>
      <c r="E34">
        <v>1199.45</v>
      </c>
      <c r="F34">
        <v>-2257.54</v>
      </c>
      <c r="G34">
        <v>49308</v>
      </c>
      <c r="H34">
        <v>2.895</v>
      </c>
      <c r="I34">
        <v>0</v>
      </c>
      <c r="J34">
        <v>0</v>
      </c>
      <c r="K34">
        <v>800</v>
      </c>
      <c r="L34">
        <v>800</v>
      </c>
      <c r="M34">
        <f>I34*I$2+J34*J$2+K34*K$2+L34*L$2</f>
        <v>46752</v>
      </c>
      <c r="N34">
        <f>M34*(1.66054E-24)/(G34)/(1E-24)</f>
        <v>1.574461873935264</v>
      </c>
      <c r="O34">
        <f>F34+SUM(I34:L34)*1.5*(0.000086173)*E34</f>
        <v>-2009.4755083599998</v>
      </c>
    </row>
    <row r="38" spans="1:15" x14ac:dyDescent="0.2">
      <c r="D38">
        <v>1500</v>
      </c>
      <c r="E38">
        <v>1200</v>
      </c>
      <c r="H38" t="s">
        <v>59</v>
      </c>
    </row>
    <row r="39" spans="1:15" x14ac:dyDescent="0.2">
      <c r="D39">
        <v>-1969.8231580639999</v>
      </c>
      <c r="E39">
        <v>-2131.0872829360001</v>
      </c>
      <c r="F39" cm="1">
        <f t="array" ref="F39:G39">LINEST(D39:E39,$D$38:$E$38)</f>
        <v>0.5375470829066672</v>
      </c>
      <c r="G39">
        <v>-2776.1437824240006</v>
      </c>
      <c r="H39">
        <f>F39/SUM(I24:K24)*(1.602E-19)*(6.022E+23)</f>
        <v>64.823098378610595</v>
      </c>
    </row>
    <row r="40" spans="1:15" x14ac:dyDescent="0.2">
      <c r="D40">
        <v>-1959.230772744</v>
      </c>
      <c r="E40">
        <v>-2121.1885751999998</v>
      </c>
      <c r="F40" cm="1">
        <f t="array" ref="F40:G40">LINEST(D40:E40,$D$38:$E$38)</f>
        <v>0.53985934151999959</v>
      </c>
      <c r="G40">
        <v>-2769.0197850239992</v>
      </c>
      <c r="H40">
        <f t="shared" ref="H40:H48" si="17">F40/SUM(I25:K25)*(1.602E-19)*(6.022E+23)</f>
        <v>65.101934916534589</v>
      </c>
    </row>
    <row r="41" spans="1:15" x14ac:dyDescent="0.2">
      <c r="D41">
        <v>-1949.2358369599999</v>
      </c>
      <c r="E41">
        <v>-2108.4853799279999</v>
      </c>
      <c r="F41" cm="1">
        <f t="array" ref="F41:G41">LINEST(D41:E41,$D$38:$E$38)</f>
        <v>0.53083180989333356</v>
      </c>
      <c r="G41">
        <v>-2745.4835518</v>
      </c>
      <c r="H41">
        <f t="shared" si="17"/>
        <v>64.013299912532545</v>
      </c>
    </row>
    <row r="42" spans="1:15" x14ac:dyDescent="0.2">
      <c r="D42">
        <v>-1940.7364241119999</v>
      </c>
      <c r="E42">
        <v>-2098.5207377199999</v>
      </c>
      <c r="F42" cm="1">
        <f t="array" ref="F42:G42">LINEST(D42:E42,$D$38:$E$38)</f>
        <v>0.5259477120266669</v>
      </c>
      <c r="G42">
        <v>-2729.6579921520001</v>
      </c>
      <c r="H42">
        <f t="shared" si="17"/>
        <v>63.424323864537385</v>
      </c>
    </row>
    <row r="43" spans="1:15" x14ac:dyDescent="0.2">
      <c r="D43">
        <v>-1929.3552498080001</v>
      </c>
      <c r="E43">
        <v>-2086.5786695679999</v>
      </c>
      <c r="F43" cm="1">
        <f t="array" ref="F43:G43">LINEST(D43:E43,$D$38:$E$38)</f>
        <v>0.52407806586666628</v>
      </c>
      <c r="G43">
        <v>-2715.4723486079993</v>
      </c>
      <c r="H43">
        <f t="shared" si="17"/>
        <v>63.198862205797511</v>
      </c>
    </row>
    <row r="44" spans="1:15" x14ac:dyDescent="0.2">
      <c r="D44">
        <v>-1919.0289037999999</v>
      </c>
      <c r="E44">
        <v>-2074.9153091519997</v>
      </c>
      <c r="F44" cm="1">
        <f t="array" ref="F44:G44">LINEST(D44:E44,$D$38:$E$38)</f>
        <v>0.51962135117333308</v>
      </c>
      <c r="G44">
        <v>-2698.4609305599993</v>
      </c>
      <c r="H44">
        <f t="shared" si="17"/>
        <v>62.661424529735385</v>
      </c>
    </row>
    <row r="45" spans="1:15" x14ac:dyDescent="0.2">
      <c r="D45">
        <v>-1906.5975879439998</v>
      </c>
      <c r="E45">
        <v>-2064.589209536</v>
      </c>
      <c r="F45" cm="1">
        <f t="array" ref="F45:G45">LINEST(D45:E45,$D$38:$E$38)</f>
        <v>0.52663873864000088</v>
      </c>
      <c r="G45">
        <v>-2696.5556959040009</v>
      </c>
      <c r="H45">
        <f t="shared" si="17"/>
        <v>63.50765514390396</v>
      </c>
    </row>
    <row r="46" spans="1:15" x14ac:dyDescent="0.2">
      <c r="D46">
        <v>-1895.3940151999998</v>
      </c>
      <c r="E46">
        <v>-2049.6194218639998</v>
      </c>
      <c r="F46" cm="1">
        <f t="array" ref="F46:G46">LINEST(D46:E46,$D$38:$E$38)</f>
        <v>0.51408468888000025</v>
      </c>
      <c r="G46">
        <v>-2666.5210485200005</v>
      </c>
      <c r="H46">
        <f t="shared" si="17"/>
        <v>61.993755378618118</v>
      </c>
    </row>
    <row r="47" spans="1:15" x14ac:dyDescent="0.2">
      <c r="D47">
        <v>-1883.8450610719999</v>
      </c>
      <c r="E47">
        <v>-2036.3362842479999</v>
      </c>
      <c r="F47" cm="1">
        <f t="array" ref="F47:G47">LINEST(D47:E47,$D$38:$E$38)</f>
        <v>0.50830407725333326</v>
      </c>
      <c r="G47">
        <v>-2646.3011769519999</v>
      </c>
      <c r="H47">
        <f t="shared" si="17"/>
        <v>61.296668243221951</v>
      </c>
    </row>
    <row r="48" spans="1:15" x14ac:dyDescent="0.2">
      <c r="D48">
        <v>-1871.2681043199998</v>
      </c>
      <c r="E48">
        <v>-2023.7396210719999</v>
      </c>
      <c r="F48" cm="1">
        <f t="array" ref="F48:G48">LINEST(D48:E48,$D$38:$E$38)</f>
        <v>0.50823838917333353</v>
      </c>
      <c r="G48">
        <v>-2633.6256880800001</v>
      </c>
      <c r="H48">
        <f t="shared" si="17"/>
        <v>61.288746881526329</v>
      </c>
    </row>
    <row r="49" spans="4:8" x14ac:dyDescent="0.2">
      <c r="D49">
        <v>-1857.868151504</v>
      </c>
      <c r="E49">
        <v>-2009.4755083599998</v>
      </c>
      <c r="F49" cm="1">
        <f t="array" ref="F49:G49">LINEST(D49:E49,$D$38:$E$38)</f>
        <v>0.50535785618666595</v>
      </c>
      <c r="G49">
        <v>-2615.904935783999</v>
      </c>
      <c r="H49">
        <f>F49/SUM(I34:K34)*(1.602E-19)*(6.022E+23)</f>
        <v>60.94138182437095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C750-2E3F-9A43-8539-5D3AEEAEEB7D}">
  <dimension ref="A2:O57"/>
  <sheetViews>
    <sheetView topLeftCell="B1" workbookViewId="0">
      <selection activeCell="J45" sqref="J45"/>
    </sheetView>
  </sheetViews>
  <sheetFormatPr baseColWidth="10" defaultRowHeight="16" x14ac:dyDescent="0.2"/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B3" t="s">
        <v>57</v>
      </c>
      <c r="D3" t="s">
        <v>56</v>
      </c>
      <c r="I3" t="s">
        <v>10</v>
      </c>
      <c r="J3" t="s">
        <v>11</v>
      </c>
      <c r="K3" t="s">
        <v>12</v>
      </c>
      <c r="L3" t="s">
        <v>13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0.8</v>
      </c>
      <c r="B8">
        <f>J8/SUM(I8:K8)</f>
        <v>0.1</v>
      </c>
      <c r="C8">
        <f>K8/SUM(I8:K8)</f>
        <v>0.1</v>
      </c>
      <c r="D8">
        <v>200000</v>
      </c>
      <c r="E8">
        <v>1500.64</v>
      </c>
      <c r="F8">
        <v>-3707.58</v>
      </c>
      <c r="G8">
        <v>45476.5</v>
      </c>
      <c r="H8">
        <v>13.932</v>
      </c>
      <c r="I8">
        <v>640</v>
      </c>
      <c r="J8">
        <v>80</v>
      </c>
      <c r="K8">
        <v>80</v>
      </c>
      <c r="L8">
        <v>800</v>
      </c>
      <c r="M8">
        <f t="shared" ref="M8" si="0">I8*I$2+J8*J$2+K8*K$2+L8*L$2</f>
        <v>37768.639999999999</v>
      </c>
      <c r="N8">
        <f t="shared" ref="N8" si="1">M8*(1.66054E-24)/(G8)/(1E-24)</f>
        <v>1.3790933221685926</v>
      </c>
      <c r="O8">
        <f t="shared" ref="O8" si="2">F8+SUM(I8:L8)*1.5*(0.000086173)*E8</f>
        <v>-3397.2248382719999</v>
      </c>
    </row>
    <row r="9" spans="1:15" x14ac:dyDescent="0.2">
      <c r="A9">
        <f t="shared" ref="A9:A19" si="3">I9/SUM(I9:K9)</f>
        <v>0.6</v>
      </c>
      <c r="B9">
        <f t="shared" ref="B9:B19" si="4">J9/SUM(I9:K9)</f>
        <v>0.2</v>
      </c>
      <c r="C9">
        <f>K9/SUM(I9:K9)</f>
        <v>0.2</v>
      </c>
      <c r="D9">
        <v>200000</v>
      </c>
      <c r="E9" s="4">
        <v>1498.39</v>
      </c>
      <c r="F9">
        <v>-3345.85</v>
      </c>
      <c r="G9">
        <v>49539.4</v>
      </c>
      <c r="H9">
        <v>3.15985</v>
      </c>
      <c r="I9">
        <v>480</v>
      </c>
      <c r="J9">
        <v>160</v>
      </c>
      <c r="K9">
        <v>160</v>
      </c>
      <c r="L9">
        <v>800</v>
      </c>
      <c r="M9">
        <f>I9*I$2+J9*J$2+K9*K$2+L9*L$2</f>
        <v>41625.280000000006</v>
      </c>
      <c r="N9">
        <f>M9*(1.66054E-24)/(G9)/(1E-24)</f>
        <v>1.3952620025918767</v>
      </c>
      <c r="O9">
        <f t="shared" ref="O9:O18" si="5">F9+SUM(I9:L9)*1.5*(0.000086173)*E9</f>
        <v>-3035.9601724720001</v>
      </c>
    </row>
    <row r="10" spans="1:15" x14ac:dyDescent="0.2">
      <c r="A10">
        <f t="shared" si="3"/>
        <v>0.4</v>
      </c>
      <c r="B10">
        <f t="shared" si="4"/>
        <v>0.3</v>
      </c>
      <c r="C10">
        <f t="shared" ref="C10:C19" si="6">K10/SUM(I10:K10)</f>
        <v>0.3</v>
      </c>
      <c r="D10">
        <v>200000</v>
      </c>
      <c r="E10">
        <v>1499.82</v>
      </c>
      <c r="F10">
        <v>-2979.25</v>
      </c>
      <c r="G10">
        <v>53835.199999999997</v>
      </c>
      <c r="H10">
        <v>-2.2502</v>
      </c>
      <c r="I10">
        <v>320</v>
      </c>
      <c r="J10">
        <v>240</v>
      </c>
      <c r="K10">
        <v>240</v>
      </c>
      <c r="L10">
        <v>800</v>
      </c>
      <c r="M10">
        <f t="shared" ref="M10:M18" si="7">I10*I$2+J10*J$2+K10*K$2+L10*L$2</f>
        <v>45481.919999999998</v>
      </c>
      <c r="N10">
        <f t="shared" ref="N10:N18" si="8">M10*(1.66054E-24)/(G10)/(1E-24)</f>
        <v>1.4028841248253932</v>
      </c>
      <c r="O10">
        <f t="shared" si="5"/>
        <v>-2669.0644267359999</v>
      </c>
    </row>
    <row r="11" spans="1:15" x14ac:dyDescent="0.2">
      <c r="A11">
        <f t="shared" si="3"/>
        <v>0.2</v>
      </c>
      <c r="B11">
        <f t="shared" si="4"/>
        <v>0.4</v>
      </c>
      <c r="C11">
        <f t="shared" si="6"/>
        <v>0.4</v>
      </c>
      <c r="D11">
        <v>200000</v>
      </c>
      <c r="E11">
        <v>1499.78</v>
      </c>
      <c r="F11">
        <v>-2606.62</v>
      </c>
      <c r="G11">
        <v>58087.5</v>
      </c>
      <c r="H11">
        <v>4.2971599999999999E-2</v>
      </c>
      <c r="I11">
        <v>160</v>
      </c>
      <c r="J11">
        <v>320</v>
      </c>
      <c r="K11">
        <v>320</v>
      </c>
      <c r="L11">
        <v>800</v>
      </c>
      <c r="M11">
        <f t="shared" si="7"/>
        <v>49338.559999999998</v>
      </c>
      <c r="N11">
        <f t="shared" si="8"/>
        <v>1.4104351611344952</v>
      </c>
      <c r="O11">
        <f t="shared" si="5"/>
        <v>-2296.4426993439997</v>
      </c>
    </row>
    <row r="12" spans="1:15" x14ac:dyDescent="0.2">
      <c r="A12">
        <f t="shared" si="3"/>
        <v>0.1</v>
      </c>
      <c r="B12">
        <f t="shared" si="4"/>
        <v>0.8</v>
      </c>
      <c r="C12">
        <f t="shared" si="6"/>
        <v>0.1</v>
      </c>
      <c r="D12">
        <v>200000</v>
      </c>
      <c r="E12">
        <v>1499.86</v>
      </c>
      <c r="F12">
        <v>-2456.85</v>
      </c>
      <c r="G12">
        <v>67224.600000000006</v>
      </c>
      <c r="H12">
        <v>0.399563</v>
      </c>
      <c r="I12">
        <v>80</v>
      </c>
      <c r="J12">
        <v>640</v>
      </c>
      <c r="K12">
        <v>80</v>
      </c>
      <c r="L12">
        <v>800</v>
      </c>
      <c r="M12">
        <f t="shared" si="7"/>
        <v>55777.12000000001</v>
      </c>
      <c r="N12">
        <f t="shared" si="8"/>
        <v>1.3777715128807015</v>
      </c>
      <c r="O12">
        <f t="shared" si="5"/>
        <v>-2146.6561541279998</v>
      </c>
    </row>
    <row r="13" spans="1:15" x14ac:dyDescent="0.2">
      <c r="A13">
        <f t="shared" si="3"/>
        <v>0.2</v>
      </c>
      <c r="B13">
        <f t="shared" si="4"/>
        <v>0.6</v>
      </c>
      <c r="C13">
        <f t="shared" si="6"/>
        <v>0.2</v>
      </c>
      <c r="D13">
        <v>200000</v>
      </c>
      <c r="E13" s="3">
        <v>1500.4</v>
      </c>
      <c r="F13">
        <v>-2629.18</v>
      </c>
      <c r="G13" s="3">
        <v>62130.9</v>
      </c>
      <c r="H13" s="3">
        <v>1.03284</v>
      </c>
      <c r="I13">
        <v>160</v>
      </c>
      <c r="J13">
        <v>480</v>
      </c>
      <c r="K13">
        <v>160</v>
      </c>
      <c r="L13">
        <v>800</v>
      </c>
      <c r="M13">
        <f t="shared" si="7"/>
        <v>51915.840000000011</v>
      </c>
      <c r="N13">
        <f t="shared" si="8"/>
        <v>1.3875274453387931</v>
      </c>
      <c r="O13">
        <f t="shared" si="5"/>
        <v>-2318.8744739199997</v>
      </c>
    </row>
    <row r="14" spans="1:15" x14ac:dyDescent="0.2">
      <c r="A14">
        <f t="shared" ref="A14" si="9">I14/SUM(I14:K14)</f>
        <v>0.3</v>
      </c>
      <c r="B14">
        <f t="shared" ref="B14" si="10">J14/SUM(I14:K14)</f>
        <v>0.4</v>
      </c>
      <c r="C14">
        <f t="shared" ref="C14" si="11">K14/SUM(I14:K14)</f>
        <v>0.3</v>
      </c>
      <c r="D14">
        <v>200000</v>
      </c>
      <c r="E14" s="3">
        <v>1501.15</v>
      </c>
      <c r="F14">
        <v>-2798.88</v>
      </c>
      <c r="G14" s="3">
        <v>56956.1</v>
      </c>
      <c r="H14" s="3">
        <v>3.1358700000000002</v>
      </c>
      <c r="I14">
        <v>240</v>
      </c>
      <c r="J14">
        <v>320</v>
      </c>
      <c r="K14">
        <v>240</v>
      </c>
      <c r="L14">
        <v>800</v>
      </c>
      <c r="M14">
        <f t="shared" ref="M14" si="12">I14*I$2+J14*J$2+K14*K$2+L14*L$2</f>
        <v>48054.560000000005</v>
      </c>
      <c r="N14">
        <f t="shared" ref="N14" si="13">M14*(1.66054E-24)/(G14)/(1E-24)</f>
        <v>1.40101796054154</v>
      </c>
      <c r="O14" s="3">
        <f>F14+SUM(I14:L14)*1.5*(0.000086173)*E14</f>
        <v>-2488.41936252</v>
      </c>
    </row>
    <row r="15" spans="1:15" x14ac:dyDescent="0.2">
      <c r="A15">
        <f t="shared" si="3"/>
        <v>0.4</v>
      </c>
      <c r="B15">
        <f t="shared" si="4"/>
        <v>0.2</v>
      </c>
      <c r="C15">
        <f t="shared" si="6"/>
        <v>0.4</v>
      </c>
      <c r="D15">
        <v>200000</v>
      </c>
      <c r="E15">
        <v>1500.61</v>
      </c>
      <c r="F15">
        <v>-2963.53</v>
      </c>
      <c r="G15">
        <v>52039.5</v>
      </c>
      <c r="H15">
        <v>8.5515000000000008</v>
      </c>
      <c r="I15">
        <v>320</v>
      </c>
      <c r="J15">
        <v>160</v>
      </c>
      <c r="K15">
        <v>320</v>
      </c>
      <c r="L15">
        <v>800</v>
      </c>
      <c r="M15">
        <f t="shared" si="7"/>
        <v>44193.279999999999</v>
      </c>
      <c r="N15">
        <f t="shared" si="8"/>
        <v>1.4101732178671971</v>
      </c>
      <c r="O15">
        <f t="shared" si="5"/>
        <v>-2653.1810427280002</v>
      </c>
    </row>
    <row r="16" spans="1:15" x14ac:dyDescent="0.2">
      <c r="A16">
        <f t="shared" si="3"/>
        <v>0.1</v>
      </c>
      <c r="B16">
        <f>J16/SUM(I16:K16)</f>
        <v>0.1</v>
      </c>
      <c r="C16">
        <f t="shared" si="6"/>
        <v>0.8</v>
      </c>
      <c r="D16">
        <v>200000</v>
      </c>
      <c r="E16">
        <v>1501.09</v>
      </c>
      <c r="F16">
        <v>-2373.9299999999998</v>
      </c>
      <c r="G16">
        <v>53625</v>
      </c>
      <c r="H16">
        <v>0.69751300000000005</v>
      </c>
      <c r="I16">
        <v>80</v>
      </c>
      <c r="J16">
        <v>80</v>
      </c>
      <c r="K16">
        <v>640</v>
      </c>
      <c r="L16">
        <v>800</v>
      </c>
      <c r="M16">
        <f t="shared" si="7"/>
        <v>46756.639999999999</v>
      </c>
      <c r="N16">
        <f t="shared" si="8"/>
        <v>1.447855869195338</v>
      </c>
      <c r="O16">
        <f t="shared" si="5"/>
        <v>-2063.4817714319997</v>
      </c>
    </row>
    <row r="17" spans="1:15" x14ac:dyDescent="0.2">
      <c r="A17">
        <f t="shared" si="3"/>
        <v>0.2</v>
      </c>
      <c r="B17">
        <f t="shared" si="4"/>
        <v>0.2</v>
      </c>
      <c r="C17">
        <f t="shared" si="6"/>
        <v>0.6</v>
      </c>
      <c r="D17">
        <v>200000</v>
      </c>
      <c r="E17">
        <v>1499.34</v>
      </c>
      <c r="F17">
        <v>-2579.84</v>
      </c>
      <c r="G17">
        <v>54386</v>
      </c>
      <c r="H17">
        <v>3.8522799999999999</v>
      </c>
      <c r="I17">
        <v>160</v>
      </c>
      <c r="J17">
        <v>160</v>
      </c>
      <c r="K17">
        <v>480</v>
      </c>
      <c r="L17">
        <v>800</v>
      </c>
      <c r="M17">
        <f t="shared" si="7"/>
        <v>46761.279999999999</v>
      </c>
      <c r="N17">
        <f t="shared" si="8"/>
        <v>1.4277383130070238</v>
      </c>
      <c r="O17">
        <f t="shared" si="5"/>
        <v>-2269.7536980320001</v>
      </c>
    </row>
    <row r="18" spans="1:15" x14ac:dyDescent="0.2">
      <c r="A18">
        <f t="shared" si="3"/>
        <v>0.3</v>
      </c>
      <c r="B18">
        <f t="shared" si="4"/>
        <v>0.3</v>
      </c>
      <c r="C18">
        <f t="shared" si="6"/>
        <v>0.4</v>
      </c>
      <c r="D18">
        <v>200000</v>
      </c>
      <c r="E18">
        <v>1500.49</v>
      </c>
      <c r="F18">
        <v>-2785.74</v>
      </c>
      <c r="G18">
        <v>55064.5</v>
      </c>
      <c r="H18">
        <v>5.7401299999999997</v>
      </c>
      <c r="I18">
        <v>240</v>
      </c>
      <c r="J18">
        <v>240</v>
      </c>
      <c r="K18">
        <v>320</v>
      </c>
      <c r="L18">
        <v>800</v>
      </c>
      <c r="M18">
        <f t="shared" si="7"/>
        <v>46765.919999999998</v>
      </c>
      <c r="N18">
        <f t="shared" si="8"/>
        <v>1.4102857702657792</v>
      </c>
      <c r="O18">
        <f t="shared" si="5"/>
        <v>-2475.4158605519997</v>
      </c>
    </row>
    <row r="19" spans="1:15" x14ac:dyDescent="0.2">
      <c r="A19">
        <f t="shared" si="3"/>
        <v>0.4</v>
      </c>
      <c r="B19">
        <f t="shared" si="4"/>
        <v>0.4</v>
      </c>
      <c r="C19">
        <f t="shared" si="6"/>
        <v>0.2</v>
      </c>
      <c r="D19">
        <v>200000</v>
      </c>
      <c r="E19">
        <v>1501.61</v>
      </c>
      <c r="F19">
        <v>-2991.47</v>
      </c>
      <c r="G19">
        <v>55774</v>
      </c>
      <c r="H19">
        <v>2.25021</v>
      </c>
      <c r="I19">
        <v>320</v>
      </c>
      <c r="J19">
        <v>320</v>
      </c>
      <c r="K19">
        <v>160</v>
      </c>
      <c r="L19">
        <v>800</v>
      </c>
      <c r="M19">
        <f>I19*I$2+J19*J$2+K19*K$2+L19*L$2</f>
        <v>46770.559999999998</v>
      </c>
      <c r="N19">
        <f>M19*(1.66054E-24)/(G19)/(1E-24)</f>
        <v>1.3924836967475884</v>
      </c>
      <c r="O19">
        <f>F19+SUM(I19:L19)*1.5*(0.000086173)*E19</f>
        <v>-2680.9142275279996</v>
      </c>
    </row>
    <row r="20" spans="1:15" x14ac:dyDescent="0.2">
      <c r="A20">
        <f t="shared" ref="A20" si="14">I20/SUM(I20:K20)</f>
        <v>0.33250000000000002</v>
      </c>
      <c r="B20">
        <f t="shared" ref="B20" si="15">J20/SUM(I20:K20)</f>
        <v>0.33250000000000002</v>
      </c>
      <c r="C20">
        <f t="shared" ref="C20" si="16">K20/SUM(I20:K20)</f>
        <v>0.33500000000000002</v>
      </c>
      <c r="D20">
        <v>200000</v>
      </c>
      <c r="E20">
        <v>1500.55</v>
      </c>
      <c r="F20">
        <v>-2853.14</v>
      </c>
      <c r="G20">
        <v>55259</v>
      </c>
      <c r="H20">
        <v>7.7256499999999999</v>
      </c>
      <c r="I20">
        <v>266</v>
      </c>
      <c r="J20">
        <v>266</v>
      </c>
      <c r="K20">
        <v>268</v>
      </c>
      <c r="L20">
        <v>800</v>
      </c>
      <c r="M20">
        <f>I20*I$2+J20*J$2+K20*K$2+L20*L$2</f>
        <v>46767.428</v>
      </c>
      <c r="N20">
        <f>M20*(1.66054E-24)/(G20)/(1E-24)</f>
        <v>1.4053671780365189</v>
      </c>
      <c r="O20">
        <f>F20+SUM(I20:L20)*1.5*(0.000086173)*E20</f>
        <v>-2542.8034516399998</v>
      </c>
    </row>
    <row r="22" spans="1:15" x14ac:dyDescent="0.2">
      <c r="B22" t="s">
        <v>58</v>
      </c>
    </row>
    <row r="24" spans="1:15" x14ac:dyDescent="0.2">
      <c r="A24" t="s">
        <v>49</v>
      </c>
      <c r="B24" t="s">
        <v>41</v>
      </c>
      <c r="C24" t="s">
        <v>48</v>
      </c>
      <c r="D24" t="s">
        <v>1</v>
      </c>
      <c r="E24" t="s">
        <v>2</v>
      </c>
      <c r="F24" t="s">
        <v>3</v>
      </c>
      <c r="G24" t="s">
        <v>4</v>
      </c>
      <c r="H24" t="s">
        <v>5</v>
      </c>
      <c r="I24" t="s">
        <v>6</v>
      </c>
      <c r="J24" t="s">
        <v>7</v>
      </c>
      <c r="K24" t="s">
        <v>8</v>
      </c>
      <c r="L24" t="s">
        <v>9</v>
      </c>
      <c r="M24" t="s">
        <v>15</v>
      </c>
      <c r="N24" t="s">
        <v>16</v>
      </c>
      <c r="O24" t="s">
        <v>21</v>
      </c>
    </row>
    <row r="27" spans="1:15" x14ac:dyDescent="0.2">
      <c r="A27">
        <f>I27/SUM(I27:K27)</f>
        <v>0.8</v>
      </c>
      <c r="B27">
        <f>J27/SUM(I27:K27)</f>
        <v>0.1</v>
      </c>
      <c r="C27">
        <f>K27/SUM(I27:K27)</f>
        <v>0.1</v>
      </c>
      <c r="D27">
        <v>200000</v>
      </c>
      <c r="E27">
        <v>1199.71</v>
      </c>
      <c r="F27">
        <v>-3791.59</v>
      </c>
      <c r="G27">
        <v>42589.7</v>
      </c>
      <c r="H27">
        <v>3.3506300000000002</v>
      </c>
      <c r="I27">
        <v>640</v>
      </c>
      <c r="J27">
        <v>80</v>
      </c>
      <c r="K27">
        <v>80</v>
      </c>
      <c r="L27">
        <v>800</v>
      </c>
      <c r="M27">
        <f t="shared" ref="M27" si="17">I27*I$2+J27*J$2+K27*K$2+L27*L$2</f>
        <v>37768.639999999999</v>
      </c>
      <c r="N27">
        <f t="shared" ref="N27" si="18">M27*(1.66054E-24)/(G27)/(1E-24)</f>
        <v>1.472570538548053</v>
      </c>
      <c r="O27">
        <f t="shared" ref="O27" si="19">F27+SUM(I27:L27)*1.5*(0.000086173)*E27</f>
        <v>-3543.4717364080002</v>
      </c>
    </row>
    <row r="28" spans="1:15" x14ac:dyDescent="0.2">
      <c r="A28">
        <f t="shared" ref="A28:A32" si="20">I28/SUM(I28:K28)</f>
        <v>0.6</v>
      </c>
      <c r="B28">
        <f t="shared" ref="B28:B32" si="21">J28/SUM(I28:K28)</f>
        <v>0.2</v>
      </c>
      <c r="C28">
        <f>K28/SUM(I28:K28)</f>
        <v>0.2</v>
      </c>
      <c r="D28">
        <v>200000</v>
      </c>
      <c r="E28" s="4">
        <v>1201</v>
      </c>
      <c r="F28">
        <v>-3433.86</v>
      </c>
      <c r="G28">
        <v>46251.1</v>
      </c>
      <c r="H28">
        <v>3.9040599999999999</v>
      </c>
      <c r="I28">
        <v>480</v>
      </c>
      <c r="J28">
        <v>160</v>
      </c>
      <c r="K28">
        <v>160</v>
      </c>
      <c r="L28">
        <v>800</v>
      </c>
      <c r="M28">
        <f>I28*I$2+J28*J$2+K28*K$2+L28*L$2</f>
        <v>41625.280000000006</v>
      </c>
      <c r="N28">
        <f>M28*(1.66054E-24)/(G28)/(1E-24)</f>
        <v>1.4944605090732981</v>
      </c>
      <c r="O28">
        <f t="shared" ref="O28:O32" si="22">F28+SUM(I28:L28)*1.5*(0.000086173)*E28</f>
        <v>-3185.4749448000002</v>
      </c>
    </row>
    <row r="29" spans="1:15" x14ac:dyDescent="0.2">
      <c r="A29">
        <f t="shared" si="20"/>
        <v>0.4</v>
      </c>
      <c r="B29">
        <f t="shared" si="21"/>
        <v>0.3</v>
      </c>
      <c r="C29">
        <f t="shared" ref="C29:C32" si="23">K29/SUM(I29:K29)</f>
        <v>0.3</v>
      </c>
      <c r="D29">
        <v>200000</v>
      </c>
      <c r="E29">
        <v>1200.1099999999999</v>
      </c>
      <c r="F29">
        <v>-3069.05</v>
      </c>
      <c r="G29">
        <v>50086.9</v>
      </c>
      <c r="H29">
        <v>9.4287299999999998</v>
      </c>
      <c r="I29">
        <v>320</v>
      </c>
      <c r="J29">
        <v>240</v>
      </c>
      <c r="K29">
        <v>240</v>
      </c>
      <c r="L29">
        <v>800</v>
      </c>
      <c r="M29">
        <f t="shared" ref="M29:M37" si="24">I29*I$2+J29*J$2+K29*K$2+L29*L$2</f>
        <v>45481.919999999998</v>
      </c>
      <c r="N29">
        <f t="shared" ref="N29:N37" si="25">M29*(1.66054E-24)/(G29)/(1E-24)</f>
        <v>1.5078702702063813</v>
      </c>
      <c r="O29">
        <f t="shared" si="22"/>
        <v>-2820.8490103280001</v>
      </c>
    </row>
    <row r="30" spans="1:15" x14ac:dyDescent="0.2">
      <c r="A30">
        <f t="shared" si="20"/>
        <v>0.2</v>
      </c>
      <c r="B30">
        <f t="shared" si="21"/>
        <v>0.4</v>
      </c>
      <c r="C30">
        <f t="shared" si="23"/>
        <v>0.4</v>
      </c>
      <c r="D30">
        <v>200000</v>
      </c>
      <c r="E30">
        <v>1200.69</v>
      </c>
      <c r="F30">
        <v>-2698.21</v>
      </c>
      <c r="G30">
        <v>53982.400000000001</v>
      </c>
      <c r="H30">
        <v>4.74587</v>
      </c>
      <c r="I30">
        <v>160</v>
      </c>
      <c r="J30">
        <v>320</v>
      </c>
      <c r="K30">
        <v>320</v>
      </c>
      <c r="L30">
        <v>800</v>
      </c>
      <c r="M30">
        <f t="shared" si="24"/>
        <v>49338.559999999998</v>
      </c>
      <c r="N30">
        <f t="shared" si="25"/>
        <v>1.5176919222265033</v>
      </c>
      <c r="O30">
        <f>F30+SUM(I30:L30)*1.5*(0.000086173)*E30</f>
        <v>-2449.8890575119999</v>
      </c>
    </row>
    <row r="31" spans="1:15" x14ac:dyDescent="0.2">
      <c r="A31">
        <f t="shared" si="20"/>
        <v>0.1</v>
      </c>
      <c r="B31">
        <f t="shared" si="21"/>
        <v>0.8</v>
      </c>
      <c r="C31">
        <f t="shared" si="23"/>
        <v>0.1</v>
      </c>
      <c r="D31">
        <v>200000</v>
      </c>
      <c r="E31">
        <v>1199.73</v>
      </c>
      <c r="F31">
        <v>-2554.9</v>
      </c>
      <c r="G31">
        <v>61864.1</v>
      </c>
      <c r="H31">
        <v>-1.8698699999999999</v>
      </c>
      <c r="I31">
        <v>80</v>
      </c>
      <c r="J31">
        <v>640</v>
      </c>
      <c r="K31">
        <v>80</v>
      </c>
      <c r="L31">
        <v>800</v>
      </c>
      <c r="M31">
        <f t="shared" si="24"/>
        <v>55777.12000000001</v>
      </c>
      <c r="N31">
        <f t="shared" si="25"/>
        <v>1.4971548740675129</v>
      </c>
      <c r="O31">
        <f t="shared" si="22"/>
        <v>-2306.7776001040002</v>
      </c>
    </row>
    <row r="32" spans="1:15" x14ac:dyDescent="0.2">
      <c r="A32">
        <f t="shared" si="20"/>
        <v>0.2</v>
      </c>
      <c r="B32">
        <f t="shared" si="21"/>
        <v>0.6</v>
      </c>
      <c r="C32">
        <f t="shared" si="23"/>
        <v>0.2</v>
      </c>
      <c r="D32">
        <v>200000</v>
      </c>
      <c r="E32" s="3">
        <v>1200.24</v>
      </c>
      <c r="F32">
        <v>-2725.38</v>
      </c>
      <c r="G32" s="3">
        <v>57305.4</v>
      </c>
      <c r="H32" s="3">
        <v>7.0114999999999998</v>
      </c>
      <c r="I32">
        <v>160</v>
      </c>
      <c r="J32">
        <v>480</v>
      </c>
      <c r="K32">
        <v>160</v>
      </c>
      <c r="L32">
        <v>800</v>
      </c>
      <c r="M32">
        <f t="shared" si="24"/>
        <v>51915.840000000011</v>
      </c>
      <c r="N32">
        <f t="shared" si="25"/>
        <v>1.5043665859343101</v>
      </c>
      <c r="O32">
        <f t="shared" si="22"/>
        <v>-2477.1521243520001</v>
      </c>
    </row>
    <row r="33" spans="1:15" x14ac:dyDescent="0.2">
      <c r="A33">
        <f t="shared" ref="A33" si="26">I33/SUM(I33:K33)</f>
        <v>0.3</v>
      </c>
      <c r="B33">
        <f t="shared" ref="B33" si="27">J33/SUM(I33:K33)</f>
        <v>0.4</v>
      </c>
      <c r="C33">
        <f t="shared" ref="C33" si="28">K33/SUM(I33:K33)</f>
        <v>0.3</v>
      </c>
      <c r="D33">
        <v>200000</v>
      </c>
      <c r="E33" s="3">
        <v>1200.07</v>
      </c>
      <c r="F33">
        <v>-2891.72</v>
      </c>
      <c r="G33" s="3">
        <v>52825.4</v>
      </c>
      <c r="H33" s="3">
        <v>5.8362699999999998</v>
      </c>
      <c r="I33">
        <v>240</v>
      </c>
      <c r="J33">
        <v>320</v>
      </c>
      <c r="K33">
        <v>240</v>
      </c>
      <c r="L33">
        <v>800</v>
      </c>
      <c r="M33">
        <f t="shared" si="24"/>
        <v>48054.560000000005</v>
      </c>
      <c r="N33">
        <f t="shared" si="25"/>
        <v>1.5105710332983755</v>
      </c>
      <c r="O33" s="3">
        <f>F33+SUM(I33:L33)*1.5*(0.000086173)*E33</f>
        <v>-2643.5272829359997</v>
      </c>
    </row>
    <row r="34" spans="1:15" x14ac:dyDescent="0.2">
      <c r="A34">
        <f t="shared" ref="A34:A38" si="29">I34/SUM(I34:K34)</f>
        <v>0.4</v>
      </c>
      <c r="B34">
        <f t="shared" ref="B34" si="30">J34/SUM(I34:K34)</f>
        <v>0.2</v>
      </c>
      <c r="C34">
        <f t="shared" ref="C34:C38" si="31">K34/SUM(I34:K34)</f>
        <v>0.4</v>
      </c>
      <c r="D34">
        <v>200000</v>
      </c>
      <c r="E34">
        <v>1199.33</v>
      </c>
      <c r="F34">
        <v>-3053.71</v>
      </c>
      <c r="G34">
        <v>48417.9</v>
      </c>
      <c r="H34">
        <v>0.19244</v>
      </c>
      <c r="I34">
        <v>320</v>
      </c>
      <c r="J34">
        <v>160</v>
      </c>
      <c r="K34">
        <v>320</v>
      </c>
      <c r="L34">
        <v>800</v>
      </c>
      <c r="M34">
        <f t="shared" si="24"/>
        <v>44193.279999999999</v>
      </c>
      <c r="N34">
        <f t="shared" si="25"/>
        <v>1.5156524585163751</v>
      </c>
      <c r="O34">
        <f t="shared" ref="O34:O37" si="32">F34+SUM(I34:L34)*1.5*(0.000086173)*E34</f>
        <v>-2805.6703261840003</v>
      </c>
    </row>
    <row r="35" spans="1:15" x14ac:dyDescent="0.2">
      <c r="A35">
        <f t="shared" si="29"/>
        <v>0.1</v>
      </c>
      <c r="B35">
        <f>J35/SUM(I35:K35)</f>
        <v>0.1</v>
      </c>
      <c r="C35">
        <f t="shared" si="31"/>
        <v>0.8</v>
      </c>
      <c r="D35">
        <v>200000</v>
      </c>
      <c r="E35">
        <v>1198.32</v>
      </c>
      <c r="F35">
        <v>-2465.21</v>
      </c>
      <c r="G35">
        <v>49847.9</v>
      </c>
      <c r="H35">
        <v>3.6890299999999998</v>
      </c>
      <c r="I35">
        <v>80</v>
      </c>
      <c r="J35">
        <v>80</v>
      </c>
      <c r="K35">
        <v>640</v>
      </c>
      <c r="L35">
        <v>800</v>
      </c>
      <c r="M35">
        <f t="shared" si="24"/>
        <v>46756.639999999999</v>
      </c>
      <c r="N35">
        <f t="shared" si="25"/>
        <v>1.5575635279640667</v>
      </c>
      <c r="O35">
        <f t="shared" si="32"/>
        <v>-2217.379209536</v>
      </c>
    </row>
    <row r="36" spans="1:15" x14ac:dyDescent="0.2">
      <c r="A36">
        <f t="shared" si="29"/>
        <v>0.2</v>
      </c>
      <c r="B36">
        <f t="shared" ref="B36:B39" si="33">J36/SUM(I36:K36)</f>
        <v>0.2</v>
      </c>
      <c r="C36">
        <f t="shared" si="31"/>
        <v>0.6</v>
      </c>
      <c r="D36">
        <v>200000</v>
      </c>
      <c r="E36">
        <v>1200.76</v>
      </c>
      <c r="F36">
        <v>-2670.35</v>
      </c>
      <c r="G36">
        <v>50588.9</v>
      </c>
      <c r="H36">
        <v>5.1073000000000004</v>
      </c>
      <c r="I36">
        <v>160</v>
      </c>
      <c r="J36">
        <v>160</v>
      </c>
      <c r="K36">
        <v>480</v>
      </c>
      <c r="L36">
        <v>800</v>
      </c>
      <c r="M36">
        <f t="shared" si="24"/>
        <v>46761.279999999999</v>
      </c>
      <c r="N36">
        <f t="shared" si="25"/>
        <v>1.534901448562827</v>
      </c>
      <c r="O36">
        <f t="shared" si="32"/>
        <v>-2422.0145804479998</v>
      </c>
    </row>
    <row r="37" spans="1:15" x14ac:dyDescent="0.2">
      <c r="A37">
        <f t="shared" si="29"/>
        <v>0.3</v>
      </c>
      <c r="B37">
        <f t="shared" si="33"/>
        <v>0.3</v>
      </c>
      <c r="C37">
        <f t="shared" si="31"/>
        <v>0.4</v>
      </c>
      <c r="D37">
        <v>200000</v>
      </c>
      <c r="E37">
        <v>1201.07</v>
      </c>
      <c r="F37">
        <v>-2876.41</v>
      </c>
      <c r="G37">
        <v>51188.800000000003</v>
      </c>
      <c r="H37">
        <v>6.3861400000000001</v>
      </c>
      <c r="I37">
        <v>240</v>
      </c>
      <c r="J37">
        <v>240</v>
      </c>
      <c r="K37">
        <v>320</v>
      </c>
      <c r="L37">
        <v>800</v>
      </c>
      <c r="M37">
        <f t="shared" si="24"/>
        <v>46765.919999999998</v>
      </c>
      <c r="N37">
        <f t="shared" si="25"/>
        <v>1.5170639045416185</v>
      </c>
      <c r="O37">
        <f t="shared" si="32"/>
        <v>-2628.010467736</v>
      </c>
    </row>
    <row r="38" spans="1:15" x14ac:dyDescent="0.2">
      <c r="A38">
        <f t="shared" si="29"/>
        <v>0.4</v>
      </c>
      <c r="B38">
        <f t="shared" si="33"/>
        <v>0.4</v>
      </c>
      <c r="C38">
        <f t="shared" si="31"/>
        <v>0.2</v>
      </c>
      <c r="D38">
        <v>200000</v>
      </c>
      <c r="E38">
        <v>1198.93</v>
      </c>
      <c r="F38">
        <v>-3084.41</v>
      </c>
      <c r="G38">
        <v>51799.3</v>
      </c>
      <c r="H38">
        <v>2.0642200000000002</v>
      </c>
      <c r="I38">
        <v>320</v>
      </c>
      <c r="J38">
        <v>320</v>
      </c>
      <c r="K38">
        <v>160</v>
      </c>
      <c r="L38">
        <v>800</v>
      </c>
      <c r="M38">
        <f>I38*I$2+J38*J$2+K38*K$2+L38*L$2</f>
        <v>46770.559999999998</v>
      </c>
      <c r="N38">
        <f>M38*(1.66054E-24)/(G38)/(1E-24)</f>
        <v>1.4993327265503589</v>
      </c>
      <c r="O38">
        <f>F38+SUM(I38:L38)*1.5*(0.000086173)*E38</f>
        <v>-2836.4530522639998</v>
      </c>
    </row>
    <row r="39" spans="1:15" x14ac:dyDescent="0.2">
      <c r="A39">
        <f t="shared" ref="A39" si="34">I39/SUM(I39:K39)</f>
        <v>0.33500000000000002</v>
      </c>
      <c r="B39">
        <f t="shared" si="33"/>
        <v>0.33250000000000002</v>
      </c>
      <c r="C39">
        <f t="shared" ref="C39" si="35">K39/SUM(I39:K39)</f>
        <v>0.33250000000000002</v>
      </c>
      <c r="D39">
        <v>200000</v>
      </c>
      <c r="E39">
        <v>1199.51</v>
      </c>
      <c r="F39">
        <v>-2949.02</v>
      </c>
      <c r="G39">
        <v>51346</v>
      </c>
      <c r="H39">
        <v>12.090400000000001</v>
      </c>
      <c r="I39">
        <v>268</v>
      </c>
      <c r="J39">
        <v>266</v>
      </c>
      <c r="K39">
        <v>266</v>
      </c>
      <c r="L39">
        <v>800</v>
      </c>
      <c r="M39">
        <f>I39*I$2+J39*J$2+K39*K$2+L39*L$2</f>
        <v>46735.328000000001</v>
      </c>
      <c r="N39">
        <f>M39*(1.66054E-24)/(G39)/(1E-24)</f>
        <v>1.5114299372321114</v>
      </c>
      <c r="O39">
        <f>F39+SUM(I39:L39)*1.5*(0.000086173)*E39</f>
        <v>-2700.9430994479999</v>
      </c>
    </row>
    <row r="44" spans="1:15" x14ac:dyDescent="0.2">
      <c r="D44">
        <v>1500</v>
      </c>
      <c r="E44">
        <v>1200</v>
      </c>
      <c r="H44" t="s">
        <v>59</v>
      </c>
    </row>
    <row r="45" spans="1:15" x14ac:dyDescent="0.2">
      <c r="D45">
        <v>-3397.2248382719999</v>
      </c>
      <c r="E45">
        <v>-3543.4717364080002</v>
      </c>
      <c r="F45" cm="1">
        <f t="array" ref="F45:G45">LINEST(D45:E45,$D$44:$E$44)</f>
        <v>0.48748966045333419</v>
      </c>
      <c r="G45">
        <v>-4128.4593289520008</v>
      </c>
      <c r="H45">
        <f>F45/SUM(I27:K27)*(1.602E-19)*(6.022E+23)</f>
        <v>58.786646273380818</v>
      </c>
    </row>
    <row r="46" spans="1:15" x14ac:dyDescent="0.2">
      <c r="D46">
        <v>-3035.9601724720001</v>
      </c>
      <c r="E46">
        <v>-3185.4749448000002</v>
      </c>
      <c r="F46" cm="1">
        <f t="array" ref="F46:G46">LINEST(D46:E46,$D$44:$E$44)</f>
        <v>0.49838257442666717</v>
      </c>
      <c r="G46">
        <v>-3783.5340341120009</v>
      </c>
      <c r="H46">
        <f t="shared" ref="H46:H57" si="36">F46/SUM(I28:K28)*(1.602E-19)*(6.022E+23)</f>
        <v>60.100228760527727</v>
      </c>
    </row>
    <row r="47" spans="1:15" x14ac:dyDescent="0.2">
      <c r="D47">
        <v>-2669.0644267359999</v>
      </c>
      <c r="E47">
        <v>-2820.8490103280001</v>
      </c>
      <c r="F47" cm="1">
        <f t="array" ref="F47:G47">LINEST(D47:E47,$D$44:$E$44)</f>
        <v>0.50594861197333418</v>
      </c>
      <c r="G47">
        <v>-3427.9873446960014</v>
      </c>
      <c r="H47">
        <f t="shared" si="36"/>
        <v>61.012621389600952</v>
      </c>
    </row>
    <row r="48" spans="1:15" x14ac:dyDescent="0.2">
      <c r="D48">
        <v>-2296.4426993439997</v>
      </c>
      <c r="E48">
        <v>-2449.8890575119999</v>
      </c>
      <c r="F48" cm="1">
        <f t="array" ref="F48:G48">LINEST(D48:E48,$D$44:$E$44)</f>
        <v>0.51148786056000062</v>
      </c>
      <c r="G48">
        <v>-3063.6744901840007</v>
      </c>
      <c r="H48">
        <f t="shared" si="36"/>
        <v>61.680602423253788</v>
      </c>
    </row>
    <row r="49" spans="4:8" x14ac:dyDescent="0.2">
      <c r="D49">
        <v>-2146.6561541279998</v>
      </c>
      <c r="E49">
        <v>-2306.7776001040002</v>
      </c>
      <c r="F49" cm="1">
        <f t="array" ref="F49:G49">LINEST(D49:E49,$D$44:$E$44)</f>
        <v>0.53373815325333451</v>
      </c>
      <c r="G49">
        <v>-2947.2633840080016</v>
      </c>
      <c r="H49">
        <f t="shared" si="36"/>
        <v>64.363777456803888</v>
      </c>
    </row>
    <row r="50" spans="4:8" x14ac:dyDescent="0.2">
      <c r="D50">
        <v>-2318.8744739199997</v>
      </c>
      <c r="E50">
        <v>-2477.1521243520001</v>
      </c>
      <c r="F50" cm="1">
        <f t="array" ref="F50:G50">LINEST(D50:E50,$D$44:$E$44)</f>
        <v>0.52759216810666809</v>
      </c>
      <c r="G50">
        <v>-3110.2627260800018</v>
      </c>
      <c r="H50">
        <f t="shared" si="36"/>
        <v>63.622629727675559</v>
      </c>
    </row>
    <row r="51" spans="4:8" x14ac:dyDescent="0.2">
      <c r="D51">
        <v>-2488.41936252</v>
      </c>
      <c r="E51">
        <v>-2643.5272829359997</v>
      </c>
      <c r="F51" cm="1">
        <f t="array" ref="F51:G51">LINEST(D51:E51,$D$44:$E$44)</f>
        <v>0.51702640138666534</v>
      </c>
      <c r="G51">
        <v>-3263.9589645999981</v>
      </c>
      <c r="H51">
        <f t="shared" si="36"/>
        <v>62.348498107738735</v>
      </c>
    </row>
    <row r="52" spans="4:8" x14ac:dyDescent="0.2">
      <c r="D52">
        <v>-2653.1810427280002</v>
      </c>
      <c r="E52">
        <v>-2805.6703261840003</v>
      </c>
      <c r="F52" cm="1">
        <f t="array" ref="F52:G52">LINEST(D52:E52,$D$44:$E$44)</f>
        <v>0.50829761152000019</v>
      </c>
      <c r="G52">
        <v>-3415.6274600080005</v>
      </c>
      <c r="H52">
        <f t="shared" si="36"/>
        <v>61.295888536883162</v>
      </c>
    </row>
    <row r="53" spans="4:8" x14ac:dyDescent="0.2">
      <c r="D53">
        <v>-2063.4817714319997</v>
      </c>
      <c r="E53">
        <v>-2217.379209536</v>
      </c>
      <c r="F53" cm="1">
        <f t="array" ref="F53:G53">LINEST(D53:E53,$D$44:$E$44)</f>
        <v>0.51299146034666754</v>
      </c>
      <c r="G53">
        <v>-2832.9689619520013</v>
      </c>
      <c r="H53">
        <f t="shared" si="36"/>
        <v>61.861922348507832</v>
      </c>
    </row>
    <row r="54" spans="4:8" x14ac:dyDescent="0.2">
      <c r="D54">
        <v>-2269.7536980320001</v>
      </c>
      <c r="E54">
        <v>-2422.0145804479998</v>
      </c>
      <c r="F54" cm="1">
        <f t="array" ref="F54:G54">LINEST(D54:E54,$D$44:$E$44)</f>
        <v>0.50753627471999907</v>
      </c>
      <c r="G54">
        <v>-3031.0581101119988</v>
      </c>
      <c r="H54">
        <f t="shared" si="36"/>
        <v>61.204078513435789</v>
      </c>
    </row>
    <row r="55" spans="4:8" x14ac:dyDescent="0.2">
      <c r="D55">
        <v>-2475.4158605519997</v>
      </c>
      <c r="E55">
        <v>-2628.010467736</v>
      </c>
      <c r="F55" cm="1">
        <f t="array" ref="F55:G55">LINEST(D55:E55,$D$44:$E$44)</f>
        <v>0.5086486906133344</v>
      </c>
      <c r="G55">
        <v>-3238.3888964720018</v>
      </c>
      <c r="H55">
        <f t="shared" si="36"/>
        <v>61.338225357841829</v>
      </c>
    </row>
    <row r="56" spans="4:8" x14ac:dyDescent="0.2">
      <c r="D56">
        <v>-2680.9142275279996</v>
      </c>
      <c r="E56">
        <v>-2836.4530522639998</v>
      </c>
      <c r="F56" cm="1">
        <f t="array" ref="F56:G56">LINEST(D56:E56,$D$44:$E$44)</f>
        <v>0.51846274912000045</v>
      </c>
      <c r="G56">
        <v>-3458.6083512079999</v>
      </c>
      <c r="H56">
        <f t="shared" si="36"/>
        <v>62.521708070892878</v>
      </c>
    </row>
    <row r="57" spans="4:8" x14ac:dyDescent="0.2">
      <c r="D57">
        <v>-2542.8034516399998</v>
      </c>
      <c r="E57">
        <v>-2700.9430994479999</v>
      </c>
      <c r="F57" cm="1">
        <f t="array" ref="F57:G57">LINEST(D57:E57,$D$44:$E$44)</f>
        <v>0.52713215936000035</v>
      </c>
      <c r="G57">
        <v>-3333.5016906800001</v>
      </c>
      <c r="H57">
        <f t="shared" si="36"/>
        <v>63.567157019910084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97707-FB4B-3A4F-A1FA-D6D6126BC5E7}">
  <dimension ref="A1:O145"/>
  <sheetViews>
    <sheetView workbookViewId="0">
      <selection activeCell="H11" sqref="H11"/>
    </sheetView>
  </sheetViews>
  <sheetFormatPr baseColWidth="10" defaultRowHeight="16" x14ac:dyDescent="0.2"/>
  <sheetData>
    <row r="1" spans="1:15" x14ac:dyDescent="0.2">
      <c r="A1" t="s">
        <v>71</v>
      </c>
    </row>
    <row r="2" spans="1:15" x14ac:dyDescent="0.2">
      <c r="B2" t="s">
        <v>92</v>
      </c>
    </row>
    <row r="3" spans="1:15" x14ac:dyDescent="0.2">
      <c r="B3" t="s">
        <v>0</v>
      </c>
      <c r="D3" t="s">
        <v>17</v>
      </c>
      <c r="F3" t="s">
        <v>37</v>
      </c>
    </row>
    <row r="5" spans="1:15" x14ac:dyDescent="0.2">
      <c r="A5" t="s">
        <v>24</v>
      </c>
      <c r="B5" t="s">
        <v>72</v>
      </c>
      <c r="C5" t="s">
        <v>24</v>
      </c>
      <c r="D5" t="s">
        <v>72</v>
      </c>
      <c r="E5" t="s">
        <v>24</v>
      </c>
      <c r="F5" t="s">
        <v>72</v>
      </c>
      <c r="G5" s="6" t="s">
        <v>73</v>
      </c>
      <c r="H5" t="s">
        <v>27</v>
      </c>
      <c r="I5" s="6" t="s">
        <v>74</v>
      </c>
      <c r="J5" t="s">
        <v>75</v>
      </c>
      <c r="K5" s="6">
        <v>45661</v>
      </c>
      <c r="L5" t="s">
        <v>76</v>
      </c>
      <c r="M5" t="s">
        <v>77</v>
      </c>
      <c r="N5" t="s">
        <v>78</v>
      </c>
      <c r="O5" t="s">
        <v>79</v>
      </c>
    </row>
    <row r="6" spans="1:15" x14ac:dyDescent="0.2">
      <c r="A6" s="3">
        <v>0</v>
      </c>
      <c r="B6" s="3">
        <v>0</v>
      </c>
      <c r="C6" s="3">
        <v>0</v>
      </c>
      <c r="D6" s="3">
        <v>0</v>
      </c>
      <c r="E6" s="3">
        <v>0</v>
      </c>
      <c r="F6" s="3">
        <v>0</v>
      </c>
    </row>
    <row r="7" spans="1:15" x14ac:dyDescent="0.2">
      <c r="A7" s="3">
        <v>5.0359712230215799E-2</v>
      </c>
      <c r="B7" s="3">
        <v>0</v>
      </c>
      <c r="C7" s="3">
        <v>5.0359712230215799E-2</v>
      </c>
      <c r="D7" s="3">
        <v>0</v>
      </c>
      <c r="E7" s="3">
        <v>5.0359712230215799E-2</v>
      </c>
      <c r="F7" s="3">
        <v>0</v>
      </c>
    </row>
    <row r="8" spans="1:15" x14ac:dyDescent="0.2">
      <c r="A8" s="3">
        <v>0.100719424460431</v>
      </c>
      <c r="B8" s="3">
        <v>0</v>
      </c>
      <c r="C8" s="3">
        <v>0.100719424460431</v>
      </c>
      <c r="D8" s="3">
        <v>0</v>
      </c>
      <c r="E8" s="3">
        <v>0.100719424460431</v>
      </c>
      <c r="F8" s="3">
        <v>0</v>
      </c>
    </row>
    <row r="9" spans="1:15" x14ac:dyDescent="0.2">
      <c r="A9" s="3"/>
      <c r="B9" s="3"/>
      <c r="C9" s="3"/>
      <c r="D9" s="3"/>
      <c r="E9" s="3"/>
      <c r="F9" s="3"/>
    </row>
    <row r="10" spans="1:15" x14ac:dyDescent="0.2">
      <c r="A10" s="3"/>
      <c r="B10" s="3"/>
      <c r="C10" s="3"/>
      <c r="D10" s="3"/>
      <c r="E10" s="3"/>
      <c r="F10" s="3"/>
    </row>
    <row r="11" spans="1:15" x14ac:dyDescent="0.2">
      <c r="A11" s="3"/>
      <c r="B11" s="3"/>
      <c r="C11" s="3"/>
      <c r="D11" s="3"/>
      <c r="E11" s="3"/>
      <c r="F11" s="3"/>
    </row>
    <row r="12" spans="1:15" x14ac:dyDescent="0.2">
      <c r="A12" s="3"/>
      <c r="B12" s="3"/>
      <c r="C12" s="3"/>
      <c r="D12" s="3"/>
      <c r="E12" s="3"/>
      <c r="F12" s="3"/>
    </row>
    <row r="13" spans="1:15" x14ac:dyDescent="0.2">
      <c r="A13" s="3"/>
      <c r="B13" s="3"/>
      <c r="C13" s="3"/>
      <c r="D13" s="3"/>
      <c r="E13" s="3"/>
      <c r="F13" s="3"/>
    </row>
    <row r="14" spans="1:15" x14ac:dyDescent="0.2">
      <c r="A14" s="3"/>
      <c r="B14" s="3"/>
      <c r="C14" s="3"/>
      <c r="D14" s="3"/>
      <c r="E14" s="3"/>
      <c r="F14" s="3"/>
    </row>
    <row r="15" spans="1:15" x14ac:dyDescent="0.2">
      <c r="A15" s="3"/>
      <c r="B15" s="3"/>
      <c r="C15" s="3"/>
      <c r="D15" s="3"/>
      <c r="E15" s="3"/>
      <c r="F15" s="3"/>
    </row>
    <row r="16" spans="1:15" x14ac:dyDescent="0.2">
      <c r="A16" s="3"/>
      <c r="B16" s="3"/>
      <c r="C16" s="3"/>
      <c r="D16" s="3"/>
      <c r="E16" s="3"/>
      <c r="F16" s="3"/>
    </row>
    <row r="17" spans="1:6" x14ac:dyDescent="0.2">
      <c r="A17" s="3"/>
      <c r="B17" s="3"/>
      <c r="C17" s="3"/>
      <c r="D17" s="3"/>
      <c r="E17" s="3"/>
      <c r="F17" s="3"/>
    </row>
    <row r="18" spans="1:6" x14ac:dyDescent="0.2">
      <c r="A18" s="3"/>
      <c r="B18" s="3"/>
      <c r="C18" s="3"/>
      <c r="D18" s="3"/>
      <c r="E18" s="3"/>
      <c r="F18" s="3"/>
    </row>
    <row r="19" spans="1:6" x14ac:dyDescent="0.2">
      <c r="A19" s="3"/>
      <c r="B19" s="3"/>
      <c r="C19" s="3"/>
      <c r="D19" s="3"/>
      <c r="E19" s="3"/>
      <c r="F19" s="3"/>
    </row>
    <row r="20" spans="1:6" x14ac:dyDescent="0.2">
      <c r="A20" s="3"/>
      <c r="B20" s="3"/>
      <c r="C20" s="3"/>
      <c r="D20" s="3"/>
      <c r="E20" s="3"/>
      <c r="F20" s="3"/>
    </row>
    <row r="21" spans="1:6" x14ac:dyDescent="0.2">
      <c r="A21" s="3"/>
      <c r="B21" s="3"/>
      <c r="C21" s="3"/>
      <c r="D21" s="3"/>
      <c r="E21" s="3"/>
      <c r="F21" s="3"/>
    </row>
    <row r="22" spans="1:6" x14ac:dyDescent="0.2">
      <c r="A22" s="3"/>
      <c r="B22" s="3"/>
      <c r="C22" s="3"/>
      <c r="D22" s="3"/>
      <c r="E22" s="3"/>
      <c r="F22" s="3"/>
    </row>
    <row r="23" spans="1:6" x14ac:dyDescent="0.2">
      <c r="A23" s="3"/>
      <c r="B23" s="3"/>
      <c r="C23" s="3"/>
      <c r="D23" s="3"/>
      <c r="E23" s="3"/>
      <c r="F23" s="3"/>
    </row>
    <row r="24" spans="1:6" x14ac:dyDescent="0.2">
      <c r="A24" s="3"/>
      <c r="B24" s="3"/>
      <c r="C24" s="3"/>
      <c r="D24" s="3"/>
      <c r="E24" s="3"/>
      <c r="F24" s="3"/>
    </row>
    <row r="25" spans="1:6" x14ac:dyDescent="0.2">
      <c r="A25" s="3"/>
      <c r="B25" s="3"/>
      <c r="C25" s="3"/>
      <c r="D25" s="3"/>
      <c r="E25" s="3"/>
      <c r="F25" s="3"/>
    </row>
    <row r="26" spans="1:6" x14ac:dyDescent="0.2">
      <c r="A26" s="3"/>
      <c r="B26" s="3"/>
      <c r="C26" s="3"/>
      <c r="D26" s="3"/>
      <c r="E26" s="3"/>
      <c r="F26" s="3"/>
    </row>
    <row r="27" spans="1:6" x14ac:dyDescent="0.2">
      <c r="A27" s="3"/>
      <c r="B27" s="3"/>
      <c r="C27" s="3"/>
      <c r="D27" s="3"/>
      <c r="E27" s="3"/>
      <c r="F27" s="3"/>
    </row>
    <row r="28" spans="1:6" x14ac:dyDescent="0.2">
      <c r="A28" s="3"/>
      <c r="B28" s="3"/>
      <c r="C28" s="3"/>
      <c r="D28" s="3"/>
      <c r="E28" s="3"/>
      <c r="F28" s="3"/>
    </row>
    <row r="29" spans="1:6" x14ac:dyDescent="0.2">
      <c r="A29" s="3"/>
      <c r="B29" s="3"/>
      <c r="C29" s="3"/>
      <c r="D29" s="3"/>
      <c r="E29" s="3"/>
      <c r="F29" s="3"/>
    </row>
    <row r="30" spans="1:6" x14ac:dyDescent="0.2">
      <c r="A30" s="3"/>
      <c r="B30" s="3"/>
      <c r="C30" s="3"/>
      <c r="D30" s="3"/>
      <c r="E30" s="3"/>
      <c r="F30" s="3"/>
    </row>
    <row r="31" spans="1:6" x14ac:dyDescent="0.2">
      <c r="A31" s="3"/>
      <c r="B31" s="3"/>
      <c r="C31" s="3"/>
      <c r="D31" s="3"/>
      <c r="E31" s="3"/>
      <c r="F31" s="3"/>
    </row>
    <row r="32" spans="1:6" x14ac:dyDescent="0.2">
      <c r="A32" s="3"/>
      <c r="B32" s="3"/>
      <c r="C32" s="3"/>
      <c r="D32" s="3"/>
      <c r="E32" s="3"/>
      <c r="F32" s="3"/>
    </row>
    <row r="33" spans="1:6" x14ac:dyDescent="0.2">
      <c r="A33" s="3"/>
      <c r="B33" s="3"/>
      <c r="C33" s="3"/>
      <c r="D33" s="3"/>
      <c r="E33" s="3"/>
      <c r="F33" s="3"/>
    </row>
    <row r="34" spans="1:6" x14ac:dyDescent="0.2">
      <c r="A34" s="3"/>
      <c r="B34" s="3"/>
      <c r="C34" s="3"/>
      <c r="D34" s="3"/>
      <c r="E34" s="3"/>
      <c r="F34" s="3"/>
    </row>
    <row r="35" spans="1:6" x14ac:dyDescent="0.2">
      <c r="A35" s="3"/>
      <c r="B35" s="3"/>
      <c r="C35" s="3"/>
      <c r="D35" s="3"/>
      <c r="E35" s="3"/>
      <c r="F35" s="3"/>
    </row>
    <row r="36" spans="1:6" x14ac:dyDescent="0.2">
      <c r="A36" s="3"/>
      <c r="B36" s="3"/>
      <c r="C36" s="3"/>
      <c r="D36" s="3"/>
      <c r="E36" s="3"/>
      <c r="F36" s="3"/>
    </row>
    <row r="37" spans="1:6" x14ac:dyDescent="0.2">
      <c r="A37" s="3"/>
      <c r="B37" s="3"/>
      <c r="C37" s="3"/>
      <c r="D37" s="3"/>
      <c r="E37" s="3"/>
      <c r="F37" s="3"/>
    </row>
    <row r="38" spans="1:6" x14ac:dyDescent="0.2">
      <c r="A38" s="3"/>
      <c r="B38" s="3"/>
      <c r="C38" s="3"/>
      <c r="D38" s="3"/>
      <c r="E38" s="3"/>
      <c r="F38" s="3"/>
    </row>
    <row r="39" spans="1:6" x14ac:dyDescent="0.2">
      <c r="A39" s="3"/>
      <c r="B39" s="3"/>
      <c r="C39" s="3"/>
      <c r="D39" s="3"/>
      <c r="E39" s="3"/>
      <c r="F39" s="3"/>
    </row>
    <row r="40" spans="1:6" x14ac:dyDescent="0.2">
      <c r="A40" s="3"/>
      <c r="B40" s="3"/>
      <c r="C40" s="3"/>
      <c r="D40" s="3"/>
      <c r="E40" s="3"/>
      <c r="F40" s="3"/>
    </row>
    <row r="41" spans="1:6" x14ac:dyDescent="0.2">
      <c r="A41" s="3"/>
      <c r="B41" s="3"/>
      <c r="C41" s="3"/>
      <c r="D41" s="3"/>
      <c r="E41" s="3"/>
      <c r="F41" s="3"/>
    </row>
    <row r="42" spans="1:6" x14ac:dyDescent="0.2">
      <c r="A42" s="3"/>
      <c r="B42" s="3"/>
      <c r="C42" s="3"/>
      <c r="D42" s="3"/>
      <c r="E42" s="3"/>
      <c r="F42" s="3"/>
    </row>
    <row r="43" spans="1:6" x14ac:dyDescent="0.2">
      <c r="A43" s="3"/>
      <c r="B43" s="3"/>
      <c r="C43" s="3"/>
      <c r="D43" s="3"/>
      <c r="E43" s="3"/>
      <c r="F43" s="3"/>
    </row>
    <row r="44" spans="1:6" x14ac:dyDescent="0.2">
      <c r="A44" s="3"/>
      <c r="B44" s="3"/>
      <c r="C44" s="3"/>
      <c r="D44" s="3"/>
      <c r="E44" s="3"/>
      <c r="F44" s="3"/>
    </row>
    <row r="45" spans="1:6" x14ac:dyDescent="0.2">
      <c r="A45" s="3"/>
      <c r="B45" s="3"/>
      <c r="C45" s="3"/>
      <c r="D45" s="3"/>
      <c r="E45" s="3"/>
      <c r="F45" s="3"/>
    </row>
    <row r="46" spans="1:6" x14ac:dyDescent="0.2">
      <c r="A46" s="3"/>
      <c r="B46" s="3"/>
      <c r="C46" s="3"/>
      <c r="D46" s="3"/>
      <c r="E46" s="3"/>
      <c r="F46" s="3"/>
    </row>
    <row r="47" spans="1:6" x14ac:dyDescent="0.2">
      <c r="A47" s="3"/>
      <c r="B47" s="3"/>
      <c r="C47" s="3"/>
      <c r="D47" s="3"/>
      <c r="E47" s="3"/>
      <c r="F47" s="3"/>
    </row>
    <row r="48" spans="1:6" x14ac:dyDescent="0.2">
      <c r="A48" s="3"/>
      <c r="B48" s="3"/>
      <c r="C48" s="3"/>
      <c r="D48" s="3"/>
      <c r="E48" s="3"/>
      <c r="F48" s="3"/>
    </row>
    <row r="49" spans="1:6" x14ac:dyDescent="0.2">
      <c r="A49" s="3"/>
      <c r="B49" s="3"/>
      <c r="C49" s="3"/>
      <c r="D49" s="3"/>
      <c r="E49" s="3"/>
      <c r="F49" s="3"/>
    </row>
    <row r="50" spans="1:6" x14ac:dyDescent="0.2">
      <c r="A50" s="3"/>
      <c r="B50" s="3"/>
      <c r="C50" s="3"/>
      <c r="D50" s="3"/>
      <c r="E50" s="3"/>
      <c r="F50" s="3"/>
    </row>
    <row r="51" spans="1:6" x14ac:dyDescent="0.2">
      <c r="A51" s="3"/>
      <c r="B51" s="3"/>
      <c r="C51" s="3"/>
      <c r="D51" s="3"/>
      <c r="E51" s="3"/>
      <c r="F51" s="3"/>
    </row>
    <row r="52" spans="1:6" x14ac:dyDescent="0.2">
      <c r="A52" s="3"/>
      <c r="B52" s="3"/>
      <c r="C52" s="3"/>
      <c r="D52" s="3"/>
      <c r="E52" s="3"/>
      <c r="F52" s="3"/>
    </row>
    <row r="53" spans="1:6" x14ac:dyDescent="0.2">
      <c r="A53" s="3"/>
      <c r="B53" s="3"/>
      <c r="C53" s="3"/>
      <c r="D53" s="3"/>
      <c r="E53" s="3"/>
      <c r="F53" s="3"/>
    </row>
    <row r="54" spans="1:6" x14ac:dyDescent="0.2">
      <c r="A54" s="3"/>
      <c r="B54" s="3"/>
      <c r="C54" s="3"/>
      <c r="D54" s="3"/>
      <c r="E54" s="3"/>
      <c r="F54" s="3"/>
    </row>
    <row r="55" spans="1:6" x14ac:dyDescent="0.2">
      <c r="A55" s="3"/>
      <c r="B55" s="3"/>
      <c r="C55" s="3"/>
      <c r="D55" s="3"/>
      <c r="E55" s="3"/>
      <c r="F55" s="3"/>
    </row>
    <row r="56" spans="1:6" x14ac:dyDescent="0.2">
      <c r="A56" s="3"/>
      <c r="B56" s="3"/>
      <c r="C56" s="3"/>
      <c r="D56" s="3"/>
      <c r="E56" s="3"/>
      <c r="F56" s="3"/>
    </row>
    <row r="57" spans="1:6" x14ac:dyDescent="0.2">
      <c r="A57" s="3"/>
      <c r="B57" s="3"/>
      <c r="C57" s="3"/>
      <c r="D57" s="3"/>
      <c r="E57" s="3"/>
      <c r="F57" s="3"/>
    </row>
    <row r="58" spans="1:6" x14ac:dyDescent="0.2">
      <c r="A58" s="3"/>
      <c r="B58" s="3"/>
      <c r="C58" s="3"/>
      <c r="D58" s="3"/>
      <c r="E58" s="3"/>
      <c r="F58" s="3"/>
    </row>
    <row r="59" spans="1:6" x14ac:dyDescent="0.2">
      <c r="A59" s="3"/>
      <c r="B59" s="3"/>
      <c r="C59" s="3"/>
      <c r="D59" s="3"/>
      <c r="E59" s="3"/>
      <c r="F59" s="3"/>
    </row>
    <row r="60" spans="1:6" x14ac:dyDescent="0.2">
      <c r="A60" s="3"/>
      <c r="B60" s="3"/>
      <c r="C60" s="3"/>
      <c r="D60" s="3"/>
      <c r="E60" s="3"/>
      <c r="F60" s="3"/>
    </row>
    <row r="61" spans="1:6" x14ac:dyDescent="0.2">
      <c r="A61" s="3"/>
      <c r="B61" s="3"/>
      <c r="C61" s="3"/>
      <c r="D61" s="3"/>
      <c r="E61" s="3"/>
      <c r="F61" s="3"/>
    </row>
    <row r="62" spans="1:6" x14ac:dyDescent="0.2">
      <c r="A62" s="3"/>
      <c r="B62" s="3"/>
      <c r="C62" s="3"/>
      <c r="D62" s="3"/>
      <c r="E62" s="3"/>
      <c r="F62" s="3"/>
    </row>
    <row r="63" spans="1:6" x14ac:dyDescent="0.2">
      <c r="A63" s="3"/>
      <c r="B63" s="3"/>
      <c r="C63" s="3"/>
      <c r="D63" s="3"/>
      <c r="E63" s="3"/>
      <c r="F63" s="3"/>
    </row>
    <row r="64" spans="1:6" x14ac:dyDescent="0.2">
      <c r="A64" s="3"/>
      <c r="B64" s="3"/>
      <c r="C64" s="3"/>
      <c r="D64" s="3"/>
      <c r="E64" s="3"/>
      <c r="F64" s="3"/>
    </row>
    <row r="65" spans="1:6" x14ac:dyDescent="0.2">
      <c r="A65" s="3"/>
      <c r="B65" s="3"/>
      <c r="C65" s="3"/>
      <c r="D65" s="3"/>
      <c r="E65" s="3"/>
      <c r="F65" s="3"/>
    </row>
    <row r="66" spans="1:6" x14ac:dyDescent="0.2">
      <c r="A66" s="3"/>
      <c r="B66" s="3"/>
      <c r="C66" s="3"/>
      <c r="D66" s="3"/>
      <c r="E66" s="3"/>
      <c r="F66" s="3"/>
    </row>
    <row r="67" spans="1:6" x14ac:dyDescent="0.2">
      <c r="A67" s="3"/>
      <c r="B67" s="3"/>
      <c r="C67" s="3"/>
      <c r="D67" s="3"/>
      <c r="E67" s="3"/>
      <c r="F67" s="3"/>
    </row>
    <row r="68" spans="1:6" x14ac:dyDescent="0.2">
      <c r="A68" s="3"/>
      <c r="B68" s="3"/>
      <c r="C68" s="3"/>
      <c r="D68" s="3"/>
      <c r="E68" s="3"/>
      <c r="F68" s="3"/>
    </row>
    <row r="69" spans="1:6" x14ac:dyDescent="0.2">
      <c r="A69" s="3"/>
      <c r="B69" s="3"/>
      <c r="C69" s="3"/>
      <c r="D69" s="3"/>
      <c r="E69" s="3"/>
      <c r="F69" s="3"/>
    </row>
    <row r="70" spans="1:6" x14ac:dyDescent="0.2">
      <c r="A70" s="3"/>
      <c r="B70" s="3"/>
      <c r="C70" s="3"/>
      <c r="D70" s="3"/>
      <c r="E70" s="3"/>
      <c r="F70" s="3"/>
    </row>
    <row r="71" spans="1:6" x14ac:dyDescent="0.2">
      <c r="A71" s="3"/>
      <c r="B71" s="3"/>
      <c r="C71" s="3"/>
      <c r="D71" s="3"/>
      <c r="E71" s="3"/>
      <c r="F71" s="3"/>
    </row>
    <row r="72" spans="1:6" x14ac:dyDescent="0.2">
      <c r="A72" s="3"/>
      <c r="B72" s="3"/>
      <c r="C72" s="3"/>
      <c r="D72" s="3"/>
      <c r="E72" s="3"/>
      <c r="F72" s="3"/>
    </row>
    <row r="73" spans="1:6" x14ac:dyDescent="0.2">
      <c r="A73" s="3"/>
      <c r="B73" s="3"/>
      <c r="C73" s="3"/>
      <c r="D73" s="3"/>
      <c r="E73" s="3"/>
      <c r="F73" s="3"/>
    </row>
    <row r="74" spans="1:6" x14ac:dyDescent="0.2">
      <c r="A74" s="3"/>
      <c r="B74" s="3"/>
      <c r="C74" s="3"/>
      <c r="D74" s="3"/>
      <c r="E74" s="3"/>
      <c r="F74" s="3"/>
    </row>
    <row r="75" spans="1:6" x14ac:dyDescent="0.2">
      <c r="A75" s="3"/>
      <c r="B75" s="3"/>
      <c r="C75" s="3"/>
      <c r="D75" s="3"/>
      <c r="E75" s="3"/>
      <c r="F75" s="3"/>
    </row>
    <row r="76" spans="1:6" x14ac:dyDescent="0.2">
      <c r="A76" s="3"/>
      <c r="B76" s="3"/>
      <c r="C76" s="3"/>
      <c r="D76" s="3"/>
      <c r="E76" s="3"/>
      <c r="F76" s="3"/>
    </row>
    <row r="77" spans="1:6" x14ac:dyDescent="0.2">
      <c r="A77" s="3"/>
      <c r="B77" s="3"/>
      <c r="C77" s="3"/>
      <c r="D77" s="3"/>
      <c r="E77" s="3"/>
      <c r="F77" s="3"/>
    </row>
    <row r="78" spans="1:6" x14ac:dyDescent="0.2">
      <c r="A78" s="3"/>
      <c r="B78" s="3"/>
      <c r="C78" s="3"/>
      <c r="D78" s="3"/>
      <c r="E78" s="3"/>
      <c r="F78" s="3"/>
    </row>
    <row r="79" spans="1:6" x14ac:dyDescent="0.2">
      <c r="A79" s="3"/>
      <c r="B79" s="3"/>
      <c r="C79" s="3"/>
      <c r="D79" s="3"/>
      <c r="E79" s="3"/>
      <c r="F79" s="3"/>
    </row>
    <row r="80" spans="1:6" x14ac:dyDescent="0.2">
      <c r="A80" s="3"/>
      <c r="B80" s="3"/>
      <c r="C80" s="3"/>
      <c r="D80" s="3"/>
      <c r="E80" s="3"/>
      <c r="F80" s="3"/>
    </row>
    <row r="81" spans="1:6" x14ac:dyDescent="0.2">
      <c r="A81" s="3"/>
      <c r="B81" s="3"/>
      <c r="C81" s="3"/>
      <c r="D81" s="3"/>
      <c r="E81" s="3"/>
      <c r="F81" s="3"/>
    </row>
    <row r="82" spans="1:6" x14ac:dyDescent="0.2">
      <c r="A82" s="3"/>
      <c r="B82" s="3"/>
      <c r="C82" s="3"/>
      <c r="D82" s="3"/>
      <c r="E82" s="3"/>
      <c r="F82" s="3"/>
    </row>
    <row r="83" spans="1:6" x14ac:dyDescent="0.2">
      <c r="A83" s="3"/>
      <c r="B83" s="3"/>
      <c r="C83" s="3"/>
      <c r="D83" s="3"/>
      <c r="E83" s="3"/>
      <c r="F83" s="3"/>
    </row>
    <row r="84" spans="1:6" x14ac:dyDescent="0.2">
      <c r="A84" s="3"/>
      <c r="B84" s="3"/>
      <c r="C84" s="3"/>
      <c r="D84" s="3"/>
      <c r="E84" s="3"/>
      <c r="F84" s="3"/>
    </row>
    <row r="85" spans="1:6" x14ac:dyDescent="0.2">
      <c r="A85" s="3"/>
      <c r="B85" s="3"/>
      <c r="C85" s="3"/>
      <c r="D85" s="3"/>
      <c r="E85" s="3"/>
      <c r="F85" s="3"/>
    </row>
    <row r="86" spans="1:6" x14ac:dyDescent="0.2">
      <c r="A86" s="3"/>
      <c r="B86" s="3"/>
      <c r="C86" s="3"/>
      <c r="D86" s="3"/>
      <c r="E86" s="3"/>
      <c r="F86" s="3"/>
    </row>
    <row r="87" spans="1:6" x14ac:dyDescent="0.2">
      <c r="A87" s="3"/>
      <c r="B87" s="3"/>
      <c r="C87" s="3"/>
      <c r="D87" s="3"/>
      <c r="E87" s="3"/>
      <c r="F87" s="3"/>
    </row>
    <row r="88" spans="1:6" x14ac:dyDescent="0.2">
      <c r="A88" s="3"/>
      <c r="B88" s="3"/>
      <c r="C88" s="3"/>
      <c r="D88" s="3"/>
      <c r="E88" s="3"/>
      <c r="F88" s="3"/>
    </row>
    <row r="89" spans="1:6" x14ac:dyDescent="0.2">
      <c r="A89" s="3"/>
      <c r="B89" s="3"/>
      <c r="C89" s="3"/>
      <c r="D89" s="3"/>
      <c r="E89" s="3"/>
      <c r="F89" s="3"/>
    </row>
    <row r="90" spans="1:6" x14ac:dyDescent="0.2">
      <c r="A90" s="3"/>
      <c r="B90" s="3"/>
      <c r="C90" s="3"/>
      <c r="D90" s="3"/>
      <c r="E90" s="3"/>
      <c r="F90" s="3"/>
    </row>
    <row r="91" spans="1:6" x14ac:dyDescent="0.2">
      <c r="A91" s="3"/>
      <c r="B91" s="3"/>
      <c r="C91" s="3"/>
      <c r="D91" s="3"/>
      <c r="E91" s="3"/>
      <c r="F91" s="3"/>
    </row>
    <row r="92" spans="1:6" x14ac:dyDescent="0.2">
      <c r="A92" s="3"/>
      <c r="B92" s="3"/>
      <c r="C92" s="3"/>
      <c r="D92" s="3"/>
      <c r="E92" s="3"/>
      <c r="F92" s="3"/>
    </row>
    <row r="93" spans="1:6" x14ac:dyDescent="0.2">
      <c r="A93" s="3"/>
      <c r="B93" s="3"/>
      <c r="C93" s="3"/>
      <c r="D93" s="3"/>
      <c r="E93" s="3"/>
      <c r="F93" s="3"/>
    </row>
    <row r="94" spans="1:6" x14ac:dyDescent="0.2">
      <c r="A94" s="3"/>
      <c r="B94" s="3"/>
      <c r="C94" s="3"/>
      <c r="D94" s="3"/>
      <c r="E94" s="3"/>
      <c r="F94" s="3"/>
    </row>
    <row r="95" spans="1:6" x14ac:dyDescent="0.2">
      <c r="A95" s="3"/>
      <c r="B95" s="3"/>
      <c r="C95" s="3"/>
      <c r="D95" s="3"/>
      <c r="E95" s="3"/>
      <c r="F95" s="3"/>
    </row>
    <row r="96" spans="1:6" x14ac:dyDescent="0.2">
      <c r="A96" s="3"/>
      <c r="B96" s="3"/>
      <c r="C96" s="3"/>
      <c r="D96" s="3"/>
      <c r="E96" s="3"/>
      <c r="F96" s="3"/>
    </row>
    <row r="97" spans="1:6" x14ac:dyDescent="0.2">
      <c r="A97" s="3"/>
      <c r="B97" s="3"/>
      <c r="C97" s="3"/>
      <c r="D97" s="3"/>
      <c r="E97" s="3"/>
      <c r="F97" s="3"/>
    </row>
    <row r="98" spans="1:6" x14ac:dyDescent="0.2">
      <c r="A98" s="3"/>
      <c r="B98" s="3"/>
      <c r="C98" s="3"/>
      <c r="D98" s="3"/>
      <c r="E98" s="3"/>
      <c r="F98" s="3"/>
    </row>
    <row r="99" spans="1:6" x14ac:dyDescent="0.2">
      <c r="A99" s="3"/>
      <c r="B99" s="3"/>
      <c r="C99" s="3"/>
      <c r="D99" s="3"/>
      <c r="E99" s="3"/>
      <c r="F99" s="3"/>
    </row>
    <row r="100" spans="1:6" x14ac:dyDescent="0.2">
      <c r="A100" s="3"/>
      <c r="B100" s="3"/>
      <c r="C100" s="3"/>
      <c r="D100" s="3"/>
      <c r="E100" s="3"/>
      <c r="F100" s="3"/>
    </row>
    <row r="101" spans="1:6" x14ac:dyDescent="0.2">
      <c r="A101" s="3"/>
      <c r="B101" s="3"/>
      <c r="C101" s="3"/>
      <c r="D101" s="3"/>
      <c r="E101" s="3"/>
      <c r="F101" s="3"/>
    </row>
    <row r="102" spans="1:6" x14ac:dyDescent="0.2">
      <c r="A102" s="3"/>
      <c r="B102" s="3"/>
      <c r="C102" s="3"/>
      <c r="D102" s="3"/>
      <c r="E102" s="3"/>
      <c r="F102" s="3"/>
    </row>
    <row r="103" spans="1:6" x14ac:dyDescent="0.2">
      <c r="A103" s="3"/>
      <c r="B103" s="3"/>
      <c r="C103" s="3"/>
      <c r="D103" s="3"/>
      <c r="E103" s="3"/>
      <c r="F103" s="3"/>
    </row>
    <row r="104" spans="1:6" x14ac:dyDescent="0.2">
      <c r="A104" s="3"/>
      <c r="B104" s="3"/>
      <c r="C104" s="3"/>
      <c r="D104" s="3"/>
      <c r="E104" s="3"/>
      <c r="F104" s="3"/>
    </row>
    <row r="105" spans="1:6" x14ac:dyDescent="0.2">
      <c r="A105" s="3"/>
      <c r="B105" s="3"/>
      <c r="C105" s="3"/>
      <c r="D105" s="3"/>
      <c r="E105" s="3"/>
      <c r="F105" s="3"/>
    </row>
    <row r="106" spans="1:6" x14ac:dyDescent="0.2">
      <c r="A106" s="3"/>
      <c r="B106" s="3"/>
      <c r="C106" s="3"/>
      <c r="D106" s="3"/>
      <c r="E106" s="3"/>
      <c r="F106" s="3"/>
    </row>
    <row r="107" spans="1:6" x14ac:dyDescent="0.2">
      <c r="A107" s="3"/>
      <c r="B107" s="3"/>
      <c r="C107" s="3"/>
      <c r="D107" s="3"/>
      <c r="E107" s="3"/>
      <c r="F107" s="3"/>
    </row>
    <row r="108" spans="1:6" x14ac:dyDescent="0.2">
      <c r="A108" s="3"/>
      <c r="B108" s="3"/>
      <c r="C108" s="3"/>
      <c r="D108" s="3"/>
      <c r="E108" s="3"/>
      <c r="F108" s="3"/>
    </row>
    <row r="109" spans="1:6" x14ac:dyDescent="0.2">
      <c r="A109" s="3"/>
      <c r="B109" s="3"/>
      <c r="C109" s="3"/>
      <c r="D109" s="3"/>
      <c r="E109" s="3"/>
      <c r="F109" s="3"/>
    </row>
    <row r="110" spans="1:6" x14ac:dyDescent="0.2">
      <c r="A110" s="3"/>
      <c r="B110" s="3"/>
      <c r="C110" s="3"/>
      <c r="D110" s="3"/>
      <c r="E110" s="3"/>
      <c r="F110" s="3"/>
    </row>
    <row r="111" spans="1:6" x14ac:dyDescent="0.2">
      <c r="A111" s="3"/>
      <c r="B111" s="3"/>
      <c r="C111" s="3"/>
      <c r="D111" s="3"/>
      <c r="E111" s="3"/>
      <c r="F111" s="3"/>
    </row>
    <row r="112" spans="1:6" x14ac:dyDescent="0.2">
      <c r="A112" s="3"/>
      <c r="B112" s="3"/>
      <c r="C112" s="3"/>
      <c r="D112" s="3"/>
      <c r="E112" s="3"/>
      <c r="F112" s="3"/>
    </row>
    <row r="113" spans="1:6" x14ac:dyDescent="0.2">
      <c r="A113" s="3"/>
      <c r="B113" s="3"/>
      <c r="C113" s="3"/>
      <c r="D113" s="3"/>
      <c r="E113" s="3"/>
      <c r="F113" s="3"/>
    </row>
    <row r="114" spans="1:6" x14ac:dyDescent="0.2">
      <c r="A114" s="3"/>
      <c r="B114" s="3"/>
      <c r="C114" s="3"/>
      <c r="D114" s="3"/>
      <c r="E114" s="3"/>
      <c r="F114" s="3"/>
    </row>
    <row r="115" spans="1:6" x14ac:dyDescent="0.2">
      <c r="A115" s="3"/>
      <c r="B115" s="3"/>
      <c r="C115" s="3"/>
      <c r="D115" s="3"/>
      <c r="E115" s="3"/>
      <c r="F115" s="3"/>
    </row>
    <row r="116" spans="1:6" x14ac:dyDescent="0.2">
      <c r="A116" s="3"/>
      <c r="B116" s="3"/>
      <c r="C116" s="3"/>
      <c r="D116" s="3"/>
      <c r="E116" s="3"/>
      <c r="F116" s="3"/>
    </row>
    <row r="117" spans="1:6" x14ac:dyDescent="0.2">
      <c r="A117" s="3"/>
      <c r="B117" s="3"/>
      <c r="C117" s="3"/>
      <c r="D117" s="3"/>
      <c r="E117" s="3"/>
      <c r="F117" s="3"/>
    </row>
    <row r="118" spans="1:6" x14ac:dyDescent="0.2">
      <c r="A118" s="3"/>
      <c r="B118" s="3"/>
      <c r="C118" s="3"/>
      <c r="D118" s="3"/>
      <c r="E118" s="3"/>
      <c r="F118" s="3"/>
    </row>
    <row r="119" spans="1:6" x14ac:dyDescent="0.2">
      <c r="A119" s="3"/>
      <c r="B119" s="3"/>
      <c r="C119" s="3"/>
      <c r="D119" s="3"/>
      <c r="E119" s="3"/>
      <c r="F119" s="3"/>
    </row>
    <row r="120" spans="1:6" x14ac:dyDescent="0.2">
      <c r="A120" s="3"/>
      <c r="B120" s="3"/>
      <c r="C120" s="3"/>
      <c r="D120" s="3"/>
      <c r="E120" s="3"/>
      <c r="F120" s="3"/>
    </row>
    <row r="121" spans="1:6" x14ac:dyDescent="0.2">
      <c r="A121" s="3"/>
      <c r="B121" s="3"/>
      <c r="C121" s="3"/>
      <c r="D121" s="3"/>
      <c r="E121" s="3"/>
      <c r="F121" s="3"/>
    </row>
    <row r="122" spans="1:6" x14ac:dyDescent="0.2">
      <c r="A122" s="3"/>
      <c r="B122" s="3"/>
      <c r="C122" s="3"/>
      <c r="D122" s="3"/>
      <c r="E122" s="3"/>
      <c r="F122" s="3"/>
    </row>
    <row r="123" spans="1:6" x14ac:dyDescent="0.2">
      <c r="A123" s="3"/>
      <c r="B123" s="3"/>
      <c r="C123" s="3"/>
      <c r="D123" s="3"/>
      <c r="E123" s="3"/>
      <c r="F123" s="3"/>
    </row>
    <row r="124" spans="1:6" x14ac:dyDescent="0.2">
      <c r="A124" s="3"/>
      <c r="B124" s="3"/>
      <c r="C124" s="3"/>
      <c r="D124" s="3"/>
      <c r="E124" s="3"/>
      <c r="F124" s="3"/>
    </row>
    <row r="125" spans="1:6" x14ac:dyDescent="0.2">
      <c r="A125" s="3"/>
      <c r="B125" s="3"/>
      <c r="C125" s="3"/>
      <c r="D125" s="3"/>
      <c r="E125" s="3"/>
      <c r="F125" s="3"/>
    </row>
    <row r="126" spans="1:6" x14ac:dyDescent="0.2">
      <c r="A126" s="3"/>
      <c r="B126" s="3"/>
      <c r="C126" s="3"/>
      <c r="D126" s="3"/>
      <c r="E126" s="3"/>
      <c r="F126" s="3"/>
    </row>
    <row r="127" spans="1:6" x14ac:dyDescent="0.2">
      <c r="A127" s="3"/>
      <c r="B127" s="3"/>
      <c r="C127" s="3"/>
      <c r="D127" s="3"/>
      <c r="E127" s="3"/>
      <c r="F127" s="3"/>
    </row>
    <row r="128" spans="1:6" x14ac:dyDescent="0.2">
      <c r="A128" s="3"/>
      <c r="B128" s="3"/>
      <c r="C128" s="3"/>
      <c r="D128" s="3"/>
      <c r="E128" s="3"/>
      <c r="F128" s="3"/>
    </row>
    <row r="129" spans="1:6" x14ac:dyDescent="0.2">
      <c r="A129" s="3"/>
      <c r="B129" s="3"/>
      <c r="C129" s="3"/>
      <c r="D129" s="3"/>
      <c r="E129" s="3"/>
      <c r="F129" s="3"/>
    </row>
    <row r="130" spans="1:6" x14ac:dyDescent="0.2">
      <c r="A130" s="3"/>
      <c r="B130" s="3"/>
      <c r="C130" s="3"/>
      <c r="D130" s="3"/>
      <c r="E130" s="3"/>
      <c r="F130" s="3"/>
    </row>
    <row r="131" spans="1:6" x14ac:dyDescent="0.2">
      <c r="A131" s="3"/>
      <c r="B131" s="3"/>
      <c r="C131" s="3"/>
      <c r="D131" s="3"/>
      <c r="E131" s="3"/>
      <c r="F131" s="3"/>
    </row>
    <row r="132" spans="1:6" x14ac:dyDescent="0.2">
      <c r="A132" s="3"/>
      <c r="B132" s="3"/>
      <c r="C132" s="3"/>
      <c r="D132" s="3"/>
      <c r="E132" s="3"/>
      <c r="F132" s="3"/>
    </row>
    <row r="133" spans="1:6" x14ac:dyDescent="0.2">
      <c r="A133" s="3"/>
      <c r="B133" s="3"/>
      <c r="C133" s="3"/>
      <c r="D133" s="3"/>
      <c r="E133" s="3"/>
      <c r="F133" s="3"/>
    </row>
    <row r="134" spans="1:6" x14ac:dyDescent="0.2">
      <c r="A134" s="3"/>
      <c r="B134" s="3"/>
      <c r="C134" s="3"/>
      <c r="D134" s="3"/>
      <c r="E134" s="3"/>
      <c r="F134" s="3"/>
    </row>
    <row r="135" spans="1:6" x14ac:dyDescent="0.2">
      <c r="A135" s="3"/>
      <c r="B135" s="3"/>
      <c r="C135" s="3"/>
      <c r="D135" s="3"/>
      <c r="E135" s="3"/>
      <c r="F135" s="3"/>
    </row>
    <row r="136" spans="1:6" x14ac:dyDescent="0.2">
      <c r="A136" s="3"/>
      <c r="B136" s="3"/>
      <c r="C136" s="3"/>
      <c r="D136" s="3"/>
      <c r="E136" s="3"/>
      <c r="F136" s="3"/>
    </row>
    <row r="137" spans="1:6" x14ac:dyDescent="0.2">
      <c r="A137" s="3"/>
      <c r="B137" s="3"/>
      <c r="C137" s="3"/>
      <c r="D137" s="3"/>
      <c r="E137" s="3"/>
      <c r="F137" s="3"/>
    </row>
    <row r="138" spans="1:6" x14ac:dyDescent="0.2">
      <c r="A138" s="3"/>
      <c r="B138" s="3"/>
      <c r="C138" s="3"/>
      <c r="D138" s="3"/>
      <c r="E138" s="3"/>
      <c r="F138" s="3"/>
    </row>
    <row r="139" spans="1:6" x14ac:dyDescent="0.2">
      <c r="A139" s="3"/>
      <c r="B139" s="3"/>
      <c r="C139" s="3"/>
      <c r="D139" s="3"/>
      <c r="E139" s="3"/>
      <c r="F139" s="3"/>
    </row>
    <row r="140" spans="1:6" x14ac:dyDescent="0.2">
      <c r="A140" s="3"/>
      <c r="B140" s="3"/>
      <c r="C140" s="3"/>
      <c r="D140" s="3"/>
      <c r="E140" s="3"/>
      <c r="F140" s="3"/>
    </row>
    <row r="141" spans="1:6" x14ac:dyDescent="0.2">
      <c r="A141" s="3"/>
      <c r="B141" s="3"/>
      <c r="C141" s="3"/>
      <c r="D141" s="3"/>
      <c r="E141" s="3"/>
      <c r="F141" s="3"/>
    </row>
    <row r="142" spans="1:6" x14ac:dyDescent="0.2">
      <c r="A142" s="3"/>
      <c r="B142" s="3"/>
      <c r="C142" s="3"/>
      <c r="D142" s="3"/>
      <c r="E142" s="3"/>
      <c r="F142" s="3"/>
    </row>
    <row r="143" spans="1:6" x14ac:dyDescent="0.2">
      <c r="A143" s="3"/>
      <c r="B143" s="3"/>
      <c r="C143" s="3"/>
      <c r="D143" s="3"/>
      <c r="E143" s="3"/>
      <c r="F143" s="3"/>
    </row>
    <row r="144" spans="1:6" x14ac:dyDescent="0.2">
      <c r="A144" s="3"/>
      <c r="B144" s="3"/>
      <c r="C144" s="3"/>
      <c r="D144" s="3"/>
      <c r="E144" s="3"/>
      <c r="F144" s="3"/>
    </row>
    <row r="145" spans="1:6" x14ac:dyDescent="0.2">
      <c r="A145" s="3"/>
      <c r="B145" s="3"/>
      <c r="C145" s="3"/>
      <c r="D145" s="3"/>
      <c r="E145" s="3"/>
      <c r="F145" s="3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DDA7-79DA-D344-A71F-82ACF3E964F8}">
  <dimension ref="A1:T81"/>
  <sheetViews>
    <sheetView topLeftCell="A43" workbookViewId="0">
      <selection activeCell="L63" sqref="L63"/>
    </sheetView>
  </sheetViews>
  <sheetFormatPr baseColWidth="10" defaultRowHeight="16" x14ac:dyDescent="0.2"/>
  <cols>
    <col min="8" max="8" width="12.1640625" bestFit="1" customWidth="1"/>
  </cols>
  <sheetData>
    <row r="1" spans="1:20" x14ac:dyDescent="0.2">
      <c r="A1" t="s">
        <v>50</v>
      </c>
    </row>
    <row r="4" spans="1:20" x14ac:dyDescent="0.2">
      <c r="E4">
        <v>1200</v>
      </c>
      <c r="N4">
        <v>1500</v>
      </c>
    </row>
    <row r="6" spans="1:20" x14ac:dyDescent="0.2">
      <c r="A6" t="s">
        <v>19</v>
      </c>
      <c r="E6" t="s">
        <v>24</v>
      </c>
      <c r="F6" t="s">
        <v>25</v>
      </c>
      <c r="G6" t="s">
        <v>26</v>
      </c>
      <c r="H6" t="s">
        <v>27</v>
      </c>
      <c r="I6" t="s">
        <v>28</v>
      </c>
      <c r="J6">
        <v>55</v>
      </c>
      <c r="N6" t="s">
        <v>24</v>
      </c>
      <c r="O6" t="s">
        <v>25</v>
      </c>
      <c r="P6" t="s">
        <v>26</v>
      </c>
      <c r="Q6" t="s">
        <v>27</v>
      </c>
      <c r="R6" t="s">
        <v>28</v>
      </c>
      <c r="S6">
        <v>55</v>
      </c>
    </row>
    <row r="7" spans="1:20" x14ac:dyDescent="0.2">
      <c r="B7" s="5">
        <v>8.931E-2</v>
      </c>
      <c r="C7" s="5">
        <v>2641</v>
      </c>
      <c r="E7" t="s">
        <v>24</v>
      </c>
      <c r="F7" t="s">
        <v>1</v>
      </c>
      <c r="G7" t="s">
        <v>51</v>
      </c>
      <c r="H7" t="s">
        <v>52</v>
      </c>
      <c r="I7" s="3" t="s">
        <v>53</v>
      </c>
      <c r="J7" t="s">
        <v>54</v>
      </c>
      <c r="K7" t="s">
        <v>55</v>
      </c>
      <c r="N7" t="s">
        <v>24</v>
      </c>
      <c r="O7" t="s">
        <v>1</v>
      </c>
      <c r="P7" t="s">
        <v>51</v>
      </c>
      <c r="Q7" t="s">
        <v>52</v>
      </c>
      <c r="R7" t="s">
        <v>53</v>
      </c>
      <c r="S7" t="s">
        <v>54</v>
      </c>
      <c r="T7" t="s">
        <v>55</v>
      </c>
    </row>
    <row r="8" spans="1:20" x14ac:dyDescent="0.2">
      <c r="A8">
        <v>1000</v>
      </c>
      <c r="B8">
        <f t="shared" ref="B8:B13" si="0">$B$7*EXP($C$7/A8)</f>
        <v>1.2527713593891416</v>
      </c>
      <c r="E8">
        <v>100000</v>
      </c>
      <c r="F8">
        <v>1.5524500000000001</v>
      </c>
      <c r="G8">
        <v>0.468532</v>
      </c>
      <c r="H8">
        <v>548.62099999999998</v>
      </c>
      <c r="I8" s="3"/>
      <c r="J8">
        <f>1/H8</f>
        <v>1.8227519544457833E-3</v>
      </c>
      <c r="K8">
        <f>J8*1000</f>
        <v>1.8227519544457833</v>
      </c>
      <c r="N8">
        <v>100000</v>
      </c>
      <c r="O8">
        <v>1.4529700000000001</v>
      </c>
      <c r="P8">
        <v>0.31550499999999998</v>
      </c>
      <c r="Q8">
        <v>755.36500000000001</v>
      </c>
      <c r="S8">
        <f>1/Q8</f>
        <v>1.3238632978758613E-3</v>
      </c>
      <c r="T8">
        <f>S8*1000</f>
        <v>1.3238632978758613</v>
      </c>
    </row>
    <row r="9" spans="1:20" x14ac:dyDescent="0.2">
      <c r="A9">
        <v>1100</v>
      </c>
      <c r="B9">
        <f t="shared" si="0"/>
        <v>0.9853752711996876</v>
      </c>
      <c r="E9">
        <v>200000</v>
      </c>
      <c r="F9">
        <v>1.5528299999999999</v>
      </c>
      <c r="G9">
        <v>0.93006</v>
      </c>
      <c r="H9">
        <v>1088.93</v>
      </c>
      <c r="I9" s="3"/>
      <c r="J9">
        <f t="shared" ref="J9:J17" si="1">1/H9</f>
        <v>9.1833267519491604E-4</v>
      </c>
      <c r="K9">
        <f t="shared" ref="K9:K17" si="2">J9*1000</f>
        <v>0.91833267519491601</v>
      </c>
      <c r="N9">
        <v>200000</v>
      </c>
      <c r="O9">
        <v>1.4533499999999999</v>
      </c>
      <c r="P9">
        <v>0.62943700000000002</v>
      </c>
      <c r="Q9">
        <v>1506.81</v>
      </c>
      <c r="S9">
        <f t="shared" ref="S9:S17" si="3">1/Q9</f>
        <v>6.6365367896416933E-4</v>
      </c>
      <c r="T9">
        <f t="shared" ref="T9:T17" si="4">S9*1000</f>
        <v>0.66365367896416938</v>
      </c>
    </row>
    <row r="10" spans="1:20" x14ac:dyDescent="0.2">
      <c r="A10">
        <v>1200</v>
      </c>
      <c r="B10">
        <f t="shared" si="0"/>
        <v>0.80669592221134334</v>
      </c>
      <c r="E10">
        <v>300000</v>
      </c>
      <c r="F10">
        <v>1.55694</v>
      </c>
      <c r="G10">
        <v>0.99287599999999998</v>
      </c>
      <c r="H10">
        <v>1161.48</v>
      </c>
      <c r="I10" s="3"/>
      <c r="J10">
        <f t="shared" si="1"/>
        <v>8.6097048593174229E-4</v>
      </c>
      <c r="K10">
        <f t="shared" si="2"/>
        <v>0.8609704859317423</v>
      </c>
      <c r="N10">
        <v>300000</v>
      </c>
      <c r="O10">
        <v>1.4541999999999999</v>
      </c>
      <c r="P10">
        <v>0.76798599999999995</v>
      </c>
      <c r="Q10">
        <v>1838.15</v>
      </c>
      <c r="S10">
        <f t="shared" si="3"/>
        <v>5.4402524277126453E-4</v>
      </c>
      <c r="T10">
        <f t="shared" si="4"/>
        <v>0.54402524277126452</v>
      </c>
    </row>
    <row r="11" spans="1:20" x14ac:dyDescent="0.2">
      <c r="A11">
        <v>1300</v>
      </c>
      <c r="B11">
        <f t="shared" si="0"/>
        <v>0.68106103333154533</v>
      </c>
      <c r="E11">
        <v>400000</v>
      </c>
      <c r="F11">
        <v>1.55748</v>
      </c>
      <c r="G11">
        <v>1.1005400000000001</v>
      </c>
      <c r="H11">
        <v>1287.3</v>
      </c>
      <c r="I11" s="3"/>
      <c r="J11">
        <f t="shared" si="1"/>
        <v>7.7681970014759582E-4</v>
      </c>
      <c r="K11">
        <f t="shared" si="2"/>
        <v>0.77681970014759583</v>
      </c>
      <c r="N11">
        <v>400000</v>
      </c>
      <c r="O11">
        <v>1.4496</v>
      </c>
      <c r="P11">
        <v>0.79068400000000005</v>
      </c>
      <c r="Q11">
        <v>1894.52</v>
      </c>
      <c r="S11">
        <f t="shared" si="3"/>
        <v>5.2783818592572261E-4</v>
      </c>
      <c r="T11">
        <f t="shared" si="4"/>
        <v>0.52783818592572262</v>
      </c>
    </row>
    <row r="12" spans="1:20" x14ac:dyDescent="0.2">
      <c r="A12">
        <v>1400</v>
      </c>
      <c r="B12">
        <f t="shared" si="0"/>
        <v>0.58906824047027018</v>
      </c>
      <c r="E12">
        <v>500000</v>
      </c>
      <c r="F12">
        <v>1.5536799999999999</v>
      </c>
      <c r="G12">
        <v>0.98813700000000004</v>
      </c>
      <c r="H12">
        <v>1156.74</v>
      </c>
      <c r="I12" s="3"/>
      <c r="J12">
        <f t="shared" si="1"/>
        <v>8.6449850441758735E-4</v>
      </c>
      <c r="K12">
        <f t="shared" si="2"/>
        <v>0.86449850441758735</v>
      </c>
      <c r="N12">
        <v>500000</v>
      </c>
      <c r="O12">
        <v>1.45614</v>
      </c>
      <c r="P12">
        <v>1.028</v>
      </c>
      <c r="Q12">
        <v>2459.42</v>
      </c>
      <c r="S12">
        <f t="shared" si="3"/>
        <v>4.0659993006481201E-4</v>
      </c>
      <c r="T12">
        <f t="shared" si="4"/>
        <v>0.40659993006481199</v>
      </c>
    </row>
    <row r="13" spans="1:20" x14ac:dyDescent="0.2">
      <c r="A13">
        <v>1500</v>
      </c>
      <c r="B13">
        <f t="shared" si="0"/>
        <v>0.51945497159970466</v>
      </c>
      <c r="E13">
        <v>600000</v>
      </c>
      <c r="F13">
        <v>1.55396</v>
      </c>
      <c r="G13">
        <v>0.97548000000000001</v>
      </c>
      <c r="H13">
        <v>1141.8499999999999</v>
      </c>
      <c r="I13" s="3"/>
      <c r="J13">
        <f t="shared" si="1"/>
        <v>8.7577177387572805E-4</v>
      </c>
      <c r="K13">
        <f t="shared" si="2"/>
        <v>0.87577177387572802</v>
      </c>
      <c r="N13">
        <v>600000</v>
      </c>
      <c r="O13">
        <v>1.45472</v>
      </c>
      <c r="P13">
        <v>0.86182899999999996</v>
      </c>
      <c r="Q13">
        <v>2062.54</v>
      </c>
      <c r="S13">
        <f t="shared" si="3"/>
        <v>4.848390819087145E-4</v>
      </c>
      <c r="T13">
        <f t="shared" si="4"/>
        <v>0.4848390819087145</v>
      </c>
    </row>
    <row r="14" spans="1:20" x14ac:dyDescent="0.2">
      <c r="E14">
        <v>700000</v>
      </c>
      <c r="F14">
        <v>1.5536300000000001</v>
      </c>
      <c r="G14">
        <v>1.2027699999999999</v>
      </c>
      <c r="H14">
        <v>1408.01</v>
      </c>
      <c r="I14" s="3"/>
      <c r="J14">
        <f t="shared" si="1"/>
        <v>7.1022222853530867E-4</v>
      </c>
      <c r="K14">
        <f t="shared" si="2"/>
        <v>0.7102222285353087</v>
      </c>
      <c r="N14">
        <v>700000</v>
      </c>
      <c r="O14">
        <v>1.4557199999999999</v>
      </c>
      <c r="P14">
        <v>0.74860700000000002</v>
      </c>
      <c r="Q14">
        <v>1791.13</v>
      </c>
      <c r="S14">
        <f t="shared" si="3"/>
        <v>5.5830676723632564E-4</v>
      </c>
      <c r="T14">
        <f t="shared" si="4"/>
        <v>0.55830676723632566</v>
      </c>
    </row>
    <row r="15" spans="1:20" x14ac:dyDescent="0.2">
      <c r="E15">
        <v>800000</v>
      </c>
      <c r="F15">
        <v>1.5544100000000001</v>
      </c>
      <c r="G15">
        <v>1.0914699999999999</v>
      </c>
      <c r="H15">
        <v>1277.48</v>
      </c>
      <c r="I15" s="3"/>
      <c r="J15">
        <f t="shared" si="1"/>
        <v>7.8279112001753456E-4</v>
      </c>
      <c r="K15">
        <f t="shared" si="2"/>
        <v>0.78279112001753459</v>
      </c>
      <c r="N15">
        <v>800000</v>
      </c>
      <c r="O15">
        <v>1.4540900000000001</v>
      </c>
      <c r="P15">
        <v>0.67300199999999999</v>
      </c>
      <c r="Q15">
        <v>1610.85</v>
      </c>
      <c r="S15">
        <f t="shared" si="3"/>
        <v>6.2079026600862905E-4</v>
      </c>
      <c r="T15">
        <f t="shared" si="4"/>
        <v>0.62079026600862908</v>
      </c>
    </row>
    <row r="16" spans="1:20" x14ac:dyDescent="0.2">
      <c r="E16">
        <v>900000</v>
      </c>
      <c r="F16">
        <v>1.55366</v>
      </c>
      <c r="G16">
        <v>1.06623</v>
      </c>
      <c r="H16">
        <v>1248.17</v>
      </c>
      <c r="I16" s="3"/>
      <c r="J16">
        <f t="shared" si="1"/>
        <v>8.0117291715070863E-4</v>
      </c>
      <c r="K16">
        <f t="shared" si="2"/>
        <v>0.8011729171507086</v>
      </c>
      <c r="N16">
        <v>900000</v>
      </c>
      <c r="O16">
        <v>1.4549000000000001</v>
      </c>
      <c r="P16">
        <v>0.75940600000000003</v>
      </c>
      <c r="Q16">
        <v>1817.33</v>
      </c>
      <c r="S16">
        <f t="shared" si="3"/>
        <v>5.5025779577732171E-4</v>
      </c>
      <c r="T16">
        <f t="shared" si="4"/>
        <v>0.5502577957773217</v>
      </c>
    </row>
    <row r="17" spans="5:20" x14ac:dyDescent="0.2">
      <c r="E17">
        <v>1000000</v>
      </c>
      <c r="F17">
        <v>1.55904</v>
      </c>
      <c r="G17">
        <v>1.1505799999999999</v>
      </c>
      <c r="H17">
        <v>1345.36</v>
      </c>
      <c r="I17" s="3"/>
      <c r="J17">
        <f t="shared" si="1"/>
        <v>7.432954748171494E-4</v>
      </c>
      <c r="K17">
        <f t="shared" si="2"/>
        <v>0.74329547481714942</v>
      </c>
      <c r="N17">
        <v>1000000</v>
      </c>
      <c r="O17">
        <v>1.45105</v>
      </c>
      <c r="P17">
        <v>0.76014300000000001</v>
      </c>
      <c r="Q17">
        <v>1820.71</v>
      </c>
      <c r="S17">
        <f t="shared" si="3"/>
        <v>5.4923628694300574E-4</v>
      </c>
      <c r="T17">
        <f t="shared" si="4"/>
        <v>0.54923628694300575</v>
      </c>
    </row>
    <row r="18" spans="5:20" x14ac:dyDescent="0.2">
      <c r="I18" s="3"/>
      <c r="J18" s="3"/>
      <c r="K18" s="3"/>
      <c r="S18" s="3"/>
      <c r="T18" s="3"/>
    </row>
    <row r="19" spans="5:20" x14ac:dyDescent="0.2">
      <c r="E19" t="s">
        <v>24</v>
      </c>
      <c r="F19" t="s">
        <v>1</v>
      </c>
      <c r="G19" t="s">
        <v>51</v>
      </c>
      <c r="H19" t="s">
        <v>52</v>
      </c>
      <c r="I19" s="3" t="s">
        <v>53</v>
      </c>
      <c r="J19" s="3"/>
      <c r="K19" s="3"/>
      <c r="N19" t="s">
        <v>24</v>
      </c>
      <c r="O19" t="s">
        <v>1</v>
      </c>
      <c r="P19" t="s">
        <v>51</v>
      </c>
      <c r="Q19" t="s">
        <v>52</v>
      </c>
      <c r="R19" t="s">
        <v>53</v>
      </c>
      <c r="S19" s="3"/>
      <c r="T19" s="3"/>
    </row>
    <row r="20" spans="5:20" x14ac:dyDescent="0.2">
      <c r="E20">
        <v>1000000</v>
      </c>
      <c r="F20">
        <v>1.55522</v>
      </c>
      <c r="G20">
        <v>1.0905199999999999</v>
      </c>
      <c r="H20">
        <v>1276.1600000000001</v>
      </c>
      <c r="I20" s="3"/>
      <c r="J20">
        <f t="shared" ref="J20" si="5">1/H20</f>
        <v>7.8360080240722158E-4</v>
      </c>
      <c r="K20">
        <f t="shared" ref="K20" si="6">J20*1000</f>
        <v>0.78360080240722163</v>
      </c>
      <c r="N20">
        <v>1000000</v>
      </c>
      <c r="O20">
        <v>1.45459</v>
      </c>
      <c r="P20">
        <v>0.78361599999999998</v>
      </c>
      <c r="Q20">
        <v>1875.43</v>
      </c>
      <c r="S20">
        <f t="shared" ref="S20" si="7">1/Q20</f>
        <v>5.3321105026580564E-4</v>
      </c>
      <c r="T20">
        <f t="shared" ref="T20" si="8">S20*1000</f>
        <v>0.53321105026580562</v>
      </c>
    </row>
    <row r="21" spans="5:20" x14ac:dyDescent="0.2">
      <c r="I21" s="3"/>
      <c r="J21" s="3"/>
      <c r="K21" s="7">
        <f>AVERAGE(K13:K17)</f>
        <v>0.78265070287928584</v>
      </c>
      <c r="T21" s="7">
        <f>AVERAGE(T13:T17)</f>
        <v>0.55268603957479934</v>
      </c>
    </row>
    <row r="22" spans="5:20" x14ac:dyDescent="0.2">
      <c r="I22" s="3"/>
      <c r="J22" s="3"/>
      <c r="K22" s="3"/>
    </row>
    <row r="23" spans="5:20" x14ac:dyDescent="0.2">
      <c r="I23" s="3"/>
      <c r="J23" s="3"/>
      <c r="K23" s="3"/>
    </row>
    <row r="24" spans="5:20" x14ac:dyDescent="0.2">
      <c r="I24" s="3"/>
      <c r="J24" s="3"/>
      <c r="K24" s="3"/>
      <c r="N24">
        <v>1000</v>
      </c>
    </row>
    <row r="25" spans="5:20" x14ac:dyDescent="0.2">
      <c r="I25" s="3"/>
      <c r="J25" s="3"/>
      <c r="K25" s="3"/>
    </row>
    <row r="26" spans="5:20" x14ac:dyDescent="0.2">
      <c r="I26" s="3"/>
      <c r="J26" s="3"/>
      <c r="K26" s="3"/>
      <c r="N26" t="s">
        <v>24</v>
      </c>
      <c r="O26" t="s">
        <v>25</v>
      </c>
      <c r="P26" t="s">
        <v>26</v>
      </c>
      <c r="Q26" t="s">
        <v>27</v>
      </c>
      <c r="R26" t="s">
        <v>28</v>
      </c>
      <c r="S26">
        <v>55</v>
      </c>
    </row>
    <row r="27" spans="5:20" x14ac:dyDescent="0.2">
      <c r="N27" t="s">
        <v>24</v>
      </c>
      <c r="O27" t="s">
        <v>1</v>
      </c>
      <c r="P27" t="s">
        <v>51</v>
      </c>
      <c r="Q27" t="s">
        <v>52</v>
      </c>
      <c r="R27" t="s">
        <v>53</v>
      </c>
      <c r="S27" t="s">
        <v>54</v>
      </c>
      <c r="T27" t="s">
        <v>55</v>
      </c>
    </row>
    <row r="28" spans="5:20" x14ac:dyDescent="0.2">
      <c r="N28">
        <v>100000</v>
      </c>
      <c r="O28">
        <v>1.63148</v>
      </c>
      <c r="P28">
        <v>0.58019299999999996</v>
      </c>
      <c r="Q28">
        <v>668.21600000000001</v>
      </c>
      <c r="S28">
        <f>1/Q28</f>
        <v>1.496522082679852E-3</v>
      </c>
      <c r="T28">
        <f>S28*1000</f>
        <v>1.496522082679852</v>
      </c>
    </row>
    <row r="29" spans="5:20" x14ac:dyDescent="0.2">
      <c r="N29">
        <v>200000</v>
      </c>
      <c r="O29">
        <v>1.6353599999999999</v>
      </c>
      <c r="P29">
        <v>0.72643100000000005</v>
      </c>
      <c r="Q29">
        <v>835.99</v>
      </c>
      <c r="S29">
        <f t="shared" ref="S29:S37" si="9">1/Q29</f>
        <v>1.1961865572554695E-3</v>
      </c>
      <c r="T29">
        <f t="shared" ref="T29:T37" si="10">S29*1000</f>
        <v>1.1961865572554695</v>
      </c>
    </row>
    <row r="30" spans="5:20" x14ac:dyDescent="0.2">
      <c r="N30">
        <v>300000</v>
      </c>
      <c r="O30">
        <v>1.6323099999999999</v>
      </c>
      <c r="P30">
        <v>0.79342299999999999</v>
      </c>
      <c r="Q30">
        <v>913.66300000000001</v>
      </c>
      <c r="S30">
        <f t="shared" si="9"/>
        <v>1.0944954540131318E-3</v>
      </c>
      <c r="T30">
        <f t="shared" si="10"/>
        <v>1.0944954540131318</v>
      </c>
    </row>
    <row r="31" spans="5:20" x14ac:dyDescent="0.2">
      <c r="N31">
        <v>400000</v>
      </c>
      <c r="O31">
        <v>1.63401</v>
      </c>
      <c r="P31">
        <v>0.553894</v>
      </c>
      <c r="Q31">
        <v>637.58900000000006</v>
      </c>
      <c r="S31">
        <f t="shared" si="9"/>
        <v>1.5684084888541049E-3</v>
      </c>
      <c r="T31">
        <f t="shared" si="10"/>
        <v>1.5684084888541048</v>
      </c>
    </row>
    <row r="32" spans="5:20" x14ac:dyDescent="0.2">
      <c r="N32">
        <v>500000</v>
      </c>
      <c r="O32">
        <v>1.63103</v>
      </c>
      <c r="P32">
        <v>0.66066400000000003</v>
      </c>
      <c r="Q32">
        <v>760.98099999999999</v>
      </c>
      <c r="S32">
        <f t="shared" si="9"/>
        <v>1.3140932559420012E-3</v>
      </c>
      <c r="T32">
        <f t="shared" si="10"/>
        <v>1.3140932559420013</v>
      </c>
    </row>
    <row r="33" spans="1:20" x14ac:dyDescent="0.2">
      <c r="N33">
        <v>600000</v>
      </c>
      <c r="O33">
        <v>1.62782</v>
      </c>
      <c r="P33">
        <v>0.83871399999999996</v>
      </c>
      <c r="Q33">
        <v>966.69</v>
      </c>
      <c r="S33">
        <f t="shared" si="9"/>
        <v>1.0344577889499218E-3</v>
      </c>
      <c r="T33">
        <f t="shared" si="10"/>
        <v>1.0344577889499218</v>
      </c>
    </row>
    <row r="34" spans="1:20" x14ac:dyDescent="0.2">
      <c r="N34">
        <v>700000</v>
      </c>
      <c r="O34">
        <v>1.6306099999999999</v>
      </c>
      <c r="P34">
        <v>0.68057400000000001</v>
      </c>
      <c r="Q34">
        <v>783.98299999999995</v>
      </c>
      <c r="S34">
        <f t="shared" si="9"/>
        <v>1.2755378624281395E-3</v>
      </c>
      <c r="T34">
        <f t="shared" si="10"/>
        <v>1.2755378624281395</v>
      </c>
    </row>
    <row r="35" spans="1:20" x14ac:dyDescent="0.2">
      <c r="N35">
        <v>800000</v>
      </c>
      <c r="O35">
        <v>1.6351100000000001</v>
      </c>
      <c r="P35">
        <v>0.65569699999999997</v>
      </c>
      <c r="Q35">
        <v>754.62</v>
      </c>
      <c r="S35">
        <f t="shared" si="9"/>
        <v>1.3251702843815429E-3</v>
      </c>
      <c r="T35">
        <f t="shared" si="10"/>
        <v>1.3251702843815429</v>
      </c>
    </row>
    <row r="36" spans="1:20" x14ac:dyDescent="0.2">
      <c r="N36">
        <v>900000</v>
      </c>
      <c r="O36">
        <v>1.62575</v>
      </c>
      <c r="P36">
        <v>0.78719899999999998</v>
      </c>
      <c r="Q36">
        <v>907.69</v>
      </c>
      <c r="S36">
        <f t="shared" si="9"/>
        <v>1.1016977161806343E-3</v>
      </c>
      <c r="T36">
        <f t="shared" si="10"/>
        <v>1.1016977161806343</v>
      </c>
    </row>
    <row r="37" spans="1:20" x14ac:dyDescent="0.2">
      <c r="N37">
        <v>1000000</v>
      </c>
      <c r="O37">
        <v>1.6355200000000001</v>
      </c>
      <c r="P37">
        <v>0.76181399999999999</v>
      </c>
      <c r="Q37">
        <v>876.66600000000005</v>
      </c>
      <c r="S37">
        <f t="shared" si="9"/>
        <v>1.1406852780876638E-3</v>
      </c>
      <c r="T37">
        <f t="shared" si="10"/>
        <v>1.1406852780876637</v>
      </c>
    </row>
    <row r="38" spans="1:20" x14ac:dyDescent="0.2">
      <c r="S38" s="3"/>
      <c r="T38" s="3"/>
    </row>
    <row r="39" spans="1:20" x14ac:dyDescent="0.2">
      <c r="N39" t="s">
        <v>24</v>
      </c>
      <c r="O39" t="s">
        <v>1</v>
      </c>
      <c r="P39" t="s">
        <v>51</v>
      </c>
      <c r="Q39" t="s">
        <v>52</v>
      </c>
      <c r="R39" t="s">
        <v>53</v>
      </c>
      <c r="S39" s="3"/>
      <c r="T39" s="3"/>
    </row>
    <row r="40" spans="1:20" x14ac:dyDescent="0.2">
      <c r="N40">
        <v>1000000</v>
      </c>
      <c r="O40">
        <v>1.6313500000000001</v>
      </c>
      <c r="P40">
        <v>0.73169099999999998</v>
      </c>
      <c r="Q40">
        <v>842.74699999999996</v>
      </c>
      <c r="S40">
        <f t="shared" ref="S40" si="11">1/Q40</f>
        <v>1.1865957398839748E-3</v>
      </c>
      <c r="T40">
        <f t="shared" ref="T40" si="12">S40*1000</f>
        <v>1.1865957398839748</v>
      </c>
    </row>
    <row r="41" spans="1:20" x14ac:dyDescent="0.2">
      <c r="T41" s="7">
        <f>AVERAGE(T33:T37)</f>
        <v>1.1755097860055805</v>
      </c>
    </row>
    <row r="44" spans="1:20" x14ac:dyDescent="0.2">
      <c r="B44" t="s">
        <v>80</v>
      </c>
    </row>
    <row r="45" spans="1:20" x14ac:dyDescent="0.2">
      <c r="E45">
        <v>1000</v>
      </c>
      <c r="M45">
        <v>1500</v>
      </c>
    </row>
    <row r="47" spans="1:20" x14ac:dyDescent="0.2">
      <c r="B47" s="8">
        <v>4.2959999999999998E-2</v>
      </c>
      <c r="C47" s="9">
        <v>28162.861000000001</v>
      </c>
      <c r="E47" t="s">
        <v>24</v>
      </c>
      <c r="F47" t="s">
        <v>25</v>
      </c>
      <c r="G47" t="s">
        <v>26</v>
      </c>
      <c r="H47" t="s">
        <v>27</v>
      </c>
      <c r="I47" t="s">
        <v>28</v>
      </c>
      <c r="J47">
        <v>55</v>
      </c>
      <c r="M47" t="s">
        <v>24</v>
      </c>
      <c r="N47" t="s">
        <v>25</v>
      </c>
      <c r="O47" t="s">
        <v>26</v>
      </c>
      <c r="P47" t="s">
        <v>27</v>
      </c>
      <c r="Q47" t="s">
        <v>28</v>
      </c>
      <c r="R47">
        <v>55</v>
      </c>
    </row>
    <row r="48" spans="1:20" x14ac:dyDescent="0.2">
      <c r="A48">
        <v>1000</v>
      </c>
      <c r="B48">
        <f t="shared" ref="B48:B53" si="13">$B$7*EXP($C$7/A48)</f>
        <v>1.2527713593891416</v>
      </c>
      <c r="E48" t="s">
        <v>24</v>
      </c>
      <c r="F48" t="s">
        <v>1</v>
      </c>
      <c r="G48" t="s">
        <v>51</v>
      </c>
      <c r="H48" t="s">
        <v>52</v>
      </c>
      <c r="I48" s="3" t="s">
        <v>53</v>
      </c>
      <c r="J48" t="s">
        <v>54</v>
      </c>
      <c r="K48" t="s">
        <v>55</v>
      </c>
      <c r="M48" t="s">
        <v>24</v>
      </c>
      <c r="N48" t="s">
        <v>1</v>
      </c>
      <c r="O48" t="s">
        <v>51</v>
      </c>
      <c r="P48" t="s">
        <v>52</v>
      </c>
      <c r="Q48" s="3" t="s">
        <v>53</v>
      </c>
      <c r="R48" t="s">
        <v>54</v>
      </c>
      <c r="S48" t="s">
        <v>55</v>
      </c>
    </row>
    <row r="49" spans="1:19" x14ac:dyDescent="0.2">
      <c r="A49">
        <v>1100</v>
      </c>
      <c r="B49">
        <f t="shared" si="13"/>
        <v>0.9853752711996876</v>
      </c>
      <c r="E49">
        <v>100000</v>
      </c>
      <c r="F49">
        <v>1.59013</v>
      </c>
      <c r="G49">
        <v>0.602186</v>
      </c>
      <c r="H49">
        <v>641.80799999999999</v>
      </c>
      <c r="I49" s="3"/>
      <c r="J49">
        <f>1/H49</f>
        <v>1.5580983720988209E-3</v>
      </c>
      <c r="K49">
        <f>J49*1000</f>
        <v>1.5580983720988208</v>
      </c>
      <c r="M49">
        <v>100000</v>
      </c>
      <c r="N49">
        <v>1.4075299999999999</v>
      </c>
      <c r="O49">
        <v>0.278667</v>
      </c>
      <c r="P49">
        <v>618.73699999999997</v>
      </c>
      <c r="Q49" s="3"/>
      <c r="R49">
        <f>1/P49</f>
        <v>1.6161955725938486E-3</v>
      </c>
      <c r="S49">
        <f>R49*1000</f>
        <v>1.6161955725938486</v>
      </c>
    </row>
    <row r="50" spans="1:19" x14ac:dyDescent="0.2">
      <c r="A50">
        <v>1200</v>
      </c>
      <c r="B50">
        <f t="shared" si="13"/>
        <v>0.80669592221134334</v>
      </c>
      <c r="E50">
        <v>200000</v>
      </c>
      <c r="F50">
        <v>1.5897399999999999</v>
      </c>
      <c r="G50">
        <v>0.76772399999999996</v>
      </c>
      <c r="H50">
        <v>818.34199999999998</v>
      </c>
      <c r="I50" s="3"/>
      <c r="J50">
        <f t="shared" ref="J50:J58" si="14">1/H50</f>
        <v>1.2219829851089154E-3</v>
      </c>
      <c r="K50">
        <f t="shared" ref="K50:K58" si="15">J50*1000</f>
        <v>1.2219829851089155</v>
      </c>
      <c r="M50">
        <v>200000</v>
      </c>
      <c r="N50">
        <v>1.40802</v>
      </c>
      <c r="O50">
        <v>0.69939300000000004</v>
      </c>
      <c r="P50">
        <v>1552.53</v>
      </c>
      <c r="Q50" s="3"/>
      <c r="R50">
        <f t="shared" ref="R50:R58" si="16">1/P50</f>
        <v>6.441099366839932E-4</v>
      </c>
      <c r="S50">
        <f t="shared" ref="S50:S58" si="17">R50*1000</f>
        <v>0.64410993668399319</v>
      </c>
    </row>
    <row r="51" spans="1:19" x14ac:dyDescent="0.2">
      <c r="A51">
        <v>1300</v>
      </c>
      <c r="B51">
        <f t="shared" si="13"/>
        <v>0.68106103333154533</v>
      </c>
      <c r="E51">
        <v>300000</v>
      </c>
      <c r="F51">
        <v>1.5874600000000001</v>
      </c>
      <c r="G51">
        <v>0.70835199999999998</v>
      </c>
      <c r="H51">
        <v>755.40800000000002</v>
      </c>
      <c r="I51" s="3"/>
      <c r="J51">
        <f t="shared" si="14"/>
        <v>1.3237879397623535E-3</v>
      </c>
      <c r="K51">
        <f t="shared" si="15"/>
        <v>1.3237879397623535</v>
      </c>
      <c r="M51">
        <v>300000</v>
      </c>
      <c r="N51">
        <v>1.4066099999999999</v>
      </c>
      <c r="O51">
        <v>0.73708600000000002</v>
      </c>
      <c r="P51">
        <v>1636.73</v>
      </c>
      <c r="Q51" s="3"/>
      <c r="R51">
        <f t="shared" si="16"/>
        <v>6.1097432074929889E-4</v>
      </c>
      <c r="S51">
        <f t="shared" si="17"/>
        <v>0.61097432074929892</v>
      </c>
    </row>
    <row r="52" spans="1:19" x14ac:dyDescent="0.2">
      <c r="A52">
        <v>1400</v>
      </c>
      <c r="B52">
        <f t="shared" si="13"/>
        <v>0.58906824047027018</v>
      </c>
      <c r="E52">
        <v>400000</v>
      </c>
      <c r="F52">
        <v>1.5831999999999999</v>
      </c>
      <c r="G52">
        <v>0.87457600000000002</v>
      </c>
      <c r="H52">
        <v>933.48400000000004</v>
      </c>
      <c r="I52" s="3"/>
      <c r="J52">
        <f t="shared" si="14"/>
        <v>1.0712556401609454E-3</v>
      </c>
      <c r="K52">
        <f t="shared" si="15"/>
        <v>1.0712556401609454</v>
      </c>
      <c r="M52">
        <v>400000</v>
      </c>
      <c r="N52">
        <v>1.4051199999999999</v>
      </c>
      <c r="O52">
        <v>0.79296</v>
      </c>
      <c r="P52">
        <v>1761.47</v>
      </c>
      <c r="Q52" s="3"/>
      <c r="R52">
        <f t="shared" si="16"/>
        <v>5.6770765326687373E-4</v>
      </c>
      <c r="S52">
        <f t="shared" si="17"/>
        <v>0.56770765326687378</v>
      </c>
    </row>
    <row r="53" spans="1:19" x14ac:dyDescent="0.2">
      <c r="A53">
        <v>1500</v>
      </c>
      <c r="B53">
        <f t="shared" si="13"/>
        <v>0.51945497159970466</v>
      </c>
      <c r="E53">
        <v>500000</v>
      </c>
      <c r="F53">
        <v>1.58904</v>
      </c>
      <c r="G53">
        <v>0.76773999999999998</v>
      </c>
      <c r="H53">
        <v>818.45399999999995</v>
      </c>
      <c r="I53" s="3"/>
      <c r="J53">
        <f t="shared" si="14"/>
        <v>1.2218157648444508E-3</v>
      </c>
      <c r="K53">
        <f t="shared" si="15"/>
        <v>1.2218157648444508</v>
      </c>
      <c r="M53">
        <v>500000</v>
      </c>
      <c r="N53">
        <v>1.40852</v>
      </c>
      <c r="O53">
        <v>0.64396699999999996</v>
      </c>
      <c r="P53">
        <v>1429.24</v>
      </c>
      <c r="Q53" s="3"/>
      <c r="R53">
        <f t="shared" si="16"/>
        <v>6.9967255324508129E-4</v>
      </c>
      <c r="S53">
        <f t="shared" si="17"/>
        <v>0.69967255324508126</v>
      </c>
    </row>
    <row r="54" spans="1:19" x14ac:dyDescent="0.2">
      <c r="E54">
        <v>600000</v>
      </c>
      <c r="F54">
        <v>1.5928899999999999</v>
      </c>
      <c r="G54">
        <v>0.66442100000000004</v>
      </c>
      <c r="H54">
        <v>707.73199999999997</v>
      </c>
      <c r="I54" s="3"/>
      <c r="J54">
        <f t="shared" si="14"/>
        <v>1.4129642293975687E-3</v>
      </c>
      <c r="K54">
        <f t="shared" si="15"/>
        <v>1.4129642293975686</v>
      </c>
      <c r="M54">
        <v>600000</v>
      </c>
      <c r="N54">
        <v>1.40432</v>
      </c>
      <c r="O54">
        <v>0.55299100000000001</v>
      </c>
      <c r="P54">
        <v>1228.5999999999999</v>
      </c>
      <c r="Q54" s="3"/>
      <c r="R54">
        <f t="shared" si="16"/>
        <v>8.1393455966140326E-4</v>
      </c>
      <c r="S54">
        <f t="shared" si="17"/>
        <v>0.81393455966140327</v>
      </c>
    </row>
    <row r="55" spans="1:19" x14ac:dyDescent="0.2">
      <c r="E55">
        <v>700000</v>
      </c>
      <c r="F55">
        <v>1.58782</v>
      </c>
      <c r="G55">
        <v>0.71663900000000003</v>
      </c>
      <c r="H55">
        <v>764.16399999999999</v>
      </c>
      <c r="I55" s="3"/>
      <c r="J55">
        <f t="shared" si="14"/>
        <v>1.3086196156845912E-3</v>
      </c>
      <c r="K55">
        <f t="shared" si="15"/>
        <v>1.3086196156845913</v>
      </c>
      <c r="M55">
        <v>700000</v>
      </c>
      <c r="N55">
        <v>1.39927</v>
      </c>
      <c r="O55">
        <v>0.65312300000000001</v>
      </c>
      <c r="P55">
        <v>1452.77</v>
      </c>
      <c r="Q55" s="3"/>
      <c r="R55">
        <f t="shared" si="16"/>
        <v>6.8834020526304925E-4</v>
      </c>
      <c r="S55">
        <f t="shared" si="17"/>
        <v>0.68834020526304929</v>
      </c>
    </row>
    <row r="56" spans="1:19" x14ac:dyDescent="0.2">
      <c r="E56">
        <v>800000</v>
      </c>
      <c r="F56">
        <v>1.58623</v>
      </c>
      <c r="G56">
        <v>0.56272699999999998</v>
      </c>
      <c r="H56">
        <v>600.25199999999995</v>
      </c>
      <c r="I56" s="3"/>
      <c r="J56">
        <f t="shared" si="14"/>
        <v>1.6659669605432385E-3</v>
      </c>
      <c r="K56">
        <f t="shared" si="15"/>
        <v>1.6659669605432386</v>
      </c>
      <c r="M56">
        <v>800000</v>
      </c>
      <c r="N56">
        <v>1.40421</v>
      </c>
      <c r="O56">
        <v>0.66752400000000001</v>
      </c>
      <c r="P56">
        <v>1483.15</v>
      </c>
      <c r="Q56" s="3"/>
      <c r="R56">
        <f t="shared" si="16"/>
        <v>6.7424063648316077E-4</v>
      </c>
      <c r="S56">
        <f t="shared" si="17"/>
        <v>0.67424063648316079</v>
      </c>
    </row>
    <row r="57" spans="1:19" x14ac:dyDescent="0.2">
      <c r="E57">
        <v>900000</v>
      </c>
      <c r="F57">
        <v>1.58524</v>
      </c>
      <c r="G57">
        <v>0.695129</v>
      </c>
      <c r="H57">
        <v>741.61599999999999</v>
      </c>
      <c r="I57" s="3"/>
      <c r="J57">
        <f t="shared" si="14"/>
        <v>1.3484067226165563E-3</v>
      </c>
      <c r="K57">
        <f t="shared" si="15"/>
        <v>1.3484067226165564</v>
      </c>
      <c r="M57">
        <v>900000</v>
      </c>
      <c r="N57">
        <v>1.4013800000000001</v>
      </c>
      <c r="O57">
        <v>0.73102199999999995</v>
      </c>
      <c r="P57">
        <v>1625.3</v>
      </c>
      <c r="Q57" s="3"/>
      <c r="R57">
        <f t="shared" si="16"/>
        <v>6.1527102688734394E-4</v>
      </c>
      <c r="S57">
        <f t="shared" si="17"/>
        <v>0.61527102688734392</v>
      </c>
    </row>
    <row r="58" spans="1:19" x14ac:dyDescent="0.2">
      <c r="E58">
        <v>1000000</v>
      </c>
      <c r="F58">
        <v>1.58754</v>
      </c>
      <c r="G58">
        <v>0.85546100000000003</v>
      </c>
      <c r="H58">
        <v>912.25699999999995</v>
      </c>
      <c r="I58" s="3"/>
      <c r="J58">
        <f t="shared" si="14"/>
        <v>1.096182325813888E-3</v>
      </c>
      <c r="K58">
        <f t="shared" si="15"/>
        <v>1.0961823258138881</v>
      </c>
      <c r="M58">
        <v>1000000</v>
      </c>
      <c r="N58">
        <v>1.4018900000000001</v>
      </c>
      <c r="O58">
        <v>0.78931200000000001</v>
      </c>
      <c r="P58">
        <v>1754.69</v>
      </c>
      <c r="Q58" s="3"/>
      <c r="R58">
        <f t="shared" si="16"/>
        <v>5.6990123611578116E-4</v>
      </c>
      <c r="S58">
        <f t="shared" si="17"/>
        <v>0.56990123611578114</v>
      </c>
    </row>
    <row r="59" spans="1:19" x14ac:dyDescent="0.2">
      <c r="I59" s="3"/>
      <c r="J59" s="3"/>
      <c r="K59" s="3"/>
      <c r="Q59" s="3"/>
      <c r="R59" s="3"/>
      <c r="S59" s="3"/>
    </row>
    <row r="60" spans="1:19" x14ac:dyDescent="0.2">
      <c r="E60" t="s">
        <v>24</v>
      </c>
      <c r="F60" t="s">
        <v>1</v>
      </c>
      <c r="G60" t="s">
        <v>51</v>
      </c>
      <c r="H60" t="s">
        <v>52</v>
      </c>
      <c r="I60" s="3" t="s">
        <v>53</v>
      </c>
      <c r="J60" s="3"/>
      <c r="K60" s="3"/>
      <c r="M60" t="s">
        <v>24</v>
      </c>
      <c r="N60" t="s">
        <v>1</v>
      </c>
      <c r="O60" t="s">
        <v>51</v>
      </c>
      <c r="P60" t="s">
        <v>52</v>
      </c>
      <c r="Q60" s="3" t="s">
        <v>53</v>
      </c>
      <c r="R60" s="3"/>
      <c r="S60" s="3"/>
    </row>
    <row r="61" spans="1:19" x14ac:dyDescent="0.2">
      <c r="E61">
        <v>1000000</v>
      </c>
      <c r="F61">
        <v>1.5868500000000001</v>
      </c>
      <c r="G61">
        <v>0.72239900000000001</v>
      </c>
      <c r="H61">
        <v>770.452</v>
      </c>
      <c r="I61" s="3"/>
      <c r="J61">
        <f t="shared" ref="J61" si="18">1/H61</f>
        <v>1.2979393914221782E-3</v>
      </c>
      <c r="K61">
        <f t="shared" ref="K61" si="19">J61*1000</f>
        <v>1.2979393914221782</v>
      </c>
      <c r="M61">
        <v>1000000</v>
      </c>
      <c r="N61">
        <v>1.4042699999999999</v>
      </c>
      <c r="O61">
        <v>0.66222800000000004</v>
      </c>
      <c r="P61">
        <v>1471.32</v>
      </c>
      <c r="Q61" s="3"/>
      <c r="R61">
        <f t="shared" ref="R61" si="20">1/P61</f>
        <v>6.7966180028817668E-4</v>
      </c>
      <c r="S61">
        <f t="shared" ref="S61" si="21">R61*1000</f>
        <v>0.67966180028817669</v>
      </c>
    </row>
    <row r="62" spans="1:19" x14ac:dyDescent="0.2">
      <c r="I62" s="3"/>
      <c r="J62" s="3"/>
      <c r="K62" s="7">
        <f>AVERAGE(K54:K58)</f>
        <v>1.3664279708111686</v>
      </c>
      <c r="Q62" s="3"/>
      <c r="R62" s="3"/>
      <c r="S62" s="7">
        <f>AVERAGE(S54:S58)</f>
        <v>0.67233753288214759</v>
      </c>
    </row>
    <row r="64" spans="1:19" x14ac:dyDescent="0.2">
      <c r="M64">
        <v>1200</v>
      </c>
    </row>
    <row r="65" spans="9:19" x14ac:dyDescent="0.2">
      <c r="I65">
        <v>1000</v>
      </c>
      <c r="J65">
        <v>1.2979393914221782</v>
      </c>
    </row>
    <row r="66" spans="9:19" x14ac:dyDescent="0.2">
      <c r="I66">
        <v>1200</v>
      </c>
      <c r="J66">
        <v>0.79005166937917737</v>
      </c>
      <c r="M66" t="s">
        <v>24</v>
      </c>
      <c r="N66" t="s">
        <v>25</v>
      </c>
      <c r="O66" t="s">
        <v>26</v>
      </c>
      <c r="P66" t="s">
        <v>27</v>
      </c>
      <c r="Q66" t="s">
        <v>28</v>
      </c>
      <c r="R66">
        <v>55</v>
      </c>
    </row>
    <row r="67" spans="9:19" x14ac:dyDescent="0.2">
      <c r="I67">
        <v>1500</v>
      </c>
      <c r="J67">
        <v>0.67966180028817669</v>
      </c>
      <c r="M67" t="s">
        <v>24</v>
      </c>
      <c r="N67" t="s">
        <v>1</v>
      </c>
      <c r="O67" t="s">
        <v>51</v>
      </c>
      <c r="P67" t="s">
        <v>52</v>
      </c>
      <c r="Q67" s="3" t="s">
        <v>53</v>
      </c>
      <c r="R67" t="s">
        <v>54</v>
      </c>
      <c r="S67" t="s">
        <v>55</v>
      </c>
    </row>
    <row r="68" spans="9:19" x14ac:dyDescent="0.2">
      <c r="M68">
        <v>100000</v>
      </c>
      <c r="N68">
        <v>1.5089699999999999</v>
      </c>
      <c r="O68">
        <v>0.27384599999999998</v>
      </c>
      <c r="P68">
        <v>594.00099999999998</v>
      </c>
      <c r="Q68" s="3"/>
      <c r="R68">
        <f>1/P68</f>
        <v>1.6834988493285366E-3</v>
      </c>
      <c r="S68">
        <f>R68*1000</f>
        <v>1.6834988493285366</v>
      </c>
    </row>
    <row r="69" spans="9:19" x14ac:dyDescent="0.2">
      <c r="M69">
        <v>200000</v>
      </c>
      <c r="N69">
        <v>1.5073700000000001</v>
      </c>
      <c r="O69">
        <v>0.44112299999999999</v>
      </c>
      <c r="P69">
        <v>957.202</v>
      </c>
      <c r="Q69" s="3"/>
      <c r="R69">
        <f t="shared" ref="R69:R77" si="22">1/P69</f>
        <v>1.044711565583858E-3</v>
      </c>
      <c r="S69">
        <f t="shared" ref="S69:S77" si="23">R69*1000</f>
        <v>1.0447115655838579</v>
      </c>
    </row>
    <row r="70" spans="9:19" x14ac:dyDescent="0.2">
      <c r="M70">
        <v>300000</v>
      </c>
      <c r="N70">
        <v>1.5081199999999999</v>
      </c>
      <c r="O70">
        <v>0.49570599999999998</v>
      </c>
      <c r="P70">
        <v>1075.54</v>
      </c>
      <c r="Q70" s="3"/>
      <c r="R70">
        <f t="shared" si="22"/>
        <v>9.2976551313758672E-4</v>
      </c>
      <c r="S70">
        <f t="shared" si="23"/>
        <v>0.92976551313758671</v>
      </c>
    </row>
    <row r="71" spans="9:19" x14ac:dyDescent="0.2">
      <c r="M71">
        <v>400000</v>
      </c>
      <c r="N71">
        <v>1.5114300000000001</v>
      </c>
      <c r="O71">
        <v>0.54567900000000003</v>
      </c>
      <c r="P71">
        <v>1182.97</v>
      </c>
      <c r="Q71" s="3"/>
      <c r="R71">
        <f t="shared" si="22"/>
        <v>8.4532997455556778E-4</v>
      </c>
      <c r="S71">
        <f t="shared" si="23"/>
        <v>0.8453299745555678</v>
      </c>
    </row>
    <row r="72" spans="9:19" x14ac:dyDescent="0.2">
      <c r="M72">
        <v>500000</v>
      </c>
      <c r="N72">
        <v>1.5034000000000001</v>
      </c>
      <c r="O72">
        <v>0.53226300000000004</v>
      </c>
      <c r="P72">
        <v>1155.97</v>
      </c>
      <c r="Q72" s="3"/>
      <c r="R72">
        <f t="shared" si="22"/>
        <v>8.6507435314065243E-4</v>
      </c>
      <c r="S72">
        <f t="shared" si="23"/>
        <v>0.8650743531406524</v>
      </c>
    </row>
    <row r="73" spans="9:19" x14ac:dyDescent="0.2">
      <c r="M73">
        <v>600000</v>
      </c>
      <c r="N73">
        <v>1.5074399999999999</v>
      </c>
      <c r="O73">
        <v>0.52249000000000001</v>
      </c>
      <c r="P73">
        <v>1133.72</v>
      </c>
      <c r="Q73" s="3"/>
      <c r="R73">
        <f t="shared" si="22"/>
        <v>8.8205200578626115E-4</v>
      </c>
      <c r="S73">
        <f t="shared" si="23"/>
        <v>0.8820520057862612</v>
      </c>
    </row>
    <row r="74" spans="9:19" x14ac:dyDescent="0.2">
      <c r="M74">
        <v>700000</v>
      </c>
      <c r="N74">
        <v>1.5103800000000001</v>
      </c>
      <c r="O74">
        <v>0.505328</v>
      </c>
      <c r="P74">
        <v>1095.81</v>
      </c>
      <c r="Q74" s="3"/>
      <c r="R74">
        <f t="shared" si="22"/>
        <v>9.1256695960066072E-4</v>
      </c>
      <c r="S74">
        <f t="shared" si="23"/>
        <v>0.9125669596006607</v>
      </c>
    </row>
    <row r="75" spans="9:19" x14ac:dyDescent="0.2">
      <c r="M75">
        <v>800000</v>
      </c>
      <c r="N75">
        <v>1.5074000000000001</v>
      </c>
      <c r="O75">
        <v>0.62566999999999995</v>
      </c>
      <c r="P75">
        <v>1357.62</v>
      </c>
      <c r="Q75" s="3"/>
      <c r="R75">
        <f t="shared" si="22"/>
        <v>7.3658313813880179E-4</v>
      </c>
      <c r="S75">
        <f t="shared" si="23"/>
        <v>0.73658313813880183</v>
      </c>
    </row>
    <row r="76" spans="9:19" x14ac:dyDescent="0.2">
      <c r="M76">
        <v>900000</v>
      </c>
      <c r="N76">
        <v>1.50935</v>
      </c>
      <c r="O76">
        <v>0.60075699999999999</v>
      </c>
      <c r="P76">
        <v>1303.1500000000001</v>
      </c>
      <c r="Q76" s="3"/>
      <c r="R76">
        <f t="shared" si="22"/>
        <v>7.6737136937420861E-4</v>
      </c>
      <c r="S76">
        <f t="shared" si="23"/>
        <v>0.76737136937420858</v>
      </c>
    </row>
    <row r="77" spans="9:19" x14ac:dyDescent="0.2">
      <c r="M77">
        <v>1000000</v>
      </c>
      <c r="N77">
        <v>1.50634</v>
      </c>
      <c r="O77">
        <v>0.65947299999999998</v>
      </c>
      <c r="P77">
        <v>1431.36</v>
      </c>
      <c r="Q77" s="3"/>
      <c r="R77">
        <f t="shared" si="22"/>
        <v>6.9863626201654375E-4</v>
      </c>
      <c r="S77">
        <f t="shared" si="23"/>
        <v>0.69863626201654372</v>
      </c>
    </row>
    <row r="78" spans="9:19" x14ac:dyDescent="0.2">
      <c r="Q78" s="3"/>
      <c r="R78" s="3"/>
      <c r="S78" s="3"/>
    </row>
    <row r="79" spans="9:19" x14ac:dyDescent="0.2">
      <c r="M79" t="s">
        <v>24</v>
      </c>
      <c r="N79" t="s">
        <v>1</v>
      </c>
      <c r="O79" t="s">
        <v>51</v>
      </c>
      <c r="P79" t="s">
        <v>52</v>
      </c>
      <c r="Q79" s="3" t="s">
        <v>53</v>
      </c>
      <c r="R79" s="3"/>
      <c r="S79" s="3"/>
    </row>
    <row r="80" spans="9:19" x14ac:dyDescent="0.2">
      <c r="M80">
        <v>1000000</v>
      </c>
      <c r="N80">
        <v>1.50827</v>
      </c>
      <c r="O80">
        <v>0.58342700000000003</v>
      </c>
      <c r="P80">
        <v>1265.74</v>
      </c>
      <c r="Q80" s="3"/>
      <c r="R80">
        <f t="shared" ref="R80" si="24">1/P80</f>
        <v>7.9005166937917736E-4</v>
      </c>
      <c r="S80">
        <f t="shared" ref="S80" si="25">R80*1000</f>
        <v>0.79005166937917737</v>
      </c>
    </row>
    <row r="81" spans="17:19" x14ac:dyDescent="0.2">
      <c r="Q81" s="3"/>
      <c r="R81" s="3"/>
      <c r="S81" s="7">
        <f>AVERAGE(S73:S77)</f>
        <v>0.79944194698329507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22156-C7E8-F245-B233-B3C373CE3544}">
  <dimension ref="A1:AH73"/>
  <sheetViews>
    <sheetView workbookViewId="0">
      <selection activeCell="Q13" sqref="Q13"/>
    </sheetView>
  </sheetViews>
  <sheetFormatPr baseColWidth="10" defaultRowHeight="16" x14ac:dyDescent="0.2"/>
  <cols>
    <col min="7" max="7" width="12.1640625" bestFit="1" customWidth="1"/>
  </cols>
  <sheetData>
    <row r="1" spans="1:24" x14ac:dyDescent="0.2">
      <c r="A1" t="s">
        <v>50</v>
      </c>
    </row>
    <row r="4" spans="1:24" x14ac:dyDescent="0.2">
      <c r="T4" t="s">
        <v>89</v>
      </c>
    </row>
    <row r="6" spans="1:24" x14ac:dyDescent="0.2">
      <c r="D6">
        <v>660000</v>
      </c>
      <c r="E6">
        <v>20</v>
      </c>
      <c r="F6">
        <v>9600</v>
      </c>
      <c r="T6">
        <v>640000</v>
      </c>
      <c r="U6">
        <v>20</v>
      </c>
      <c r="V6">
        <v>12800</v>
      </c>
    </row>
    <row r="7" spans="1:24" x14ac:dyDescent="0.2">
      <c r="E7">
        <v>1</v>
      </c>
      <c r="F7">
        <v>2.5000000000000001E-2</v>
      </c>
      <c r="G7">
        <v>467.78199999999998</v>
      </c>
      <c r="H7" s="3">
        <v>1267.3800000000001</v>
      </c>
      <c r="I7" s="3"/>
      <c r="J7" s="3"/>
      <c r="U7">
        <v>1</v>
      </c>
      <c r="V7">
        <v>2.5000000000000001E-2</v>
      </c>
      <c r="W7">
        <v>619.95399999999995</v>
      </c>
      <c r="X7">
        <v>1316.61</v>
      </c>
    </row>
    <row r="8" spans="1:24" x14ac:dyDescent="0.2">
      <c r="E8">
        <v>2</v>
      </c>
      <c r="F8">
        <v>7.4999999999999997E-2</v>
      </c>
      <c r="G8">
        <v>466.44200000000001</v>
      </c>
      <c r="H8" s="3">
        <v>1242.1099999999999</v>
      </c>
      <c r="I8" s="3"/>
      <c r="J8" s="3"/>
      <c r="U8">
        <v>2</v>
      </c>
      <c r="V8">
        <v>7.4999999999999997E-2</v>
      </c>
      <c r="W8">
        <v>631.20799999999997</v>
      </c>
      <c r="X8">
        <v>1295.69</v>
      </c>
    </row>
    <row r="9" spans="1:24" x14ac:dyDescent="0.2">
      <c r="E9">
        <v>3</v>
      </c>
      <c r="F9">
        <v>0.125</v>
      </c>
      <c r="G9">
        <v>453.72500000000002</v>
      </c>
      <c r="H9" s="3">
        <v>1279.72</v>
      </c>
      <c r="I9" s="3"/>
      <c r="J9" s="3"/>
      <c r="U9">
        <v>3</v>
      </c>
      <c r="V9">
        <v>0.125</v>
      </c>
      <c r="W9">
        <v>636.70299999999997</v>
      </c>
      <c r="X9">
        <v>1259.24</v>
      </c>
    </row>
    <row r="10" spans="1:24" x14ac:dyDescent="0.2">
      <c r="E10">
        <v>4</v>
      </c>
      <c r="F10">
        <v>0.17499999999999999</v>
      </c>
      <c r="G10">
        <v>475.601</v>
      </c>
      <c r="H10" s="3">
        <v>1234.96</v>
      </c>
      <c r="I10" s="3"/>
      <c r="J10" s="3"/>
      <c r="U10">
        <v>4</v>
      </c>
      <c r="V10">
        <v>0.17499999999999999</v>
      </c>
      <c r="W10">
        <v>634.24</v>
      </c>
      <c r="X10">
        <v>1254.06</v>
      </c>
    </row>
    <row r="11" spans="1:24" x14ac:dyDescent="0.2">
      <c r="E11">
        <v>5</v>
      </c>
      <c r="F11">
        <v>0.22500000000000001</v>
      </c>
      <c r="G11">
        <v>481.22</v>
      </c>
      <c r="H11" s="3">
        <v>1258.1199999999999</v>
      </c>
      <c r="I11" s="3"/>
      <c r="J11" s="3"/>
      <c r="U11">
        <v>5</v>
      </c>
      <c r="V11">
        <v>0.22500000000000001</v>
      </c>
      <c r="W11">
        <v>623.04399999999998</v>
      </c>
      <c r="X11">
        <v>1224.76</v>
      </c>
    </row>
    <row r="12" spans="1:24" x14ac:dyDescent="0.2">
      <c r="E12">
        <v>6</v>
      </c>
      <c r="F12">
        <v>0.27500000000000002</v>
      </c>
      <c r="G12">
        <v>481.291</v>
      </c>
      <c r="H12" s="3">
        <v>1223.46</v>
      </c>
      <c r="I12" s="3"/>
      <c r="J12" s="3"/>
      <c r="U12">
        <v>6</v>
      </c>
      <c r="V12">
        <v>0.27500000000000002</v>
      </c>
      <c r="W12">
        <v>638.92999999999995</v>
      </c>
      <c r="X12">
        <v>1177.6099999999999</v>
      </c>
    </row>
    <row r="13" spans="1:24" x14ac:dyDescent="0.2">
      <c r="E13">
        <v>7</v>
      </c>
      <c r="F13">
        <v>0.32500000000000001</v>
      </c>
      <c r="G13">
        <v>493.339</v>
      </c>
      <c r="H13" s="3">
        <v>1184.6400000000001</v>
      </c>
      <c r="I13" s="3"/>
      <c r="J13" s="3"/>
      <c r="U13">
        <v>7</v>
      </c>
      <c r="V13">
        <v>0.32500000000000001</v>
      </c>
      <c r="W13">
        <v>645.24099999999999</v>
      </c>
      <c r="X13">
        <v>1155.73</v>
      </c>
    </row>
    <row r="14" spans="1:24" x14ac:dyDescent="0.2">
      <c r="E14">
        <v>8</v>
      </c>
      <c r="F14">
        <v>0.375</v>
      </c>
      <c r="G14">
        <v>481.93099999999998</v>
      </c>
      <c r="H14" s="3">
        <v>1205.19</v>
      </c>
      <c r="I14" s="3"/>
      <c r="J14" s="3"/>
      <c r="U14">
        <v>8</v>
      </c>
      <c r="V14">
        <v>0.375</v>
      </c>
      <c r="W14">
        <v>644.93399999999997</v>
      </c>
      <c r="X14">
        <v>1154.01</v>
      </c>
    </row>
    <row r="15" spans="1:24" x14ac:dyDescent="0.2">
      <c r="E15">
        <v>9</v>
      </c>
      <c r="F15">
        <v>0.42499999999999999</v>
      </c>
      <c r="G15">
        <v>491.09399999999999</v>
      </c>
      <c r="H15" s="3">
        <v>1100.0899999999999</v>
      </c>
      <c r="I15" s="3"/>
      <c r="J15" s="3"/>
      <c r="U15">
        <v>9</v>
      </c>
      <c r="V15">
        <v>0.42499999999999999</v>
      </c>
      <c r="W15">
        <v>642.16300000000001</v>
      </c>
      <c r="X15">
        <v>1174.53</v>
      </c>
    </row>
    <row r="16" spans="1:24" x14ac:dyDescent="0.2">
      <c r="E16">
        <v>10</v>
      </c>
      <c r="F16">
        <v>0.47499999999999998</v>
      </c>
      <c r="G16">
        <v>483.983</v>
      </c>
      <c r="H16" s="3">
        <v>1141.25</v>
      </c>
      <c r="I16" s="3"/>
      <c r="J16" s="3"/>
      <c r="U16">
        <v>10</v>
      </c>
      <c r="V16">
        <v>0.47499999999999998</v>
      </c>
      <c r="W16">
        <v>640.77099999999996</v>
      </c>
      <c r="X16">
        <v>1150.5899999999999</v>
      </c>
    </row>
    <row r="17" spans="5:34" x14ac:dyDescent="0.2">
      <c r="E17">
        <v>11</v>
      </c>
      <c r="F17">
        <v>0.52500000000000002</v>
      </c>
      <c r="G17">
        <v>490.23899999999998</v>
      </c>
      <c r="H17" s="3">
        <v>1118.6400000000001</v>
      </c>
      <c r="I17" s="3"/>
      <c r="J17" s="3"/>
      <c r="U17">
        <v>11</v>
      </c>
      <c r="V17">
        <v>0.52500000000000002</v>
      </c>
      <c r="W17">
        <v>651.06600000000003</v>
      </c>
      <c r="X17">
        <v>1085.24</v>
      </c>
    </row>
    <row r="18" spans="5:34" x14ac:dyDescent="0.2">
      <c r="E18">
        <v>12</v>
      </c>
      <c r="F18">
        <v>0.57499999999999996</v>
      </c>
      <c r="G18">
        <v>498.52699999999999</v>
      </c>
      <c r="H18" s="3">
        <v>1093.5</v>
      </c>
      <c r="I18" s="3"/>
      <c r="J18" s="3"/>
      <c r="U18">
        <v>12</v>
      </c>
      <c r="V18">
        <v>0.57499999999999996</v>
      </c>
      <c r="W18">
        <v>669.54200000000003</v>
      </c>
      <c r="X18">
        <v>1070.3</v>
      </c>
    </row>
    <row r="19" spans="5:34" x14ac:dyDescent="0.2">
      <c r="E19">
        <v>13</v>
      </c>
      <c r="F19">
        <v>0.625</v>
      </c>
      <c r="G19">
        <v>497.20699999999999</v>
      </c>
      <c r="H19" s="3">
        <v>1078.26</v>
      </c>
      <c r="I19" s="3"/>
      <c r="J19" s="3"/>
      <c r="U19">
        <v>13</v>
      </c>
      <c r="V19">
        <v>0.625</v>
      </c>
      <c r="W19">
        <v>666.45100000000002</v>
      </c>
      <c r="X19">
        <v>1089.4000000000001</v>
      </c>
    </row>
    <row r="20" spans="5:34" x14ac:dyDescent="0.2">
      <c r="E20">
        <v>14</v>
      </c>
      <c r="F20">
        <v>0.67500000000000004</v>
      </c>
      <c r="G20">
        <v>492.35599999999999</v>
      </c>
      <c r="H20" s="3">
        <v>1158.8800000000001</v>
      </c>
      <c r="I20" s="3"/>
      <c r="J20" s="3"/>
      <c r="U20">
        <v>14</v>
      </c>
      <c r="V20">
        <v>0.67500000000000004</v>
      </c>
      <c r="W20">
        <v>653.86500000000001</v>
      </c>
      <c r="X20">
        <v>1106.3800000000001</v>
      </c>
    </row>
    <row r="21" spans="5:34" x14ac:dyDescent="0.2">
      <c r="E21">
        <v>15</v>
      </c>
      <c r="F21">
        <v>0.72499999999999998</v>
      </c>
      <c r="G21">
        <v>477.16699999999997</v>
      </c>
      <c r="H21" s="3">
        <v>1150.33</v>
      </c>
      <c r="I21" s="3"/>
      <c r="J21" s="3"/>
      <c r="U21">
        <v>15</v>
      </c>
      <c r="V21">
        <v>0.72499999999999998</v>
      </c>
      <c r="W21">
        <v>636.47799999999995</v>
      </c>
      <c r="X21">
        <v>1131.54</v>
      </c>
    </row>
    <row r="22" spans="5:34" x14ac:dyDescent="0.2">
      <c r="E22">
        <v>16</v>
      </c>
      <c r="F22">
        <v>0.77500000000000002</v>
      </c>
      <c r="G22">
        <v>474.70800000000003</v>
      </c>
      <c r="H22" s="3">
        <v>1145.6600000000001</v>
      </c>
      <c r="I22" s="3"/>
      <c r="J22" s="3"/>
      <c r="U22">
        <v>16</v>
      </c>
      <c r="V22">
        <v>0.77500000000000002</v>
      </c>
      <c r="W22">
        <v>647.16800000000001</v>
      </c>
      <c r="X22">
        <v>1209.42</v>
      </c>
    </row>
    <row r="23" spans="5:34" x14ac:dyDescent="0.2">
      <c r="E23">
        <v>17</v>
      </c>
      <c r="F23">
        <v>0.82499999999999996</v>
      </c>
      <c r="G23">
        <v>473.02199999999999</v>
      </c>
      <c r="H23" s="3">
        <v>1217.29</v>
      </c>
      <c r="I23" s="3"/>
      <c r="J23" s="3"/>
      <c r="U23">
        <v>17</v>
      </c>
      <c r="V23">
        <v>0.82499999999999996</v>
      </c>
      <c r="W23">
        <v>637.14</v>
      </c>
      <c r="X23">
        <v>1218.48</v>
      </c>
    </row>
    <row r="24" spans="5:34" x14ac:dyDescent="0.2">
      <c r="E24">
        <v>18</v>
      </c>
      <c r="F24">
        <v>0.875</v>
      </c>
      <c r="G24">
        <v>484.25200000000001</v>
      </c>
      <c r="H24" s="3">
        <v>1258.8900000000001</v>
      </c>
      <c r="I24" s="3"/>
      <c r="J24" s="3"/>
      <c r="U24">
        <v>18</v>
      </c>
      <c r="V24">
        <v>0.875</v>
      </c>
      <c r="W24">
        <v>631.74800000000005</v>
      </c>
      <c r="X24">
        <v>1208.02</v>
      </c>
    </row>
    <row r="25" spans="5:34" x14ac:dyDescent="0.2">
      <c r="E25">
        <v>19</v>
      </c>
      <c r="F25">
        <v>0.92500000000000004</v>
      </c>
      <c r="G25">
        <v>466.791</v>
      </c>
      <c r="H25" s="3">
        <v>1324.31</v>
      </c>
      <c r="I25" s="3"/>
      <c r="J25" s="3"/>
      <c r="U25">
        <v>19</v>
      </c>
      <c r="V25">
        <v>0.92500000000000004</v>
      </c>
      <c r="W25">
        <v>627.30600000000004</v>
      </c>
      <c r="X25">
        <v>1241.97</v>
      </c>
    </row>
    <row r="26" spans="5:34" x14ac:dyDescent="0.2">
      <c r="E26">
        <v>20</v>
      </c>
      <c r="F26">
        <v>0.97499999999999998</v>
      </c>
      <c r="G26">
        <v>469.322</v>
      </c>
      <c r="H26" s="3">
        <v>1272.95</v>
      </c>
      <c r="I26" s="3"/>
      <c r="J26" s="3"/>
      <c r="U26">
        <v>20</v>
      </c>
      <c r="V26">
        <v>0.97499999999999998</v>
      </c>
      <c r="W26">
        <v>622.04899999999998</v>
      </c>
      <c r="X26">
        <v>1273.27</v>
      </c>
    </row>
    <row r="28" spans="5:34" x14ac:dyDescent="0.2">
      <c r="G28" t="s">
        <v>82</v>
      </c>
      <c r="H28" s="13">
        <f>AVERAGE(H7:H26)</f>
        <v>1197.7815000000001</v>
      </c>
      <c r="W28" t="s">
        <v>82</v>
      </c>
      <c r="X28" s="13">
        <f>AVERAGE(X7:X26)</f>
        <v>1189.8425000000002</v>
      </c>
      <c r="Z28" t="s">
        <v>24</v>
      </c>
      <c r="AA28" t="s">
        <v>1</v>
      </c>
      <c r="AB28" t="s">
        <v>2</v>
      </c>
      <c r="AC28" t="s">
        <v>3</v>
      </c>
      <c r="AD28" t="s">
        <v>4</v>
      </c>
      <c r="AE28" t="s">
        <v>5</v>
      </c>
      <c r="AF28" t="s">
        <v>60</v>
      </c>
      <c r="AG28" t="s">
        <v>61</v>
      </c>
      <c r="AH28" t="s">
        <v>62</v>
      </c>
    </row>
    <row r="29" spans="5:34" x14ac:dyDescent="0.2">
      <c r="G29" t="s">
        <v>83</v>
      </c>
      <c r="H29" s="13">
        <f>MAX(H7:H26)</f>
        <v>1324.31</v>
      </c>
      <c r="J29" t="s">
        <v>24</v>
      </c>
      <c r="K29" t="s">
        <v>1</v>
      </c>
      <c r="L29" t="s">
        <v>2</v>
      </c>
      <c r="M29" t="s">
        <v>3</v>
      </c>
      <c r="N29" t="s">
        <v>4</v>
      </c>
      <c r="O29" t="s">
        <v>5</v>
      </c>
      <c r="P29" t="s">
        <v>60</v>
      </c>
      <c r="Q29" t="s">
        <v>61</v>
      </c>
      <c r="R29" t="s">
        <v>62</v>
      </c>
      <c r="W29" t="s">
        <v>83</v>
      </c>
      <c r="X29" s="13">
        <f>MAX(X7:X26)</f>
        <v>1316.61</v>
      </c>
      <c r="Z29">
        <v>100000</v>
      </c>
      <c r="AA29">
        <v>1190.5619999999999</v>
      </c>
      <c r="AB29">
        <v>-18005.663799999998</v>
      </c>
      <c r="AC29">
        <v>399196.26270000002</v>
      </c>
      <c r="AD29">
        <v>-33.326599999999999</v>
      </c>
      <c r="AE29">
        <v>36.8155</v>
      </c>
      <c r="AF29">
        <v>36.8155</v>
      </c>
      <c r="AG29">
        <v>294.524</v>
      </c>
    </row>
    <row r="30" spans="5:34" x14ac:dyDescent="0.2">
      <c r="G30" t="s">
        <v>84</v>
      </c>
      <c r="H30" s="13">
        <f>MIN(H7:H26)</f>
        <v>1078.26</v>
      </c>
      <c r="J30">
        <v>100000</v>
      </c>
      <c r="K30">
        <v>1183.6751999999999</v>
      </c>
      <c r="L30">
        <v>-13517.7122</v>
      </c>
      <c r="M30">
        <v>298562.02279999998</v>
      </c>
      <c r="N30">
        <v>-18.601199999999999</v>
      </c>
      <c r="O30">
        <v>36.781300000000002</v>
      </c>
      <c r="P30">
        <v>36.781300000000002</v>
      </c>
      <c r="Q30">
        <v>220.68780000000001</v>
      </c>
      <c r="W30" t="s">
        <v>84</v>
      </c>
      <c r="X30" s="13">
        <f>MIN(X7:X26)</f>
        <v>1070.3</v>
      </c>
    </row>
    <row r="31" spans="5:34" x14ac:dyDescent="0.2">
      <c r="G31" t="s">
        <v>87</v>
      </c>
      <c r="H31" s="13">
        <f>H29-H30</f>
        <v>246.04999999999995</v>
      </c>
      <c r="W31" t="s">
        <v>87</v>
      </c>
      <c r="X31" s="13">
        <f>X29-X30</f>
        <v>246.30999999999995</v>
      </c>
    </row>
    <row r="32" spans="5:34" x14ac:dyDescent="0.2">
      <c r="J32" t="s">
        <v>63</v>
      </c>
      <c r="K32" s="13">
        <v>173.47632999999999</v>
      </c>
    </row>
    <row r="33" spans="3:25" x14ac:dyDescent="0.2">
      <c r="J33" t="s">
        <v>90</v>
      </c>
      <c r="K33" s="13">
        <f>H31</f>
        <v>246.04999999999995</v>
      </c>
      <c r="W33" t="s">
        <v>63</v>
      </c>
      <c r="X33" s="13">
        <v>183.47533999999999</v>
      </c>
    </row>
    <row r="34" spans="3:25" x14ac:dyDescent="0.2">
      <c r="J34" t="s">
        <v>64</v>
      </c>
      <c r="K34">
        <f>K33/(Q30/2)</f>
        <v>2.2298468696502476</v>
      </c>
      <c r="L34" t="s">
        <v>65</v>
      </c>
      <c r="O34" t="s">
        <v>19</v>
      </c>
      <c r="W34" t="s">
        <v>91</v>
      </c>
      <c r="X34" s="13">
        <f>X31</f>
        <v>246.30999999999995</v>
      </c>
    </row>
    <row r="35" spans="3:25" x14ac:dyDescent="0.2">
      <c r="W35" t="s">
        <v>64</v>
      </c>
      <c r="X35">
        <f>X34/(AG29/2)</f>
        <v>1.6725971397916635</v>
      </c>
      <c r="Y35" t="s">
        <v>65</v>
      </c>
    </row>
    <row r="36" spans="3:25" x14ac:dyDescent="0.2">
      <c r="J36" t="s">
        <v>66</v>
      </c>
      <c r="K36">
        <v>2</v>
      </c>
      <c r="L36" t="s">
        <v>67</v>
      </c>
      <c r="O36" s="10" t="s">
        <v>81</v>
      </c>
      <c r="P36" s="11">
        <v>-1.8000000000000001E-4</v>
      </c>
    </row>
    <row r="37" spans="3:25" x14ac:dyDescent="0.2">
      <c r="J37" t="s">
        <v>68</v>
      </c>
      <c r="K37">
        <f>K36/(O30*P30)/2</f>
        <v>7.39172583536827E-4</v>
      </c>
      <c r="L37" t="s">
        <v>69</v>
      </c>
      <c r="N37">
        <v>1500</v>
      </c>
      <c r="O37" s="3">
        <f>$O$36+$P$36*N37</f>
        <v>0.44199999999999995</v>
      </c>
      <c r="W37" t="s">
        <v>66</v>
      </c>
      <c r="X37">
        <v>2</v>
      </c>
      <c r="Y37" t="s">
        <v>67</v>
      </c>
    </row>
    <row r="38" spans="3:25" x14ac:dyDescent="0.2">
      <c r="K38">
        <f>K37/K34</f>
        <v>3.3149028913037718E-4</v>
      </c>
      <c r="L38" t="s">
        <v>70</v>
      </c>
      <c r="N38">
        <v>1400</v>
      </c>
      <c r="O38" s="3">
        <f t="shared" ref="O38:O42" si="0">$O$36+$P$36*N38</f>
        <v>0.45999999999999996</v>
      </c>
      <c r="W38" t="s">
        <v>68</v>
      </c>
      <c r="X38">
        <f>X37/(AE29*AF29)/2</f>
        <v>7.3779990298193188E-4</v>
      </c>
      <c r="Y38" t="s">
        <v>69</v>
      </c>
    </row>
    <row r="39" spans="3:25" x14ac:dyDescent="0.2">
      <c r="J39">
        <v>1200</v>
      </c>
      <c r="K39">
        <f>K38*(1.602E-19)/(0.0000000001)/(0.000000000001)</f>
        <v>0.53104744318686425</v>
      </c>
      <c r="L39" t="s">
        <v>88</v>
      </c>
      <c r="N39">
        <v>1300</v>
      </c>
      <c r="O39" s="3">
        <f t="shared" si="0"/>
        <v>0.47799999999999998</v>
      </c>
      <c r="X39">
        <f>X38/X35</f>
        <v>4.4111034595804182E-4</v>
      </c>
      <c r="Y39" t="s">
        <v>70</v>
      </c>
    </row>
    <row r="40" spans="3:25" x14ac:dyDescent="0.2">
      <c r="N40">
        <v>1200</v>
      </c>
      <c r="O40" s="11">
        <f t="shared" si="0"/>
        <v>0.49599999999999994</v>
      </c>
      <c r="X40">
        <f>X39*(1.602E-19)/(0.0000000001)/(0.000000000001)</f>
        <v>0.70665877422478285</v>
      </c>
      <c r="Y40" t="s">
        <v>88</v>
      </c>
    </row>
    <row r="41" spans="3:25" x14ac:dyDescent="0.2">
      <c r="N41">
        <v>1100</v>
      </c>
      <c r="O41" s="3">
        <f t="shared" si="0"/>
        <v>0.51400000000000001</v>
      </c>
    </row>
    <row r="42" spans="3:25" x14ac:dyDescent="0.2">
      <c r="N42">
        <v>1000</v>
      </c>
      <c r="O42" s="3">
        <f t="shared" si="0"/>
        <v>0.53199999999999992</v>
      </c>
    </row>
    <row r="44" spans="3:25" s="12" customFormat="1" x14ac:dyDescent="0.2"/>
    <row r="46" spans="3:25" x14ac:dyDescent="0.2">
      <c r="K46" t="s">
        <v>86</v>
      </c>
    </row>
    <row r="48" spans="3:25" x14ac:dyDescent="0.2">
      <c r="C48">
        <v>660000</v>
      </c>
      <c r="D48">
        <v>20</v>
      </c>
      <c r="E48">
        <v>9600</v>
      </c>
      <c r="O48" s="10" t="s">
        <v>85</v>
      </c>
      <c r="P48" s="3">
        <v>-4.2000000000000002E-4</v>
      </c>
    </row>
    <row r="49" spans="4:18" x14ac:dyDescent="0.2">
      <c r="D49">
        <v>1</v>
      </c>
      <c r="E49">
        <v>2.5000000000000001E-2</v>
      </c>
      <c r="F49">
        <v>464.48</v>
      </c>
      <c r="G49" s="3">
        <v>1370.62</v>
      </c>
      <c r="N49">
        <v>1500</v>
      </c>
      <c r="O49" s="3">
        <f>$O$48+$P$48*N49</f>
        <v>0.27300000000000002</v>
      </c>
    </row>
    <row r="50" spans="4:18" x14ac:dyDescent="0.2">
      <c r="D50">
        <v>2</v>
      </c>
      <c r="E50">
        <v>7.4999999999999997E-2</v>
      </c>
      <c r="F50">
        <v>464.834</v>
      </c>
      <c r="G50" s="3">
        <v>1285.4000000000001</v>
      </c>
      <c r="N50">
        <v>1400</v>
      </c>
      <c r="O50" s="3">
        <f t="shared" ref="O50:O54" si="1">$O$48+$P$48*N50</f>
        <v>0.31499999999999995</v>
      </c>
    </row>
    <row r="51" spans="4:18" x14ac:dyDescent="0.2">
      <c r="D51">
        <v>3</v>
      </c>
      <c r="E51">
        <v>0.125</v>
      </c>
      <c r="F51">
        <v>469.97300000000001</v>
      </c>
      <c r="G51" s="3">
        <v>1303.8800000000001</v>
      </c>
      <c r="N51">
        <v>1300</v>
      </c>
      <c r="O51" s="3">
        <f t="shared" si="1"/>
        <v>0.35699999999999998</v>
      </c>
    </row>
    <row r="52" spans="4:18" x14ac:dyDescent="0.2">
      <c r="D52">
        <v>4</v>
      </c>
      <c r="E52">
        <v>0.17499999999999999</v>
      </c>
      <c r="F52">
        <v>478.24200000000002</v>
      </c>
      <c r="G52" s="3">
        <v>1253.9000000000001</v>
      </c>
      <c r="N52">
        <v>1200</v>
      </c>
      <c r="O52" s="11">
        <f t="shared" si="1"/>
        <v>0.39900000000000002</v>
      </c>
    </row>
    <row r="53" spans="4:18" x14ac:dyDescent="0.2">
      <c r="D53">
        <v>5</v>
      </c>
      <c r="E53">
        <v>0.22500000000000001</v>
      </c>
      <c r="F53">
        <v>452.18099999999998</v>
      </c>
      <c r="G53" s="3">
        <v>1183.82</v>
      </c>
      <c r="N53">
        <v>1100</v>
      </c>
      <c r="O53" s="3">
        <f t="shared" si="1"/>
        <v>0.441</v>
      </c>
    </row>
    <row r="54" spans="4:18" x14ac:dyDescent="0.2">
      <c r="D54">
        <v>6</v>
      </c>
      <c r="E54">
        <v>0.27500000000000002</v>
      </c>
      <c r="F54">
        <v>467.161</v>
      </c>
      <c r="G54" s="3">
        <v>1193.51</v>
      </c>
      <c r="N54">
        <v>1000</v>
      </c>
      <c r="O54" s="3">
        <f t="shared" si="1"/>
        <v>0.48299999999999998</v>
      </c>
    </row>
    <row r="55" spans="4:18" x14ac:dyDescent="0.2">
      <c r="D55">
        <v>7</v>
      </c>
      <c r="E55">
        <v>0.32500000000000001</v>
      </c>
      <c r="F55">
        <v>479.14600000000002</v>
      </c>
      <c r="G55" s="3">
        <v>1211.94</v>
      </c>
    </row>
    <row r="56" spans="4:18" x14ac:dyDescent="0.2">
      <c r="D56">
        <v>8</v>
      </c>
      <c r="E56">
        <v>0.375</v>
      </c>
      <c r="F56">
        <v>480.80900000000003</v>
      </c>
      <c r="G56" s="3">
        <v>1178.72</v>
      </c>
    </row>
    <row r="57" spans="4:18" x14ac:dyDescent="0.2">
      <c r="D57">
        <v>9</v>
      </c>
      <c r="E57">
        <v>0.42499999999999999</v>
      </c>
      <c r="F57">
        <v>503.20499999999998</v>
      </c>
      <c r="G57" s="3">
        <v>1095.8699999999999</v>
      </c>
    </row>
    <row r="58" spans="4:18" x14ac:dyDescent="0.2">
      <c r="D58">
        <v>10</v>
      </c>
      <c r="E58">
        <v>0.47499999999999998</v>
      </c>
      <c r="F58">
        <v>494.62400000000002</v>
      </c>
      <c r="G58" s="3">
        <v>1078.5899999999999</v>
      </c>
      <c r="J58" t="s">
        <v>24</v>
      </c>
      <c r="K58" t="s">
        <v>1</v>
      </c>
      <c r="L58" t="s">
        <v>2</v>
      </c>
      <c r="M58" t="s">
        <v>3</v>
      </c>
      <c r="N58" t="s">
        <v>4</v>
      </c>
      <c r="O58" t="s">
        <v>5</v>
      </c>
      <c r="P58" t="s">
        <v>60</v>
      </c>
      <c r="Q58" t="s">
        <v>61</v>
      </c>
      <c r="R58" t="s">
        <v>62</v>
      </c>
    </row>
    <row r="59" spans="4:18" x14ac:dyDescent="0.2">
      <c r="D59">
        <v>11</v>
      </c>
      <c r="E59">
        <v>0.52500000000000002</v>
      </c>
      <c r="F59">
        <v>480.34199999999998</v>
      </c>
      <c r="G59" s="3">
        <v>1094.25</v>
      </c>
      <c r="J59">
        <v>100000</v>
      </c>
      <c r="K59">
        <v>1195.7511999999999</v>
      </c>
      <c r="L59">
        <v>-20610.361799999999</v>
      </c>
      <c r="M59">
        <v>299406.63880000002</v>
      </c>
      <c r="N59">
        <v>-42.942799999999998</v>
      </c>
      <c r="O59">
        <v>36.815800000000003</v>
      </c>
      <c r="P59">
        <v>36.815800000000003</v>
      </c>
      <c r="Q59">
        <v>220.8946</v>
      </c>
    </row>
    <row r="60" spans="4:18" x14ac:dyDescent="0.2">
      <c r="D60">
        <v>12</v>
      </c>
      <c r="E60">
        <v>0.57499999999999996</v>
      </c>
      <c r="F60">
        <v>482.59899999999999</v>
      </c>
      <c r="G60" s="3">
        <v>1077.0999999999999</v>
      </c>
    </row>
    <row r="61" spans="4:18" x14ac:dyDescent="0.2">
      <c r="D61">
        <v>13</v>
      </c>
      <c r="E61">
        <v>0.625</v>
      </c>
      <c r="F61">
        <v>489.89400000000001</v>
      </c>
      <c r="G61" s="3">
        <v>1067.7</v>
      </c>
      <c r="J61" t="s">
        <v>63</v>
      </c>
      <c r="K61" s="3">
        <f>G73</f>
        <v>302.91999999999985</v>
      </c>
    </row>
    <row r="62" spans="4:18" x14ac:dyDescent="0.2">
      <c r="D62">
        <v>14</v>
      </c>
      <c r="E62">
        <v>0.67500000000000004</v>
      </c>
      <c r="F62">
        <v>492.04300000000001</v>
      </c>
      <c r="G62" s="3">
        <v>1132.23</v>
      </c>
      <c r="J62" t="s">
        <v>64</v>
      </c>
      <c r="K62" s="3">
        <f>K61/(Q59/2)</f>
        <v>2.7426655065356949</v>
      </c>
      <c r="L62" t="s">
        <v>65</v>
      </c>
    </row>
    <row r="63" spans="4:18" x14ac:dyDescent="0.2">
      <c r="D63">
        <v>15</v>
      </c>
      <c r="E63">
        <v>0.72499999999999998</v>
      </c>
      <c r="F63">
        <v>493.45400000000001</v>
      </c>
      <c r="G63" s="3">
        <v>1145.26</v>
      </c>
    </row>
    <row r="64" spans="4:18" x14ac:dyDescent="0.2">
      <c r="D64">
        <v>16</v>
      </c>
      <c r="E64">
        <v>0.77500000000000002</v>
      </c>
      <c r="F64">
        <v>486.38900000000001</v>
      </c>
      <c r="G64" s="3">
        <v>1167.8800000000001</v>
      </c>
      <c r="J64" t="s">
        <v>66</v>
      </c>
      <c r="K64">
        <v>2</v>
      </c>
      <c r="L64" t="s">
        <v>67</v>
      </c>
    </row>
    <row r="65" spans="4:12" x14ac:dyDescent="0.2">
      <c r="D65">
        <v>17</v>
      </c>
      <c r="E65">
        <v>0.82499999999999996</v>
      </c>
      <c r="F65">
        <v>485.154</v>
      </c>
      <c r="G65" s="3">
        <v>1202.42</v>
      </c>
      <c r="J65" t="s">
        <v>68</v>
      </c>
      <c r="K65">
        <f>K64/(O59*P59)/2</f>
        <v>7.3778787884723517E-4</v>
      </c>
      <c r="L65" t="s">
        <v>69</v>
      </c>
    </row>
    <row r="66" spans="4:12" x14ac:dyDescent="0.2">
      <c r="D66">
        <v>18</v>
      </c>
      <c r="E66">
        <v>0.875</v>
      </c>
      <c r="F66">
        <v>468.61900000000003</v>
      </c>
      <c r="G66" s="3">
        <v>1237.58</v>
      </c>
      <c r="K66" s="3">
        <f>K65/K62</f>
        <v>2.6900395877262734E-4</v>
      </c>
      <c r="L66" t="s">
        <v>70</v>
      </c>
    </row>
    <row r="67" spans="4:12" x14ac:dyDescent="0.2">
      <c r="D67">
        <v>19</v>
      </c>
      <c r="E67">
        <v>0.92500000000000004</v>
      </c>
      <c r="F67">
        <v>487.53300000000002</v>
      </c>
      <c r="G67" s="3">
        <v>1284.8599999999999</v>
      </c>
      <c r="J67">
        <v>1200</v>
      </c>
      <c r="K67">
        <f>K66*(1.602E-19)/(0.0000000001)/(0.000000000001)</f>
        <v>0.43094434195374898</v>
      </c>
      <c r="L67" t="s">
        <v>88</v>
      </c>
    </row>
    <row r="68" spans="4:12" x14ac:dyDescent="0.2">
      <c r="D68">
        <v>20</v>
      </c>
      <c r="E68">
        <v>0.97499999999999998</v>
      </c>
      <c r="F68">
        <v>479.31900000000002</v>
      </c>
      <c r="G68" s="3">
        <v>1280.5999999999999</v>
      </c>
    </row>
    <row r="70" spans="4:12" x14ac:dyDescent="0.2">
      <c r="F70" t="s">
        <v>82</v>
      </c>
      <c r="G70" s="4">
        <f>AVERAGE(G49:G68)</f>
        <v>1192.3065000000001</v>
      </c>
    </row>
    <row r="71" spans="4:12" x14ac:dyDescent="0.2">
      <c r="F71" t="s">
        <v>83</v>
      </c>
      <c r="G71" s="4">
        <f>MAX(G49:G68)</f>
        <v>1370.62</v>
      </c>
    </row>
    <row r="72" spans="4:12" x14ac:dyDescent="0.2">
      <c r="F72" t="s">
        <v>84</v>
      </c>
      <c r="G72" s="4">
        <f>MIN(G49:G68)</f>
        <v>1067.7</v>
      </c>
    </row>
    <row r="73" spans="4:12" x14ac:dyDescent="0.2">
      <c r="F73" t="s">
        <v>87</v>
      </c>
      <c r="G73" s="4">
        <f>G71-G72</f>
        <v>302.91999999999985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1D781-84FE-EE4A-B7BB-D978DB04106A}">
  <dimension ref="B2:CB107"/>
  <sheetViews>
    <sheetView topLeftCell="B1" workbookViewId="0">
      <selection activeCell="H11" sqref="H11"/>
    </sheetView>
  </sheetViews>
  <sheetFormatPr baseColWidth="10" defaultRowHeight="16" x14ac:dyDescent="0.2"/>
  <sheetData>
    <row r="2" spans="2:80" x14ac:dyDescent="0.2">
      <c r="B2" t="s">
        <v>23</v>
      </c>
      <c r="J2" t="s">
        <v>31</v>
      </c>
      <c r="R2" t="s">
        <v>32</v>
      </c>
      <c r="Z2" t="s">
        <v>33</v>
      </c>
      <c r="AH2" t="s">
        <v>34</v>
      </c>
      <c r="AP2" t="s">
        <v>36</v>
      </c>
      <c r="AX2" t="s">
        <v>35</v>
      </c>
      <c r="BF2" t="s">
        <v>44</v>
      </c>
      <c r="BN2" t="s">
        <v>45</v>
      </c>
      <c r="BV2" t="s">
        <v>46</v>
      </c>
    </row>
    <row r="5" spans="2:80" x14ac:dyDescent="0.2">
      <c r="C5" t="s">
        <v>24</v>
      </c>
      <c r="D5" t="s">
        <v>25</v>
      </c>
      <c r="E5" t="s">
        <v>26</v>
      </c>
      <c r="F5" t="s">
        <v>27</v>
      </c>
      <c r="G5" t="s">
        <v>28</v>
      </c>
      <c r="H5">
        <v>1</v>
      </c>
      <c r="K5" t="s">
        <v>24</v>
      </c>
      <c r="L5" t="s">
        <v>25</v>
      </c>
      <c r="M5" t="s">
        <v>26</v>
      </c>
      <c r="N5" t="s">
        <v>27</v>
      </c>
      <c r="O5" t="s">
        <v>28</v>
      </c>
      <c r="P5">
        <v>1</v>
      </c>
      <c r="S5" t="s">
        <v>24</v>
      </c>
      <c r="T5" t="s">
        <v>25</v>
      </c>
      <c r="U5" t="s">
        <v>26</v>
      </c>
      <c r="V5" t="s">
        <v>27</v>
      </c>
      <c r="W5" t="s">
        <v>28</v>
      </c>
      <c r="X5">
        <v>1</v>
      </c>
      <c r="AA5" t="s">
        <v>24</v>
      </c>
      <c r="AB5" t="s">
        <v>25</v>
      </c>
      <c r="AC5" t="s">
        <v>26</v>
      </c>
      <c r="AD5" t="s">
        <v>27</v>
      </c>
      <c r="AE5" t="s">
        <v>28</v>
      </c>
      <c r="AF5">
        <v>1</v>
      </c>
      <c r="AI5" t="s">
        <v>24</v>
      </c>
      <c r="AJ5" t="s">
        <v>25</v>
      </c>
      <c r="AK5" t="s">
        <v>26</v>
      </c>
      <c r="AL5" t="s">
        <v>27</v>
      </c>
      <c r="AM5" t="s">
        <v>28</v>
      </c>
      <c r="AN5">
        <v>1</v>
      </c>
      <c r="AQ5" t="s">
        <v>24</v>
      </c>
      <c r="AR5" t="s">
        <v>25</v>
      </c>
      <c r="AS5" t="s">
        <v>26</v>
      </c>
      <c r="AT5" t="s">
        <v>27</v>
      </c>
      <c r="AU5" t="s">
        <v>28</v>
      </c>
      <c r="AV5">
        <v>1</v>
      </c>
      <c r="AY5" t="s">
        <v>24</v>
      </c>
      <c r="AZ5" t="s">
        <v>25</v>
      </c>
      <c r="BA5" t="s">
        <v>26</v>
      </c>
      <c r="BB5" t="s">
        <v>27</v>
      </c>
      <c r="BC5" t="s">
        <v>28</v>
      </c>
      <c r="BD5">
        <v>1</v>
      </c>
      <c r="BG5" t="s">
        <v>24</v>
      </c>
      <c r="BH5" t="s">
        <v>25</v>
      </c>
      <c r="BI5" t="s">
        <v>26</v>
      </c>
      <c r="BJ5" t="s">
        <v>27</v>
      </c>
      <c r="BK5" t="s">
        <v>28</v>
      </c>
      <c r="BL5">
        <v>1</v>
      </c>
      <c r="BO5" t="s">
        <v>24</v>
      </c>
      <c r="BP5" t="s">
        <v>25</v>
      </c>
      <c r="BQ5" t="s">
        <v>26</v>
      </c>
      <c r="BR5" t="s">
        <v>27</v>
      </c>
      <c r="BS5" t="s">
        <v>28</v>
      </c>
      <c r="BT5">
        <v>1</v>
      </c>
      <c r="BW5" t="s">
        <v>24</v>
      </c>
      <c r="BX5" t="s">
        <v>25</v>
      </c>
      <c r="BY5" t="s">
        <v>26</v>
      </c>
      <c r="BZ5" t="s">
        <v>27</v>
      </c>
      <c r="CA5" t="s">
        <v>28</v>
      </c>
      <c r="CB5">
        <v>1</v>
      </c>
    </row>
    <row r="6" spans="2:80" x14ac:dyDescent="0.2">
      <c r="C6" t="s">
        <v>24</v>
      </c>
      <c r="D6" t="s">
        <v>1</v>
      </c>
      <c r="E6" t="s">
        <v>29</v>
      </c>
      <c r="F6" t="s">
        <v>30</v>
      </c>
      <c r="K6" t="s">
        <v>24</v>
      </c>
      <c r="L6" t="s">
        <v>1</v>
      </c>
      <c r="M6" t="s">
        <v>29</v>
      </c>
      <c r="N6" t="s">
        <v>30</v>
      </c>
      <c r="S6" t="s">
        <v>24</v>
      </c>
      <c r="T6" t="s">
        <v>1</v>
      </c>
      <c r="U6" t="s">
        <v>29</v>
      </c>
      <c r="V6" t="s">
        <v>30</v>
      </c>
      <c r="AA6" t="s">
        <v>24</v>
      </c>
      <c r="AB6" t="s">
        <v>1</v>
      </c>
      <c r="AC6" t="s">
        <v>29</v>
      </c>
      <c r="AD6" t="s">
        <v>30</v>
      </c>
      <c r="AI6" t="s">
        <v>24</v>
      </c>
      <c r="AJ6" t="s">
        <v>1</v>
      </c>
      <c r="AK6" t="s">
        <v>29</v>
      </c>
      <c r="AL6" t="s">
        <v>30</v>
      </c>
      <c r="AQ6" t="s">
        <v>24</v>
      </c>
      <c r="AR6" t="s">
        <v>1</v>
      </c>
      <c r="AS6" t="s">
        <v>29</v>
      </c>
      <c r="AT6" t="s">
        <v>30</v>
      </c>
      <c r="AY6" t="s">
        <v>24</v>
      </c>
      <c r="AZ6" t="s">
        <v>1</v>
      </c>
      <c r="BA6" t="s">
        <v>29</v>
      </c>
      <c r="BB6" t="s">
        <v>30</v>
      </c>
      <c r="BG6" t="s">
        <v>24</v>
      </c>
      <c r="BH6" t="s">
        <v>1</v>
      </c>
      <c r="BI6" t="s">
        <v>29</v>
      </c>
      <c r="BJ6" t="s">
        <v>30</v>
      </c>
      <c r="BO6" t="s">
        <v>24</v>
      </c>
      <c r="BP6" t="s">
        <v>1</v>
      </c>
      <c r="BQ6" t="s">
        <v>29</v>
      </c>
      <c r="BR6" t="s">
        <v>30</v>
      </c>
      <c r="BW6" t="s">
        <v>24</v>
      </c>
      <c r="BX6" t="s">
        <v>1</v>
      </c>
      <c r="BY6" t="s">
        <v>29</v>
      </c>
      <c r="BZ6" t="s">
        <v>30</v>
      </c>
    </row>
    <row r="7" spans="2:80" x14ac:dyDescent="0.2">
      <c r="B7">
        <f>3.5*0.1</f>
        <v>0.35000000000000003</v>
      </c>
      <c r="C7">
        <v>0</v>
      </c>
      <c r="D7" s="3">
        <v>-333472</v>
      </c>
      <c r="E7" s="3">
        <v>-496715000</v>
      </c>
      <c r="J7">
        <f>3.5*0.1</f>
        <v>0.35000000000000003</v>
      </c>
      <c r="K7">
        <v>0</v>
      </c>
      <c r="L7" s="3">
        <v>-71718.2</v>
      </c>
      <c r="M7" s="3">
        <v>-167343000</v>
      </c>
      <c r="R7">
        <f>3.5*0.1</f>
        <v>0.35000000000000003</v>
      </c>
      <c r="S7">
        <v>0</v>
      </c>
      <c r="T7" s="3">
        <v>-1949140</v>
      </c>
      <c r="U7" s="3">
        <v>-2697680000</v>
      </c>
      <c r="Z7">
        <f>3.5*0.1</f>
        <v>0.35000000000000003</v>
      </c>
      <c r="AA7">
        <v>0</v>
      </c>
      <c r="AB7" s="3">
        <v>-47744.9</v>
      </c>
      <c r="AC7" s="3">
        <v>-59884300</v>
      </c>
      <c r="AH7">
        <f>3.5*0.1</f>
        <v>0.35000000000000003</v>
      </c>
      <c r="AI7">
        <v>0</v>
      </c>
      <c r="AJ7" s="3">
        <v>-2634830</v>
      </c>
      <c r="AK7" s="3">
        <v>-2604760000</v>
      </c>
      <c r="AP7">
        <f>3.5*0.1</f>
        <v>0.35000000000000003</v>
      </c>
      <c r="AQ7">
        <v>0</v>
      </c>
      <c r="AR7" s="3">
        <v>-67316.7</v>
      </c>
      <c r="AS7" s="3">
        <v>-59579700</v>
      </c>
      <c r="AX7">
        <f>3.5*0.1</f>
        <v>0.35000000000000003</v>
      </c>
      <c r="AY7">
        <v>0</v>
      </c>
      <c r="AZ7" s="3">
        <v>-608900000</v>
      </c>
      <c r="BA7" s="3">
        <v>-851670000000</v>
      </c>
      <c r="BF7">
        <f>3.5*0.1</f>
        <v>0.35000000000000003</v>
      </c>
      <c r="BG7">
        <v>0</v>
      </c>
      <c r="BH7" s="3">
        <v>-424781</v>
      </c>
      <c r="BI7" s="3">
        <v>-505346000</v>
      </c>
      <c r="BN7">
        <f>3.5*0.1</f>
        <v>0.35000000000000003</v>
      </c>
      <c r="BO7">
        <v>0</v>
      </c>
      <c r="BP7" s="3">
        <v>-5212.03</v>
      </c>
      <c r="BQ7" s="3">
        <v>-3634690</v>
      </c>
      <c r="BV7">
        <f>3.5*0.1</f>
        <v>0.35000000000000003</v>
      </c>
      <c r="BW7">
        <v>0</v>
      </c>
      <c r="BX7" s="3">
        <v>-2228440</v>
      </c>
      <c r="BY7" s="3">
        <v>-2979030000</v>
      </c>
    </row>
    <row r="8" spans="2:80" x14ac:dyDescent="0.2">
      <c r="B8">
        <f>B7+0.05</f>
        <v>0.4</v>
      </c>
      <c r="C8">
        <v>1</v>
      </c>
      <c r="D8" s="3">
        <v>-333472</v>
      </c>
      <c r="E8" s="3">
        <v>-496715000</v>
      </c>
      <c r="J8">
        <f>J7+0.05</f>
        <v>0.4</v>
      </c>
      <c r="K8">
        <v>1</v>
      </c>
      <c r="L8" s="3">
        <v>-71718.2</v>
      </c>
      <c r="M8" s="3">
        <v>-167343000</v>
      </c>
      <c r="R8">
        <f>R7+0.05</f>
        <v>0.4</v>
      </c>
      <c r="S8">
        <v>1</v>
      </c>
      <c r="T8" s="3">
        <v>-1949140</v>
      </c>
      <c r="U8" s="3">
        <v>-2697680000</v>
      </c>
      <c r="Z8">
        <f>Z7+0.05</f>
        <v>0.4</v>
      </c>
      <c r="AA8">
        <v>1</v>
      </c>
      <c r="AB8" s="3">
        <v>-47744.9</v>
      </c>
      <c r="AC8" s="3">
        <v>-59884300</v>
      </c>
      <c r="AH8">
        <f>AH7+0.05</f>
        <v>0.4</v>
      </c>
      <c r="AI8">
        <v>1</v>
      </c>
      <c r="AJ8" s="3">
        <v>-2634830</v>
      </c>
      <c r="AK8" s="3">
        <v>-2604760000</v>
      </c>
      <c r="AP8">
        <f>AP7+0.05</f>
        <v>0.4</v>
      </c>
      <c r="AQ8">
        <v>1</v>
      </c>
      <c r="AR8" s="3">
        <v>-67316.7</v>
      </c>
      <c r="AS8" s="3">
        <v>-59579700</v>
      </c>
      <c r="AX8">
        <f>AX7+0.05</f>
        <v>0.4</v>
      </c>
      <c r="AY8">
        <v>1</v>
      </c>
      <c r="AZ8" s="3">
        <v>-608900000</v>
      </c>
      <c r="BA8" s="3">
        <v>-851670000000</v>
      </c>
      <c r="BF8">
        <f>BF7+0.05</f>
        <v>0.4</v>
      </c>
      <c r="BG8">
        <v>1</v>
      </c>
      <c r="BH8" s="3">
        <v>-424781</v>
      </c>
      <c r="BI8" s="3">
        <v>-505346000</v>
      </c>
      <c r="BN8">
        <f>BN7+0.05</f>
        <v>0.4</v>
      </c>
      <c r="BO8">
        <v>1</v>
      </c>
      <c r="BP8" s="3">
        <v>-5212.03</v>
      </c>
      <c r="BQ8" s="3">
        <v>-3634690</v>
      </c>
      <c r="BV8">
        <f>BV7+0.05</f>
        <v>0.4</v>
      </c>
      <c r="BW8">
        <v>1</v>
      </c>
      <c r="BX8" s="3">
        <v>-2228440</v>
      </c>
      <c r="BY8" s="3">
        <v>-2979030000</v>
      </c>
    </row>
    <row r="9" spans="2:80" x14ac:dyDescent="0.2">
      <c r="B9">
        <f t="shared" ref="B9:B72" si="0">B8+0.05</f>
        <v>0.45</v>
      </c>
      <c r="C9">
        <v>2</v>
      </c>
      <c r="D9" s="3">
        <v>-192077</v>
      </c>
      <c r="E9" s="3">
        <v>-333004000</v>
      </c>
      <c r="J9">
        <f t="shared" ref="J9:J72" si="1">J8+0.05</f>
        <v>0.45</v>
      </c>
      <c r="K9">
        <v>2</v>
      </c>
      <c r="L9" s="3">
        <v>-27558.7</v>
      </c>
      <c r="M9" s="3">
        <v>-93787100</v>
      </c>
      <c r="R9">
        <f t="shared" ref="R9:R72" si="2">R8+0.05</f>
        <v>0.45</v>
      </c>
      <c r="S9">
        <v>2</v>
      </c>
      <c r="T9" s="3">
        <v>-1167890</v>
      </c>
      <c r="U9" s="3">
        <v>-1878430000</v>
      </c>
      <c r="Z9">
        <f t="shared" ref="Z9:Z72" si="3">Z8+0.05</f>
        <v>0.45</v>
      </c>
      <c r="AA9">
        <v>2</v>
      </c>
      <c r="AB9" s="3">
        <v>-30080.6</v>
      </c>
      <c r="AC9" s="3">
        <v>-43437100</v>
      </c>
      <c r="AH9">
        <f t="shared" ref="AH9:AH72" si="4">AH8+0.05</f>
        <v>0.45</v>
      </c>
      <c r="AI9">
        <v>2</v>
      </c>
      <c r="AJ9" s="3">
        <v>-1828230</v>
      </c>
      <c r="AK9" s="3">
        <v>-2095660000</v>
      </c>
      <c r="AP9">
        <f t="shared" ref="AP9:AP72" si="5">AP8+0.05</f>
        <v>0.45</v>
      </c>
      <c r="AQ9">
        <v>2</v>
      </c>
      <c r="AR9" s="3">
        <v>-48422</v>
      </c>
      <c r="AS9" s="3">
        <v>-50356300</v>
      </c>
      <c r="AX9">
        <f t="shared" ref="AX9:AX72" si="6">AX8+0.05</f>
        <v>0.45</v>
      </c>
      <c r="AY9">
        <v>2</v>
      </c>
      <c r="AZ9" s="3">
        <v>-362762000</v>
      </c>
      <c r="BA9" s="3">
        <v>-590320000000</v>
      </c>
      <c r="BF9">
        <f t="shared" ref="BF9:BF72" si="7">BF8+0.05</f>
        <v>0.45</v>
      </c>
      <c r="BG9">
        <v>2</v>
      </c>
      <c r="BH9" s="3">
        <v>-273913</v>
      </c>
      <c r="BI9" s="3">
        <v>-376165000</v>
      </c>
      <c r="BN9">
        <f t="shared" ref="BN9:BN72" si="8">BN8+0.05</f>
        <v>0.45</v>
      </c>
      <c r="BO9">
        <v>2</v>
      </c>
      <c r="BP9" s="3">
        <v>-4024.21</v>
      </c>
      <c r="BQ9" s="3">
        <v>-3280020</v>
      </c>
      <c r="BV9">
        <f t="shared" ref="BV9:BV72" si="9">BV8+0.05</f>
        <v>0.45</v>
      </c>
      <c r="BW9">
        <v>2</v>
      </c>
      <c r="BX9" s="3">
        <v>-1357320</v>
      </c>
      <c r="BY9" s="3">
        <v>-2118070000</v>
      </c>
    </row>
    <row r="10" spans="2:80" x14ac:dyDescent="0.2">
      <c r="B10">
        <f t="shared" si="0"/>
        <v>0.5</v>
      </c>
      <c r="C10">
        <v>3</v>
      </c>
      <c r="D10" s="3">
        <v>-109501</v>
      </c>
      <c r="E10" s="3">
        <v>-217617000</v>
      </c>
      <c r="J10">
        <f t="shared" si="1"/>
        <v>0.5</v>
      </c>
      <c r="K10">
        <v>3</v>
      </c>
      <c r="L10" s="3">
        <v>-6619.46</v>
      </c>
      <c r="M10" s="3">
        <v>-47514300</v>
      </c>
      <c r="R10">
        <f t="shared" si="2"/>
        <v>0.5</v>
      </c>
      <c r="S10">
        <v>3</v>
      </c>
      <c r="T10" s="3">
        <v>-693689</v>
      </c>
      <c r="U10" s="3">
        <v>-1276910000</v>
      </c>
      <c r="Z10">
        <f t="shared" si="3"/>
        <v>0.5</v>
      </c>
      <c r="AA10">
        <v>3</v>
      </c>
      <c r="AB10" s="3">
        <v>-18884.900000000001</v>
      </c>
      <c r="AC10" s="3">
        <v>-30920500</v>
      </c>
      <c r="AH10">
        <f t="shared" si="4"/>
        <v>0.5</v>
      </c>
      <c r="AI10">
        <v>3</v>
      </c>
      <c r="AJ10" s="3">
        <v>-1261960</v>
      </c>
      <c r="AK10" s="3">
        <v>-1650180000</v>
      </c>
      <c r="AP10">
        <f t="shared" si="5"/>
        <v>0.5</v>
      </c>
      <c r="AQ10">
        <v>3</v>
      </c>
      <c r="AR10" s="3">
        <v>-34526.699999999997</v>
      </c>
      <c r="AS10" s="3">
        <v>-41414300</v>
      </c>
      <c r="AX10">
        <f t="shared" si="6"/>
        <v>0.5</v>
      </c>
      <c r="AY10">
        <v>3</v>
      </c>
      <c r="AZ10" s="3">
        <v>-214083000</v>
      </c>
      <c r="BA10" s="3">
        <v>-399210000000</v>
      </c>
      <c r="BF10">
        <f t="shared" si="7"/>
        <v>0.5</v>
      </c>
      <c r="BG10">
        <v>3</v>
      </c>
      <c r="BH10" s="3">
        <v>-175808</v>
      </c>
      <c r="BI10" s="3">
        <v>-274651000</v>
      </c>
      <c r="BN10">
        <f t="shared" si="8"/>
        <v>0.5</v>
      </c>
      <c r="BO10">
        <v>3</v>
      </c>
      <c r="BP10" s="3">
        <v>-3085.76</v>
      </c>
      <c r="BQ10" s="3">
        <v>-2914710</v>
      </c>
      <c r="BV10">
        <f t="shared" si="9"/>
        <v>0.5</v>
      </c>
      <c r="BW10">
        <v>3</v>
      </c>
      <c r="BX10" s="3">
        <v>-817713</v>
      </c>
      <c r="BY10" s="3">
        <v>-1468400000</v>
      </c>
    </row>
    <row r="11" spans="2:80" x14ac:dyDescent="0.2">
      <c r="B11">
        <f t="shared" si="0"/>
        <v>0.55000000000000004</v>
      </c>
      <c r="C11">
        <v>4</v>
      </c>
      <c r="D11" s="3">
        <v>-61754.1</v>
      </c>
      <c r="E11" s="3">
        <v>-139028000</v>
      </c>
      <c r="J11">
        <f t="shared" si="1"/>
        <v>0.55000000000000004</v>
      </c>
      <c r="K11">
        <v>4</v>
      </c>
      <c r="L11" s="3">
        <v>2262.4699999999998</v>
      </c>
      <c r="M11" s="3">
        <v>-20185600</v>
      </c>
      <c r="R11">
        <f t="shared" si="2"/>
        <v>0.55000000000000004</v>
      </c>
      <c r="S11">
        <v>4</v>
      </c>
      <c r="T11" s="3">
        <v>-408276</v>
      </c>
      <c r="U11" s="3">
        <v>-849929000</v>
      </c>
      <c r="Z11">
        <f t="shared" si="3"/>
        <v>0.55000000000000004</v>
      </c>
      <c r="AA11">
        <v>4</v>
      </c>
      <c r="AB11">
        <v>-11811.4</v>
      </c>
      <c r="AC11" s="3">
        <v>-21667900</v>
      </c>
      <c r="AH11">
        <f t="shared" si="4"/>
        <v>0.55000000000000004</v>
      </c>
      <c r="AI11">
        <v>4</v>
      </c>
      <c r="AJ11" s="3">
        <v>-866632</v>
      </c>
      <c r="AK11" s="3">
        <v>-1276310000</v>
      </c>
      <c r="AP11">
        <f t="shared" si="5"/>
        <v>0.55000000000000004</v>
      </c>
      <c r="AQ11">
        <v>4</v>
      </c>
      <c r="AR11" s="3">
        <v>-24419</v>
      </c>
      <c r="AS11" s="3">
        <v>-33295100</v>
      </c>
      <c r="AX11">
        <f t="shared" si="6"/>
        <v>0.55000000000000004</v>
      </c>
      <c r="AY11">
        <v>4</v>
      </c>
      <c r="AZ11" s="3">
        <v>-125087000</v>
      </c>
      <c r="BA11" s="3">
        <v>-264159000000</v>
      </c>
      <c r="BF11">
        <f t="shared" si="7"/>
        <v>0.55000000000000004</v>
      </c>
      <c r="BG11">
        <v>4</v>
      </c>
      <c r="BH11" s="3">
        <v>-112252</v>
      </c>
      <c r="BI11" s="3">
        <v>-197269000</v>
      </c>
      <c r="BN11">
        <f t="shared" si="8"/>
        <v>0.55000000000000004</v>
      </c>
      <c r="BO11">
        <v>4</v>
      </c>
      <c r="BP11" s="3">
        <v>-2345.64</v>
      </c>
      <c r="BQ11" s="3">
        <v>-2548200</v>
      </c>
      <c r="BV11">
        <f t="shared" si="9"/>
        <v>0.55000000000000004</v>
      </c>
      <c r="BW11">
        <v>4</v>
      </c>
      <c r="BX11" s="3">
        <v>-486716</v>
      </c>
      <c r="BY11" s="3">
        <v>-995235000</v>
      </c>
    </row>
    <row r="12" spans="2:80" x14ac:dyDescent="0.2">
      <c r="B12">
        <f t="shared" si="0"/>
        <v>0.60000000000000009</v>
      </c>
      <c r="C12">
        <v>5</v>
      </c>
      <c r="D12" s="3">
        <v>-34432</v>
      </c>
      <c r="E12" s="3">
        <v>-87000000</v>
      </c>
      <c r="J12">
        <f t="shared" si="1"/>
        <v>0.60000000000000009</v>
      </c>
      <c r="K12">
        <v>5</v>
      </c>
      <c r="L12" s="3">
        <v>5203.84</v>
      </c>
      <c r="M12" s="3">
        <v>-5213830</v>
      </c>
      <c r="R12">
        <f t="shared" si="2"/>
        <v>0.60000000000000009</v>
      </c>
      <c r="S12">
        <v>5</v>
      </c>
      <c r="T12" s="3">
        <v>-237996</v>
      </c>
      <c r="U12" s="3">
        <v>-555043000</v>
      </c>
      <c r="Z12">
        <f t="shared" si="3"/>
        <v>0.60000000000000009</v>
      </c>
      <c r="AA12">
        <v>5</v>
      </c>
      <c r="AB12">
        <v>-7357.35</v>
      </c>
      <c r="AC12" s="3">
        <v>-14979200</v>
      </c>
      <c r="AH12">
        <f t="shared" si="4"/>
        <v>0.60000000000000009</v>
      </c>
      <c r="AI12">
        <v>5</v>
      </c>
      <c r="AJ12" s="3">
        <v>-592136</v>
      </c>
      <c r="AK12" s="3">
        <v>-972104000</v>
      </c>
      <c r="AP12">
        <f t="shared" si="5"/>
        <v>0.60000000000000009</v>
      </c>
      <c r="AQ12">
        <v>5</v>
      </c>
      <c r="AR12" s="3">
        <v>-17138.2</v>
      </c>
      <c r="AS12" s="3">
        <v>-26253400</v>
      </c>
      <c r="AX12">
        <f t="shared" si="6"/>
        <v>0.60000000000000009</v>
      </c>
      <c r="AY12">
        <v>5</v>
      </c>
      <c r="AZ12" s="3">
        <v>-72321500</v>
      </c>
      <c r="BA12" s="3">
        <v>-171356000000</v>
      </c>
      <c r="BF12">
        <f t="shared" si="7"/>
        <v>0.60000000000000009</v>
      </c>
      <c r="BG12">
        <v>5</v>
      </c>
      <c r="BH12" s="3">
        <v>-71251.3</v>
      </c>
      <c r="BI12" s="3">
        <v>-139644000</v>
      </c>
      <c r="BN12">
        <f t="shared" si="8"/>
        <v>0.60000000000000009</v>
      </c>
      <c r="BO12">
        <v>5</v>
      </c>
      <c r="BP12" s="3">
        <v>-1765.13</v>
      </c>
      <c r="BQ12" s="3">
        <v>-2190040</v>
      </c>
      <c r="BV12">
        <f t="shared" si="9"/>
        <v>0.60000000000000009</v>
      </c>
      <c r="BW12">
        <v>5</v>
      </c>
      <c r="BX12">
        <v>-285818</v>
      </c>
      <c r="BY12" s="3">
        <v>-660440000</v>
      </c>
    </row>
    <row r="13" spans="2:80" x14ac:dyDescent="0.2">
      <c r="B13">
        <f t="shared" si="0"/>
        <v>0.65000000000000013</v>
      </c>
      <c r="C13">
        <v>6</v>
      </c>
      <c r="D13" s="3">
        <v>-18966.5</v>
      </c>
      <c r="E13" s="3">
        <v>-53393400</v>
      </c>
      <c r="J13">
        <f t="shared" si="1"/>
        <v>0.65000000000000013</v>
      </c>
      <c r="K13">
        <v>6</v>
      </c>
      <c r="L13" s="3">
        <v>5450.8</v>
      </c>
      <c r="M13" s="3">
        <v>2151260</v>
      </c>
      <c r="R13">
        <f t="shared" si="2"/>
        <v>0.65000000000000013</v>
      </c>
      <c r="S13">
        <v>6</v>
      </c>
      <c r="T13" s="3">
        <v>-137335</v>
      </c>
      <c r="U13" s="3">
        <v>-356099000</v>
      </c>
      <c r="Z13">
        <f t="shared" si="3"/>
        <v>0.65000000000000013</v>
      </c>
      <c r="AA13">
        <v>6</v>
      </c>
      <c r="AB13">
        <v>-4563.03</v>
      </c>
      <c r="AC13" s="3">
        <v>-10230600</v>
      </c>
      <c r="AH13">
        <f t="shared" si="4"/>
        <v>0.65000000000000013</v>
      </c>
      <c r="AI13">
        <v>6</v>
      </c>
      <c r="AJ13" s="3">
        <v>-402536</v>
      </c>
      <c r="AK13" s="3">
        <v>-730500000</v>
      </c>
      <c r="AP13">
        <f t="shared" si="5"/>
        <v>0.65000000000000013</v>
      </c>
      <c r="AQ13">
        <v>6</v>
      </c>
      <c r="AR13" s="3">
        <v>-11940.6</v>
      </c>
      <c r="AS13" s="3">
        <v>-20353500</v>
      </c>
      <c r="AX13">
        <f t="shared" si="6"/>
        <v>0.65000000000000013</v>
      </c>
      <c r="AY13">
        <v>6</v>
      </c>
      <c r="AZ13" s="3">
        <v>-41350300</v>
      </c>
      <c r="BA13" s="3">
        <v>-109100000000</v>
      </c>
      <c r="BF13">
        <f t="shared" si="7"/>
        <v>0.65000000000000013</v>
      </c>
      <c r="BG13">
        <v>6</v>
      </c>
      <c r="BH13" s="3">
        <v>-44926.6</v>
      </c>
      <c r="BI13" s="3">
        <v>-97538700</v>
      </c>
      <c r="BN13">
        <f t="shared" si="8"/>
        <v>0.65000000000000013</v>
      </c>
      <c r="BO13">
        <v>6</v>
      </c>
      <c r="BP13" s="3">
        <v>-1313.51</v>
      </c>
      <c r="BQ13" s="3">
        <v>-1849400</v>
      </c>
      <c r="BV13">
        <f t="shared" si="9"/>
        <v>0.65000000000000013</v>
      </c>
      <c r="BW13">
        <v>6</v>
      </c>
      <c r="BX13">
        <v>-165281</v>
      </c>
      <c r="BY13" s="3">
        <v>-429399000</v>
      </c>
    </row>
    <row r="14" spans="2:80" x14ac:dyDescent="0.2">
      <c r="B14">
        <f t="shared" si="0"/>
        <v>0.70000000000000018</v>
      </c>
      <c r="C14">
        <v>7</v>
      </c>
      <c r="D14" s="3">
        <v>-10311.5</v>
      </c>
      <c r="E14" s="3">
        <v>-32161500</v>
      </c>
      <c r="J14">
        <f t="shared" si="1"/>
        <v>0.70000000000000018</v>
      </c>
      <c r="K14">
        <v>7</v>
      </c>
      <c r="L14" s="3">
        <v>4652.82</v>
      </c>
      <c r="M14" s="3">
        <v>5115980</v>
      </c>
      <c r="R14">
        <f t="shared" si="2"/>
        <v>0.70000000000000018</v>
      </c>
      <c r="S14">
        <v>7</v>
      </c>
      <c r="T14" s="3">
        <v>-78399.600000000006</v>
      </c>
      <c r="U14" s="3">
        <v>-224641000</v>
      </c>
      <c r="Z14">
        <f t="shared" si="3"/>
        <v>0.70000000000000018</v>
      </c>
      <c r="AA14">
        <v>7</v>
      </c>
      <c r="AB14">
        <v>-2816.83</v>
      </c>
      <c r="AC14" s="3">
        <v>-6910540</v>
      </c>
      <c r="AH14">
        <f t="shared" si="4"/>
        <v>0.70000000000000018</v>
      </c>
      <c r="AI14">
        <v>7</v>
      </c>
      <c r="AJ14" s="3">
        <v>-272242</v>
      </c>
      <c r="AK14" s="3">
        <v>-542370000</v>
      </c>
      <c r="AP14">
        <f t="shared" si="5"/>
        <v>0.70000000000000018</v>
      </c>
      <c r="AQ14">
        <v>7</v>
      </c>
      <c r="AR14" s="3">
        <v>-8261.0400000000009</v>
      </c>
      <c r="AS14" s="3">
        <v>-15543900</v>
      </c>
      <c r="AX14">
        <f t="shared" si="6"/>
        <v>0.70000000000000018</v>
      </c>
      <c r="AY14">
        <v>7</v>
      </c>
      <c r="AZ14" s="3">
        <v>-23363600</v>
      </c>
      <c r="BA14" s="3">
        <v>-68227700000</v>
      </c>
      <c r="BF14">
        <f t="shared" si="7"/>
        <v>0.70000000000000018</v>
      </c>
      <c r="BG14">
        <v>7</v>
      </c>
      <c r="BH14" s="3">
        <v>-28115.4</v>
      </c>
      <c r="BI14" s="3">
        <v>-67267200</v>
      </c>
      <c r="BN14">
        <f t="shared" si="8"/>
        <v>0.70000000000000018</v>
      </c>
      <c r="BO14">
        <v>7</v>
      </c>
      <c r="BP14" s="3">
        <v>-965.68899999999996</v>
      </c>
      <c r="BQ14" s="3">
        <v>-1534140</v>
      </c>
      <c r="BV14">
        <f t="shared" si="9"/>
        <v>0.70000000000000018</v>
      </c>
      <c r="BW14">
        <v>7</v>
      </c>
      <c r="BX14">
        <v>-93874.5</v>
      </c>
      <c r="BY14" s="3">
        <v>-273520000</v>
      </c>
    </row>
    <row r="15" spans="2:80" x14ac:dyDescent="0.2">
      <c r="B15">
        <f t="shared" si="0"/>
        <v>0.75000000000000022</v>
      </c>
      <c r="C15">
        <v>8</v>
      </c>
      <c r="D15" s="3">
        <v>-5525.81</v>
      </c>
      <c r="E15" s="3">
        <v>-19020100</v>
      </c>
      <c r="J15">
        <f t="shared" si="1"/>
        <v>0.75000000000000022</v>
      </c>
      <c r="K15">
        <v>8</v>
      </c>
      <c r="L15" s="3">
        <v>3595.83</v>
      </c>
      <c r="M15" s="3">
        <v>5725540</v>
      </c>
      <c r="R15">
        <f t="shared" si="2"/>
        <v>0.75000000000000022</v>
      </c>
      <c r="S15">
        <v>8</v>
      </c>
      <c r="T15" s="3">
        <v>-44241.599999999999</v>
      </c>
      <c r="U15" s="3">
        <v>-139411000</v>
      </c>
      <c r="Z15">
        <f t="shared" si="3"/>
        <v>0.75000000000000022</v>
      </c>
      <c r="AA15">
        <v>8</v>
      </c>
      <c r="AB15">
        <v>-1730.22</v>
      </c>
      <c r="AC15" s="3">
        <v>-4619980</v>
      </c>
      <c r="AH15">
        <f t="shared" si="4"/>
        <v>0.75000000000000022</v>
      </c>
      <c r="AI15">
        <v>8</v>
      </c>
      <c r="AJ15" s="3">
        <v>-183156</v>
      </c>
      <c r="AK15" s="3">
        <v>-398292000</v>
      </c>
      <c r="AP15">
        <f t="shared" si="5"/>
        <v>0.75000000000000022</v>
      </c>
      <c r="AQ15">
        <v>8</v>
      </c>
      <c r="AR15" s="3">
        <v>-5676.54</v>
      </c>
      <c r="AS15" s="3">
        <v>-11710700</v>
      </c>
      <c r="AX15">
        <f t="shared" si="6"/>
        <v>0.75000000000000022</v>
      </c>
      <c r="AY15">
        <v>8</v>
      </c>
      <c r="AZ15" s="3">
        <v>-13034700</v>
      </c>
      <c r="BA15" s="3">
        <v>-41923400000</v>
      </c>
      <c r="BF15">
        <f t="shared" si="7"/>
        <v>0.75000000000000022</v>
      </c>
      <c r="BG15">
        <v>8</v>
      </c>
      <c r="BH15" s="3">
        <v>-17445</v>
      </c>
      <c r="BI15" s="3">
        <v>-45815000</v>
      </c>
      <c r="BN15">
        <f t="shared" si="8"/>
        <v>0.75000000000000022</v>
      </c>
      <c r="BO15">
        <v>8</v>
      </c>
      <c r="BP15" s="3">
        <v>-700.85199999999998</v>
      </c>
      <c r="BQ15" s="3">
        <v>-1250040</v>
      </c>
      <c r="BV15">
        <f t="shared" si="9"/>
        <v>0.75000000000000022</v>
      </c>
      <c r="BW15">
        <v>8</v>
      </c>
      <c r="BX15">
        <v>-52173.8</v>
      </c>
      <c r="BY15" s="3">
        <v>-170561000</v>
      </c>
    </row>
    <row r="16" spans="2:80" x14ac:dyDescent="0.2">
      <c r="B16">
        <f t="shared" si="0"/>
        <v>0.80000000000000027</v>
      </c>
      <c r="C16">
        <v>9</v>
      </c>
      <c r="D16" s="3">
        <v>-2913.2</v>
      </c>
      <c r="E16" s="3">
        <v>-11043000</v>
      </c>
      <c r="J16">
        <f t="shared" si="1"/>
        <v>0.80000000000000027</v>
      </c>
      <c r="K16">
        <v>9</v>
      </c>
      <c r="L16" s="3">
        <v>2615.5500000000002</v>
      </c>
      <c r="M16" s="3">
        <v>5214140</v>
      </c>
      <c r="R16">
        <f t="shared" si="2"/>
        <v>0.80000000000000027</v>
      </c>
      <c r="S16">
        <v>9</v>
      </c>
      <c r="T16">
        <v>-24655</v>
      </c>
      <c r="U16" s="3">
        <v>-85128900</v>
      </c>
      <c r="Z16">
        <f t="shared" si="3"/>
        <v>0.80000000000000027</v>
      </c>
      <c r="AA16">
        <v>9</v>
      </c>
      <c r="AB16">
        <v>-1057.0899999999999</v>
      </c>
      <c r="AC16" s="3">
        <v>-3058610</v>
      </c>
      <c r="AH16">
        <f t="shared" si="4"/>
        <v>0.80000000000000027</v>
      </c>
      <c r="AI16">
        <v>9</v>
      </c>
      <c r="AJ16" s="3">
        <v>-122552</v>
      </c>
      <c r="AK16" s="3">
        <v>-289520000</v>
      </c>
      <c r="AP16">
        <f t="shared" si="5"/>
        <v>0.80000000000000027</v>
      </c>
      <c r="AQ16">
        <v>9</v>
      </c>
      <c r="AR16" s="3">
        <v>-3874.72</v>
      </c>
      <c r="AS16" s="3">
        <v>-8713730</v>
      </c>
      <c r="AX16">
        <f t="shared" si="6"/>
        <v>0.80000000000000027</v>
      </c>
      <c r="AY16">
        <v>9</v>
      </c>
      <c r="AZ16" s="3">
        <v>-7174020</v>
      </c>
      <c r="BA16" s="3">
        <v>-25312100000</v>
      </c>
      <c r="BF16">
        <f t="shared" si="7"/>
        <v>0.80000000000000027</v>
      </c>
      <c r="BG16">
        <v>9</v>
      </c>
      <c r="BH16" s="3">
        <v>-10719.3</v>
      </c>
      <c r="BI16" s="3">
        <v>-30814300</v>
      </c>
      <c r="BN16">
        <f t="shared" si="8"/>
        <v>0.80000000000000027</v>
      </c>
      <c r="BO16">
        <v>9</v>
      </c>
      <c r="BP16" s="3">
        <v>-501.67500000000001</v>
      </c>
      <c r="BQ16" s="3">
        <v>-1000510</v>
      </c>
      <c r="BV16">
        <f t="shared" si="9"/>
        <v>0.80000000000000027</v>
      </c>
      <c r="BW16">
        <v>9</v>
      </c>
      <c r="BX16">
        <v>-28216.1</v>
      </c>
      <c r="BY16" s="3">
        <v>-103949000</v>
      </c>
    </row>
    <row r="17" spans="2:77" x14ac:dyDescent="0.2">
      <c r="B17">
        <f t="shared" si="0"/>
        <v>0.85000000000000031</v>
      </c>
      <c r="C17">
        <v>10</v>
      </c>
      <c r="D17" s="3">
        <v>-1506.48</v>
      </c>
      <c r="E17" s="3">
        <v>-6290990</v>
      </c>
      <c r="J17">
        <f t="shared" si="1"/>
        <v>0.85000000000000031</v>
      </c>
      <c r="K17">
        <v>10</v>
      </c>
      <c r="L17" s="3">
        <v>1824.88</v>
      </c>
      <c r="M17" s="3">
        <v>4281450</v>
      </c>
      <c r="R17">
        <f t="shared" si="2"/>
        <v>0.85000000000000031</v>
      </c>
      <c r="S17">
        <v>10</v>
      </c>
      <c r="T17">
        <v>-13551</v>
      </c>
      <c r="U17" s="3">
        <v>-51143400</v>
      </c>
      <c r="Z17">
        <f t="shared" si="3"/>
        <v>0.85000000000000031</v>
      </c>
      <c r="AA17">
        <v>10</v>
      </c>
      <c r="AB17">
        <v>-642.09400000000005</v>
      </c>
      <c r="AC17" s="3">
        <v>-2006060</v>
      </c>
      <c r="AH17">
        <f t="shared" si="4"/>
        <v>0.85000000000000031</v>
      </c>
      <c r="AI17">
        <v>10</v>
      </c>
      <c r="AJ17" s="3">
        <v>-81534.600000000006</v>
      </c>
      <c r="AK17" s="3">
        <v>-208437000</v>
      </c>
      <c r="AP17">
        <f t="shared" si="5"/>
        <v>0.85000000000000031</v>
      </c>
      <c r="AQ17">
        <v>10</v>
      </c>
      <c r="AR17" s="3">
        <v>-2627.56</v>
      </c>
      <c r="AS17" s="3">
        <v>-6409610</v>
      </c>
      <c r="AX17">
        <f t="shared" si="6"/>
        <v>0.85000000000000031</v>
      </c>
      <c r="AY17">
        <v>10</v>
      </c>
      <c r="AZ17" s="3">
        <v>-3890990</v>
      </c>
      <c r="BA17" s="3">
        <v>-15013400000</v>
      </c>
      <c r="BF17">
        <f t="shared" si="7"/>
        <v>0.85000000000000031</v>
      </c>
      <c r="BG17">
        <v>10</v>
      </c>
      <c r="BH17" s="3">
        <v>-6513.46</v>
      </c>
      <c r="BI17" s="3">
        <v>-20458300</v>
      </c>
      <c r="BN17">
        <f t="shared" si="8"/>
        <v>0.85000000000000031</v>
      </c>
      <c r="BO17">
        <v>10</v>
      </c>
      <c r="BP17" s="3">
        <v>-353.82</v>
      </c>
      <c r="BQ17" s="3">
        <v>-786653</v>
      </c>
      <c r="BV17">
        <f t="shared" si="9"/>
        <v>0.85000000000000031</v>
      </c>
      <c r="BW17">
        <v>10</v>
      </c>
      <c r="BX17">
        <v>-14714.4</v>
      </c>
      <c r="BY17" s="3">
        <v>-61741400</v>
      </c>
    </row>
    <row r="18" spans="2:77" x14ac:dyDescent="0.2">
      <c r="B18">
        <f t="shared" si="0"/>
        <v>0.90000000000000036</v>
      </c>
      <c r="C18">
        <v>11</v>
      </c>
      <c r="D18" s="3">
        <v>-760.50900000000001</v>
      </c>
      <c r="E18" s="3">
        <v>-3512180</v>
      </c>
      <c r="J18">
        <f t="shared" si="1"/>
        <v>0.90000000000000036</v>
      </c>
      <c r="K18">
        <v>11</v>
      </c>
      <c r="L18" s="3">
        <v>1234.97</v>
      </c>
      <c r="M18" s="3">
        <v>3292970</v>
      </c>
      <c r="R18">
        <f t="shared" si="2"/>
        <v>0.90000000000000036</v>
      </c>
      <c r="S18">
        <v>11</v>
      </c>
      <c r="T18">
        <v>-7332.31</v>
      </c>
      <c r="U18" s="3">
        <v>-30217600</v>
      </c>
      <c r="Z18">
        <f t="shared" si="3"/>
        <v>0.90000000000000036</v>
      </c>
      <c r="AA18">
        <v>11</v>
      </c>
      <c r="AB18">
        <v>-387.51600000000002</v>
      </c>
      <c r="AC18" s="3">
        <v>-1303880</v>
      </c>
      <c r="AH18">
        <f t="shared" si="4"/>
        <v>0.90000000000000036</v>
      </c>
      <c r="AI18">
        <v>11</v>
      </c>
      <c r="AJ18" s="3">
        <v>-53918.7</v>
      </c>
      <c r="AK18" s="3">
        <v>-148680000</v>
      </c>
      <c r="AP18">
        <f t="shared" si="5"/>
        <v>0.90000000000000036</v>
      </c>
      <c r="AQ18">
        <v>11</v>
      </c>
      <c r="AR18" s="3">
        <v>-1770.27</v>
      </c>
      <c r="AS18" s="3">
        <v>-4664380</v>
      </c>
      <c r="AX18">
        <f t="shared" si="6"/>
        <v>0.90000000000000036</v>
      </c>
      <c r="AY18">
        <v>11</v>
      </c>
      <c r="AZ18" s="3">
        <v>-2077040</v>
      </c>
      <c r="BA18" s="3">
        <v>-8743650000</v>
      </c>
      <c r="BF18">
        <f t="shared" si="7"/>
        <v>0.90000000000000036</v>
      </c>
      <c r="BG18">
        <v>11</v>
      </c>
      <c r="BH18" s="3">
        <v>-3907</v>
      </c>
      <c r="BI18" s="3">
        <v>-13398800</v>
      </c>
      <c r="BN18">
        <f t="shared" si="8"/>
        <v>0.90000000000000036</v>
      </c>
      <c r="BO18">
        <v>11</v>
      </c>
      <c r="BP18">
        <v>-245.54400000000001</v>
      </c>
      <c r="BQ18" s="3">
        <v>-607605</v>
      </c>
      <c r="BV18">
        <f t="shared" si="9"/>
        <v>0.90000000000000036</v>
      </c>
      <c r="BW18">
        <v>11</v>
      </c>
      <c r="BX18">
        <v>-7281.59</v>
      </c>
      <c r="BY18" s="3">
        <v>-35572100</v>
      </c>
    </row>
    <row r="19" spans="2:77" x14ac:dyDescent="0.2">
      <c r="B19">
        <f t="shared" si="0"/>
        <v>0.9500000000000004</v>
      </c>
      <c r="C19">
        <v>12</v>
      </c>
      <c r="D19" s="3">
        <v>-371.74299999999999</v>
      </c>
      <c r="E19" s="3">
        <v>-1917190</v>
      </c>
      <c r="J19">
        <f t="shared" si="1"/>
        <v>0.9500000000000004</v>
      </c>
      <c r="K19">
        <v>12</v>
      </c>
      <c r="L19" s="3">
        <v>817.07899999999995</v>
      </c>
      <c r="M19" s="3">
        <v>2416280</v>
      </c>
      <c r="R19">
        <f t="shared" si="2"/>
        <v>0.9500000000000004</v>
      </c>
      <c r="S19">
        <v>12</v>
      </c>
      <c r="T19">
        <v>-3895.53</v>
      </c>
      <c r="U19" s="3">
        <v>-17545000</v>
      </c>
      <c r="Z19">
        <f t="shared" si="3"/>
        <v>0.9500000000000004</v>
      </c>
      <c r="AA19">
        <v>12</v>
      </c>
      <c r="AB19">
        <v>-232.15700000000001</v>
      </c>
      <c r="AC19" s="3">
        <v>-840085</v>
      </c>
      <c r="AH19">
        <f t="shared" si="4"/>
        <v>0.9500000000000004</v>
      </c>
      <c r="AI19">
        <v>12</v>
      </c>
      <c r="AJ19">
        <v>-35426.5</v>
      </c>
      <c r="AK19" s="3">
        <v>-105100000</v>
      </c>
      <c r="AP19">
        <f t="shared" si="5"/>
        <v>0.9500000000000004</v>
      </c>
      <c r="AQ19">
        <v>12</v>
      </c>
      <c r="AR19" s="3">
        <v>-1184.94</v>
      </c>
      <c r="AS19" s="3">
        <v>-3360220</v>
      </c>
      <c r="AX19">
        <f t="shared" si="6"/>
        <v>0.9500000000000004</v>
      </c>
      <c r="AY19">
        <v>12</v>
      </c>
      <c r="AZ19" s="3">
        <v>-1089590</v>
      </c>
      <c r="BA19" s="3">
        <v>-4996150000</v>
      </c>
      <c r="BF19">
        <f t="shared" si="7"/>
        <v>0.9500000000000004</v>
      </c>
      <c r="BG19">
        <v>12</v>
      </c>
      <c r="BH19" s="3">
        <v>-2308.37</v>
      </c>
      <c r="BI19" s="3">
        <v>-8647850</v>
      </c>
      <c r="BN19">
        <f t="shared" si="8"/>
        <v>0.9500000000000004</v>
      </c>
      <c r="BO19">
        <v>12</v>
      </c>
      <c r="BP19">
        <v>-167.36199999999999</v>
      </c>
      <c r="BQ19" s="3">
        <v>-461010</v>
      </c>
      <c r="BV19">
        <f t="shared" si="9"/>
        <v>0.9500000000000004</v>
      </c>
      <c r="BW19">
        <v>12</v>
      </c>
      <c r="BX19">
        <v>-3310.09</v>
      </c>
      <c r="BY19" s="3">
        <v>-19723800</v>
      </c>
    </row>
    <row r="20" spans="2:77" x14ac:dyDescent="0.2">
      <c r="B20">
        <f t="shared" si="0"/>
        <v>1.0000000000000004</v>
      </c>
      <c r="C20">
        <v>13</v>
      </c>
      <c r="D20" s="3">
        <v>-173.309</v>
      </c>
      <c r="E20" s="3">
        <v>-1019020</v>
      </c>
      <c r="J20">
        <f t="shared" si="1"/>
        <v>1.0000000000000004</v>
      </c>
      <c r="K20">
        <v>13</v>
      </c>
      <c r="L20" s="3">
        <v>532.18499999999995</v>
      </c>
      <c r="M20" s="3">
        <v>1709010</v>
      </c>
      <c r="R20">
        <f t="shared" si="2"/>
        <v>1.0000000000000004</v>
      </c>
      <c r="S20">
        <v>13</v>
      </c>
      <c r="T20">
        <v>-2023.83</v>
      </c>
      <c r="U20" s="3">
        <v>-9997960</v>
      </c>
      <c r="Z20">
        <f t="shared" si="3"/>
        <v>1.0000000000000004</v>
      </c>
      <c r="AA20">
        <v>13</v>
      </c>
      <c r="AB20">
        <v>-137.857</v>
      </c>
      <c r="AC20" s="3">
        <v>-536652</v>
      </c>
      <c r="AH20">
        <f t="shared" si="4"/>
        <v>1.0000000000000004</v>
      </c>
      <c r="AI20">
        <v>13</v>
      </c>
      <c r="AJ20">
        <v>-23114.400000000001</v>
      </c>
      <c r="AK20" s="3">
        <v>-73628500</v>
      </c>
      <c r="AP20">
        <f t="shared" si="5"/>
        <v>1.0000000000000004</v>
      </c>
      <c r="AQ20">
        <v>13</v>
      </c>
      <c r="AR20" s="3">
        <v>-787.90300000000002</v>
      </c>
      <c r="AS20" s="3">
        <v>-2397690</v>
      </c>
      <c r="AX20">
        <f t="shared" si="6"/>
        <v>1.0000000000000004</v>
      </c>
      <c r="AY20">
        <v>13</v>
      </c>
      <c r="AZ20">
        <v>-560683</v>
      </c>
      <c r="BA20" s="3">
        <v>-2797970000</v>
      </c>
      <c r="BF20">
        <f t="shared" si="7"/>
        <v>1.0000000000000004</v>
      </c>
      <c r="BG20">
        <v>13</v>
      </c>
      <c r="BH20" s="3">
        <v>-1339.5</v>
      </c>
      <c r="BI20" s="3">
        <v>-5492970</v>
      </c>
      <c r="BN20">
        <f t="shared" si="8"/>
        <v>1.0000000000000004</v>
      </c>
      <c r="BO20">
        <v>13</v>
      </c>
      <c r="BP20">
        <v>-111.729</v>
      </c>
      <c r="BQ20" s="3">
        <v>-343530</v>
      </c>
      <c r="BV20">
        <f t="shared" si="9"/>
        <v>1.0000000000000004</v>
      </c>
      <c r="BW20">
        <v>13</v>
      </c>
      <c r="BX20">
        <v>-1272.27</v>
      </c>
      <c r="BY20" s="3">
        <v>-10377200</v>
      </c>
    </row>
    <row r="21" spans="2:77" x14ac:dyDescent="0.2">
      <c r="B21">
        <f t="shared" si="0"/>
        <v>1.0500000000000005</v>
      </c>
      <c r="C21">
        <v>14</v>
      </c>
      <c r="D21" s="3">
        <v>-74.686199999999999</v>
      </c>
      <c r="E21" s="3">
        <v>-523356</v>
      </c>
      <c r="J21">
        <f t="shared" si="1"/>
        <v>1.0500000000000005</v>
      </c>
      <c r="K21">
        <v>14</v>
      </c>
      <c r="L21" s="3">
        <v>343.79</v>
      </c>
      <c r="M21" s="3">
        <v>1172830</v>
      </c>
      <c r="R21">
        <f t="shared" si="2"/>
        <v>1.0500000000000005</v>
      </c>
      <c r="S21">
        <v>14</v>
      </c>
      <c r="T21">
        <v>-1021.27</v>
      </c>
      <c r="U21" s="3">
        <v>-5580130</v>
      </c>
      <c r="Z21">
        <f t="shared" si="3"/>
        <v>1.0500000000000005</v>
      </c>
      <c r="AA21">
        <v>14</v>
      </c>
      <c r="AB21">
        <v>-80.933599999999998</v>
      </c>
      <c r="AC21" s="3">
        <v>-339945</v>
      </c>
      <c r="AH21">
        <f t="shared" si="4"/>
        <v>1.0500000000000005</v>
      </c>
      <c r="AI21">
        <v>14</v>
      </c>
      <c r="AJ21">
        <v>-14966.7</v>
      </c>
      <c r="AK21" s="3">
        <v>-51115100</v>
      </c>
      <c r="AP21">
        <f t="shared" si="5"/>
        <v>1.0500000000000005</v>
      </c>
      <c r="AQ21">
        <v>14</v>
      </c>
      <c r="AR21" s="3">
        <v>-520.29700000000003</v>
      </c>
      <c r="AS21" s="3">
        <v>-1695440</v>
      </c>
      <c r="AX21">
        <f t="shared" si="6"/>
        <v>1.0500000000000005</v>
      </c>
      <c r="AY21">
        <v>14</v>
      </c>
      <c r="AZ21">
        <v>-282372</v>
      </c>
      <c r="BA21" s="3">
        <v>-1533530000</v>
      </c>
      <c r="BF21">
        <f t="shared" si="7"/>
        <v>1.0500000000000005</v>
      </c>
      <c r="BG21">
        <v>14</v>
      </c>
      <c r="BH21" s="3">
        <v>-760.35900000000004</v>
      </c>
      <c r="BI21" s="3">
        <v>-3427440</v>
      </c>
      <c r="BN21">
        <f t="shared" si="8"/>
        <v>1.0500000000000005</v>
      </c>
      <c r="BO21">
        <v>14</v>
      </c>
      <c r="BP21">
        <v>-72.740799999999993</v>
      </c>
      <c r="BQ21" s="3">
        <v>-251312</v>
      </c>
      <c r="BV21">
        <f t="shared" si="9"/>
        <v>1.0500000000000005</v>
      </c>
      <c r="BW21">
        <v>14</v>
      </c>
      <c r="BX21">
        <v>-287.50299999999999</v>
      </c>
      <c r="BY21" s="3">
        <v>-5036050</v>
      </c>
    </row>
    <row r="22" spans="2:77" x14ac:dyDescent="0.2">
      <c r="B22">
        <f t="shared" si="0"/>
        <v>1.1000000000000005</v>
      </c>
      <c r="C22">
        <v>15</v>
      </c>
      <c r="D22" s="3">
        <v>-27.465900000000001</v>
      </c>
      <c r="E22" s="3">
        <v>-255831</v>
      </c>
      <c r="J22">
        <f t="shared" si="1"/>
        <v>1.1000000000000005</v>
      </c>
      <c r="K22">
        <v>15</v>
      </c>
      <c r="L22">
        <v>222.298</v>
      </c>
      <c r="M22" s="3">
        <v>784800</v>
      </c>
      <c r="R22">
        <f t="shared" si="2"/>
        <v>1.1000000000000005</v>
      </c>
      <c r="S22">
        <v>15</v>
      </c>
      <c r="T22">
        <v>-494.59699999999998</v>
      </c>
      <c r="U22" s="3">
        <v>-3040250</v>
      </c>
      <c r="Z22">
        <f t="shared" si="3"/>
        <v>1.1000000000000005</v>
      </c>
      <c r="AA22">
        <v>15</v>
      </c>
      <c r="AB22">
        <v>-46.7699</v>
      </c>
      <c r="AC22">
        <v>-213534</v>
      </c>
      <c r="AH22">
        <f t="shared" si="4"/>
        <v>1.1000000000000005</v>
      </c>
      <c r="AI22">
        <v>15</v>
      </c>
      <c r="AJ22">
        <v>-9609.84</v>
      </c>
      <c r="AK22" s="3">
        <v>-35157000</v>
      </c>
      <c r="AP22">
        <f t="shared" si="5"/>
        <v>1.1000000000000005</v>
      </c>
      <c r="AQ22">
        <v>15</v>
      </c>
      <c r="AR22">
        <v>-341.04500000000002</v>
      </c>
      <c r="AS22" s="3">
        <v>-1188590</v>
      </c>
      <c r="AX22">
        <f t="shared" si="6"/>
        <v>1.1000000000000005</v>
      </c>
      <c r="AY22">
        <v>15</v>
      </c>
      <c r="AZ22">
        <v>-138775</v>
      </c>
      <c r="BA22" s="3">
        <v>-821045000</v>
      </c>
      <c r="BF22">
        <f t="shared" si="7"/>
        <v>1.1000000000000005</v>
      </c>
      <c r="BG22">
        <v>15</v>
      </c>
      <c r="BH22" s="3">
        <v>-419.745</v>
      </c>
      <c r="BI22" s="3">
        <v>-2095670</v>
      </c>
      <c r="BN22">
        <f t="shared" si="8"/>
        <v>1.1000000000000005</v>
      </c>
      <c r="BO22">
        <v>15</v>
      </c>
      <c r="BP22">
        <v>-45.852600000000002</v>
      </c>
      <c r="BQ22" s="3">
        <v>-180367</v>
      </c>
      <c r="BV22">
        <f t="shared" si="9"/>
        <v>1.1000000000000005</v>
      </c>
      <c r="BW22">
        <v>15</v>
      </c>
      <c r="BX22">
        <v>142.38999999999999</v>
      </c>
      <c r="BY22" s="3">
        <v>-2103270</v>
      </c>
    </row>
    <row r="23" spans="2:77" x14ac:dyDescent="0.2">
      <c r="B23">
        <f t="shared" si="0"/>
        <v>1.1500000000000006</v>
      </c>
      <c r="C23">
        <v>16</v>
      </c>
      <c r="D23" s="3">
        <v>-6.1491699999999998</v>
      </c>
      <c r="E23" s="3">
        <v>-115150</v>
      </c>
      <c r="J23">
        <f t="shared" si="1"/>
        <v>1.1500000000000006</v>
      </c>
      <c r="K23">
        <v>16</v>
      </c>
      <c r="L23">
        <v>145.553</v>
      </c>
      <c r="M23" s="3">
        <v>514505</v>
      </c>
      <c r="R23">
        <f t="shared" si="2"/>
        <v>1.1500000000000006</v>
      </c>
      <c r="S23">
        <v>16</v>
      </c>
      <c r="T23">
        <v>-224.46100000000001</v>
      </c>
      <c r="U23" s="3">
        <v>-1607980</v>
      </c>
      <c r="Z23">
        <f t="shared" si="3"/>
        <v>1.1500000000000006</v>
      </c>
      <c r="AA23">
        <v>16</v>
      </c>
      <c r="AB23">
        <v>-26.390999999999998</v>
      </c>
      <c r="AC23">
        <v>-132966</v>
      </c>
      <c r="AH23">
        <f t="shared" si="4"/>
        <v>1.1500000000000006</v>
      </c>
      <c r="AI23">
        <v>16</v>
      </c>
      <c r="AJ23">
        <v>-6112.7</v>
      </c>
      <c r="AK23" s="3">
        <v>-23948100</v>
      </c>
      <c r="AP23">
        <f t="shared" si="5"/>
        <v>1.1500000000000006</v>
      </c>
      <c r="AQ23">
        <v>16</v>
      </c>
      <c r="AR23">
        <v>-221.696</v>
      </c>
      <c r="AS23" s="3">
        <v>-826475</v>
      </c>
      <c r="AX23">
        <f t="shared" si="6"/>
        <v>1.1500000000000006</v>
      </c>
      <c r="AY23">
        <v>16</v>
      </c>
      <c r="AZ23">
        <v>-66301.2</v>
      </c>
      <c r="BA23" s="3">
        <v>-428330000</v>
      </c>
      <c r="BF23">
        <f t="shared" si="7"/>
        <v>1.1500000000000006</v>
      </c>
      <c r="BG23">
        <v>16</v>
      </c>
      <c r="BH23" s="3">
        <v>-223.249</v>
      </c>
      <c r="BI23" s="3">
        <v>-1251380</v>
      </c>
      <c r="BN23">
        <f t="shared" si="8"/>
        <v>1.1500000000000006</v>
      </c>
      <c r="BO23">
        <v>16</v>
      </c>
      <c r="BP23">
        <v>-27.6252</v>
      </c>
      <c r="BQ23" s="3">
        <v>-126855</v>
      </c>
      <c r="BV23">
        <f t="shared" si="9"/>
        <v>1.1500000000000006</v>
      </c>
      <c r="BW23">
        <v>16</v>
      </c>
      <c r="BX23">
        <v>292.96499999999997</v>
      </c>
      <c r="BY23">
        <v>-579375</v>
      </c>
    </row>
    <row r="24" spans="2:77" x14ac:dyDescent="0.2">
      <c r="B24">
        <f t="shared" si="0"/>
        <v>1.2000000000000006</v>
      </c>
      <c r="C24">
        <v>17</v>
      </c>
      <c r="D24" s="3">
        <v>2.47282</v>
      </c>
      <c r="E24" s="3">
        <v>-43577.8</v>
      </c>
      <c r="J24">
        <f t="shared" si="1"/>
        <v>1.2000000000000006</v>
      </c>
      <c r="K24">
        <v>17</v>
      </c>
      <c r="L24">
        <v>97.827100000000002</v>
      </c>
      <c r="M24" s="3">
        <v>332458</v>
      </c>
      <c r="R24">
        <f t="shared" si="2"/>
        <v>1.2000000000000006</v>
      </c>
      <c r="S24">
        <v>17</v>
      </c>
      <c r="T24">
        <v>-90.178399999999996</v>
      </c>
      <c r="U24" s="3">
        <v>-817397</v>
      </c>
      <c r="Z24">
        <f t="shared" si="3"/>
        <v>1.2000000000000006</v>
      </c>
      <c r="AA24">
        <v>17</v>
      </c>
      <c r="AB24">
        <v>-14.318300000000001</v>
      </c>
      <c r="AC24">
        <v>-82003.3</v>
      </c>
      <c r="AH24">
        <f t="shared" si="4"/>
        <v>1.2000000000000006</v>
      </c>
      <c r="AI24">
        <v>17</v>
      </c>
      <c r="AJ24">
        <v>-3847.23</v>
      </c>
      <c r="AK24" s="3">
        <v>-16147200</v>
      </c>
      <c r="AP24">
        <f t="shared" si="5"/>
        <v>1.2000000000000006</v>
      </c>
      <c r="AQ24">
        <v>17</v>
      </c>
      <c r="AR24">
        <v>-142.69</v>
      </c>
      <c r="AS24" s="3">
        <v>-570238</v>
      </c>
      <c r="AX24">
        <f t="shared" si="6"/>
        <v>1.2000000000000006</v>
      </c>
      <c r="AY24">
        <v>17</v>
      </c>
      <c r="AZ24">
        <v>-30629.7</v>
      </c>
      <c r="BA24" s="3">
        <v>-217006000</v>
      </c>
      <c r="BF24">
        <f t="shared" si="7"/>
        <v>1.2000000000000006</v>
      </c>
      <c r="BG24">
        <v>17</v>
      </c>
      <c r="BH24" s="3">
        <v>-112.529</v>
      </c>
      <c r="BI24" s="3">
        <v>-726176</v>
      </c>
      <c r="BN24">
        <f t="shared" si="8"/>
        <v>1.2000000000000006</v>
      </c>
      <c r="BO24">
        <v>17</v>
      </c>
      <c r="BP24">
        <v>-15.4991</v>
      </c>
      <c r="BQ24" s="3">
        <v>-87276.3</v>
      </c>
      <c r="BV24">
        <f t="shared" si="9"/>
        <v>1.2000000000000006</v>
      </c>
      <c r="BW24">
        <v>17</v>
      </c>
      <c r="BX24">
        <v>312.43900000000002</v>
      </c>
      <c r="BY24">
        <v>146967</v>
      </c>
    </row>
    <row r="25" spans="2:77" x14ac:dyDescent="0.2">
      <c r="B25">
        <f t="shared" si="0"/>
        <v>1.2500000000000007</v>
      </c>
      <c r="C25">
        <v>18</v>
      </c>
      <c r="D25" s="3">
        <v>5.1145800000000001</v>
      </c>
      <c r="E25" s="3">
        <v>-8839.5499999999993</v>
      </c>
      <c r="J25">
        <f t="shared" si="1"/>
        <v>1.2500000000000007</v>
      </c>
      <c r="K25">
        <v>18</v>
      </c>
      <c r="L25">
        <v>68.404399999999995</v>
      </c>
      <c r="M25" s="3">
        <v>213650</v>
      </c>
      <c r="R25">
        <f t="shared" si="2"/>
        <v>1.2500000000000007</v>
      </c>
      <c r="S25">
        <v>18</v>
      </c>
      <c r="T25">
        <v>-26.360099999999999</v>
      </c>
      <c r="U25" s="3">
        <v>-391643</v>
      </c>
      <c r="Z25">
        <f t="shared" si="3"/>
        <v>1.2500000000000007</v>
      </c>
      <c r="AA25">
        <v>18</v>
      </c>
      <c r="AB25">
        <v>-7.2263400000000004</v>
      </c>
      <c r="AC25">
        <v>-49986</v>
      </c>
      <c r="AH25">
        <f t="shared" si="4"/>
        <v>1.2500000000000007</v>
      </c>
      <c r="AI25">
        <v>18</v>
      </c>
      <c r="AJ25">
        <v>-2392.11</v>
      </c>
      <c r="AK25" s="3">
        <v>-10769300</v>
      </c>
      <c r="AP25">
        <f t="shared" si="5"/>
        <v>1.2500000000000007</v>
      </c>
      <c r="AQ25">
        <v>18</v>
      </c>
      <c r="AR25">
        <v>-90.683400000000006</v>
      </c>
      <c r="AS25" s="3">
        <v>-390556</v>
      </c>
      <c r="AX25">
        <f t="shared" si="6"/>
        <v>1.2500000000000007</v>
      </c>
      <c r="AY25">
        <v>18</v>
      </c>
      <c r="AZ25">
        <v>-13576.5</v>
      </c>
      <c r="BA25" s="3">
        <v>-106276000</v>
      </c>
      <c r="BF25">
        <f t="shared" si="7"/>
        <v>1.2500000000000007</v>
      </c>
      <c r="BG25">
        <v>18</v>
      </c>
      <c r="BH25" s="3">
        <v>-51.961500000000001</v>
      </c>
      <c r="BI25" s="3">
        <v>-406482</v>
      </c>
      <c r="BN25">
        <f t="shared" si="8"/>
        <v>1.2500000000000007</v>
      </c>
      <c r="BO25">
        <v>18</v>
      </c>
      <c r="BP25">
        <v>-7.6013500000000001</v>
      </c>
      <c r="BQ25" s="3">
        <v>-58570.7</v>
      </c>
      <c r="BV25">
        <f t="shared" si="9"/>
        <v>1.2500000000000007</v>
      </c>
      <c r="BW25">
        <v>18</v>
      </c>
      <c r="BX25">
        <v>277.65800000000002</v>
      </c>
      <c r="BY25">
        <v>440357</v>
      </c>
    </row>
    <row r="26" spans="2:77" x14ac:dyDescent="0.2">
      <c r="B26">
        <f t="shared" si="0"/>
        <v>1.3000000000000007</v>
      </c>
      <c r="C26">
        <v>19</v>
      </c>
      <c r="D26" s="3">
        <v>5.1129699999999998</v>
      </c>
      <c r="E26" s="3">
        <v>6758.62</v>
      </c>
      <c r="J26">
        <f t="shared" si="1"/>
        <v>1.3000000000000007</v>
      </c>
      <c r="K26">
        <v>19</v>
      </c>
      <c r="L26">
        <v>50.224499999999999</v>
      </c>
      <c r="M26" s="3">
        <v>138459</v>
      </c>
      <c r="R26">
        <f t="shared" si="2"/>
        <v>1.3000000000000007</v>
      </c>
      <c r="S26">
        <v>19</v>
      </c>
      <c r="T26">
        <v>1.8360799999999999</v>
      </c>
      <c r="U26">
        <v>-169162</v>
      </c>
      <c r="Z26">
        <f t="shared" si="3"/>
        <v>1.3000000000000007</v>
      </c>
      <c r="AA26">
        <v>19</v>
      </c>
      <c r="AB26">
        <v>-3.1082000000000001</v>
      </c>
      <c r="AC26">
        <v>-29986.400000000001</v>
      </c>
      <c r="AH26">
        <f t="shared" si="4"/>
        <v>1.3000000000000007</v>
      </c>
      <c r="AI26">
        <v>19</v>
      </c>
      <c r="AJ26">
        <v>-1466.3</v>
      </c>
      <c r="AK26" s="3">
        <v>-7098030</v>
      </c>
      <c r="AP26">
        <f t="shared" si="5"/>
        <v>1.3000000000000007</v>
      </c>
      <c r="AQ26">
        <v>19</v>
      </c>
      <c r="AR26">
        <v>-56.631900000000002</v>
      </c>
      <c r="AS26" s="3">
        <v>-265625</v>
      </c>
      <c r="AX26">
        <f t="shared" si="6"/>
        <v>1.3000000000000007</v>
      </c>
      <c r="AY26">
        <v>19</v>
      </c>
      <c r="AZ26">
        <v>-5702.18</v>
      </c>
      <c r="BA26" s="3">
        <v>-49975200</v>
      </c>
      <c r="BF26">
        <f t="shared" si="7"/>
        <v>1.3000000000000007</v>
      </c>
      <c r="BG26">
        <v>19</v>
      </c>
      <c r="BH26" s="3">
        <v>-20.097999999999999</v>
      </c>
      <c r="BI26" s="3">
        <v>-216798</v>
      </c>
      <c r="BN26">
        <f t="shared" si="8"/>
        <v>1.3000000000000007</v>
      </c>
      <c r="BO26">
        <v>19</v>
      </c>
      <c r="BP26">
        <v>-2.5844900000000002</v>
      </c>
      <c r="BQ26" s="3">
        <v>-38159.5</v>
      </c>
      <c r="BV26">
        <f t="shared" si="9"/>
        <v>1.3000000000000007</v>
      </c>
      <c r="BW26">
        <v>19</v>
      </c>
      <c r="BX26">
        <v>226.43299999999999</v>
      </c>
      <c r="BY26">
        <v>512097</v>
      </c>
    </row>
    <row r="27" spans="2:77" x14ac:dyDescent="0.2">
      <c r="B27">
        <f t="shared" si="0"/>
        <v>1.3500000000000008</v>
      </c>
      <c r="C27">
        <v>20</v>
      </c>
      <c r="D27" s="3">
        <v>4.0785600000000004</v>
      </c>
      <c r="E27" s="3">
        <v>12721.5</v>
      </c>
      <c r="J27">
        <f t="shared" si="1"/>
        <v>1.3500000000000008</v>
      </c>
      <c r="K27">
        <v>20</v>
      </c>
      <c r="L27">
        <v>38.778199999999998</v>
      </c>
      <c r="M27" s="3">
        <v>92303.6</v>
      </c>
      <c r="R27">
        <f t="shared" si="2"/>
        <v>1.3500000000000008</v>
      </c>
      <c r="S27">
        <v>20</v>
      </c>
      <c r="T27">
        <v>12.623100000000001</v>
      </c>
      <c r="U27">
        <v>-57439.199999999997</v>
      </c>
      <c r="Z27">
        <f t="shared" si="3"/>
        <v>1.3500000000000008</v>
      </c>
      <c r="AA27">
        <v>20</v>
      </c>
      <c r="AB27">
        <v>-0.75889600000000002</v>
      </c>
      <c r="AC27">
        <v>-17550</v>
      </c>
      <c r="AH27">
        <f t="shared" si="4"/>
        <v>1.3500000000000008</v>
      </c>
      <c r="AI27">
        <v>20</v>
      </c>
      <c r="AJ27">
        <v>-883.51099999999997</v>
      </c>
      <c r="AK27" s="3">
        <v>-4617830</v>
      </c>
      <c r="AP27">
        <f t="shared" si="5"/>
        <v>1.3500000000000008</v>
      </c>
      <c r="AQ27">
        <v>20</v>
      </c>
      <c r="AR27">
        <v>-34.452100000000002</v>
      </c>
      <c r="AS27" s="3">
        <v>-179446</v>
      </c>
      <c r="AX27">
        <f t="shared" si="6"/>
        <v>1.3500000000000008</v>
      </c>
      <c r="AY27">
        <v>20</v>
      </c>
      <c r="AZ27">
        <v>-2218.75</v>
      </c>
      <c r="BA27" s="3">
        <v>-22333900</v>
      </c>
      <c r="BF27">
        <f t="shared" si="7"/>
        <v>1.3500000000000008</v>
      </c>
      <c r="BG27">
        <v>20</v>
      </c>
      <c r="BH27" s="3">
        <v>-4.2355799999999997</v>
      </c>
      <c r="BI27" s="3">
        <v>-107698</v>
      </c>
      <c r="BN27">
        <f t="shared" si="8"/>
        <v>1.3500000000000008</v>
      </c>
      <c r="BO27">
        <v>20</v>
      </c>
      <c r="BP27">
        <v>0.50424599999999997</v>
      </c>
      <c r="BQ27" s="3">
        <v>-23937.4</v>
      </c>
      <c r="BV27">
        <f t="shared" si="9"/>
        <v>1.3500000000000008</v>
      </c>
      <c r="BW27">
        <v>20</v>
      </c>
      <c r="BX27">
        <v>175.87799999999999</v>
      </c>
      <c r="BY27">
        <v>480492</v>
      </c>
    </row>
    <row r="28" spans="2:77" x14ac:dyDescent="0.2">
      <c r="B28">
        <f t="shared" si="0"/>
        <v>1.4000000000000008</v>
      </c>
      <c r="C28">
        <v>21</v>
      </c>
      <c r="D28" s="3">
        <v>2.7567900000000001</v>
      </c>
      <c r="E28" s="3">
        <v>14044.9</v>
      </c>
      <c r="J28">
        <f t="shared" si="1"/>
        <v>1.4000000000000008</v>
      </c>
      <c r="K28">
        <v>21</v>
      </c>
      <c r="L28">
        <v>31.271599999999999</v>
      </c>
      <c r="M28" s="3">
        <v>64801.3</v>
      </c>
      <c r="R28">
        <f t="shared" si="2"/>
        <v>1.4000000000000008</v>
      </c>
      <c r="S28">
        <v>21</v>
      </c>
      <c r="T28">
        <v>15.308999999999999</v>
      </c>
      <c r="U28">
        <v>-4533.8599999999997</v>
      </c>
      <c r="Z28">
        <f t="shared" si="3"/>
        <v>1.4000000000000008</v>
      </c>
      <c r="AA28">
        <v>21</v>
      </c>
      <c r="AB28">
        <v>0.54152900000000004</v>
      </c>
      <c r="AC28">
        <v>-9840.5300000000007</v>
      </c>
      <c r="AH28">
        <f t="shared" si="4"/>
        <v>1.4000000000000008</v>
      </c>
      <c r="AI28">
        <v>21</v>
      </c>
      <c r="AJ28">
        <v>-521.07899999999995</v>
      </c>
      <c r="AK28" s="3">
        <v>-2960820</v>
      </c>
      <c r="AP28">
        <f t="shared" si="5"/>
        <v>1.4000000000000008</v>
      </c>
      <c r="AQ28">
        <v>21</v>
      </c>
      <c r="AR28">
        <v>-20.078800000000001</v>
      </c>
      <c r="AS28" s="3">
        <v>-120427</v>
      </c>
      <c r="AX28">
        <f t="shared" si="6"/>
        <v>1.4000000000000008</v>
      </c>
      <c r="AY28">
        <v>21</v>
      </c>
      <c r="AZ28">
        <v>-761.34699999999998</v>
      </c>
      <c r="BA28" s="3">
        <v>-9321940</v>
      </c>
      <c r="BF28">
        <f t="shared" si="7"/>
        <v>1.4000000000000008</v>
      </c>
      <c r="BG28">
        <v>21</v>
      </c>
      <c r="BH28" s="3">
        <v>3.0013200000000002</v>
      </c>
      <c r="BI28" s="3">
        <v>-47378.400000000001</v>
      </c>
      <c r="BN28">
        <f t="shared" si="8"/>
        <v>1.4000000000000008</v>
      </c>
      <c r="BO28">
        <v>21</v>
      </c>
      <c r="BP28">
        <v>2.3268599999999999</v>
      </c>
      <c r="BQ28">
        <v>-14233.6</v>
      </c>
      <c r="BV28">
        <f t="shared" si="9"/>
        <v>1.4000000000000008</v>
      </c>
      <c r="BW28">
        <v>21</v>
      </c>
      <c r="BX28">
        <v>132.58000000000001</v>
      </c>
      <c r="BY28">
        <v>408903</v>
      </c>
    </row>
    <row r="29" spans="2:77" x14ac:dyDescent="0.2">
      <c r="B29">
        <f t="shared" si="0"/>
        <v>1.4500000000000008</v>
      </c>
      <c r="C29">
        <v>22</v>
      </c>
      <c r="D29" s="3">
        <v>1.4697</v>
      </c>
      <c r="E29" s="3">
        <v>13289.9</v>
      </c>
      <c r="J29">
        <f t="shared" si="1"/>
        <v>1.4500000000000008</v>
      </c>
      <c r="K29">
        <v>22</v>
      </c>
      <c r="L29">
        <v>26.0274</v>
      </c>
      <c r="M29" s="3">
        <v>48829.2</v>
      </c>
      <c r="R29">
        <f t="shared" si="2"/>
        <v>1.4500000000000008</v>
      </c>
      <c r="S29">
        <v>22</v>
      </c>
      <c r="T29">
        <v>14.519299999999999</v>
      </c>
      <c r="U29">
        <v>18098.400000000001</v>
      </c>
      <c r="Z29">
        <f t="shared" si="3"/>
        <v>1.4500000000000008</v>
      </c>
      <c r="AA29">
        <v>22</v>
      </c>
      <c r="AB29">
        <v>1.2216</v>
      </c>
      <c r="AC29">
        <v>-5069.2</v>
      </c>
      <c r="AH29">
        <f t="shared" si="4"/>
        <v>1.4500000000000008</v>
      </c>
      <c r="AI29">
        <v>22</v>
      </c>
      <c r="AJ29">
        <v>-298.822</v>
      </c>
      <c r="AK29" s="3">
        <v>-1867060</v>
      </c>
      <c r="AP29">
        <f t="shared" si="5"/>
        <v>1.4500000000000008</v>
      </c>
      <c r="AQ29">
        <v>22</v>
      </c>
      <c r="AR29">
        <v>-10.8131</v>
      </c>
      <c r="AS29" s="3">
        <v>-80268.7</v>
      </c>
      <c r="AX29">
        <f t="shared" si="6"/>
        <v>1.4500000000000008</v>
      </c>
      <c r="AY29">
        <v>22</v>
      </c>
      <c r="AZ29">
        <v>-197.73699999999999</v>
      </c>
      <c r="BA29" s="3">
        <v>-3512710</v>
      </c>
      <c r="BF29">
        <f t="shared" si="7"/>
        <v>1.4500000000000008</v>
      </c>
      <c r="BG29">
        <v>22</v>
      </c>
      <c r="BH29" s="3">
        <v>5.7933199999999996</v>
      </c>
      <c r="BI29" s="3">
        <v>-15763.8</v>
      </c>
      <c r="BN29">
        <f t="shared" si="8"/>
        <v>1.4500000000000008</v>
      </c>
      <c r="BO29">
        <v>22</v>
      </c>
      <c r="BP29">
        <v>3.3350499999999998</v>
      </c>
      <c r="BQ29">
        <v>-7757.41</v>
      </c>
      <c r="BV29">
        <f t="shared" si="9"/>
        <v>1.4500000000000008</v>
      </c>
      <c r="BW29">
        <v>22</v>
      </c>
      <c r="BX29">
        <v>98.088200000000001</v>
      </c>
      <c r="BY29">
        <v>329192</v>
      </c>
    </row>
    <row r="30" spans="2:77" x14ac:dyDescent="0.2">
      <c r="B30">
        <f t="shared" si="0"/>
        <v>1.5000000000000009</v>
      </c>
      <c r="C30">
        <v>23</v>
      </c>
      <c r="D30" s="3">
        <v>0.33837400000000001</v>
      </c>
      <c r="E30" s="3">
        <v>11730.1</v>
      </c>
      <c r="J30">
        <f t="shared" si="1"/>
        <v>1.5000000000000009</v>
      </c>
      <c r="K30">
        <v>23</v>
      </c>
      <c r="L30">
        <v>22.073799999999999</v>
      </c>
      <c r="M30" s="3">
        <v>39672.1</v>
      </c>
      <c r="R30">
        <f t="shared" si="2"/>
        <v>1.5000000000000009</v>
      </c>
      <c r="S30">
        <v>23</v>
      </c>
      <c r="T30">
        <v>12.4686</v>
      </c>
      <c r="U30">
        <v>25777.4</v>
      </c>
      <c r="Z30">
        <f t="shared" si="3"/>
        <v>1.5000000000000009</v>
      </c>
      <c r="AA30">
        <v>23</v>
      </c>
      <c r="AB30">
        <v>1.5357000000000001</v>
      </c>
      <c r="AC30">
        <v>-2117.27</v>
      </c>
      <c r="AH30">
        <f t="shared" si="4"/>
        <v>1.5000000000000009</v>
      </c>
      <c r="AI30">
        <v>23</v>
      </c>
      <c r="AJ30">
        <v>-164.761</v>
      </c>
      <c r="AK30" s="3">
        <v>-1154570</v>
      </c>
      <c r="AP30">
        <f t="shared" si="5"/>
        <v>1.5000000000000009</v>
      </c>
      <c r="AQ30">
        <v>23</v>
      </c>
      <c r="AR30">
        <v>-4.8746700000000001</v>
      </c>
      <c r="AS30" s="3">
        <v>-53095.5</v>
      </c>
      <c r="AX30">
        <f t="shared" si="6"/>
        <v>1.5000000000000009</v>
      </c>
      <c r="AY30">
        <v>23</v>
      </c>
      <c r="AZ30">
        <v>-5.86538</v>
      </c>
      <c r="BA30" s="3">
        <v>-1097960</v>
      </c>
      <c r="BF30">
        <f t="shared" si="7"/>
        <v>1.5000000000000009</v>
      </c>
      <c r="BG30">
        <v>23</v>
      </c>
      <c r="BH30" s="3">
        <v>6.43933</v>
      </c>
      <c r="BI30" s="3">
        <v>-457.87099999999998</v>
      </c>
      <c r="BN30">
        <f t="shared" si="8"/>
        <v>1.5000000000000009</v>
      </c>
      <c r="BO30">
        <v>23</v>
      </c>
      <c r="BP30">
        <v>3.8312900000000001</v>
      </c>
      <c r="BQ30">
        <v>-3536.74</v>
      </c>
      <c r="BV30">
        <f t="shared" si="9"/>
        <v>1.5000000000000009</v>
      </c>
      <c r="BW30">
        <v>23</v>
      </c>
      <c r="BX30">
        <v>71.775599999999997</v>
      </c>
      <c r="BY30">
        <v>255819</v>
      </c>
    </row>
    <row r="31" spans="2:77" x14ac:dyDescent="0.2">
      <c r="B31">
        <f t="shared" si="0"/>
        <v>1.5500000000000009</v>
      </c>
      <c r="C31">
        <v>24</v>
      </c>
      <c r="D31" s="3">
        <v>-0.607267</v>
      </c>
      <c r="E31" s="3">
        <v>9971.85</v>
      </c>
      <c r="J31">
        <f t="shared" si="1"/>
        <v>1.5500000000000009</v>
      </c>
      <c r="K31">
        <v>24</v>
      </c>
      <c r="L31">
        <v>18.869900000000001</v>
      </c>
      <c r="M31">
        <v>34323.199999999997</v>
      </c>
      <c r="R31">
        <f t="shared" si="2"/>
        <v>1.5500000000000009</v>
      </c>
      <c r="S31">
        <v>24</v>
      </c>
      <c r="T31">
        <v>10.16</v>
      </c>
      <c r="U31">
        <v>26503.5</v>
      </c>
      <c r="Z31">
        <f t="shared" si="3"/>
        <v>1.5500000000000009</v>
      </c>
      <c r="AA31">
        <v>24</v>
      </c>
      <c r="AB31">
        <v>1.63466</v>
      </c>
      <c r="AC31">
        <v>-290.37700000000001</v>
      </c>
      <c r="AH31">
        <f t="shared" si="4"/>
        <v>1.5500000000000009</v>
      </c>
      <c r="AI31">
        <v>24</v>
      </c>
      <c r="AJ31">
        <v>-85.503299999999996</v>
      </c>
      <c r="AK31">
        <v>-697236</v>
      </c>
      <c r="AP31">
        <f t="shared" si="5"/>
        <v>1.5500000000000009</v>
      </c>
      <c r="AQ31">
        <v>24</v>
      </c>
      <c r="AR31">
        <v>-1.0955900000000001</v>
      </c>
      <c r="AS31">
        <v>-34791.9</v>
      </c>
      <c r="AX31">
        <f t="shared" si="6"/>
        <v>1.5500000000000009</v>
      </c>
      <c r="AY31">
        <v>24</v>
      </c>
      <c r="AZ31">
        <v>43.863100000000003</v>
      </c>
      <c r="BA31">
        <v>-196486</v>
      </c>
      <c r="BF31">
        <f t="shared" si="7"/>
        <v>1.5500000000000009</v>
      </c>
      <c r="BG31">
        <v>24</v>
      </c>
      <c r="BH31">
        <v>6.1544299999999996</v>
      </c>
      <c r="BI31" s="3">
        <v>5997.1</v>
      </c>
      <c r="BN31">
        <f t="shared" si="8"/>
        <v>1.5500000000000009</v>
      </c>
      <c r="BO31">
        <v>24</v>
      </c>
      <c r="BP31">
        <v>4.0141999999999998</v>
      </c>
      <c r="BQ31">
        <v>-857.13900000000001</v>
      </c>
      <c r="BV31">
        <f t="shared" si="9"/>
        <v>1.5500000000000009</v>
      </c>
      <c r="BW31">
        <v>24</v>
      </c>
      <c r="BX31">
        <v>52.260199999999998</v>
      </c>
      <c r="BY31">
        <v>194071</v>
      </c>
    </row>
    <row r="32" spans="2:77" x14ac:dyDescent="0.2">
      <c r="B32">
        <f t="shared" si="0"/>
        <v>1.600000000000001</v>
      </c>
      <c r="C32">
        <v>25</v>
      </c>
      <c r="D32" s="3">
        <v>-1.37558</v>
      </c>
      <c r="E32" s="3">
        <v>8284.36</v>
      </c>
      <c r="J32">
        <f t="shared" si="1"/>
        <v>1.600000000000001</v>
      </c>
      <c r="K32">
        <v>25</v>
      </c>
      <c r="L32">
        <v>16.1295</v>
      </c>
      <c r="M32">
        <v>30945.3</v>
      </c>
      <c r="R32">
        <f t="shared" si="2"/>
        <v>1.600000000000001</v>
      </c>
      <c r="S32">
        <v>25</v>
      </c>
      <c r="T32">
        <v>8.0072700000000001</v>
      </c>
      <c r="U32">
        <v>24317.3</v>
      </c>
      <c r="Z32">
        <f t="shared" si="3"/>
        <v>1.600000000000001</v>
      </c>
      <c r="AA32">
        <v>25</v>
      </c>
      <c r="AB32">
        <v>1.6079699999999999</v>
      </c>
      <c r="AC32">
        <v>839.923</v>
      </c>
      <c r="AH32">
        <f t="shared" si="4"/>
        <v>1.600000000000001</v>
      </c>
      <c r="AI32">
        <v>25</v>
      </c>
      <c r="AJ32">
        <v>-39.811799999999998</v>
      </c>
      <c r="AK32">
        <v>-408527</v>
      </c>
      <c r="AP32">
        <f t="shared" si="5"/>
        <v>1.600000000000001</v>
      </c>
      <c r="AQ32">
        <v>25</v>
      </c>
      <c r="AR32">
        <v>1.28607</v>
      </c>
      <c r="AS32">
        <v>-22504.400000000001</v>
      </c>
      <c r="AX32">
        <f t="shared" si="6"/>
        <v>1.600000000000001</v>
      </c>
      <c r="AY32">
        <v>25</v>
      </c>
      <c r="AZ32">
        <v>46.264600000000002</v>
      </c>
      <c r="BA32">
        <v>79671</v>
      </c>
      <c r="BF32">
        <f t="shared" si="7"/>
        <v>1.600000000000001</v>
      </c>
      <c r="BG32">
        <v>25</v>
      </c>
      <c r="BH32">
        <v>5.5463100000000001</v>
      </c>
      <c r="BI32" s="3">
        <v>7948.38</v>
      </c>
      <c r="BN32">
        <f t="shared" si="8"/>
        <v>1.600000000000001</v>
      </c>
      <c r="BO32">
        <v>25</v>
      </c>
      <c r="BP32">
        <v>4.0114599999999996</v>
      </c>
      <c r="BQ32">
        <v>793.68899999999996</v>
      </c>
      <c r="BV32">
        <f t="shared" si="9"/>
        <v>1.600000000000001</v>
      </c>
      <c r="BW32">
        <v>25</v>
      </c>
      <c r="BX32">
        <v>38.063699999999997</v>
      </c>
      <c r="BY32">
        <v>144721</v>
      </c>
    </row>
    <row r="33" spans="2:77" x14ac:dyDescent="0.2">
      <c r="B33">
        <f t="shared" si="0"/>
        <v>1.650000000000001</v>
      </c>
      <c r="C33">
        <v>26</v>
      </c>
      <c r="D33" s="3">
        <v>-1.9885600000000001</v>
      </c>
      <c r="E33" s="3">
        <v>6771.38</v>
      </c>
      <c r="J33">
        <f t="shared" si="1"/>
        <v>1.650000000000001</v>
      </c>
      <c r="K33">
        <v>26</v>
      </c>
      <c r="L33">
        <v>13.7095</v>
      </c>
      <c r="M33">
        <v>28475.1</v>
      </c>
      <c r="R33">
        <f t="shared" si="2"/>
        <v>1.650000000000001</v>
      </c>
      <c r="S33">
        <v>26</v>
      </c>
      <c r="T33">
        <v>6.1489000000000003</v>
      </c>
      <c r="U33">
        <v>21171</v>
      </c>
      <c r="Z33">
        <f t="shared" si="3"/>
        <v>1.650000000000001</v>
      </c>
      <c r="AA33">
        <v>26</v>
      </c>
      <c r="AB33">
        <v>1.5088900000000001</v>
      </c>
      <c r="AC33">
        <v>1536.9</v>
      </c>
      <c r="AH33">
        <f t="shared" si="4"/>
        <v>1.650000000000001</v>
      </c>
      <c r="AI33">
        <v>26</v>
      </c>
      <c r="AJ33">
        <v>-14.3375</v>
      </c>
      <c r="AK33">
        <v>-229742</v>
      </c>
      <c r="AP33">
        <f t="shared" si="5"/>
        <v>1.650000000000001</v>
      </c>
      <c r="AQ33">
        <v>26</v>
      </c>
      <c r="AR33">
        <v>2.7652899999999998</v>
      </c>
      <c r="AS33">
        <v>-14273.1</v>
      </c>
      <c r="AX33">
        <f t="shared" si="6"/>
        <v>1.650000000000001</v>
      </c>
      <c r="AY33">
        <v>26</v>
      </c>
      <c r="AZ33">
        <v>37.067</v>
      </c>
      <c r="BA33">
        <v>125858</v>
      </c>
      <c r="BF33">
        <f t="shared" si="7"/>
        <v>1.650000000000001</v>
      </c>
      <c r="BG33">
        <v>26</v>
      </c>
      <c r="BH33">
        <v>4.8941999999999997</v>
      </c>
      <c r="BI33" s="3">
        <v>7830.17</v>
      </c>
      <c r="BN33">
        <f t="shared" si="8"/>
        <v>1.650000000000001</v>
      </c>
      <c r="BO33">
        <v>26</v>
      </c>
      <c r="BP33">
        <v>3.90334</v>
      </c>
      <c r="BQ33">
        <v>1774.09</v>
      </c>
      <c r="BV33">
        <f t="shared" si="9"/>
        <v>1.650000000000001</v>
      </c>
      <c r="BW33">
        <v>26</v>
      </c>
      <c r="BX33">
        <v>27.877700000000001</v>
      </c>
      <c r="BY33">
        <v>106567</v>
      </c>
    </row>
    <row r="34" spans="2:77" x14ac:dyDescent="0.2">
      <c r="B34">
        <f t="shared" si="0"/>
        <v>1.7000000000000011</v>
      </c>
      <c r="C34">
        <v>27</v>
      </c>
      <c r="D34" s="3">
        <v>-2.47092</v>
      </c>
      <c r="E34" s="3">
        <v>5458.81</v>
      </c>
      <c r="J34">
        <f t="shared" si="1"/>
        <v>1.7000000000000011</v>
      </c>
      <c r="K34">
        <v>27</v>
      </c>
      <c r="L34">
        <v>11.5434</v>
      </c>
      <c r="M34">
        <v>26342.6</v>
      </c>
      <c r="R34">
        <f t="shared" si="2"/>
        <v>1.7000000000000011</v>
      </c>
      <c r="S34">
        <v>27</v>
      </c>
      <c r="T34">
        <v>4.60311</v>
      </c>
      <c r="U34">
        <v>17947.8</v>
      </c>
      <c r="Z34">
        <f t="shared" si="3"/>
        <v>1.7000000000000011</v>
      </c>
      <c r="AA34">
        <v>27</v>
      </c>
      <c r="AB34">
        <v>1.36927</v>
      </c>
      <c r="AC34">
        <v>1962.09</v>
      </c>
      <c r="AH34">
        <f t="shared" si="4"/>
        <v>1.7000000000000011</v>
      </c>
      <c r="AI34">
        <v>27</v>
      </c>
      <c r="AJ34">
        <v>-0.797292</v>
      </c>
      <c r="AK34">
        <v>-121527</v>
      </c>
      <c r="AP34">
        <f t="shared" si="5"/>
        <v>1.7000000000000011</v>
      </c>
      <c r="AQ34">
        <v>27</v>
      </c>
      <c r="AR34">
        <v>3.6624300000000001</v>
      </c>
      <c r="AS34">
        <v>-8763.94</v>
      </c>
      <c r="AX34">
        <f t="shared" si="6"/>
        <v>1.7000000000000011</v>
      </c>
      <c r="AY34">
        <v>27</v>
      </c>
      <c r="AZ34">
        <v>27.7864</v>
      </c>
      <c r="BA34">
        <v>104362</v>
      </c>
      <c r="BF34">
        <f t="shared" si="7"/>
        <v>1.7000000000000011</v>
      </c>
      <c r="BG34">
        <v>27</v>
      </c>
      <c r="BH34">
        <v>4.3079999999999998</v>
      </c>
      <c r="BI34" s="3">
        <v>6933.24</v>
      </c>
      <c r="BN34">
        <f t="shared" si="8"/>
        <v>1.7000000000000011</v>
      </c>
      <c r="BO34">
        <v>27</v>
      </c>
      <c r="BP34">
        <v>3.7391100000000002</v>
      </c>
      <c r="BQ34">
        <v>2328.39</v>
      </c>
      <c r="BV34">
        <f t="shared" si="9"/>
        <v>1.7000000000000011</v>
      </c>
      <c r="BW34">
        <v>27</v>
      </c>
      <c r="BX34">
        <v>20.6419</v>
      </c>
      <c r="BY34">
        <v>77737.100000000006</v>
      </c>
    </row>
    <row r="35" spans="2:77" x14ac:dyDescent="0.2">
      <c r="B35">
        <f t="shared" si="0"/>
        <v>1.7500000000000011</v>
      </c>
      <c r="C35">
        <v>28</v>
      </c>
      <c r="D35" s="3">
        <v>-2.8456600000000001</v>
      </c>
      <c r="E35" s="3">
        <v>4338.49</v>
      </c>
      <c r="J35">
        <f t="shared" si="1"/>
        <v>1.7500000000000011</v>
      </c>
      <c r="K35">
        <v>28</v>
      </c>
      <c r="L35">
        <v>9.60182</v>
      </c>
      <c r="M35">
        <v>24278.3</v>
      </c>
      <c r="R35">
        <f t="shared" si="2"/>
        <v>1.7500000000000011</v>
      </c>
      <c r="S35">
        <v>28</v>
      </c>
      <c r="T35">
        <v>3.3412999999999999</v>
      </c>
      <c r="U35">
        <v>15003.3</v>
      </c>
      <c r="Z35">
        <f t="shared" si="3"/>
        <v>1.7500000000000011</v>
      </c>
      <c r="AA35">
        <v>28</v>
      </c>
      <c r="AB35">
        <v>1.20828</v>
      </c>
      <c r="AC35">
        <v>2214.7199999999998</v>
      </c>
      <c r="AH35">
        <f t="shared" si="4"/>
        <v>1.7500000000000011</v>
      </c>
      <c r="AI35">
        <v>28</v>
      </c>
      <c r="AJ35">
        <v>5.8713300000000004</v>
      </c>
      <c r="AK35">
        <v>-57845.5</v>
      </c>
      <c r="AP35">
        <f t="shared" si="5"/>
        <v>1.7500000000000011</v>
      </c>
      <c r="AQ35">
        <v>28</v>
      </c>
      <c r="AR35">
        <v>4.1844200000000003</v>
      </c>
      <c r="AS35">
        <v>-5075.95</v>
      </c>
      <c r="AX35">
        <f t="shared" si="6"/>
        <v>1.7500000000000011</v>
      </c>
      <c r="AY35">
        <v>28</v>
      </c>
      <c r="AZ35">
        <v>20.971699999999998</v>
      </c>
      <c r="BA35">
        <v>73775.3</v>
      </c>
      <c r="BF35">
        <f t="shared" si="7"/>
        <v>1.7500000000000011</v>
      </c>
      <c r="BG35">
        <v>28</v>
      </c>
      <c r="BH35">
        <v>3.8163399999999998</v>
      </c>
      <c r="BI35" s="3">
        <v>5888.82</v>
      </c>
      <c r="BN35">
        <f t="shared" si="8"/>
        <v>1.7500000000000011</v>
      </c>
      <c r="BO35">
        <v>28</v>
      </c>
      <c r="BP35">
        <v>3.5481600000000002</v>
      </c>
      <c r="BQ35">
        <v>2618.81</v>
      </c>
      <c r="BV35">
        <f t="shared" si="9"/>
        <v>1.7500000000000011</v>
      </c>
      <c r="BW35">
        <v>28</v>
      </c>
      <c r="BX35">
        <v>15.539</v>
      </c>
      <c r="BY35">
        <v>56316.5</v>
      </c>
    </row>
    <row r="36" spans="2:77" x14ac:dyDescent="0.2">
      <c r="B36">
        <f t="shared" si="0"/>
        <v>1.8000000000000012</v>
      </c>
      <c r="C36">
        <v>29</v>
      </c>
      <c r="D36" s="3">
        <v>-3.13259</v>
      </c>
      <c r="E36" s="3">
        <v>3389.42</v>
      </c>
      <c r="J36">
        <f t="shared" si="1"/>
        <v>1.8000000000000012</v>
      </c>
      <c r="K36">
        <v>29</v>
      </c>
      <c r="L36">
        <v>7.8711099999999998</v>
      </c>
      <c r="M36">
        <v>22185.9</v>
      </c>
      <c r="R36">
        <f t="shared" si="2"/>
        <v>1.8000000000000012</v>
      </c>
      <c r="S36">
        <v>29</v>
      </c>
      <c r="T36">
        <v>2.3212899999999999</v>
      </c>
      <c r="U36">
        <v>12444.9</v>
      </c>
      <c r="Z36">
        <f t="shared" si="3"/>
        <v>1.8000000000000012</v>
      </c>
      <c r="AA36">
        <v>29</v>
      </c>
      <c r="AB36">
        <v>1.03756</v>
      </c>
      <c r="AC36">
        <v>2356.06</v>
      </c>
      <c r="AH36">
        <f t="shared" si="4"/>
        <v>1.8000000000000012</v>
      </c>
      <c r="AI36">
        <v>29</v>
      </c>
      <c r="AJ36">
        <v>8.7086199999999998</v>
      </c>
      <c r="AK36">
        <v>-21715.200000000001</v>
      </c>
      <c r="AP36">
        <f t="shared" si="5"/>
        <v>1.8000000000000012</v>
      </c>
      <c r="AQ36">
        <v>29</v>
      </c>
      <c r="AR36">
        <v>4.4647399999999999</v>
      </c>
      <c r="AS36">
        <v>-2604.8200000000002</v>
      </c>
      <c r="AX36">
        <f t="shared" si="6"/>
        <v>1.8000000000000012</v>
      </c>
      <c r="AY36">
        <v>29</v>
      </c>
      <c r="AZ36">
        <v>16.401199999999999</v>
      </c>
      <c r="BA36">
        <v>50394.3</v>
      </c>
      <c r="BF36">
        <f t="shared" si="7"/>
        <v>1.8000000000000012</v>
      </c>
      <c r="BG36">
        <v>29</v>
      </c>
      <c r="BH36">
        <v>3.4131800000000001</v>
      </c>
      <c r="BI36" s="3">
        <v>4964.96</v>
      </c>
      <c r="BN36">
        <f t="shared" si="8"/>
        <v>1.8000000000000012</v>
      </c>
      <c r="BO36">
        <v>29</v>
      </c>
      <c r="BP36">
        <v>3.3475299999999999</v>
      </c>
      <c r="BQ36">
        <v>2750</v>
      </c>
      <c r="BV36">
        <f t="shared" si="9"/>
        <v>1.8000000000000012</v>
      </c>
      <c r="BW36">
        <v>29</v>
      </c>
      <c r="BX36">
        <v>11.9579</v>
      </c>
      <c r="BY36">
        <v>40610.400000000001</v>
      </c>
    </row>
    <row r="37" spans="2:77" x14ac:dyDescent="0.2">
      <c r="B37">
        <f t="shared" si="0"/>
        <v>1.8500000000000012</v>
      </c>
      <c r="C37">
        <v>30</v>
      </c>
      <c r="D37">
        <v>-3.3481900000000002</v>
      </c>
      <c r="E37" s="3">
        <v>2587.63</v>
      </c>
      <c r="J37">
        <f t="shared" si="1"/>
        <v>1.8500000000000012</v>
      </c>
      <c r="K37">
        <v>30</v>
      </c>
      <c r="L37">
        <v>6.3419299999999996</v>
      </c>
      <c r="M37">
        <v>20060.099999999999</v>
      </c>
      <c r="R37">
        <f t="shared" si="2"/>
        <v>1.8500000000000012</v>
      </c>
      <c r="S37">
        <v>30</v>
      </c>
      <c r="T37">
        <v>1.5011099999999999</v>
      </c>
      <c r="U37">
        <v>10272.5</v>
      </c>
      <c r="Z37">
        <f t="shared" si="3"/>
        <v>1.8500000000000012</v>
      </c>
      <c r="AA37">
        <v>30</v>
      </c>
      <c r="AB37">
        <v>0.86423899999999998</v>
      </c>
      <c r="AC37">
        <v>2424.29</v>
      </c>
      <c r="AH37">
        <f t="shared" si="4"/>
        <v>1.8500000000000012</v>
      </c>
      <c r="AI37">
        <v>30</v>
      </c>
      <c r="AJ37">
        <v>9.5025099999999991</v>
      </c>
      <c r="AK37">
        <v>-2237.9</v>
      </c>
      <c r="AP37">
        <f t="shared" si="5"/>
        <v>1.8500000000000012</v>
      </c>
      <c r="AQ37">
        <v>30</v>
      </c>
      <c r="AR37">
        <v>4.5895799999999998</v>
      </c>
      <c r="AS37">
        <v>-947.52800000000002</v>
      </c>
      <c r="AX37">
        <f t="shared" si="6"/>
        <v>1.8500000000000012</v>
      </c>
      <c r="AY37">
        <v>30</v>
      </c>
      <c r="AZ37">
        <v>13.333600000000001</v>
      </c>
      <c r="BA37">
        <v>35553.699999999997</v>
      </c>
      <c r="BF37">
        <f t="shared" si="7"/>
        <v>1.8500000000000012</v>
      </c>
      <c r="BG37">
        <v>30</v>
      </c>
      <c r="BH37">
        <v>3.0811299999999999</v>
      </c>
      <c r="BI37" s="3">
        <v>4242.3500000000004</v>
      </c>
      <c r="BN37">
        <f t="shared" si="8"/>
        <v>1.8500000000000012</v>
      </c>
      <c r="BO37">
        <v>30</v>
      </c>
      <c r="BP37">
        <v>3.1467399999999999</v>
      </c>
      <c r="BQ37">
        <v>2787.45</v>
      </c>
      <c r="BV37">
        <f t="shared" si="9"/>
        <v>1.8500000000000012</v>
      </c>
      <c r="BW37">
        <v>30</v>
      </c>
      <c r="BX37">
        <v>9.4514600000000009</v>
      </c>
      <c r="BY37">
        <v>29221.9</v>
      </c>
    </row>
    <row r="38" spans="2:77" x14ac:dyDescent="0.2">
      <c r="B38">
        <f t="shared" si="0"/>
        <v>1.9000000000000012</v>
      </c>
      <c r="C38">
        <v>31</v>
      </c>
      <c r="D38">
        <v>-3.5059300000000002</v>
      </c>
      <c r="E38" s="3">
        <v>1910.48</v>
      </c>
      <c r="J38">
        <f t="shared" si="1"/>
        <v>1.9000000000000012</v>
      </c>
      <c r="K38">
        <v>31</v>
      </c>
      <c r="L38">
        <v>5.00448</v>
      </c>
      <c r="M38">
        <v>17936.8</v>
      </c>
      <c r="R38">
        <f t="shared" si="2"/>
        <v>1.9000000000000012</v>
      </c>
      <c r="S38">
        <v>31</v>
      </c>
      <c r="T38">
        <v>0.84394400000000003</v>
      </c>
      <c r="U38">
        <v>8445.07</v>
      </c>
      <c r="Z38">
        <f t="shared" si="3"/>
        <v>1.9000000000000012</v>
      </c>
      <c r="AA38">
        <v>31</v>
      </c>
      <c r="AB38">
        <v>0.692689</v>
      </c>
      <c r="AC38">
        <v>2443.54</v>
      </c>
      <c r="AH38">
        <f t="shared" si="4"/>
        <v>1.9000000000000012</v>
      </c>
      <c r="AI38">
        <v>31</v>
      </c>
      <c r="AJ38">
        <v>9.27773</v>
      </c>
      <c r="AK38">
        <v>7454.58</v>
      </c>
      <c r="AP38">
        <f t="shared" si="5"/>
        <v>1.9000000000000012</v>
      </c>
      <c r="AQ38">
        <v>31</v>
      </c>
      <c r="AR38">
        <v>4.6147400000000003</v>
      </c>
      <c r="AS38">
        <v>163.697</v>
      </c>
      <c r="AX38">
        <f t="shared" si="6"/>
        <v>1.9000000000000012</v>
      </c>
      <c r="AY38">
        <v>31</v>
      </c>
      <c r="AZ38">
        <v>11.1676</v>
      </c>
      <c r="BA38">
        <v>26713.200000000001</v>
      </c>
      <c r="BF38">
        <f t="shared" si="7"/>
        <v>1.9000000000000012</v>
      </c>
      <c r="BG38">
        <v>31</v>
      </c>
      <c r="BH38">
        <v>2.8020499999999999</v>
      </c>
      <c r="BI38" s="3">
        <v>3714.73</v>
      </c>
      <c r="BN38">
        <f t="shared" si="8"/>
        <v>1.9000000000000012</v>
      </c>
      <c r="BO38">
        <v>31</v>
      </c>
      <c r="BP38">
        <v>2.9508800000000002</v>
      </c>
      <c r="BQ38">
        <v>2770.78</v>
      </c>
      <c r="BV38">
        <f t="shared" si="9"/>
        <v>1.9000000000000012</v>
      </c>
      <c r="BW38">
        <v>31</v>
      </c>
      <c r="BX38">
        <v>7.6971100000000003</v>
      </c>
      <c r="BY38">
        <v>21046.5</v>
      </c>
    </row>
    <row r="39" spans="2:77" x14ac:dyDescent="0.2">
      <c r="B39">
        <f t="shared" si="0"/>
        <v>1.9500000000000013</v>
      </c>
      <c r="C39">
        <v>32</v>
      </c>
      <c r="D39">
        <v>-3.6167600000000002</v>
      </c>
      <c r="E39" s="3">
        <v>1338.2</v>
      </c>
      <c r="J39">
        <f t="shared" si="1"/>
        <v>1.9500000000000013</v>
      </c>
      <c r="K39">
        <v>32</v>
      </c>
      <c r="L39">
        <v>3.84673</v>
      </c>
      <c r="M39">
        <v>15864</v>
      </c>
      <c r="R39">
        <f t="shared" si="2"/>
        <v>1.9500000000000013</v>
      </c>
      <c r="S39">
        <v>32</v>
      </c>
      <c r="T39">
        <v>0.31919700000000001</v>
      </c>
      <c r="U39">
        <v>6911.49</v>
      </c>
      <c r="Z39">
        <f t="shared" si="3"/>
        <v>1.9500000000000013</v>
      </c>
      <c r="AA39">
        <v>32</v>
      </c>
      <c r="AB39">
        <v>0.52560600000000002</v>
      </c>
      <c r="AC39">
        <v>2429.35</v>
      </c>
      <c r="AH39">
        <f t="shared" si="4"/>
        <v>1.9500000000000013</v>
      </c>
      <c r="AI39">
        <v>32</v>
      </c>
      <c r="AJ39">
        <v>8.6026100000000003</v>
      </c>
      <c r="AK39">
        <v>11600.8</v>
      </c>
      <c r="AP39">
        <f t="shared" si="5"/>
        <v>1.9500000000000013</v>
      </c>
      <c r="AQ39">
        <v>32</v>
      </c>
      <c r="AR39">
        <v>4.5764800000000001</v>
      </c>
      <c r="AS39">
        <v>906.43100000000004</v>
      </c>
      <c r="AX39">
        <f t="shared" si="6"/>
        <v>1.9500000000000013</v>
      </c>
      <c r="AY39">
        <v>32</v>
      </c>
      <c r="AZ39">
        <v>9.5357699999999994</v>
      </c>
      <c r="BA39">
        <v>21302.7</v>
      </c>
      <c r="BF39">
        <f t="shared" si="7"/>
        <v>1.9500000000000013</v>
      </c>
      <c r="BG39">
        <v>32</v>
      </c>
      <c r="BH39">
        <v>2.5609899999999999</v>
      </c>
      <c r="BI39">
        <v>3343.04</v>
      </c>
      <c r="BN39">
        <f t="shared" si="8"/>
        <v>1.9500000000000013</v>
      </c>
      <c r="BO39">
        <v>32</v>
      </c>
      <c r="BP39">
        <v>2.7625500000000001</v>
      </c>
      <c r="BQ39">
        <v>2723.18</v>
      </c>
      <c r="BV39">
        <f t="shared" si="9"/>
        <v>1.9500000000000013</v>
      </c>
      <c r="BW39">
        <v>32</v>
      </c>
      <c r="BX39">
        <v>6.4649099999999997</v>
      </c>
      <c r="BY39">
        <v>15233.1</v>
      </c>
    </row>
    <row r="40" spans="2:77" x14ac:dyDescent="0.2">
      <c r="B40">
        <f t="shared" si="0"/>
        <v>2.0000000000000013</v>
      </c>
      <c r="C40">
        <v>33</v>
      </c>
      <c r="D40">
        <v>-3.68953</v>
      </c>
      <c r="E40" s="3">
        <v>854.15499999999997</v>
      </c>
      <c r="J40">
        <f t="shared" si="1"/>
        <v>2.0000000000000013</v>
      </c>
      <c r="K40">
        <v>33</v>
      </c>
      <c r="L40">
        <v>2.8544399999999999</v>
      </c>
      <c r="M40">
        <v>13886.4</v>
      </c>
      <c r="R40">
        <f t="shared" si="2"/>
        <v>2.0000000000000013</v>
      </c>
      <c r="S40">
        <v>33</v>
      </c>
      <c r="T40">
        <v>-9.7969299999999995E-2</v>
      </c>
      <c r="U40">
        <v>5622.92</v>
      </c>
      <c r="Z40">
        <f t="shared" si="3"/>
        <v>2.0000000000000013</v>
      </c>
      <c r="AA40">
        <v>33</v>
      </c>
      <c r="AB40">
        <v>0.36462699999999998</v>
      </c>
      <c r="AC40">
        <v>2392</v>
      </c>
      <c r="AH40">
        <f t="shared" si="4"/>
        <v>2.0000000000000013</v>
      </c>
      <c r="AI40">
        <v>33</v>
      </c>
      <c r="AJ40">
        <v>7.7785299999999999</v>
      </c>
      <c r="AK40">
        <v>12752.9</v>
      </c>
      <c r="AP40">
        <f t="shared" si="5"/>
        <v>2.0000000000000013</v>
      </c>
      <c r="AQ40">
        <v>33</v>
      </c>
      <c r="AR40">
        <v>4.4984999999999999</v>
      </c>
      <c r="AS40">
        <v>1398.52</v>
      </c>
      <c r="AX40">
        <f t="shared" si="6"/>
        <v>2.0000000000000013</v>
      </c>
      <c r="AY40">
        <v>33</v>
      </c>
      <c r="AZ40">
        <v>8.2425599999999992</v>
      </c>
      <c r="BA40">
        <v>17637.599999999999</v>
      </c>
      <c r="BF40">
        <f t="shared" si="7"/>
        <v>2.0000000000000013</v>
      </c>
      <c r="BG40">
        <v>33</v>
      </c>
      <c r="BH40">
        <v>2.3470599999999999</v>
      </c>
      <c r="BI40">
        <v>3082.46</v>
      </c>
      <c r="BN40">
        <f t="shared" si="8"/>
        <v>2.0000000000000013</v>
      </c>
      <c r="BO40">
        <v>33</v>
      </c>
      <c r="BP40">
        <v>2.5829300000000002</v>
      </c>
      <c r="BQ40">
        <v>2657.72</v>
      </c>
      <c r="BV40">
        <f t="shared" si="9"/>
        <v>2.0000000000000013</v>
      </c>
      <c r="BW40">
        <v>33</v>
      </c>
      <c r="BX40">
        <v>5.5925200000000004</v>
      </c>
      <c r="BY40">
        <v>11137.4</v>
      </c>
    </row>
    <row r="41" spans="2:77" x14ac:dyDescent="0.2">
      <c r="B41">
        <f t="shared" si="0"/>
        <v>2.0500000000000012</v>
      </c>
      <c r="C41">
        <v>34</v>
      </c>
      <c r="D41">
        <v>-3.7314500000000002</v>
      </c>
      <c r="E41" s="3">
        <v>444.57900000000001</v>
      </c>
      <c r="J41">
        <f t="shared" si="1"/>
        <v>2.0500000000000012</v>
      </c>
      <c r="K41">
        <v>34</v>
      </c>
      <c r="L41">
        <v>2.01186</v>
      </c>
      <c r="M41">
        <v>12038.4</v>
      </c>
      <c r="R41">
        <f t="shared" si="2"/>
        <v>2.0500000000000012</v>
      </c>
      <c r="S41">
        <v>34</v>
      </c>
      <c r="T41">
        <v>-0.427535</v>
      </c>
      <c r="U41">
        <v>4537.18</v>
      </c>
      <c r="Z41">
        <f t="shared" si="3"/>
        <v>2.0500000000000012</v>
      </c>
      <c r="AA41">
        <v>34</v>
      </c>
      <c r="AB41">
        <v>0.21070800000000001</v>
      </c>
      <c r="AC41">
        <v>2338.4699999999998</v>
      </c>
      <c r="AH41">
        <f t="shared" si="4"/>
        <v>2.0500000000000012</v>
      </c>
      <c r="AI41">
        <v>34</v>
      </c>
      <c r="AJ41">
        <v>6.9550299999999998</v>
      </c>
      <c r="AK41">
        <v>12402.3</v>
      </c>
      <c r="AP41">
        <f t="shared" si="5"/>
        <v>2.0500000000000012</v>
      </c>
      <c r="AQ41">
        <v>34</v>
      </c>
      <c r="AR41">
        <v>4.3964100000000004</v>
      </c>
      <c r="AS41">
        <v>1718.46</v>
      </c>
      <c r="AX41">
        <f t="shared" si="6"/>
        <v>2.0500000000000012</v>
      </c>
      <c r="AY41">
        <v>34</v>
      </c>
      <c r="AZ41">
        <v>7.1894</v>
      </c>
      <c r="BA41">
        <v>14836.6</v>
      </c>
      <c r="BF41">
        <f t="shared" si="7"/>
        <v>2.0500000000000012</v>
      </c>
      <c r="BG41">
        <v>34</v>
      </c>
      <c r="BH41">
        <v>2.1529699999999998</v>
      </c>
      <c r="BI41">
        <v>2894.24</v>
      </c>
      <c r="BN41">
        <f t="shared" si="8"/>
        <v>2.0500000000000012</v>
      </c>
      <c r="BO41">
        <v>34</v>
      </c>
      <c r="BP41">
        <v>2.41248</v>
      </c>
      <c r="BQ41">
        <v>2581.59</v>
      </c>
      <c r="BV41">
        <f t="shared" si="9"/>
        <v>2.0500000000000012</v>
      </c>
      <c r="BW41">
        <v>34</v>
      </c>
      <c r="BX41">
        <v>4.9663500000000003</v>
      </c>
      <c r="BY41">
        <v>8277.8799999999992</v>
      </c>
    </row>
    <row r="42" spans="2:77" x14ac:dyDescent="0.2">
      <c r="B42">
        <f t="shared" si="0"/>
        <v>2.100000000000001</v>
      </c>
      <c r="C42">
        <v>35</v>
      </c>
      <c r="D42">
        <v>-3.7484000000000002</v>
      </c>
      <c r="E42" s="3">
        <v>98.1434</v>
      </c>
      <c r="J42">
        <f t="shared" si="1"/>
        <v>2.100000000000001</v>
      </c>
      <c r="K42">
        <v>35</v>
      </c>
      <c r="L42">
        <v>1.3026199999999999</v>
      </c>
      <c r="M42">
        <v>10342.299999999999</v>
      </c>
      <c r="R42">
        <f t="shared" si="2"/>
        <v>2.100000000000001</v>
      </c>
      <c r="S42">
        <v>35</v>
      </c>
      <c r="T42">
        <v>-0.68555600000000005</v>
      </c>
      <c r="U42">
        <v>3619.43</v>
      </c>
      <c r="Z42">
        <f t="shared" si="3"/>
        <v>2.100000000000001</v>
      </c>
      <c r="AA42">
        <v>35</v>
      </c>
      <c r="AB42">
        <v>6.4363500000000004E-2</v>
      </c>
      <c r="AC42">
        <v>2273.6999999999998</v>
      </c>
      <c r="AH42">
        <f t="shared" si="4"/>
        <v>2.100000000000001</v>
      </c>
      <c r="AI42">
        <v>35</v>
      </c>
      <c r="AJ42">
        <v>6.1982799999999996</v>
      </c>
      <c r="AK42">
        <v>11388.2</v>
      </c>
      <c r="AP42">
        <f t="shared" si="5"/>
        <v>2.100000000000001</v>
      </c>
      <c r="AQ42">
        <v>35</v>
      </c>
      <c r="AR42">
        <v>4.2805400000000002</v>
      </c>
      <c r="AS42">
        <v>1918.91</v>
      </c>
      <c r="AX42">
        <f t="shared" si="6"/>
        <v>2.100000000000001</v>
      </c>
      <c r="AY42">
        <v>35</v>
      </c>
      <c r="AZ42">
        <v>6.3234199999999996</v>
      </c>
      <c r="BA42">
        <v>12522.3</v>
      </c>
      <c r="BF42">
        <f t="shared" si="7"/>
        <v>2.100000000000001</v>
      </c>
      <c r="BG42">
        <v>35</v>
      </c>
      <c r="BH42">
        <v>1.9741200000000001</v>
      </c>
      <c r="BI42">
        <v>2749.27</v>
      </c>
      <c r="BN42">
        <f t="shared" si="8"/>
        <v>2.100000000000001</v>
      </c>
      <c r="BO42">
        <v>35</v>
      </c>
      <c r="BP42">
        <v>2.2513100000000001</v>
      </c>
      <c r="BQ42">
        <v>2498.7399999999998</v>
      </c>
      <c r="BV42">
        <f t="shared" si="9"/>
        <v>2.100000000000001</v>
      </c>
      <c r="BW42">
        <v>35</v>
      </c>
      <c r="BX42">
        <v>4.5076599999999996</v>
      </c>
      <c r="BY42">
        <v>6298.09</v>
      </c>
    </row>
    <row r="43" spans="2:77" x14ac:dyDescent="0.2">
      <c r="B43">
        <f t="shared" si="0"/>
        <v>2.1500000000000008</v>
      </c>
      <c r="C43">
        <v>36</v>
      </c>
      <c r="D43">
        <v>-3.7452000000000001</v>
      </c>
      <c r="E43" s="3">
        <v>-194.51900000000001</v>
      </c>
      <c r="J43">
        <f t="shared" si="1"/>
        <v>2.1500000000000008</v>
      </c>
      <c r="K43">
        <v>36</v>
      </c>
      <c r="L43">
        <v>0.71048299999999998</v>
      </c>
      <c r="M43">
        <v>8809.17</v>
      </c>
      <c r="R43">
        <f t="shared" si="2"/>
        <v>2.1500000000000008</v>
      </c>
      <c r="S43">
        <v>36</v>
      </c>
      <c r="T43">
        <v>-0.88497999999999999</v>
      </c>
      <c r="U43">
        <v>2841.4</v>
      </c>
      <c r="Z43">
        <f t="shared" si="3"/>
        <v>2.1500000000000008</v>
      </c>
      <c r="AA43">
        <v>36</v>
      </c>
      <c r="AB43">
        <v>-7.4192900000000006E-2</v>
      </c>
      <c r="AC43">
        <v>2201.2800000000002</v>
      </c>
      <c r="AH43">
        <f t="shared" si="4"/>
        <v>2.1500000000000008</v>
      </c>
      <c r="AI43">
        <v>36</v>
      </c>
      <c r="AJ43">
        <v>5.5307899999999997</v>
      </c>
      <c r="AK43">
        <v>10159.1</v>
      </c>
      <c r="AP43">
        <f t="shared" si="5"/>
        <v>2.1500000000000008</v>
      </c>
      <c r="AQ43">
        <v>36</v>
      </c>
      <c r="AR43">
        <v>4.1577900000000003</v>
      </c>
      <c r="AS43">
        <v>2035.59</v>
      </c>
      <c r="AX43">
        <f t="shared" si="6"/>
        <v>2.1500000000000008</v>
      </c>
      <c r="AY43">
        <v>36</v>
      </c>
      <c r="AZ43">
        <v>5.6102100000000004</v>
      </c>
      <c r="BA43">
        <v>10567.1</v>
      </c>
      <c r="BF43">
        <f t="shared" si="7"/>
        <v>2.1500000000000008</v>
      </c>
      <c r="BG43">
        <v>36</v>
      </c>
      <c r="BH43">
        <v>1.80775</v>
      </c>
      <c r="BI43">
        <v>2627.91</v>
      </c>
      <c r="BN43">
        <f t="shared" si="8"/>
        <v>2.1500000000000008</v>
      </c>
      <c r="BO43">
        <v>36</v>
      </c>
      <c r="BP43">
        <v>2.0992899999999999</v>
      </c>
      <c r="BQ43">
        <v>2411.46</v>
      </c>
      <c r="BV43">
        <f t="shared" si="9"/>
        <v>2.1500000000000008</v>
      </c>
      <c r="BW43">
        <v>36</v>
      </c>
      <c r="BX43">
        <v>4.1623599999999996</v>
      </c>
      <c r="BY43">
        <v>4937.1099999999997</v>
      </c>
    </row>
    <row r="44" spans="2:77" x14ac:dyDescent="0.2">
      <c r="B44">
        <f t="shared" si="0"/>
        <v>2.2000000000000006</v>
      </c>
      <c r="C44">
        <v>37</v>
      </c>
      <c r="D44">
        <v>-3.7258</v>
      </c>
      <c r="E44" s="3">
        <v>-441.23200000000003</v>
      </c>
      <c r="J44">
        <f t="shared" si="1"/>
        <v>2.2000000000000006</v>
      </c>
      <c r="K44">
        <v>37</v>
      </c>
      <c r="L44">
        <v>0.21998799999999999</v>
      </c>
      <c r="M44">
        <v>7440.79</v>
      </c>
      <c r="R44">
        <f t="shared" si="2"/>
        <v>2.2000000000000006</v>
      </c>
      <c r="S44">
        <v>37</v>
      </c>
      <c r="T44">
        <v>-1.0363</v>
      </c>
      <c r="U44">
        <v>2180.31</v>
      </c>
      <c r="Z44">
        <f t="shared" si="3"/>
        <v>2.2000000000000006</v>
      </c>
      <c r="AA44">
        <v>37</v>
      </c>
      <c r="AB44">
        <v>-0.20495099999999999</v>
      </c>
      <c r="AC44">
        <v>2123.9299999999998</v>
      </c>
      <c r="AH44">
        <f t="shared" si="4"/>
        <v>2.2000000000000006</v>
      </c>
      <c r="AI44">
        <v>37</v>
      </c>
      <c r="AJ44">
        <v>4.9538200000000003</v>
      </c>
      <c r="AK44">
        <v>8937.33</v>
      </c>
      <c r="AP44">
        <f t="shared" si="5"/>
        <v>2.2000000000000006</v>
      </c>
      <c r="AQ44">
        <v>37</v>
      </c>
      <c r="AR44">
        <v>4.0327599999999997</v>
      </c>
      <c r="AS44">
        <v>2093.04</v>
      </c>
      <c r="AX44">
        <f t="shared" si="6"/>
        <v>2.2000000000000006</v>
      </c>
      <c r="AY44">
        <v>37</v>
      </c>
      <c r="AZ44">
        <v>5.0221099999999996</v>
      </c>
      <c r="BA44">
        <v>8936.42</v>
      </c>
      <c r="BF44">
        <f t="shared" si="7"/>
        <v>2.2000000000000006</v>
      </c>
      <c r="BG44">
        <v>37</v>
      </c>
      <c r="BH44">
        <v>1.6522300000000001</v>
      </c>
      <c r="BI44">
        <v>2518.1999999999998</v>
      </c>
      <c r="BN44">
        <f t="shared" si="8"/>
        <v>2.2000000000000006</v>
      </c>
      <c r="BO44">
        <v>37</v>
      </c>
      <c r="BP44">
        <v>1.9562200000000001</v>
      </c>
      <c r="BQ44">
        <v>2321.3000000000002</v>
      </c>
      <c r="BV44">
        <f t="shared" si="9"/>
        <v>2.2000000000000006</v>
      </c>
      <c r="BW44">
        <v>37</v>
      </c>
      <c r="BX44">
        <v>3.8937400000000002</v>
      </c>
      <c r="BY44">
        <v>4005.74</v>
      </c>
    </row>
    <row r="45" spans="2:77" x14ac:dyDescent="0.2">
      <c r="B45">
        <f t="shared" si="0"/>
        <v>2.2500000000000004</v>
      </c>
      <c r="C45">
        <v>38</v>
      </c>
      <c r="D45">
        <v>-3.69346</v>
      </c>
      <c r="E45">
        <v>-648.60400000000004</v>
      </c>
      <c r="J45">
        <f t="shared" si="1"/>
        <v>2.2500000000000004</v>
      </c>
      <c r="K45">
        <v>38</v>
      </c>
      <c r="L45">
        <v>-0.183142</v>
      </c>
      <c r="M45">
        <v>6231.95</v>
      </c>
      <c r="R45">
        <f t="shared" si="2"/>
        <v>2.2500000000000004</v>
      </c>
      <c r="S45">
        <v>38</v>
      </c>
      <c r="T45">
        <v>-1.14808</v>
      </c>
      <c r="U45">
        <v>1617.74</v>
      </c>
      <c r="Z45">
        <f t="shared" si="3"/>
        <v>2.2500000000000004</v>
      </c>
      <c r="AA45">
        <v>38</v>
      </c>
      <c r="AB45">
        <v>-0.32804100000000003</v>
      </c>
      <c r="AC45">
        <v>2043.74</v>
      </c>
      <c r="AH45">
        <f t="shared" si="4"/>
        <v>2.2500000000000004</v>
      </c>
      <c r="AI45">
        <v>38</v>
      </c>
      <c r="AJ45">
        <v>4.4594800000000001</v>
      </c>
      <c r="AK45">
        <v>7819.57</v>
      </c>
      <c r="AP45">
        <f t="shared" si="5"/>
        <v>2.2500000000000004</v>
      </c>
      <c r="AQ45">
        <v>38</v>
      </c>
      <c r="AR45">
        <v>3.9085200000000002</v>
      </c>
      <c r="AS45">
        <v>2108.46</v>
      </c>
      <c r="AX45">
        <f t="shared" si="6"/>
        <v>2.2500000000000004</v>
      </c>
      <c r="AY45">
        <v>38</v>
      </c>
      <c r="AZ45">
        <v>4.5347200000000001</v>
      </c>
      <c r="BA45">
        <v>7612.98</v>
      </c>
      <c r="BF45">
        <f t="shared" si="7"/>
        <v>2.2500000000000004</v>
      </c>
      <c r="BG45">
        <v>38</v>
      </c>
      <c r="BH45">
        <v>1.5065999999999999</v>
      </c>
      <c r="BI45">
        <v>2413.71</v>
      </c>
      <c r="BN45">
        <f t="shared" si="8"/>
        <v>2.2500000000000004</v>
      </c>
      <c r="BO45">
        <v>38</v>
      </c>
      <c r="BP45">
        <v>1.82182</v>
      </c>
      <c r="BQ45">
        <v>2229.5300000000002</v>
      </c>
      <c r="BV45">
        <f t="shared" si="9"/>
        <v>2.2500000000000004</v>
      </c>
      <c r="BW45">
        <v>38</v>
      </c>
      <c r="BX45">
        <v>3.6770900000000002</v>
      </c>
      <c r="BY45">
        <v>3368.41</v>
      </c>
    </row>
    <row r="46" spans="2:77" x14ac:dyDescent="0.2">
      <c r="B46">
        <f t="shared" si="0"/>
        <v>2.3000000000000003</v>
      </c>
      <c r="C46">
        <v>39</v>
      </c>
      <c r="D46">
        <v>-3.6508699999999998</v>
      </c>
      <c r="E46">
        <v>-822.28099999999995</v>
      </c>
      <c r="J46">
        <f t="shared" si="1"/>
        <v>2.3000000000000003</v>
      </c>
      <c r="K46">
        <v>39</v>
      </c>
      <c r="L46">
        <v>-0.51177899999999998</v>
      </c>
      <c r="M46">
        <v>5172.8100000000004</v>
      </c>
      <c r="R46">
        <f t="shared" si="2"/>
        <v>2.3000000000000003</v>
      </c>
      <c r="S46">
        <v>39</v>
      </c>
      <c r="T46">
        <v>-1.22733</v>
      </c>
      <c r="U46">
        <v>1138.7</v>
      </c>
      <c r="Z46">
        <f t="shared" si="3"/>
        <v>2.3000000000000003</v>
      </c>
      <c r="AA46">
        <v>39</v>
      </c>
      <c r="AB46">
        <v>-0.44369399999999998</v>
      </c>
      <c r="AC46">
        <v>1962.37</v>
      </c>
      <c r="AH46">
        <f t="shared" si="4"/>
        <v>2.3000000000000003</v>
      </c>
      <c r="AI46">
        <v>39</v>
      </c>
      <c r="AJ46">
        <v>4.0369700000000002</v>
      </c>
      <c r="AK46">
        <v>6836.44</v>
      </c>
      <c r="AP46">
        <f t="shared" si="5"/>
        <v>2.3000000000000003</v>
      </c>
      <c r="AQ46">
        <v>39</v>
      </c>
      <c r="AR46">
        <v>3.78708</v>
      </c>
      <c r="AS46">
        <v>2094.1</v>
      </c>
      <c r="AX46">
        <f t="shared" si="6"/>
        <v>2.3000000000000003</v>
      </c>
      <c r="AY46">
        <v>39</v>
      </c>
      <c r="AZ46">
        <v>4.1264700000000003</v>
      </c>
      <c r="BA46">
        <v>6569.22</v>
      </c>
      <c r="BF46">
        <f t="shared" si="7"/>
        <v>2.3000000000000003</v>
      </c>
      <c r="BG46">
        <v>39</v>
      </c>
      <c r="BH46">
        <v>1.37019</v>
      </c>
      <c r="BI46">
        <v>2311.7199999999998</v>
      </c>
      <c r="BN46">
        <f t="shared" si="8"/>
        <v>2.3000000000000003</v>
      </c>
      <c r="BO46">
        <v>39</v>
      </c>
      <c r="BP46">
        <v>1.6957599999999999</v>
      </c>
      <c r="BQ46">
        <v>2137.3000000000002</v>
      </c>
      <c r="BV46">
        <f t="shared" si="9"/>
        <v>2.3000000000000003</v>
      </c>
      <c r="BW46">
        <v>39</v>
      </c>
      <c r="BX46">
        <v>3.4960200000000001</v>
      </c>
      <c r="BY46">
        <v>2929.28</v>
      </c>
    </row>
    <row r="47" spans="2:77" x14ac:dyDescent="0.2">
      <c r="B47">
        <f t="shared" si="0"/>
        <v>2.35</v>
      </c>
      <c r="C47">
        <v>40</v>
      </c>
      <c r="D47">
        <v>-3.6002399999999999</v>
      </c>
      <c r="E47">
        <v>-967.13099999999997</v>
      </c>
      <c r="J47">
        <f t="shared" si="1"/>
        <v>2.35</v>
      </c>
      <c r="K47">
        <v>40</v>
      </c>
      <c r="L47">
        <v>-0.77730900000000003</v>
      </c>
      <c r="M47">
        <v>4250.83</v>
      </c>
      <c r="R47">
        <f t="shared" si="2"/>
        <v>2.35</v>
      </c>
      <c r="S47">
        <v>40</v>
      </c>
      <c r="T47">
        <v>-1.2798400000000001</v>
      </c>
      <c r="U47">
        <v>730.85500000000002</v>
      </c>
      <c r="Z47">
        <f t="shared" si="3"/>
        <v>2.35</v>
      </c>
      <c r="AA47">
        <v>40</v>
      </c>
      <c r="AB47">
        <v>-0.55220800000000003</v>
      </c>
      <c r="AC47">
        <v>1881.09</v>
      </c>
      <c r="AH47">
        <f t="shared" si="4"/>
        <v>2.35</v>
      </c>
      <c r="AI47">
        <v>40</v>
      </c>
      <c r="AJ47">
        <v>3.6754600000000002</v>
      </c>
      <c r="AK47">
        <v>5987</v>
      </c>
      <c r="AP47">
        <f t="shared" si="5"/>
        <v>2.35</v>
      </c>
      <c r="AQ47">
        <v>40</v>
      </c>
      <c r="AR47">
        <v>3.6697500000000001</v>
      </c>
      <c r="AS47">
        <v>2058.88</v>
      </c>
      <c r="AX47">
        <f t="shared" si="6"/>
        <v>2.35</v>
      </c>
      <c r="AY47">
        <v>40</v>
      </c>
      <c r="AZ47">
        <v>3.7791899999999998</v>
      </c>
      <c r="BA47">
        <v>5764.68</v>
      </c>
      <c r="BF47">
        <f t="shared" si="7"/>
        <v>2.35</v>
      </c>
      <c r="BG47">
        <v>40</v>
      </c>
      <c r="BH47">
        <v>1.2424900000000001</v>
      </c>
      <c r="BI47">
        <v>2211.64</v>
      </c>
      <c r="BN47">
        <f t="shared" si="8"/>
        <v>2.35</v>
      </c>
      <c r="BO47">
        <v>40</v>
      </c>
      <c r="BP47">
        <v>1.5776600000000001</v>
      </c>
      <c r="BQ47">
        <v>2045.73</v>
      </c>
      <c r="BV47">
        <f t="shared" si="9"/>
        <v>2.35</v>
      </c>
      <c r="BW47">
        <v>40</v>
      </c>
      <c r="BX47">
        <v>3.3397700000000001</v>
      </c>
      <c r="BY47">
        <v>2621.65</v>
      </c>
    </row>
    <row r="48" spans="2:77" x14ac:dyDescent="0.2">
      <c r="B48">
        <f t="shared" si="0"/>
        <v>2.4</v>
      </c>
      <c r="C48">
        <v>41</v>
      </c>
      <c r="D48">
        <v>-3.54339</v>
      </c>
      <c r="E48">
        <v>-1087.3699999999999</v>
      </c>
      <c r="J48">
        <f t="shared" si="1"/>
        <v>2.4</v>
      </c>
      <c r="K48">
        <v>41</v>
      </c>
      <c r="L48">
        <v>-0.98964700000000005</v>
      </c>
      <c r="M48">
        <v>3452.19</v>
      </c>
      <c r="R48">
        <f t="shared" si="2"/>
        <v>2.4</v>
      </c>
      <c r="S48">
        <v>41</v>
      </c>
      <c r="T48">
        <v>-1.3104100000000001</v>
      </c>
      <c r="U48">
        <v>383.90499999999997</v>
      </c>
      <c r="Z48">
        <f t="shared" si="3"/>
        <v>2.4</v>
      </c>
      <c r="AA48">
        <v>41</v>
      </c>
      <c r="AB48">
        <v>-0.65392399999999995</v>
      </c>
      <c r="AC48">
        <v>1800.95</v>
      </c>
      <c r="AH48">
        <f t="shared" si="4"/>
        <v>2.4</v>
      </c>
      <c r="AI48">
        <v>41</v>
      </c>
      <c r="AJ48">
        <v>3.3652700000000002</v>
      </c>
      <c r="AK48">
        <v>5257.43</v>
      </c>
      <c r="AP48">
        <f t="shared" si="5"/>
        <v>2.4</v>
      </c>
      <c r="AQ48">
        <v>41</v>
      </c>
      <c r="AR48">
        <v>3.5573100000000002</v>
      </c>
      <c r="AS48">
        <v>2009.38</v>
      </c>
      <c r="AX48">
        <f t="shared" si="6"/>
        <v>2.4</v>
      </c>
      <c r="AY48">
        <v>41</v>
      </c>
      <c r="AZ48">
        <v>3.4783300000000001</v>
      </c>
      <c r="BA48">
        <v>5152.08</v>
      </c>
      <c r="BF48">
        <f t="shared" si="7"/>
        <v>2.4</v>
      </c>
      <c r="BG48">
        <v>41</v>
      </c>
      <c r="BH48">
        <v>1.1229899999999999</v>
      </c>
      <c r="BI48">
        <v>2114.04</v>
      </c>
      <c r="BN48">
        <f t="shared" si="8"/>
        <v>2.4</v>
      </c>
      <c r="BO48">
        <v>41</v>
      </c>
      <c r="BP48">
        <v>1.4671099999999999</v>
      </c>
      <c r="BQ48">
        <v>1955.89</v>
      </c>
      <c r="BV48">
        <f t="shared" si="9"/>
        <v>2.4</v>
      </c>
      <c r="BW48">
        <v>41</v>
      </c>
      <c r="BX48">
        <v>3.2013400000000001</v>
      </c>
      <c r="BY48">
        <v>2399.92</v>
      </c>
    </row>
    <row r="49" spans="2:77" x14ac:dyDescent="0.2">
      <c r="B49">
        <f t="shared" si="0"/>
        <v>2.4499999999999997</v>
      </c>
      <c r="C49">
        <v>42</v>
      </c>
      <c r="D49">
        <v>-3.4818199999999999</v>
      </c>
      <c r="E49">
        <v>-1186.6400000000001</v>
      </c>
      <c r="J49">
        <f t="shared" si="1"/>
        <v>2.4499999999999997</v>
      </c>
      <c r="K49">
        <v>42</v>
      </c>
      <c r="L49">
        <v>-1.15733</v>
      </c>
      <c r="M49">
        <v>2762.94</v>
      </c>
      <c r="R49">
        <f t="shared" si="2"/>
        <v>2.4499999999999997</v>
      </c>
      <c r="S49">
        <v>42</v>
      </c>
      <c r="T49">
        <v>-1.32301</v>
      </c>
      <c r="U49">
        <v>89.172499999999999</v>
      </c>
      <c r="Z49">
        <f t="shared" si="3"/>
        <v>2.4499999999999997</v>
      </c>
      <c r="AA49">
        <v>42</v>
      </c>
      <c r="AB49">
        <v>-0.74921300000000002</v>
      </c>
      <c r="AC49">
        <v>1722.72</v>
      </c>
      <c r="AH49">
        <f t="shared" si="4"/>
        <v>2.4499999999999997</v>
      </c>
      <c r="AI49">
        <v>42</v>
      </c>
      <c r="AJ49">
        <v>3.09823</v>
      </c>
      <c r="AK49">
        <v>4630.6000000000004</v>
      </c>
      <c r="AP49">
        <f t="shared" si="5"/>
        <v>2.4499999999999997</v>
      </c>
      <c r="AQ49">
        <v>42</v>
      </c>
      <c r="AR49">
        <v>3.45018</v>
      </c>
      <c r="AS49">
        <v>1950.58</v>
      </c>
      <c r="AX49">
        <f t="shared" si="6"/>
        <v>2.4499999999999997</v>
      </c>
      <c r="AY49">
        <v>42</v>
      </c>
      <c r="AZ49">
        <v>3.2128299999999999</v>
      </c>
      <c r="BA49">
        <v>4684.46</v>
      </c>
      <c r="BF49">
        <f t="shared" si="7"/>
        <v>2.4499999999999997</v>
      </c>
      <c r="BG49">
        <v>42</v>
      </c>
      <c r="BH49">
        <v>1.0112099999999999</v>
      </c>
      <c r="BI49">
        <v>2019.9</v>
      </c>
      <c r="BN49">
        <f t="shared" si="8"/>
        <v>2.4499999999999997</v>
      </c>
      <c r="BO49">
        <v>42</v>
      </c>
      <c r="BP49">
        <v>1.3636900000000001</v>
      </c>
      <c r="BQ49">
        <v>1868.75</v>
      </c>
      <c r="BV49">
        <f t="shared" si="9"/>
        <v>2.4499999999999997</v>
      </c>
      <c r="BW49">
        <v>42</v>
      </c>
      <c r="BX49">
        <v>3.0762200000000002</v>
      </c>
      <c r="BY49">
        <v>2233.5700000000002</v>
      </c>
    </row>
    <row r="50" spans="2:77" x14ac:dyDescent="0.2">
      <c r="B50">
        <f t="shared" si="0"/>
        <v>2.4999999999999996</v>
      </c>
      <c r="C50">
        <v>43</v>
      </c>
      <c r="D50">
        <v>-3.4167399999999999</v>
      </c>
      <c r="E50">
        <v>-1268.0899999999999</v>
      </c>
      <c r="J50">
        <f t="shared" si="1"/>
        <v>2.4999999999999996</v>
      </c>
      <c r="K50">
        <v>43</v>
      </c>
      <c r="L50">
        <v>-1.2876300000000001</v>
      </c>
      <c r="M50">
        <v>2169.6999999999998</v>
      </c>
      <c r="R50">
        <f t="shared" si="2"/>
        <v>2.4999999999999996</v>
      </c>
      <c r="S50">
        <v>43</v>
      </c>
      <c r="T50">
        <v>-1.3209599999999999</v>
      </c>
      <c r="U50">
        <v>-160.745</v>
      </c>
      <c r="Z50">
        <f t="shared" si="3"/>
        <v>2.4999999999999996</v>
      </c>
      <c r="AA50">
        <v>43</v>
      </c>
      <c r="AB50">
        <v>-0.83845700000000001</v>
      </c>
      <c r="AC50">
        <v>1647.01</v>
      </c>
      <c r="AH50">
        <f t="shared" si="4"/>
        <v>2.4999999999999996</v>
      </c>
      <c r="AI50">
        <v>43</v>
      </c>
      <c r="AJ50">
        <v>2.86755</v>
      </c>
      <c r="AK50">
        <v>4090.47</v>
      </c>
      <c r="AP50">
        <f t="shared" si="5"/>
        <v>2.4999999999999996</v>
      </c>
      <c r="AQ50">
        <v>43</v>
      </c>
      <c r="AR50">
        <v>3.3485399999999998</v>
      </c>
      <c r="AS50">
        <v>1886.22</v>
      </c>
      <c r="AX50">
        <f t="shared" si="6"/>
        <v>2.4999999999999996</v>
      </c>
      <c r="AY50">
        <v>43</v>
      </c>
      <c r="AZ50">
        <v>2.9746800000000002</v>
      </c>
      <c r="BA50">
        <v>4320.37</v>
      </c>
      <c r="BF50">
        <f t="shared" si="7"/>
        <v>2.4999999999999996</v>
      </c>
      <c r="BG50">
        <v>43</v>
      </c>
      <c r="BH50">
        <v>0.90660200000000002</v>
      </c>
      <c r="BI50">
        <v>1930.22</v>
      </c>
      <c r="BN50">
        <f t="shared" si="8"/>
        <v>2.4999999999999996</v>
      </c>
      <c r="BO50">
        <v>43</v>
      </c>
      <c r="BP50">
        <v>1.26692</v>
      </c>
      <c r="BQ50">
        <v>1785.12</v>
      </c>
      <c r="BV50">
        <f t="shared" si="9"/>
        <v>2.4999999999999996</v>
      </c>
      <c r="BW50">
        <v>43</v>
      </c>
      <c r="BX50">
        <v>2.9614799999999999</v>
      </c>
      <c r="BY50">
        <v>2102.69</v>
      </c>
    </row>
    <row r="51" spans="2:77" x14ac:dyDescent="0.2">
      <c r="B51">
        <f t="shared" si="0"/>
        <v>2.5499999999999994</v>
      </c>
      <c r="C51">
        <v>44</v>
      </c>
      <c r="D51">
        <v>-3.3491499999999998</v>
      </c>
      <c r="E51">
        <v>-1334.4</v>
      </c>
      <c r="J51">
        <f t="shared" si="1"/>
        <v>2.5499999999999994</v>
      </c>
      <c r="K51">
        <v>44</v>
      </c>
      <c r="L51">
        <v>-1.38672</v>
      </c>
      <c r="M51">
        <v>1660.07</v>
      </c>
      <c r="R51">
        <f t="shared" si="2"/>
        <v>2.5499999999999994</v>
      </c>
      <c r="S51">
        <v>44</v>
      </c>
      <c r="T51">
        <v>-1.3069900000000001</v>
      </c>
      <c r="U51">
        <v>-372.21300000000002</v>
      </c>
      <c r="Z51">
        <f t="shared" si="3"/>
        <v>2.5499999999999994</v>
      </c>
      <c r="AA51">
        <v>44</v>
      </c>
      <c r="AB51">
        <v>-0.92204200000000003</v>
      </c>
      <c r="AC51">
        <v>1574.23</v>
      </c>
      <c r="AH51">
        <f t="shared" si="4"/>
        <v>2.5499999999999994</v>
      </c>
      <c r="AI51">
        <v>44</v>
      </c>
      <c r="AJ51">
        <v>2.6676199999999999</v>
      </c>
      <c r="AK51">
        <v>3623.67</v>
      </c>
      <c r="AP51">
        <f t="shared" si="5"/>
        <v>2.5499999999999994</v>
      </c>
      <c r="AQ51">
        <v>44</v>
      </c>
      <c r="AR51">
        <v>3.25237</v>
      </c>
      <c r="AS51">
        <v>1819.16</v>
      </c>
      <c r="AX51">
        <f t="shared" si="6"/>
        <v>2.5499999999999994</v>
      </c>
      <c r="AY51">
        <v>44</v>
      </c>
      <c r="AZ51">
        <v>2.7582900000000001</v>
      </c>
      <c r="BA51">
        <v>4026.36</v>
      </c>
      <c r="BF51">
        <f t="shared" si="7"/>
        <v>2.5499999999999994</v>
      </c>
      <c r="BG51">
        <v>44</v>
      </c>
      <c r="BH51">
        <v>0.80862900000000004</v>
      </c>
      <c r="BI51">
        <v>1845.82</v>
      </c>
      <c r="BN51">
        <f t="shared" si="8"/>
        <v>2.5499999999999994</v>
      </c>
      <c r="BO51">
        <v>44</v>
      </c>
      <c r="BP51">
        <v>1.17635</v>
      </c>
      <c r="BQ51">
        <v>1705.66</v>
      </c>
      <c r="BV51">
        <f t="shared" si="9"/>
        <v>2.5499999999999994</v>
      </c>
      <c r="BW51">
        <v>44</v>
      </c>
      <c r="BX51">
        <v>2.8552300000000002</v>
      </c>
      <c r="BY51">
        <v>1994.61</v>
      </c>
    </row>
    <row r="52" spans="2:77" x14ac:dyDescent="0.2">
      <c r="B52">
        <f t="shared" si="0"/>
        <v>2.5999999999999992</v>
      </c>
      <c r="C52">
        <v>45</v>
      </c>
      <c r="D52">
        <v>-3.2798600000000002</v>
      </c>
      <c r="E52">
        <v>-1387.83</v>
      </c>
      <c r="J52">
        <f t="shared" si="1"/>
        <v>2.5999999999999992</v>
      </c>
      <c r="K52">
        <v>45</v>
      </c>
      <c r="L52">
        <v>-1.4598</v>
      </c>
      <c r="M52">
        <v>1222.8699999999999</v>
      </c>
      <c r="R52">
        <f t="shared" si="2"/>
        <v>2.5999999999999992</v>
      </c>
      <c r="S52">
        <v>45</v>
      </c>
      <c r="T52">
        <v>-1.2834000000000001</v>
      </c>
      <c r="U52">
        <v>-550.73</v>
      </c>
      <c r="Z52">
        <f t="shared" si="3"/>
        <v>2.5999999999999992</v>
      </c>
      <c r="AA52">
        <v>45</v>
      </c>
      <c r="AB52">
        <v>-1.0003500000000001</v>
      </c>
      <c r="AC52">
        <v>1504.67</v>
      </c>
      <c r="AH52">
        <f t="shared" si="4"/>
        <v>2.5999999999999992</v>
      </c>
      <c r="AI52">
        <v>45</v>
      </c>
      <c r="AJ52">
        <v>2.49376</v>
      </c>
      <c r="AK52">
        <v>3219.62</v>
      </c>
      <c r="AP52">
        <f t="shared" si="5"/>
        <v>2.5999999999999992</v>
      </c>
      <c r="AQ52">
        <v>45</v>
      </c>
      <c r="AR52">
        <v>3.16154</v>
      </c>
      <c r="AS52">
        <v>1751.54</v>
      </c>
      <c r="AX52">
        <f t="shared" si="6"/>
        <v>2.5999999999999992</v>
      </c>
      <c r="AY52">
        <v>45</v>
      </c>
      <c r="AZ52">
        <v>2.55992</v>
      </c>
      <c r="BA52">
        <v>3777.51</v>
      </c>
      <c r="BF52">
        <f t="shared" si="7"/>
        <v>2.5999999999999992</v>
      </c>
      <c r="BG52">
        <v>45</v>
      </c>
      <c r="BH52">
        <v>0.71674400000000005</v>
      </c>
      <c r="BI52">
        <v>1767.22</v>
      </c>
      <c r="BN52">
        <f t="shared" si="8"/>
        <v>2.5999999999999992</v>
      </c>
      <c r="BO52">
        <v>45</v>
      </c>
      <c r="BP52">
        <v>1.0914999999999999</v>
      </c>
      <c r="BQ52">
        <v>1630.81</v>
      </c>
      <c r="BV52">
        <f t="shared" si="9"/>
        <v>2.5999999999999992</v>
      </c>
      <c r="BW52">
        <v>45</v>
      </c>
      <c r="BX52">
        <v>2.75617</v>
      </c>
      <c r="BY52">
        <v>1901.56</v>
      </c>
    </row>
    <row r="53" spans="2:77" x14ac:dyDescent="0.2">
      <c r="B53">
        <f t="shared" si="0"/>
        <v>2.649999999999999</v>
      </c>
      <c r="C53">
        <v>46</v>
      </c>
      <c r="D53">
        <v>-3.20953</v>
      </c>
      <c r="E53">
        <v>-1430.25</v>
      </c>
      <c r="J53">
        <f t="shared" si="1"/>
        <v>2.649999999999999</v>
      </c>
      <c r="K53">
        <v>46</v>
      </c>
      <c r="L53">
        <v>-1.51125</v>
      </c>
      <c r="M53">
        <v>848.17499999999995</v>
      </c>
      <c r="R53">
        <f t="shared" si="2"/>
        <v>2.649999999999999</v>
      </c>
      <c r="S53">
        <v>46</v>
      </c>
      <c r="T53">
        <v>-1.2520800000000001</v>
      </c>
      <c r="U53">
        <v>-701.05700000000002</v>
      </c>
      <c r="Z53">
        <f t="shared" si="3"/>
        <v>2.649999999999999</v>
      </c>
      <c r="AA53">
        <v>46</v>
      </c>
      <c r="AB53">
        <v>-1.07375</v>
      </c>
      <c r="AC53">
        <v>1438.48</v>
      </c>
      <c r="AH53">
        <f t="shared" si="4"/>
        <v>2.649999999999999</v>
      </c>
      <c r="AI53">
        <v>46</v>
      </c>
      <c r="AJ53">
        <v>2.34205</v>
      </c>
      <c r="AK53">
        <v>2870.15</v>
      </c>
      <c r="AP53">
        <f t="shared" si="5"/>
        <v>2.649999999999999</v>
      </c>
      <c r="AQ53">
        <v>46</v>
      </c>
      <c r="AR53">
        <v>3.0758200000000002</v>
      </c>
      <c r="AS53">
        <v>1684.95</v>
      </c>
      <c r="AX53">
        <f t="shared" si="6"/>
        <v>2.649999999999999</v>
      </c>
      <c r="AY53">
        <v>46</v>
      </c>
      <c r="AZ53">
        <v>2.3770600000000002</v>
      </c>
      <c r="BA53">
        <v>3556.59</v>
      </c>
      <c r="BF53">
        <f t="shared" si="7"/>
        <v>2.649999999999999</v>
      </c>
      <c r="BG53">
        <v>46</v>
      </c>
      <c r="BH53">
        <v>0.63041599999999998</v>
      </c>
      <c r="BI53">
        <v>1694.65</v>
      </c>
      <c r="BN53">
        <f t="shared" si="8"/>
        <v>2.649999999999999</v>
      </c>
      <c r="BO53">
        <v>46</v>
      </c>
      <c r="BP53">
        <v>1.0119</v>
      </c>
      <c r="BQ53">
        <v>1560.82</v>
      </c>
      <c r="BV53">
        <f t="shared" si="9"/>
        <v>2.649999999999999</v>
      </c>
      <c r="BW53">
        <v>46</v>
      </c>
      <c r="BX53">
        <v>2.6634000000000002</v>
      </c>
      <c r="BY53">
        <v>1818.92</v>
      </c>
    </row>
    <row r="54" spans="2:77" x14ac:dyDescent="0.2">
      <c r="B54">
        <f t="shared" si="0"/>
        <v>2.6999999999999988</v>
      </c>
      <c r="C54">
        <v>47</v>
      </c>
      <c r="D54">
        <v>-3.1387</v>
      </c>
      <c r="E54">
        <v>-1463.17</v>
      </c>
      <c r="J54">
        <f t="shared" si="1"/>
        <v>2.6999999999999988</v>
      </c>
      <c r="K54">
        <v>47</v>
      </c>
      <c r="L54">
        <v>-1.5447299999999999</v>
      </c>
      <c r="M54">
        <v>527.32100000000003</v>
      </c>
      <c r="R54">
        <f t="shared" si="2"/>
        <v>2.6999999999999988</v>
      </c>
      <c r="S54">
        <v>47</v>
      </c>
      <c r="T54">
        <v>-1.21461</v>
      </c>
      <c r="U54">
        <v>-827.30600000000004</v>
      </c>
      <c r="Z54">
        <f t="shared" si="3"/>
        <v>2.6999999999999988</v>
      </c>
      <c r="AA54">
        <v>47</v>
      </c>
      <c r="AB54">
        <v>-1.1426000000000001</v>
      </c>
      <c r="AC54">
        <v>1375.74</v>
      </c>
      <c r="AH54">
        <f t="shared" si="4"/>
        <v>2.6999999999999988</v>
      </c>
      <c r="AI54">
        <v>47</v>
      </c>
      <c r="AJ54">
        <v>2.2091400000000001</v>
      </c>
      <c r="AK54">
        <v>2568.9</v>
      </c>
      <c r="AP54">
        <f t="shared" si="5"/>
        <v>2.6999999999999988</v>
      </c>
      <c r="AQ54">
        <v>47</v>
      </c>
      <c r="AR54">
        <v>2.9949499999999998</v>
      </c>
      <c r="AS54">
        <v>1620.54</v>
      </c>
      <c r="AX54">
        <f t="shared" si="6"/>
        <v>2.6999999999999988</v>
      </c>
      <c r="AY54">
        <v>47</v>
      </c>
      <c r="AZ54">
        <v>2.20804</v>
      </c>
      <c r="BA54">
        <v>3352.67</v>
      </c>
      <c r="BF54">
        <f t="shared" si="7"/>
        <v>2.6999999999999988</v>
      </c>
      <c r="BG54">
        <v>47</v>
      </c>
      <c r="BH54">
        <v>0.54913599999999996</v>
      </c>
      <c r="BI54">
        <v>1628.08</v>
      </c>
      <c r="BN54">
        <f t="shared" si="8"/>
        <v>2.6999999999999988</v>
      </c>
      <c r="BO54">
        <v>47</v>
      </c>
      <c r="BP54">
        <v>0.93713100000000005</v>
      </c>
      <c r="BQ54">
        <v>1495.77</v>
      </c>
      <c r="BV54">
        <f t="shared" si="9"/>
        <v>2.6999999999999988</v>
      </c>
      <c r="BW54">
        <v>47</v>
      </c>
      <c r="BX54">
        <v>2.5762399999999999</v>
      </c>
      <c r="BY54">
        <v>1744.02</v>
      </c>
    </row>
    <row r="55" spans="2:77" x14ac:dyDescent="0.2">
      <c r="B55">
        <f t="shared" si="0"/>
        <v>2.7499999999999987</v>
      </c>
      <c r="C55">
        <v>48</v>
      </c>
      <c r="D55">
        <v>-3.0678200000000002</v>
      </c>
      <c r="E55">
        <v>-1487.83</v>
      </c>
      <c r="J55">
        <f t="shared" si="1"/>
        <v>2.7499999999999987</v>
      </c>
      <c r="K55">
        <v>48</v>
      </c>
      <c r="L55">
        <v>-1.56331</v>
      </c>
      <c r="M55">
        <v>252.774</v>
      </c>
      <c r="R55">
        <f t="shared" si="2"/>
        <v>2.7499999999999987</v>
      </c>
      <c r="S55">
        <v>48</v>
      </c>
      <c r="T55">
        <v>-1.1722699999999999</v>
      </c>
      <c r="U55">
        <v>-933.01400000000001</v>
      </c>
      <c r="Z55">
        <f t="shared" si="3"/>
        <v>2.7499999999999987</v>
      </c>
      <c r="AA55">
        <v>48</v>
      </c>
      <c r="AB55">
        <v>-1.20723</v>
      </c>
      <c r="AC55">
        <v>1316.41</v>
      </c>
      <c r="AH55">
        <f t="shared" si="4"/>
        <v>2.7499999999999987</v>
      </c>
      <c r="AI55">
        <v>48</v>
      </c>
      <c r="AJ55">
        <v>2.09212</v>
      </c>
      <c r="AK55">
        <v>2310.7399999999998</v>
      </c>
      <c r="AP55">
        <f t="shared" si="5"/>
        <v>2.7499999999999987</v>
      </c>
      <c r="AQ55">
        <v>48</v>
      </c>
      <c r="AR55">
        <v>2.9186200000000002</v>
      </c>
      <c r="AS55">
        <v>1559.05</v>
      </c>
      <c r="AX55">
        <f t="shared" si="6"/>
        <v>2.7499999999999987</v>
      </c>
      <c r="AY55">
        <v>48</v>
      </c>
      <c r="AZ55">
        <v>2.0517099999999999</v>
      </c>
      <c r="BA55">
        <v>3159.54</v>
      </c>
      <c r="BF55">
        <f t="shared" si="7"/>
        <v>2.7499999999999987</v>
      </c>
      <c r="BG55">
        <v>48</v>
      </c>
      <c r="BH55">
        <v>0.47243299999999999</v>
      </c>
      <c r="BI55">
        <v>1567.28</v>
      </c>
      <c r="BN55">
        <f t="shared" si="8"/>
        <v>2.7499999999999987</v>
      </c>
      <c r="BO55">
        <v>48</v>
      </c>
      <c r="BP55">
        <v>0.86676299999999995</v>
      </c>
      <c r="BQ55">
        <v>1435.58</v>
      </c>
      <c r="BV55">
        <f t="shared" si="9"/>
        <v>2.7499999999999987</v>
      </c>
      <c r="BW55">
        <v>48</v>
      </c>
      <c r="BX55">
        <v>2.4941599999999999</v>
      </c>
      <c r="BY55">
        <v>1675.4</v>
      </c>
    </row>
    <row r="56" spans="2:77" x14ac:dyDescent="0.2">
      <c r="B56">
        <f t="shared" si="0"/>
        <v>2.7999999999999985</v>
      </c>
      <c r="C56">
        <v>49</v>
      </c>
      <c r="D56">
        <v>-2.9972500000000002</v>
      </c>
      <c r="E56">
        <v>-1505.17</v>
      </c>
      <c r="J56">
        <f t="shared" si="1"/>
        <v>2.7999999999999985</v>
      </c>
      <c r="K56">
        <v>49</v>
      </c>
      <c r="L56">
        <v>-1.5695600000000001</v>
      </c>
      <c r="M56">
        <v>18.042300000000001</v>
      </c>
      <c r="R56">
        <f t="shared" si="2"/>
        <v>2.7999999999999985</v>
      </c>
      <c r="S56">
        <v>49</v>
      </c>
      <c r="T56">
        <v>-1.12616</v>
      </c>
      <c r="U56">
        <v>-1021.2</v>
      </c>
      <c r="Z56">
        <f t="shared" si="3"/>
        <v>2.7999999999999985</v>
      </c>
      <c r="AA56">
        <v>49</v>
      </c>
      <c r="AB56">
        <v>-1.2679499999999999</v>
      </c>
      <c r="AC56">
        <v>1260.42</v>
      </c>
      <c r="AH56">
        <f t="shared" si="4"/>
        <v>2.7999999999999985</v>
      </c>
      <c r="AI56">
        <v>49</v>
      </c>
      <c r="AJ56">
        <v>1.9884900000000001</v>
      </c>
      <c r="AK56">
        <v>2091.31</v>
      </c>
      <c r="AP56">
        <f t="shared" si="5"/>
        <v>2.7999999999999985</v>
      </c>
      <c r="AQ56">
        <v>49</v>
      </c>
      <c r="AR56">
        <v>2.8465099999999999</v>
      </c>
      <c r="AS56">
        <v>1500.96</v>
      </c>
      <c r="AX56">
        <f t="shared" si="6"/>
        <v>2.7999999999999985</v>
      </c>
      <c r="AY56">
        <v>49</v>
      </c>
      <c r="AZ56">
        <v>1.9071499999999999</v>
      </c>
      <c r="BA56">
        <v>2974.25</v>
      </c>
      <c r="BF56">
        <f t="shared" si="7"/>
        <v>2.7999999999999985</v>
      </c>
      <c r="BG56">
        <v>49</v>
      </c>
      <c r="BH56">
        <v>0.39987600000000001</v>
      </c>
      <c r="BI56">
        <v>1511.83</v>
      </c>
      <c r="BN56">
        <f t="shared" si="8"/>
        <v>2.7999999999999985</v>
      </c>
      <c r="BO56">
        <v>49</v>
      </c>
      <c r="BP56">
        <v>0.80041499999999999</v>
      </c>
      <c r="BQ56">
        <v>1380.01</v>
      </c>
      <c r="BV56">
        <f t="shared" si="9"/>
        <v>2.7999999999999985</v>
      </c>
      <c r="BW56">
        <v>49</v>
      </c>
      <c r="BX56">
        <v>2.41669</v>
      </c>
      <c r="BY56">
        <v>1612.21</v>
      </c>
    </row>
    <row r="57" spans="2:77" x14ac:dyDescent="0.2">
      <c r="B57">
        <f t="shared" si="0"/>
        <v>2.8499999999999983</v>
      </c>
      <c r="C57">
        <v>50</v>
      </c>
      <c r="D57">
        <v>-2.9272999999999998</v>
      </c>
      <c r="E57">
        <v>-1515.93</v>
      </c>
      <c r="J57">
        <f t="shared" si="1"/>
        <v>2.8499999999999983</v>
      </c>
      <c r="K57">
        <v>50</v>
      </c>
      <c r="L57">
        <v>-1.56565</v>
      </c>
      <c r="M57">
        <v>-182.45699999999999</v>
      </c>
      <c r="R57">
        <f t="shared" si="2"/>
        <v>2.8499999999999983</v>
      </c>
      <c r="S57">
        <v>50</v>
      </c>
      <c r="T57">
        <v>-1.07714</v>
      </c>
      <c r="U57">
        <v>-1094.42</v>
      </c>
      <c r="Z57">
        <f t="shared" si="3"/>
        <v>2.8499999999999983</v>
      </c>
      <c r="AA57">
        <v>50</v>
      </c>
      <c r="AB57">
        <v>-1.32507</v>
      </c>
      <c r="AC57">
        <v>1207.6400000000001</v>
      </c>
      <c r="AH57">
        <f t="shared" si="4"/>
        <v>2.8499999999999983</v>
      </c>
      <c r="AI57">
        <v>50</v>
      </c>
      <c r="AJ57">
        <v>1.8960699999999999</v>
      </c>
      <c r="AK57">
        <v>1906.67</v>
      </c>
      <c r="AP57">
        <f t="shared" si="5"/>
        <v>2.8499999999999983</v>
      </c>
      <c r="AQ57">
        <v>50</v>
      </c>
      <c r="AR57">
        <v>2.7783000000000002</v>
      </c>
      <c r="AS57">
        <v>1446.48</v>
      </c>
      <c r="AX57">
        <f t="shared" si="6"/>
        <v>2.8499999999999983</v>
      </c>
      <c r="AY57">
        <v>50</v>
      </c>
      <c r="AZ57">
        <v>1.77362</v>
      </c>
      <c r="BA57">
        <v>2795.93</v>
      </c>
      <c r="BF57">
        <f t="shared" si="7"/>
        <v>2.8499999999999983</v>
      </c>
      <c r="BG57">
        <v>50</v>
      </c>
      <c r="BH57">
        <v>0.33107799999999998</v>
      </c>
      <c r="BI57">
        <v>1461.25</v>
      </c>
      <c r="BN57">
        <f t="shared" si="8"/>
        <v>2.8499999999999983</v>
      </c>
      <c r="BO57">
        <v>50</v>
      </c>
      <c r="BP57">
        <v>0.737734</v>
      </c>
      <c r="BQ57">
        <v>1328.72</v>
      </c>
      <c r="BV57">
        <f t="shared" si="9"/>
        <v>2.8499999999999983</v>
      </c>
      <c r="BW57">
        <v>50</v>
      </c>
      <c r="BX57">
        <v>2.3434200000000001</v>
      </c>
      <c r="BY57">
        <v>1553.92</v>
      </c>
    </row>
    <row r="58" spans="2:77" x14ac:dyDescent="0.2">
      <c r="B58">
        <f t="shared" si="0"/>
        <v>2.8999999999999981</v>
      </c>
      <c r="C58">
        <v>51</v>
      </c>
      <c r="D58">
        <v>-2.8582399999999999</v>
      </c>
      <c r="E58">
        <v>-1520.67</v>
      </c>
      <c r="J58">
        <f t="shared" si="1"/>
        <v>2.8999999999999981</v>
      </c>
      <c r="K58">
        <v>51</v>
      </c>
      <c r="L58">
        <v>-1.5533699999999999</v>
      </c>
      <c r="M58">
        <v>-353.50900000000001</v>
      </c>
      <c r="R58">
        <f t="shared" si="2"/>
        <v>2.8999999999999981</v>
      </c>
      <c r="S58">
        <v>51</v>
      </c>
      <c r="T58">
        <v>-1.02597</v>
      </c>
      <c r="U58">
        <v>-1154.8</v>
      </c>
      <c r="Z58">
        <f t="shared" si="3"/>
        <v>2.8999999999999981</v>
      </c>
      <c r="AA58">
        <v>51</v>
      </c>
      <c r="AB58">
        <v>-1.3788400000000001</v>
      </c>
      <c r="AC58">
        <v>1157.9100000000001</v>
      </c>
      <c r="AH58">
        <f t="shared" si="4"/>
        <v>2.8999999999999981</v>
      </c>
      <c r="AI58">
        <v>51</v>
      </c>
      <c r="AJ58">
        <v>1.81297</v>
      </c>
      <c r="AK58">
        <v>1753.11</v>
      </c>
      <c r="AP58">
        <f t="shared" si="5"/>
        <v>2.8999999999999981</v>
      </c>
      <c r="AQ58">
        <v>51</v>
      </c>
      <c r="AR58">
        <v>2.7136900000000002</v>
      </c>
      <c r="AS58">
        <v>1395.62</v>
      </c>
      <c r="AX58">
        <f t="shared" si="6"/>
        <v>2.8999999999999981</v>
      </c>
      <c r="AY58">
        <v>51</v>
      </c>
      <c r="AZ58">
        <v>1.65039</v>
      </c>
      <c r="BA58">
        <v>2624.92</v>
      </c>
      <c r="BF58">
        <f t="shared" si="7"/>
        <v>2.8999999999999981</v>
      </c>
      <c r="BG58">
        <v>51</v>
      </c>
      <c r="BH58">
        <v>0.26569900000000002</v>
      </c>
      <c r="BI58">
        <v>1414.96</v>
      </c>
      <c r="BN58">
        <f t="shared" si="8"/>
        <v>2.8999999999999981</v>
      </c>
      <c r="BO58">
        <v>51</v>
      </c>
      <c r="BP58">
        <v>0.67840500000000004</v>
      </c>
      <c r="BQ58">
        <v>1281.32</v>
      </c>
      <c r="BV58">
        <f t="shared" si="9"/>
        <v>2.8999999999999981</v>
      </c>
      <c r="BW58">
        <v>51</v>
      </c>
      <c r="BX58">
        <v>2.274</v>
      </c>
      <c r="BY58">
        <v>1500.15</v>
      </c>
    </row>
    <row r="59" spans="2:77" x14ac:dyDescent="0.2">
      <c r="B59">
        <f t="shared" si="0"/>
        <v>2.949999999999998</v>
      </c>
      <c r="C59">
        <v>52</v>
      </c>
      <c r="D59">
        <v>-2.7902999999999998</v>
      </c>
      <c r="E59">
        <v>-1519.84</v>
      </c>
      <c r="J59">
        <f t="shared" si="1"/>
        <v>2.949999999999998</v>
      </c>
      <c r="K59">
        <v>52</v>
      </c>
      <c r="L59">
        <v>-1.53424</v>
      </c>
      <c r="M59">
        <v>-499.209</v>
      </c>
      <c r="R59">
        <f t="shared" si="2"/>
        <v>2.949999999999998</v>
      </c>
      <c r="S59">
        <v>52</v>
      </c>
      <c r="T59">
        <v>-0.97323300000000001</v>
      </c>
      <c r="U59">
        <v>-1204.1099999999999</v>
      </c>
      <c r="Z59">
        <f t="shared" si="3"/>
        <v>2.949999999999998</v>
      </c>
      <c r="AA59">
        <v>52</v>
      </c>
      <c r="AB59">
        <v>-1.4295199999999999</v>
      </c>
      <c r="AC59">
        <v>1111.04</v>
      </c>
      <c r="AH59">
        <f t="shared" si="4"/>
        <v>2.949999999999998</v>
      </c>
      <c r="AI59">
        <v>52</v>
      </c>
      <c r="AJ59">
        <v>1.7375499999999999</v>
      </c>
      <c r="AK59">
        <v>1627.02</v>
      </c>
      <c r="AP59">
        <f t="shared" si="5"/>
        <v>2.949999999999998</v>
      </c>
      <c r="AQ59">
        <v>52</v>
      </c>
      <c r="AR59">
        <v>2.6524000000000001</v>
      </c>
      <c r="AS59">
        <v>1348.24</v>
      </c>
      <c r="AX59">
        <f t="shared" si="6"/>
        <v>2.949999999999998</v>
      </c>
      <c r="AY59">
        <v>52</v>
      </c>
      <c r="AZ59">
        <v>1.53677</v>
      </c>
      <c r="BA59">
        <v>2462.09</v>
      </c>
      <c r="BF59">
        <f t="shared" si="7"/>
        <v>2.949999999999998</v>
      </c>
      <c r="BG59">
        <v>52</v>
      </c>
      <c r="BH59">
        <v>0.20344100000000001</v>
      </c>
      <c r="BI59">
        <v>1372.37</v>
      </c>
      <c r="BN59">
        <f t="shared" si="8"/>
        <v>2.949999999999998</v>
      </c>
      <c r="BO59">
        <v>52</v>
      </c>
      <c r="BP59">
        <v>0.62214800000000003</v>
      </c>
      <c r="BQ59">
        <v>1237.3499999999999</v>
      </c>
      <c r="BV59">
        <f t="shared" si="9"/>
        <v>2.949999999999998</v>
      </c>
      <c r="BW59">
        <v>52</v>
      </c>
      <c r="BX59">
        <v>2.2081</v>
      </c>
      <c r="BY59">
        <v>1450.53</v>
      </c>
    </row>
    <row r="60" spans="2:77" x14ac:dyDescent="0.2">
      <c r="B60">
        <f t="shared" si="0"/>
        <v>2.9999999999999978</v>
      </c>
      <c r="C60">
        <v>53</v>
      </c>
      <c r="D60">
        <v>-2.7236699999999998</v>
      </c>
      <c r="E60">
        <v>-1513.78</v>
      </c>
      <c r="J60">
        <f t="shared" si="1"/>
        <v>2.9999999999999978</v>
      </c>
      <c r="K60">
        <v>53</v>
      </c>
      <c r="L60">
        <v>-1.50953</v>
      </c>
      <c r="M60">
        <v>-623.05999999999995</v>
      </c>
      <c r="R60">
        <f t="shared" si="2"/>
        <v>2.9999999999999978</v>
      </c>
      <c r="S60">
        <v>53</v>
      </c>
      <c r="T60">
        <v>-0.91945100000000002</v>
      </c>
      <c r="U60">
        <v>-1243.8</v>
      </c>
      <c r="Z60">
        <f t="shared" si="3"/>
        <v>2.9999999999999978</v>
      </c>
      <c r="AA60">
        <v>53</v>
      </c>
      <c r="AB60">
        <v>-1.4773400000000001</v>
      </c>
      <c r="AC60">
        <v>1066.83</v>
      </c>
      <c r="AH60">
        <f t="shared" si="4"/>
        <v>2.9999999999999978</v>
      </c>
      <c r="AI60">
        <v>53</v>
      </c>
      <c r="AJ60">
        <v>1.6684099999999999</v>
      </c>
      <c r="AK60">
        <v>1524.86</v>
      </c>
      <c r="AP60">
        <f t="shared" si="5"/>
        <v>2.9999999999999978</v>
      </c>
      <c r="AQ60">
        <v>53</v>
      </c>
      <c r="AR60">
        <v>2.5941700000000001</v>
      </c>
      <c r="AS60">
        <v>1304.0999999999999</v>
      </c>
      <c r="AX60">
        <f t="shared" si="6"/>
        <v>2.9999999999999978</v>
      </c>
      <c r="AY60">
        <v>53</v>
      </c>
      <c r="AZ60">
        <v>1.43204</v>
      </c>
      <c r="BA60">
        <v>2308.4499999999998</v>
      </c>
      <c r="BF60">
        <f t="shared" si="7"/>
        <v>2.9999999999999978</v>
      </c>
      <c r="BG60">
        <v>53</v>
      </c>
      <c r="BH60">
        <v>0.14404700000000001</v>
      </c>
      <c r="BI60">
        <v>1332.89</v>
      </c>
      <c r="BN60">
        <f t="shared" si="8"/>
        <v>2.9999999999999978</v>
      </c>
      <c r="BO60">
        <v>53</v>
      </c>
      <c r="BP60">
        <v>0.56871700000000003</v>
      </c>
      <c r="BQ60">
        <v>1196.33</v>
      </c>
      <c r="BV60">
        <f t="shared" si="9"/>
        <v>2.9999999999999978</v>
      </c>
      <c r="BW60">
        <v>53</v>
      </c>
      <c r="BX60">
        <v>2.14541</v>
      </c>
      <c r="BY60">
        <v>1404.69</v>
      </c>
    </row>
    <row r="61" spans="2:77" x14ac:dyDescent="0.2">
      <c r="B61">
        <f t="shared" si="0"/>
        <v>3.0499999999999976</v>
      </c>
      <c r="C61">
        <v>54</v>
      </c>
      <c r="D61">
        <v>-2.6585299999999998</v>
      </c>
      <c r="E61">
        <v>-1502.8</v>
      </c>
      <c r="J61">
        <f t="shared" si="1"/>
        <v>3.0499999999999976</v>
      </c>
      <c r="K61">
        <v>54</v>
      </c>
      <c r="L61">
        <v>-1.48031</v>
      </c>
      <c r="M61">
        <v>-728.04300000000001</v>
      </c>
      <c r="R61">
        <f t="shared" si="2"/>
        <v>3.0499999999999976</v>
      </c>
      <c r="S61">
        <v>54</v>
      </c>
      <c r="T61">
        <v>-0.86504599999999998</v>
      </c>
      <c r="U61">
        <v>-1275.03</v>
      </c>
      <c r="Z61">
        <f t="shared" si="3"/>
        <v>3.0499999999999976</v>
      </c>
      <c r="AA61">
        <v>54</v>
      </c>
      <c r="AB61">
        <v>-1.5224899999999999</v>
      </c>
      <c r="AC61">
        <v>1025.0899999999999</v>
      </c>
      <c r="AH61">
        <f t="shared" si="4"/>
        <v>3.0499999999999976</v>
      </c>
      <c r="AI61">
        <v>54</v>
      </c>
      <c r="AJ61">
        <v>1.6044</v>
      </c>
      <c r="AK61">
        <v>1443.15</v>
      </c>
      <c r="AP61">
        <f t="shared" si="5"/>
        <v>3.0499999999999976</v>
      </c>
      <c r="AQ61">
        <v>54</v>
      </c>
      <c r="AR61">
        <v>2.5387599999999999</v>
      </c>
      <c r="AS61">
        <v>1262.8699999999999</v>
      </c>
      <c r="AX61">
        <f t="shared" si="6"/>
        <v>3.0499999999999976</v>
      </c>
      <c r="AY61">
        <v>54</v>
      </c>
      <c r="AZ61">
        <v>1.3354999999999999</v>
      </c>
      <c r="BA61">
        <v>2164.86</v>
      </c>
      <c r="BF61">
        <f t="shared" si="7"/>
        <v>3.0499999999999976</v>
      </c>
      <c r="BG61">
        <v>54</v>
      </c>
      <c r="BH61">
        <v>8.7299199999999993E-2</v>
      </c>
      <c r="BI61">
        <v>1295.98</v>
      </c>
      <c r="BN61">
        <f t="shared" si="8"/>
        <v>3.0499999999999976</v>
      </c>
      <c r="BO61">
        <v>54</v>
      </c>
      <c r="BP61">
        <v>0.51790000000000003</v>
      </c>
      <c r="BQ61">
        <v>1157.81</v>
      </c>
      <c r="BV61">
        <f t="shared" si="9"/>
        <v>3.0499999999999976</v>
      </c>
      <c r="BW61">
        <v>54</v>
      </c>
      <c r="BX61">
        <v>2.08569</v>
      </c>
      <c r="BY61">
        <v>1362.22</v>
      </c>
    </row>
    <row r="62" spans="2:77" x14ac:dyDescent="0.2">
      <c r="B62">
        <f t="shared" si="0"/>
        <v>3.0999999999999974</v>
      </c>
      <c r="C62">
        <v>55</v>
      </c>
      <c r="D62">
        <v>-2.5950299999999999</v>
      </c>
      <c r="E62">
        <v>-1487.19</v>
      </c>
      <c r="J62">
        <f t="shared" si="1"/>
        <v>3.0999999999999974</v>
      </c>
      <c r="K62">
        <v>55</v>
      </c>
      <c r="L62">
        <v>-1.44746</v>
      </c>
      <c r="M62">
        <v>-816.69899999999996</v>
      </c>
      <c r="R62">
        <f t="shared" si="2"/>
        <v>3.0999999999999974</v>
      </c>
      <c r="S62">
        <v>55</v>
      </c>
      <c r="T62">
        <v>-0.81037599999999999</v>
      </c>
      <c r="U62">
        <v>-1298.74</v>
      </c>
      <c r="Z62">
        <f t="shared" si="3"/>
        <v>3.0999999999999974</v>
      </c>
      <c r="AA62">
        <v>55</v>
      </c>
      <c r="AB62">
        <v>-1.56518</v>
      </c>
      <c r="AC62">
        <v>985.60199999999998</v>
      </c>
      <c r="AH62">
        <f t="shared" si="4"/>
        <v>3.0999999999999974</v>
      </c>
      <c r="AI62">
        <v>55</v>
      </c>
      <c r="AJ62">
        <v>1.54454</v>
      </c>
      <c r="AK62">
        <v>1378.53</v>
      </c>
      <c r="AP62">
        <f t="shared" si="5"/>
        <v>3.0999999999999974</v>
      </c>
      <c r="AQ62">
        <v>55</v>
      </c>
      <c r="AR62">
        <v>2.4859599999999999</v>
      </c>
      <c r="AS62">
        <v>1224.1600000000001</v>
      </c>
      <c r="AX62">
        <f t="shared" si="6"/>
        <v>3.0999999999999974</v>
      </c>
      <c r="AY62">
        <v>55</v>
      </c>
      <c r="AZ62">
        <v>1.2464200000000001</v>
      </c>
      <c r="BA62">
        <v>2031.91</v>
      </c>
      <c r="BF62">
        <f t="shared" si="7"/>
        <v>3.0999999999999974</v>
      </c>
      <c r="BG62">
        <v>55</v>
      </c>
      <c r="BH62">
        <v>3.3011699999999998E-2</v>
      </c>
      <c r="BI62">
        <v>1261.0999999999999</v>
      </c>
      <c r="BN62">
        <f t="shared" si="8"/>
        <v>3.0999999999999974</v>
      </c>
      <c r="BO62">
        <v>55</v>
      </c>
      <c r="BP62">
        <v>0.46951300000000001</v>
      </c>
      <c r="BQ62">
        <v>1121.33</v>
      </c>
      <c r="BV62">
        <f t="shared" si="9"/>
        <v>3.0999999999999974</v>
      </c>
      <c r="BW62">
        <v>55</v>
      </c>
      <c r="BX62">
        <v>2.0286900000000001</v>
      </c>
      <c r="BY62">
        <v>1322.7</v>
      </c>
    </row>
    <row r="63" spans="2:77" x14ac:dyDescent="0.2">
      <c r="B63">
        <f t="shared" si="0"/>
        <v>3.1499999999999972</v>
      </c>
      <c r="C63">
        <v>56</v>
      </c>
      <c r="D63">
        <v>-2.5333000000000001</v>
      </c>
      <c r="E63">
        <v>-1467.23</v>
      </c>
      <c r="J63">
        <f t="shared" si="1"/>
        <v>3.1499999999999972</v>
      </c>
      <c r="K63">
        <v>56</v>
      </c>
      <c r="L63">
        <v>-1.4117500000000001</v>
      </c>
      <c r="M63">
        <v>-891.18</v>
      </c>
      <c r="R63">
        <f t="shared" si="2"/>
        <v>3.1499999999999972</v>
      </c>
      <c r="S63">
        <v>56</v>
      </c>
      <c r="T63">
        <v>-0.75574799999999998</v>
      </c>
      <c r="U63">
        <v>-1315.69</v>
      </c>
      <c r="Z63">
        <f t="shared" si="3"/>
        <v>3.1499999999999972</v>
      </c>
      <c r="AA63">
        <v>56</v>
      </c>
      <c r="AB63">
        <v>-1.6055600000000001</v>
      </c>
      <c r="AC63">
        <v>948.18</v>
      </c>
      <c r="AH63">
        <f t="shared" si="4"/>
        <v>3.1499999999999972</v>
      </c>
      <c r="AI63">
        <v>56</v>
      </c>
      <c r="AJ63">
        <v>1.4880500000000001</v>
      </c>
      <c r="AK63">
        <v>1327.81</v>
      </c>
      <c r="AP63">
        <f t="shared" si="5"/>
        <v>3.1499999999999972</v>
      </c>
      <c r="AQ63">
        <v>56</v>
      </c>
      <c r="AR63">
        <v>2.4356</v>
      </c>
      <c r="AS63">
        <v>1187.5899999999999</v>
      </c>
      <c r="AX63">
        <f t="shared" si="6"/>
        <v>3.1499999999999972</v>
      </c>
      <c r="AY63">
        <v>56</v>
      </c>
      <c r="AZ63">
        <v>1.16412</v>
      </c>
      <c r="BA63">
        <v>1909.91</v>
      </c>
      <c r="BF63">
        <f t="shared" si="7"/>
        <v>3.1499999999999972</v>
      </c>
      <c r="BG63">
        <v>56</v>
      </c>
      <c r="BH63">
        <v>-1.89702E-2</v>
      </c>
      <c r="BI63">
        <v>1227.8</v>
      </c>
      <c r="BN63">
        <f t="shared" si="8"/>
        <v>3.1499999999999972</v>
      </c>
      <c r="BO63">
        <v>56</v>
      </c>
      <c r="BP63">
        <v>0.423402</v>
      </c>
      <c r="BQ63">
        <v>1086.49</v>
      </c>
      <c r="BV63">
        <f t="shared" si="9"/>
        <v>3.1499999999999972</v>
      </c>
      <c r="BW63">
        <v>56</v>
      </c>
      <c r="BX63">
        <v>1.97421</v>
      </c>
      <c r="BY63">
        <v>1285.72</v>
      </c>
    </row>
    <row r="64" spans="2:77" x14ac:dyDescent="0.2">
      <c r="B64">
        <f t="shared" si="0"/>
        <v>3.1999999999999971</v>
      </c>
      <c r="C64">
        <v>57</v>
      </c>
      <c r="D64">
        <v>-2.4734699999999998</v>
      </c>
      <c r="E64">
        <v>-1443.22</v>
      </c>
      <c r="J64">
        <f t="shared" si="1"/>
        <v>3.1999999999999971</v>
      </c>
      <c r="K64">
        <v>57</v>
      </c>
      <c r="L64">
        <v>-1.3737999999999999</v>
      </c>
      <c r="M64">
        <v>-953.30499999999995</v>
      </c>
      <c r="R64">
        <f t="shared" si="2"/>
        <v>3.1999999999999971</v>
      </c>
      <c r="S64">
        <v>57</v>
      </c>
      <c r="T64">
        <v>-0.70142499999999997</v>
      </c>
      <c r="U64">
        <v>-1326.49</v>
      </c>
      <c r="Z64">
        <f t="shared" si="3"/>
        <v>3.1999999999999971</v>
      </c>
      <c r="AA64">
        <v>57</v>
      </c>
      <c r="AB64">
        <v>-1.6437999999999999</v>
      </c>
      <c r="AC64">
        <v>912.63599999999997</v>
      </c>
      <c r="AH64">
        <f t="shared" si="4"/>
        <v>3.1999999999999971</v>
      </c>
      <c r="AI64">
        <v>57</v>
      </c>
      <c r="AJ64">
        <v>1.43432</v>
      </c>
      <c r="AK64">
        <v>1288.02</v>
      </c>
      <c r="AP64">
        <f t="shared" si="5"/>
        <v>3.1999999999999971</v>
      </c>
      <c r="AQ64">
        <v>57</v>
      </c>
      <c r="AR64">
        <v>2.3875000000000002</v>
      </c>
      <c r="AS64">
        <v>1152.76</v>
      </c>
      <c r="AX64">
        <f t="shared" si="6"/>
        <v>3.1999999999999971</v>
      </c>
      <c r="AY64">
        <v>57</v>
      </c>
      <c r="AZ64">
        <v>1.0879300000000001</v>
      </c>
      <c r="BA64">
        <v>1798.79</v>
      </c>
      <c r="BF64">
        <f t="shared" si="7"/>
        <v>3.1999999999999971</v>
      </c>
      <c r="BG64">
        <v>57</v>
      </c>
      <c r="BH64">
        <v>-6.8776400000000001E-2</v>
      </c>
      <c r="BI64">
        <v>1195.6500000000001</v>
      </c>
      <c r="BN64">
        <f t="shared" si="8"/>
        <v>3.1999999999999971</v>
      </c>
      <c r="BO64">
        <v>57</v>
      </c>
      <c r="BP64">
        <v>0.37943399999999999</v>
      </c>
      <c r="BQ64">
        <v>1052.93</v>
      </c>
      <c r="BV64">
        <f t="shared" si="9"/>
        <v>3.1999999999999971</v>
      </c>
      <c r="BW64">
        <v>57</v>
      </c>
      <c r="BX64">
        <v>1.92208</v>
      </c>
      <c r="BY64">
        <v>1250.8699999999999</v>
      </c>
    </row>
    <row r="65" spans="2:77" x14ac:dyDescent="0.2">
      <c r="B65">
        <f t="shared" si="0"/>
        <v>3.2499999999999969</v>
      </c>
      <c r="C65">
        <v>58</v>
      </c>
      <c r="D65">
        <v>-2.4156300000000002</v>
      </c>
      <c r="E65">
        <v>-1415.51</v>
      </c>
      <c r="J65">
        <f t="shared" si="1"/>
        <v>3.2499999999999969</v>
      </c>
      <c r="K65">
        <v>58</v>
      </c>
      <c r="L65">
        <v>-1.3341700000000001</v>
      </c>
      <c r="M65">
        <v>-1004.61</v>
      </c>
      <c r="R65">
        <f t="shared" si="2"/>
        <v>3.2499999999999969</v>
      </c>
      <c r="S65">
        <v>58</v>
      </c>
      <c r="T65">
        <v>-0.64763700000000002</v>
      </c>
      <c r="U65">
        <v>-1331.64</v>
      </c>
      <c r="Z65">
        <f t="shared" si="3"/>
        <v>3.2499999999999969</v>
      </c>
      <c r="AA65">
        <v>58</v>
      </c>
      <c r="AB65">
        <v>-1.68004</v>
      </c>
      <c r="AC65">
        <v>878.8</v>
      </c>
      <c r="AH65">
        <f t="shared" si="4"/>
        <v>3.2499999999999969</v>
      </c>
      <c r="AI65">
        <v>58</v>
      </c>
      <c r="AJ65">
        <v>1.38287</v>
      </c>
      <c r="AK65">
        <v>1256.46</v>
      </c>
      <c r="AP65">
        <f t="shared" si="5"/>
        <v>3.2499999999999969</v>
      </c>
      <c r="AQ65">
        <v>58</v>
      </c>
      <c r="AR65">
        <v>2.3415400000000002</v>
      </c>
      <c r="AS65">
        <v>1119.29</v>
      </c>
      <c r="AX65">
        <f t="shared" si="6"/>
        <v>3.2499999999999969</v>
      </c>
      <c r="AY65">
        <v>58</v>
      </c>
      <c r="AZ65">
        <v>1.01722</v>
      </c>
      <c r="BA65">
        <v>1698.22</v>
      </c>
      <c r="BF65">
        <f t="shared" si="7"/>
        <v>3.2499999999999969</v>
      </c>
      <c r="BG65">
        <v>58</v>
      </c>
      <c r="BH65">
        <v>-0.11651499999999999</v>
      </c>
      <c r="BI65">
        <v>1164.32</v>
      </c>
      <c r="BN65">
        <f t="shared" si="8"/>
        <v>3.2499999999999969</v>
      </c>
      <c r="BO65">
        <v>58</v>
      </c>
      <c r="BP65">
        <v>0.33749499999999999</v>
      </c>
      <c r="BQ65">
        <v>1020.33</v>
      </c>
      <c r="BV65">
        <f t="shared" si="9"/>
        <v>3.2499999999999969</v>
      </c>
      <c r="BW65">
        <v>58</v>
      </c>
      <c r="BX65">
        <v>1.87215</v>
      </c>
      <c r="BY65">
        <v>1217.74</v>
      </c>
    </row>
    <row r="66" spans="2:77" x14ac:dyDescent="0.2">
      <c r="B66">
        <f t="shared" si="0"/>
        <v>3.2999999999999967</v>
      </c>
      <c r="C66">
        <v>59</v>
      </c>
      <c r="D66">
        <v>-2.3598599999999998</v>
      </c>
      <c r="E66">
        <v>-1384.47</v>
      </c>
      <c r="J66">
        <f t="shared" si="1"/>
        <v>3.2999999999999967</v>
      </c>
      <c r="K66">
        <v>59</v>
      </c>
      <c r="L66">
        <v>-1.2932900000000001</v>
      </c>
      <c r="M66">
        <v>-1046.3900000000001</v>
      </c>
      <c r="R66">
        <f t="shared" si="2"/>
        <v>3.2999999999999967</v>
      </c>
      <c r="S66">
        <v>59</v>
      </c>
      <c r="T66">
        <v>-0.59458200000000005</v>
      </c>
      <c r="U66">
        <v>-1331.57</v>
      </c>
      <c r="Z66">
        <f t="shared" si="3"/>
        <v>3.2999999999999967</v>
      </c>
      <c r="AA66">
        <v>59</v>
      </c>
      <c r="AB66">
        <v>-1.7143999999999999</v>
      </c>
      <c r="AC66">
        <v>846.51499999999999</v>
      </c>
      <c r="AH66">
        <f t="shared" si="4"/>
        <v>3.2999999999999967</v>
      </c>
      <c r="AI66">
        <v>59</v>
      </c>
      <c r="AJ66">
        <v>1.33335</v>
      </c>
      <c r="AK66">
        <v>1230.71</v>
      </c>
      <c r="AP66">
        <f t="shared" si="5"/>
        <v>3.2999999999999967</v>
      </c>
      <c r="AQ66">
        <v>59</v>
      </c>
      <c r="AR66">
        <v>2.2976100000000002</v>
      </c>
      <c r="AS66">
        <v>1086.8499999999999</v>
      </c>
      <c r="AX66">
        <f t="shared" si="6"/>
        <v>3.2999999999999967</v>
      </c>
      <c r="AY66">
        <v>59</v>
      </c>
      <c r="AZ66">
        <v>0.95141100000000001</v>
      </c>
      <c r="BA66">
        <v>1607.62</v>
      </c>
      <c r="BF66">
        <f t="shared" si="7"/>
        <v>3.2999999999999967</v>
      </c>
      <c r="BG66">
        <v>59</v>
      </c>
      <c r="BH66">
        <v>-0.162277</v>
      </c>
      <c r="BI66">
        <v>1133.52</v>
      </c>
      <c r="BN66">
        <f t="shared" si="8"/>
        <v>3.2999999999999967</v>
      </c>
      <c r="BO66">
        <v>59</v>
      </c>
      <c r="BP66">
        <v>0.29749100000000001</v>
      </c>
      <c r="BQ66">
        <v>988.45</v>
      </c>
      <c r="BV66">
        <f t="shared" si="9"/>
        <v>3.2999999999999967</v>
      </c>
      <c r="BW66">
        <v>59</v>
      </c>
      <c r="BX66">
        <v>1.8242799999999999</v>
      </c>
      <c r="BY66">
        <v>1186</v>
      </c>
    </row>
    <row r="67" spans="2:77" x14ac:dyDescent="0.2">
      <c r="B67">
        <f t="shared" si="0"/>
        <v>3.3499999999999965</v>
      </c>
      <c r="C67">
        <v>60</v>
      </c>
      <c r="D67">
        <v>-2.3062100000000001</v>
      </c>
      <c r="E67">
        <v>-1350.51</v>
      </c>
      <c r="J67">
        <f t="shared" si="1"/>
        <v>3.3499999999999965</v>
      </c>
      <c r="K67">
        <v>60</v>
      </c>
      <c r="L67">
        <v>-1.2515700000000001</v>
      </c>
      <c r="M67">
        <v>-1079.73</v>
      </c>
      <c r="R67">
        <f t="shared" si="2"/>
        <v>3.3499999999999965</v>
      </c>
      <c r="S67">
        <v>60</v>
      </c>
      <c r="T67">
        <v>-0.542435</v>
      </c>
      <c r="U67">
        <v>-1326.68</v>
      </c>
      <c r="Z67">
        <f t="shared" si="3"/>
        <v>3.3499999999999965</v>
      </c>
      <c r="AA67">
        <v>60</v>
      </c>
      <c r="AB67">
        <v>-1.74699</v>
      </c>
      <c r="AC67">
        <v>815.64200000000005</v>
      </c>
      <c r="AH67">
        <f t="shared" si="4"/>
        <v>3.3499999999999965</v>
      </c>
      <c r="AI67">
        <v>60</v>
      </c>
      <c r="AJ67">
        <v>1.28552</v>
      </c>
      <c r="AK67">
        <v>1208.73</v>
      </c>
      <c r="AP67">
        <f t="shared" si="5"/>
        <v>3.3499999999999965</v>
      </c>
      <c r="AQ67">
        <v>60</v>
      </c>
      <c r="AR67">
        <v>2.2555999999999998</v>
      </c>
      <c r="AS67">
        <v>1055.1400000000001</v>
      </c>
      <c r="AX67">
        <f t="shared" si="6"/>
        <v>3.3499999999999965</v>
      </c>
      <c r="AY67">
        <v>60</v>
      </c>
      <c r="AZ67">
        <v>0.88997800000000005</v>
      </c>
      <c r="BA67">
        <v>1526.24</v>
      </c>
      <c r="BF67">
        <f t="shared" si="7"/>
        <v>3.3499999999999965</v>
      </c>
      <c r="BG67">
        <v>60</v>
      </c>
      <c r="BH67">
        <v>-0.20613899999999999</v>
      </c>
      <c r="BI67">
        <v>1103.04</v>
      </c>
      <c r="BN67">
        <f t="shared" si="8"/>
        <v>3.3499999999999965</v>
      </c>
      <c r="BO67">
        <v>60</v>
      </c>
      <c r="BP67">
        <v>0.25933600000000001</v>
      </c>
      <c r="BQ67">
        <v>957.09</v>
      </c>
      <c r="BV67">
        <f t="shared" si="9"/>
        <v>3.3499999999999965</v>
      </c>
      <c r="BW67">
        <v>60</v>
      </c>
      <c r="BX67">
        <v>1.77837</v>
      </c>
      <c r="BY67">
        <v>1155.3399999999999</v>
      </c>
    </row>
    <row r="68" spans="2:77" x14ac:dyDescent="0.2">
      <c r="B68">
        <f t="shared" si="0"/>
        <v>3.3999999999999964</v>
      </c>
      <c r="C68">
        <v>61</v>
      </c>
      <c r="D68">
        <v>-2.2547299999999999</v>
      </c>
      <c r="E68">
        <v>-1314.08</v>
      </c>
      <c r="J68">
        <f t="shared" si="1"/>
        <v>3.3999999999999964</v>
      </c>
      <c r="K68">
        <v>61</v>
      </c>
      <c r="L68">
        <v>-1.2093400000000001</v>
      </c>
      <c r="M68">
        <v>-1105.56</v>
      </c>
      <c r="R68">
        <f t="shared" si="2"/>
        <v>3.3999999999999964</v>
      </c>
      <c r="S68">
        <v>61</v>
      </c>
      <c r="T68">
        <v>-0.49134800000000001</v>
      </c>
      <c r="U68">
        <v>-1317.33</v>
      </c>
      <c r="Z68">
        <f t="shared" si="3"/>
        <v>3.3999999999999964</v>
      </c>
      <c r="AA68">
        <v>61</v>
      </c>
      <c r="AB68">
        <v>-1.77793</v>
      </c>
      <c r="AC68">
        <v>786.05899999999997</v>
      </c>
      <c r="AH68">
        <f t="shared" si="4"/>
        <v>3.3999999999999964</v>
      </c>
      <c r="AI68">
        <v>61</v>
      </c>
      <c r="AJ68">
        <v>1.2392099999999999</v>
      </c>
      <c r="AK68">
        <v>1188.78</v>
      </c>
      <c r="AP68">
        <f t="shared" si="5"/>
        <v>3.3999999999999964</v>
      </c>
      <c r="AQ68">
        <v>61</v>
      </c>
      <c r="AR68">
        <v>2.2154400000000001</v>
      </c>
      <c r="AS68">
        <v>1023.91</v>
      </c>
      <c r="AX68">
        <f t="shared" si="6"/>
        <v>3.3999999999999964</v>
      </c>
      <c r="AY68">
        <v>61</v>
      </c>
      <c r="AZ68">
        <v>0.83244799999999997</v>
      </c>
      <c r="BA68">
        <v>1453.19</v>
      </c>
      <c r="BF68">
        <f t="shared" si="7"/>
        <v>3.3999999999999964</v>
      </c>
      <c r="BG68">
        <v>61</v>
      </c>
      <c r="BH68">
        <v>-0.248168</v>
      </c>
      <c r="BI68">
        <v>1072.71</v>
      </c>
      <c r="BN68">
        <f t="shared" si="8"/>
        <v>3.3999999999999964</v>
      </c>
      <c r="BO68">
        <v>61</v>
      </c>
      <c r="BP68">
        <v>0.22295999999999999</v>
      </c>
      <c r="BQ68">
        <v>926.10900000000004</v>
      </c>
      <c r="BV68">
        <f t="shared" si="9"/>
        <v>3.3999999999999964</v>
      </c>
      <c r="BW68">
        <v>61</v>
      </c>
      <c r="BX68">
        <v>1.73431</v>
      </c>
      <c r="BY68">
        <v>1125.47</v>
      </c>
    </row>
    <row r="69" spans="2:77" x14ac:dyDescent="0.2">
      <c r="B69">
        <f t="shared" si="0"/>
        <v>3.4499999999999962</v>
      </c>
      <c r="C69">
        <v>62</v>
      </c>
      <c r="D69">
        <v>-2.2054399999999998</v>
      </c>
      <c r="E69">
        <v>-1275.6199999999999</v>
      </c>
      <c r="J69">
        <f t="shared" si="1"/>
        <v>3.4499999999999962</v>
      </c>
      <c r="K69">
        <v>62</v>
      </c>
      <c r="L69">
        <v>-1.1668799999999999</v>
      </c>
      <c r="M69">
        <v>-1124.68</v>
      </c>
      <c r="R69">
        <f t="shared" si="2"/>
        <v>3.4499999999999962</v>
      </c>
      <c r="S69">
        <v>62</v>
      </c>
      <c r="T69">
        <v>-0.44145400000000001</v>
      </c>
      <c r="U69">
        <v>-1303.8699999999999</v>
      </c>
      <c r="Z69">
        <f t="shared" si="3"/>
        <v>3.4499999999999962</v>
      </c>
      <c r="AA69">
        <v>62</v>
      </c>
      <c r="AB69">
        <v>-1.8072999999999999</v>
      </c>
      <c r="AC69">
        <v>757.66200000000003</v>
      </c>
      <c r="AH69">
        <f t="shared" si="4"/>
        <v>3.4499999999999962</v>
      </c>
      <c r="AI69">
        <v>62</v>
      </c>
      <c r="AJ69">
        <v>1.19434</v>
      </c>
      <c r="AK69">
        <v>1169.47</v>
      </c>
      <c r="AP69">
        <f t="shared" si="5"/>
        <v>3.4499999999999962</v>
      </c>
      <c r="AQ69">
        <v>62</v>
      </c>
      <c r="AR69">
        <v>2.17706</v>
      </c>
      <c r="AS69">
        <v>992.97299999999996</v>
      </c>
      <c r="AX69">
        <f t="shared" si="6"/>
        <v>3.4499999999999962</v>
      </c>
      <c r="AY69">
        <v>62</v>
      </c>
      <c r="AZ69">
        <v>0.77840799999999999</v>
      </c>
      <c r="BA69">
        <v>1387.49</v>
      </c>
      <c r="BF69">
        <f t="shared" si="7"/>
        <v>3.4499999999999962</v>
      </c>
      <c r="BG69">
        <v>62</v>
      </c>
      <c r="BH69">
        <v>-0.28842000000000001</v>
      </c>
      <c r="BI69">
        <v>1042.44</v>
      </c>
      <c r="BN69">
        <f t="shared" si="8"/>
        <v>3.4499999999999962</v>
      </c>
      <c r="BO69">
        <v>62</v>
      </c>
      <c r="BP69">
        <v>0.18829499999999999</v>
      </c>
      <c r="BQ69">
        <v>895.41800000000001</v>
      </c>
      <c r="BV69">
        <f t="shared" si="9"/>
        <v>3.4499999999999962</v>
      </c>
      <c r="BW69">
        <v>62</v>
      </c>
      <c r="BX69">
        <v>1.6920299999999999</v>
      </c>
      <c r="BY69">
        <v>1096.19</v>
      </c>
    </row>
    <row r="70" spans="2:77" x14ac:dyDescent="0.2">
      <c r="B70">
        <f t="shared" si="0"/>
        <v>3.499999999999996</v>
      </c>
      <c r="C70">
        <v>63</v>
      </c>
      <c r="D70">
        <v>-2.1583399999999999</v>
      </c>
      <c r="E70">
        <v>-1235.6199999999999</v>
      </c>
      <c r="J70">
        <f t="shared" si="1"/>
        <v>3.499999999999996</v>
      </c>
      <c r="K70">
        <v>63</v>
      </c>
      <c r="L70">
        <v>-1.1244400000000001</v>
      </c>
      <c r="M70">
        <v>-1137.75</v>
      </c>
      <c r="R70">
        <f t="shared" si="2"/>
        <v>3.499999999999996</v>
      </c>
      <c r="S70">
        <v>63</v>
      </c>
      <c r="T70">
        <v>-0.39286399999999999</v>
      </c>
      <c r="U70">
        <v>-1286.6600000000001</v>
      </c>
      <c r="Z70">
        <f t="shared" si="3"/>
        <v>3.499999999999996</v>
      </c>
      <c r="AA70">
        <v>63</v>
      </c>
      <c r="AB70">
        <v>-1.8351999999999999</v>
      </c>
      <c r="AC70">
        <v>730.36500000000001</v>
      </c>
      <c r="AH70">
        <f t="shared" si="4"/>
        <v>3.499999999999996</v>
      </c>
      <c r="AI70">
        <v>63</v>
      </c>
      <c r="AJ70">
        <v>1.1508400000000001</v>
      </c>
      <c r="AK70">
        <v>1149.75</v>
      </c>
      <c r="AP70">
        <f t="shared" si="5"/>
        <v>3.499999999999996</v>
      </c>
      <c r="AQ70">
        <v>63</v>
      </c>
      <c r="AR70">
        <v>2.14039</v>
      </c>
      <c r="AS70">
        <v>962.19200000000001</v>
      </c>
      <c r="AX70">
        <f t="shared" si="6"/>
        <v>3.499999999999996</v>
      </c>
      <c r="AY70">
        <v>63</v>
      </c>
      <c r="AZ70">
        <v>0.72749900000000001</v>
      </c>
      <c r="BA70">
        <v>1328.18</v>
      </c>
      <c r="BF70">
        <f t="shared" si="7"/>
        <v>3.499999999999996</v>
      </c>
      <c r="BG70">
        <v>63</v>
      </c>
      <c r="BH70">
        <v>-0.32695000000000002</v>
      </c>
      <c r="BI70">
        <v>1012.16</v>
      </c>
      <c r="BN70">
        <f t="shared" si="8"/>
        <v>3.499999999999996</v>
      </c>
      <c r="BO70">
        <v>63</v>
      </c>
      <c r="BP70">
        <v>0.155283</v>
      </c>
      <c r="BQ70">
        <v>864.97500000000002</v>
      </c>
      <c r="BV70">
        <f t="shared" si="9"/>
        <v>3.499999999999996</v>
      </c>
      <c r="BW70">
        <v>63</v>
      </c>
      <c r="BX70">
        <v>1.6514599999999999</v>
      </c>
      <c r="BY70">
        <v>1067.32</v>
      </c>
    </row>
    <row r="71" spans="2:77" x14ac:dyDescent="0.2">
      <c r="B71">
        <f t="shared" si="0"/>
        <v>3.5499999999999958</v>
      </c>
      <c r="C71">
        <v>64</v>
      </c>
      <c r="D71">
        <v>-2.1134200000000001</v>
      </c>
      <c r="E71">
        <v>-1194.56</v>
      </c>
      <c r="J71">
        <f t="shared" si="1"/>
        <v>3.5499999999999958</v>
      </c>
      <c r="K71">
        <v>64</v>
      </c>
      <c r="L71">
        <v>-1.08222</v>
      </c>
      <c r="M71">
        <v>-1145.4100000000001</v>
      </c>
      <c r="R71">
        <f t="shared" si="2"/>
        <v>3.5499999999999958</v>
      </c>
      <c r="S71">
        <v>64</v>
      </c>
      <c r="T71">
        <v>-0.34567300000000001</v>
      </c>
      <c r="U71">
        <v>-1266.08</v>
      </c>
      <c r="Z71">
        <f t="shared" si="3"/>
        <v>3.5499999999999958</v>
      </c>
      <c r="AA71">
        <v>64</v>
      </c>
      <c r="AB71">
        <v>-1.86171</v>
      </c>
      <c r="AC71">
        <v>704.09699999999998</v>
      </c>
      <c r="AH71">
        <f t="shared" si="4"/>
        <v>3.5499999999999958</v>
      </c>
      <c r="AI71">
        <v>64</v>
      </c>
      <c r="AJ71">
        <v>1.1087199999999999</v>
      </c>
      <c r="AK71">
        <v>1128.8399999999999</v>
      </c>
      <c r="AP71">
        <f t="shared" si="5"/>
        <v>3.5499999999999958</v>
      </c>
      <c r="AQ71">
        <v>64</v>
      </c>
      <c r="AR71">
        <v>2.1053899999999999</v>
      </c>
      <c r="AS71">
        <v>931.48699999999997</v>
      </c>
      <c r="AX71">
        <f t="shared" si="6"/>
        <v>3.5499999999999958</v>
      </c>
      <c r="AY71">
        <v>64</v>
      </c>
      <c r="AZ71">
        <v>0.67941300000000004</v>
      </c>
      <c r="BA71">
        <v>1274.28</v>
      </c>
      <c r="BF71">
        <f t="shared" si="7"/>
        <v>3.5499999999999958</v>
      </c>
      <c r="BG71">
        <v>64</v>
      </c>
      <c r="BH71">
        <v>-0.36380600000000002</v>
      </c>
      <c r="BI71">
        <v>981.88800000000003</v>
      </c>
      <c r="BN71">
        <f t="shared" si="8"/>
        <v>3.5499999999999958</v>
      </c>
      <c r="BO71">
        <v>64</v>
      </c>
      <c r="BP71">
        <v>0.12386800000000001</v>
      </c>
      <c r="BQ71">
        <v>834.77700000000004</v>
      </c>
      <c r="BV71">
        <f t="shared" si="9"/>
        <v>3.5499999999999958</v>
      </c>
      <c r="BW71">
        <v>64</v>
      </c>
      <c r="BX71">
        <v>1.6125400000000001</v>
      </c>
      <c r="BY71">
        <v>1038.73</v>
      </c>
    </row>
    <row r="72" spans="2:77" x14ac:dyDescent="0.2">
      <c r="B72">
        <f t="shared" si="0"/>
        <v>3.5999999999999956</v>
      </c>
      <c r="C72">
        <v>65</v>
      </c>
      <c r="D72">
        <v>-2.0706500000000001</v>
      </c>
      <c r="E72">
        <v>-1152.8900000000001</v>
      </c>
      <c r="J72">
        <f t="shared" si="1"/>
        <v>3.5999999999999956</v>
      </c>
      <c r="K72">
        <v>65</v>
      </c>
      <c r="L72">
        <v>-1.0404199999999999</v>
      </c>
      <c r="M72">
        <v>-1148.18</v>
      </c>
      <c r="R72">
        <f t="shared" si="2"/>
        <v>3.5999999999999956</v>
      </c>
      <c r="S72">
        <v>65</v>
      </c>
      <c r="T72">
        <v>-0.299956</v>
      </c>
      <c r="U72">
        <v>-1242.52</v>
      </c>
      <c r="Z72">
        <f t="shared" si="3"/>
        <v>3.5999999999999956</v>
      </c>
      <c r="AA72">
        <v>65</v>
      </c>
      <c r="AB72">
        <v>-1.8869100000000001</v>
      </c>
      <c r="AC72">
        <v>678.80200000000002</v>
      </c>
      <c r="AH72">
        <f t="shared" si="4"/>
        <v>3.5999999999999956</v>
      </c>
      <c r="AI72">
        <v>65</v>
      </c>
      <c r="AJ72">
        <v>1.06799</v>
      </c>
      <c r="AK72">
        <v>1106.27</v>
      </c>
      <c r="AP72">
        <f t="shared" si="5"/>
        <v>3.5999999999999956</v>
      </c>
      <c r="AQ72">
        <v>65</v>
      </c>
      <c r="AR72">
        <v>2.0720100000000001</v>
      </c>
      <c r="AS72">
        <v>900.827</v>
      </c>
      <c r="AX72">
        <f t="shared" si="6"/>
        <v>3.5999999999999956</v>
      </c>
      <c r="AY72">
        <v>65</v>
      </c>
      <c r="AZ72">
        <v>0.63388699999999998</v>
      </c>
      <c r="BA72">
        <v>1224.8900000000001</v>
      </c>
      <c r="BF72">
        <f t="shared" si="7"/>
        <v>3.5999999999999956</v>
      </c>
      <c r="BG72">
        <v>65</v>
      </c>
      <c r="BH72">
        <v>-0.39903699999999998</v>
      </c>
      <c r="BI72">
        <v>951.64</v>
      </c>
      <c r="BN72">
        <f t="shared" si="8"/>
        <v>3.5999999999999956</v>
      </c>
      <c r="BO72">
        <v>65</v>
      </c>
      <c r="BP72">
        <v>9.3992599999999996E-2</v>
      </c>
      <c r="BQ72">
        <v>804.86</v>
      </c>
      <c r="BV72">
        <f t="shared" si="9"/>
        <v>3.5999999999999956</v>
      </c>
      <c r="BW72">
        <v>65</v>
      </c>
      <c r="BX72">
        <v>1.5751999999999999</v>
      </c>
      <c r="BY72">
        <v>1010.33</v>
      </c>
    </row>
    <row r="73" spans="2:77" x14ac:dyDescent="0.2">
      <c r="B73">
        <f t="shared" ref="B73:B107" si="10">B72+0.05</f>
        <v>3.6499999999999955</v>
      </c>
      <c r="C73">
        <v>66</v>
      </c>
      <c r="D73">
        <v>-2.0299800000000001</v>
      </c>
      <c r="E73">
        <v>-1111.08</v>
      </c>
      <c r="J73">
        <f t="shared" ref="J73:J107" si="11">J72+0.05</f>
        <v>3.6499999999999955</v>
      </c>
      <c r="K73">
        <v>66</v>
      </c>
      <c r="L73">
        <v>-0.99917900000000004</v>
      </c>
      <c r="M73">
        <v>-1146.58</v>
      </c>
      <c r="R73">
        <f t="shared" ref="R73:R107" si="12">R72+0.05</f>
        <v>3.6499999999999955</v>
      </c>
      <c r="S73">
        <v>66</v>
      </c>
      <c r="T73">
        <v>-0.25577299999999997</v>
      </c>
      <c r="U73">
        <v>-1216.3699999999999</v>
      </c>
      <c r="Z73">
        <f t="shared" ref="Z73:Z107" si="13">Z72+0.05</f>
        <v>3.6499999999999955</v>
      </c>
      <c r="AA73">
        <v>66</v>
      </c>
      <c r="AB73">
        <v>-1.91086</v>
      </c>
      <c r="AC73">
        <v>654.43799999999999</v>
      </c>
      <c r="AH73">
        <f t="shared" ref="AH73:AH107" si="14">AH72+0.05</f>
        <v>3.6499999999999955</v>
      </c>
      <c r="AI73">
        <v>66</v>
      </c>
      <c r="AJ73">
        <v>1.02868</v>
      </c>
      <c r="AK73">
        <v>1081.79</v>
      </c>
      <c r="AP73">
        <f t="shared" ref="AP73:AP107" si="15">AP72+0.05</f>
        <v>3.6499999999999955</v>
      </c>
      <c r="AQ73">
        <v>66</v>
      </c>
      <c r="AR73">
        <v>2.0401899999999999</v>
      </c>
      <c r="AS73">
        <v>870.22799999999995</v>
      </c>
      <c r="AX73">
        <f t="shared" ref="AX73:AX107" si="16">AX72+0.05</f>
        <v>3.6499999999999955</v>
      </c>
      <c r="AY73">
        <v>66</v>
      </c>
      <c r="AZ73">
        <v>0.59070500000000004</v>
      </c>
      <c r="BA73">
        <v>1179.18</v>
      </c>
      <c r="BF73">
        <f t="shared" ref="BF73:BF107" si="17">BF72+0.05</f>
        <v>3.6499999999999955</v>
      </c>
      <c r="BG73">
        <v>66</v>
      </c>
      <c r="BH73">
        <v>-0.43268899999999999</v>
      </c>
      <c r="BI73">
        <v>921.48299999999995</v>
      </c>
      <c r="BN73">
        <f t="shared" ref="BN73:BN107" si="18">BN72+0.05</f>
        <v>3.6499999999999955</v>
      </c>
      <c r="BO73">
        <v>66</v>
      </c>
      <c r="BP73">
        <v>6.5604599999999999E-2</v>
      </c>
      <c r="BQ73">
        <v>775.28599999999994</v>
      </c>
      <c r="BV73">
        <f t="shared" ref="BV73:BV107" si="19">BV72+0.05</f>
        <v>3.6499999999999955</v>
      </c>
      <c r="BW73">
        <v>66</v>
      </c>
      <c r="BX73">
        <v>1.5394099999999999</v>
      </c>
      <c r="BY73">
        <v>982.08</v>
      </c>
    </row>
    <row r="74" spans="2:77" x14ac:dyDescent="0.2">
      <c r="B74">
        <f t="shared" si="10"/>
        <v>3.6999999999999953</v>
      </c>
      <c r="C74">
        <v>67</v>
      </c>
      <c r="D74">
        <v>-1.9913400000000001</v>
      </c>
      <c r="E74">
        <v>-1069.54</v>
      </c>
      <c r="J74">
        <f t="shared" si="11"/>
        <v>3.6999999999999953</v>
      </c>
      <c r="K74">
        <v>67</v>
      </c>
      <c r="L74">
        <v>-0.95863600000000004</v>
      </c>
      <c r="M74">
        <v>-1141.0999999999999</v>
      </c>
      <c r="R74">
        <f t="shared" si="12"/>
        <v>3.6999999999999953</v>
      </c>
      <c r="S74">
        <v>67</v>
      </c>
      <c r="T74">
        <v>-0.21316499999999999</v>
      </c>
      <c r="U74">
        <v>-1188.06</v>
      </c>
      <c r="Z74">
        <f t="shared" si="13"/>
        <v>3.6999999999999953</v>
      </c>
      <c r="AA74">
        <v>67</v>
      </c>
      <c r="AB74">
        <v>-1.93363</v>
      </c>
      <c r="AC74">
        <v>630.97299999999996</v>
      </c>
      <c r="AH74">
        <f t="shared" si="14"/>
        <v>3.6999999999999953</v>
      </c>
      <c r="AI74">
        <v>67</v>
      </c>
      <c r="AJ74">
        <v>0.99080400000000002</v>
      </c>
      <c r="AK74">
        <v>1055.3599999999999</v>
      </c>
      <c r="AP74">
        <f t="shared" si="15"/>
        <v>3.6999999999999953</v>
      </c>
      <c r="AQ74">
        <v>67</v>
      </c>
      <c r="AR74">
        <v>2.00989</v>
      </c>
      <c r="AS74">
        <v>839.745</v>
      </c>
      <c r="AX74">
        <f t="shared" si="16"/>
        <v>3.6999999999999953</v>
      </c>
      <c r="AY74">
        <v>67</v>
      </c>
      <c r="AZ74">
        <v>0.54968399999999995</v>
      </c>
      <c r="BA74">
        <v>1136.44</v>
      </c>
      <c r="BF74">
        <f t="shared" si="17"/>
        <v>3.6999999999999953</v>
      </c>
      <c r="BG74">
        <v>67</v>
      </c>
      <c r="BH74">
        <v>-0.46481099999999997</v>
      </c>
      <c r="BI74">
        <v>891.50099999999998</v>
      </c>
      <c r="BN74">
        <f t="shared" si="18"/>
        <v>3.6999999999999953</v>
      </c>
      <c r="BO74">
        <v>67</v>
      </c>
      <c r="BP74">
        <v>3.86489E-2</v>
      </c>
      <c r="BQ74">
        <v>746.13800000000003</v>
      </c>
      <c r="BV74">
        <f t="shared" si="19"/>
        <v>3.6999999999999953</v>
      </c>
      <c r="BW74">
        <v>67</v>
      </c>
      <c r="BX74">
        <v>1.5051000000000001</v>
      </c>
      <c r="BY74">
        <v>953.96199999999999</v>
      </c>
    </row>
    <row r="75" spans="2:77" x14ac:dyDescent="0.2">
      <c r="B75">
        <f t="shared" si="10"/>
        <v>3.7499999999999951</v>
      </c>
      <c r="C75">
        <v>68</v>
      </c>
      <c r="D75">
        <v>-1.9546699999999999</v>
      </c>
      <c r="E75">
        <v>-1028.6500000000001</v>
      </c>
      <c r="J75">
        <f t="shared" si="11"/>
        <v>3.7499999999999951</v>
      </c>
      <c r="K75">
        <v>68</v>
      </c>
      <c r="L75">
        <v>-0.91889699999999996</v>
      </c>
      <c r="M75">
        <v>-1132.19</v>
      </c>
      <c r="R75">
        <f t="shared" si="12"/>
        <v>3.7499999999999951</v>
      </c>
      <c r="S75">
        <v>68</v>
      </c>
      <c r="T75">
        <v>-0.17215900000000001</v>
      </c>
      <c r="U75">
        <v>-1158</v>
      </c>
      <c r="Z75">
        <f t="shared" si="13"/>
        <v>3.7499999999999951</v>
      </c>
      <c r="AA75">
        <v>68</v>
      </c>
      <c r="AB75">
        <v>-1.95529</v>
      </c>
      <c r="AC75">
        <v>608.38400000000001</v>
      </c>
      <c r="AH75">
        <f t="shared" si="14"/>
        <v>3.7499999999999951</v>
      </c>
      <c r="AI75">
        <v>68</v>
      </c>
      <c r="AJ75">
        <v>0.95440400000000003</v>
      </c>
      <c r="AK75">
        <v>1027.1199999999999</v>
      </c>
      <c r="AP75">
        <f t="shared" si="15"/>
        <v>3.7499999999999951</v>
      </c>
      <c r="AQ75">
        <v>68</v>
      </c>
      <c r="AR75">
        <v>1.9810700000000001</v>
      </c>
      <c r="AS75">
        <v>809.46699999999998</v>
      </c>
      <c r="AX75">
        <f t="shared" si="16"/>
        <v>3.7499999999999951</v>
      </c>
      <c r="AY75">
        <v>68</v>
      </c>
      <c r="AZ75">
        <v>0.51067300000000004</v>
      </c>
      <c r="BA75">
        <v>1096.05</v>
      </c>
      <c r="BF75">
        <f t="shared" si="17"/>
        <v>3.7499999999999951</v>
      </c>
      <c r="BG75">
        <v>68</v>
      </c>
      <c r="BH75">
        <v>-0.49545299999999998</v>
      </c>
      <c r="BI75">
        <v>861.79600000000005</v>
      </c>
      <c r="BN75">
        <f t="shared" si="18"/>
        <v>3.7499999999999951</v>
      </c>
      <c r="BO75">
        <v>68</v>
      </c>
      <c r="BP75">
        <v>1.3069900000000001E-2</v>
      </c>
      <c r="BQ75">
        <v>717.51900000000001</v>
      </c>
      <c r="BV75">
        <f t="shared" si="19"/>
        <v>3.7499999999999951</v>
      </c>
      <c r="BW75">
        <v>68</v>
      </c>
      <c r="BX75">
        <v>1.4722500000000001</v>
      </c>
      <c r="BY75">
        <v>925.99900000000002</v>
      </c>
    </row>
    <row r="76" spans="2:77" x14ac:dyDescent="0.2">
      <c r="B76">
        <f t="shared" si="10"/>
        <v>3.7999999999999949</v>
      </c>
      <c r="C76">
        <v>69</v>
      </c>
      <c r="D76">
        <v>-1.9198900000000001</v>
      </c>
      <c r="E76">
        <v>-988.745</v>
      </c>
      <c r="J76">
        <f t="shared" si="11"/>
        <v>3.7999999999999949</v>
      </c>
      <c r="K76">
        <v>69</v>
      </c>
      <c r="L76">
        <v>-0.88005199999999995</v>
      </c>
      <c r="M76">
        <v>-1120.31</v>
      </c>
      <c r="R76">
        <f t="shared" si="12"/>
        <v>3.7999999999999949</v>
      </c>
      <c r="S76">
        <v>69</v>
      </c>
      <c r="T76">
        <v>-0.13276399999999999</v>
      </c>
      <c r="U76">
        <v>-1126.5999999999999</v>
      </c>
      <c r="Z76">
        <f t="shared" si="13"/>
        <v>3.7999999999999949</v>
      </c>
      <c r="AA76">
        <v>69</v>
      </c>
      <c r="AB76">
        <v>-1.9758899999999999</v>
      </c>
      <c r="AC76">
        <v>586.654</v>
      </c>
      <c r="AH76">
        <f t="shared" si="14"/>
        <v>3.7999999999999949</v>
      </c>
      <c r="AI76">
        <v>69</v>
      </c>
      <c r="AJ76">
        <v>0.919493</v>
      </c>
      <c r="AK76">
        <v>997.33299999999997</v>
      </c>
      <c r="AP76">
        <f t="shared" si="15"/>
        <v>3.7999999999999949</v>
      </c>
      <c r="AQ76">
        <v>69</v>
      </c>
      <c r="AR76">
        <v>1.95367</v>
      </c>
      <c r="AS76">
        <v>779.50800000000004</v>
      </c>
      <c r="AX76">
        <f t="shared" si="16"/>
        <v>3.7999999999999949</v>
      </c>
      <c r="AY76">
        <v>69</v>
      </c>
      <c r="AZ76">
        <v>0.47354400000000002</v>
      </c>
      <c r="BA76">
        <v>1057.53</v>
      </c>
      <c r="BF76">
        <f t="shared" si="17"/>
        <v>3.7999999999999949</v>
      </c>
      <c r="BG76">
        <v>69</v>
      </c>
      <c r="BH76">
        <v>-0.52466500000000005</v>
      </c>
      <c r="BI76">
        <v>832.48</v>
      </c>
      <c r="BN76">
        <f t="shared" si="18"/>
        <v>3.7999999999999949</v>
      </c>
      <c r="BO76">
        <v>69</v>
      </c>
      <c r="BP76">
        <v>-1.1189599999999999E-2</v>
      </c>
      <c r="BQ76">
        <v>689.53899999999999</v>
      </c>
      <c r="BV76">
        <f t="shared" si="19"/>
        <v>3.7999999999999949</v>
      </c>
      <c r="BW76">
        <v>69</v>
      </c>
      <c r="BX76">
        <v>1.4408000000000001</v>
      </c>
      <c r="BY76">
        <v>898.23500000000001</v>
      </c>
    </row>
    <row r="77" spans="2:77" x14ac:dyDescent="0.2">
      <c r="B77">
        <f t="shared" si="10"/>
        <v>3.8499999999999948</v>
      </c>
      <c r="C77">
        <v>70</v>
      </c>
      <c r="D77">
        <v>-1.8869</v>
      </c>
      <c r="E77">
        <v>-950.12199999999996</v>
      </c>
      <c r="J77">
        <f t="shared" si="11"/>
        <v>3.8499999999999948</v>
      </c>
      <c r="K77">
        <v>70</v>
      </c>
      <c r="L77">
        <v>-0.84216899999999995</v>
      </c>
      <c r="M77">
        <v>-1105.9000000000001</v>
      </c>
      <c r="R77">
        <f t="shared" si="12"/>
        <v>3.8499999999999948</v>
      </c>
      <c r="S77">
        <v>70</v>
      </c>
      <c r="T77">
        <v>-9.4975000000000004E-2</v>
      </c>
      <c r="U77">
        <v>-1094.29</v>
      </c>
      <c r="Z77">
        <f t="shared" si="13"/>
        <v>3.8499999999999948</v>
      </c>
      <c r="AA77">
        <v>70</v>
      </c>
      <c r="AB77">
        <v>-1.9955000000000001</v>
      </c>
      <c r="AC77">
        <v>565.76800000000003</v>
      </c>
      <c r="AH77">
        <f t="shared" si="14"/>
        <v>3.8499999999999948</v>
      </c>
      <c r="AI77">
        <v>70</v>
      </c>
      <c r="AJ77">
        <v>0.88607999999999998</v>
      </c>
      <c r="AK77">
        <v>966.38499999999999</v>
      </c>
      <c r="AP77">
        <f t="shared" si="15"/>
        <v>3.8499999999999948</v>
      </c>
      <c r="AQ77">
        <v>70</v>
      </c>
      <c r="AR77">
        <v>1.9276500000000001</v>
      </c>
      <c r="AS77">
        <v>750.00099999999998</v>
      </c>
      <c r="AX77">
        <f t="shared" si="16"/>
        <v>3.8499999999999948</v>
      </c>
      <c r="AY77">
        <v>70</v>
      </c>
      <c r="AZ77">
        <v>0.43819200000000003</v>
      </c>
      <c r="BA77">
        <v>1020.52</v>
      </c>
      <c r="BF77">
        <f t="shared" si="17"/>
        <v>3.8499999999999948</v>
      </c>
      <c r="BG77">
        <v>70</v>
      </c>
      <c r="BH77">
        <v>-0.55250100000000002</v>
      </c>
      <c r="BI77">
        <v>803.66600000000005</v>
      </c>
      <c r="BN77">
        <f t="shared" si="18"/>
        <v>3.8499999999999948</v>
      </c>
      <c r="BO77">
        <v>70</v>
      </c>
      <c r="BP77">
        <v>-3.4188000000000003E-2</v>
      </c>
      <c r="BQ77">
        <v>662.31</v>
      </c>
      <c r="BV77">
        <f t="shared" si="19"/>
        <v>3.8499999999999948</v>
      </c>
      <c r="BW77">
        <v>70</v>
      </c>
      <c r="BX77">
        <v>1.4107000000000001</v>
      </c>
      <c r="BY77">
        <v>870.73599999999999</v>
      </c>
    </row>
    <row r="78" spans="2:77" x14ac:dyDescent="0.2">
      <c r="B78">
        <f t="shared" si="10"/>
        <v>3.8999999999999946</v>
      </c>
      <c r="C78">
        <v>71</v>
      </c>
      <c r="D78">
        <v>-1.85562</v>
      </c>
      <c r="E78">
        <v>-913.01300000000003</v>
      </c>
      <c r="J78">
        <f t="shared" si="11"/>
        <v>3.8999999999999946</v>
      </c>
      <c r="K78">
        <v>71</v>
      </c>
      <c r="L78">
        <v>-0.80530199999999996</v>
      </c>
      <c r="M78">
        <v>-1089.3800000000001</v>
      </c>
      <c r="R78">
        <f t="shared" si="12"/>
        <v>3.8999999999999946</v>
      </c>
      <c r="S78">
        <v>71</v>
      </c>
      <c r="T78">
        <v>-5.8775500000000001E-2</v>
      </c>
      <c r="U78">
        <v>-1061.45</v>
      </c>
      <c r="Z78">
        <f t="shared" si="13"/>
        <v>3.8999999999999946</v>
      </c>
      <c r="AA78">
        <v>71</v>
      </c>
      <c r="AB78">
        <v>-2.01416</v>
      </c>
      <c r="AC78">
        <v>545.71500000000003</v>
      </c>
      <c r="AH78">
        <f t="shared" si="14"/>
        <v>3.8999999999999946</v>
      </c>
      <c r="AI78">
        <v>71</v>
      </c>
      <c r="AJ78">
        <v>0.854155</v>
      </c>
      <c r="AK78">
        <v>934.72</v>
      </c>
      <c r="AP78">
        <f t="shared" si="15"/>
        <v>3.8999999999999946</v>
      </c>
      <c r="AQ78">
        <v>71</v>
      </c>
      <c r="AR78">
        <v>1.9029499999999999</v>
      </c>
      <c r="AS78">
        <v>721.08900000000006</v>
      </c>
      <c r="AX78">
        <f t="shared" si="16"/>
        <v>3.8999999999999946</v>
      </c>
      <c r="AY78">
        <v>71</v>
      </c>
      <c r="AZ78">
        <v>0.40452300000000002</v>
      </c>
      <c r="BA78">
        <v>984.76800000000003</v>
      </c>
      <c r="BF78">
        <f t="shared" si="17"/>
        <v>3.8999999999999946</v>
      </c>
      <c r="BG78">
        <v>71</v>
      </c>
      <c r="BH78">
        <v>-0.57901599999999998</v>
      </c>
      <c r="BI78">
        <v>775.46400000000006</v>
      </c>
      <c r="BN78">
        <f t="shared" si="18"/>
        <v>3.8999999999999946</v>
      </c>
      <c r="BO78">
        <v>71</v>
      </c>
      <c r="BP78">
        <v>-5.5985500000000001E-2</v>
      </c>
      <c r="BQ78">
        <v>635.94399999999996</v>
      </c>
      <c r="BV78">
        <f t="shared" si="19"/>
        <v>3.8999999999999946</v>
      </c>
      <c r="BW78">
        <v>71</v>
      </c>
      <c r="BX78">
        <v>1.38191</v>
      </c>
      <c r="BY78">
        <v>843.58299999999997</v>
      </c>
    </row>
    <row r="79" spans="2:77" x14ac:dyDescent="0.2">
      <c r="B79">
        <f t="shared" si="10"/>
        <v>3.9499999999999944</v>
      </c>
      <c r="C79">
        <v>72</v>
      </c>
      <c r="D79">
        <v>-1.82595</v>
      </c>
      <c r="E79">
        <v>-877.60299999999995</v>
      </c>
      <c r="J79">
        <f t="shared" si="11"/>
        <v>3.9499999999999944</v>
      </c>
      <c r="K79">
        <v>72</v>
      </c>
      <c r="L79">
        <v>-0.76948700000000003</v>
      </c>
      <c r="M79">
        <v>-1071.17</v>
      </c>
      <c r="R79">
        <f t="shared" si="12"/>
        <v>3.9499999999999944</v>
      </c>
      <c r="S79">
        <v>72</v>
      </c>
      <c r="T79">
        <v>-2.41351E-2</v>
      </c>
      <c r="U79">
        <v>-1028.46</v>
      </c>
      <c r="Z79">
        <f t="shared" si="13"/>
        <v>3.9499999999999944</v>
      </c>
      <c r="AA79">
        <v>72</v>
      </c>
      <c r="AB79">
        <v>-2.03193</v>
      </c>
      <c r="AC79">
        <v>526.48</v>
      </c>
      <c r="AH79">
        <f t="shared" si="14"/>
        <v>3.9499999999999944</v>
      </c>
      <c r="AI79">
        <v>72</v>
      </c>
      <c r="AJ79">
        <v>0.82369800000000004</v>
      </c>
      <c r="AK79">
        <v>902.82299999999998</v>
      </c>
      <c r="AP79">
        <f t="shared" si="15"/>
        <v>3.9499999999999944</v>
      </c>
      <c r="AQ79">
        <v>72</v>
      </c>
      <c r="AR79">
        <v>1.87951</v>
      </c>
      <c r="AS79">
        <v>692.91600000000005</v>
      </c>
      <c r="AX79">
        <f t="shared" si="16"/>
        <v>3.9499999999999944</v>
      </c>
      <c r="AY79">
        <v>72</v>
      </c>
      <c r="AZ79">
        <v>0.37245499999999998</v>
      </c>
      <c r="BA79">
        <v>950.13900000000001</v>
      </c>
      <c r="BF79">
        <f t="shared" si="17"/>
        <v>3.9499999999999944</v>
      </c>
      <c r="BG79">
        <v>72</v>
      </c>
      <c r="BH79">
        <v>-0.60426500000000005</v>
      </c>
      <c r="BI79">
        <v>747.976</v>
      </c>
      <c r="BN79">
        <f t="shared" si="18"/>
        <v>3.9499999999999944</v>
      </c>
      <c r="BO79">
        <v>72</v>
      </c>
      <c r="BP79">
        <v>-7.6643500000000003E-2</v>
      </c>
      <c r="BQ79">
        <v>610.54399999999998</v>
      </c>
      <c r="BV79">
        <f t="shared" si="19"/>
        <v>3.9499999999999944</v>
      </c>
      <c r="BW79">
        <v>72</v>
      </c>
      <c r="BX79">
        <v>1.35439</v>
      </c>
      <c r="BY79">
        <v>816.86500000000001</v>
      </c>
    </row>
    <row r="80" spans="2:77" x14ac:dyDescent="0.2">
      <c r="B80">
        <f t="shared" si="10"/>
        <v>3.9999999999999942</v>
      </c>
      <c r="C80">
        <v>73</v>
      </c>
      <c r="D80">
        <v>-1.7977799999999999</v>
      </c>
      <c r="E80">
        <v>-844.01599999999996</v>
      </c>
      <c r="J80">
        <f t="shared" si="11"/>
        <v>3.9999999999999942</v>
      </c>
      <c r="K80">
        <v>73</v>
      </c>
      <c r="L80">
        <v>-0.73474700000000004</v>
      </c>
      <c r="M80">
        <v>-1051.67</v>
      </c>
      <c r="R80">
        <f t="shared" si="12"/>
        <v>3.9999999999999942</v>
      </c>
      <c r="S80">
        <v>73</v>
      </c>
      <c r="T80">
        <v>8.9862899999999992E-3</v>
      </c>
      <c r="U80">
        <v>-995.65200000000004</v>
      </c>
      <c r="Z80">
        <f t="shared" si="13"/>
        <v>3.9999999999999942</v>
      </c>
      <c r="AA80">
        <v>73</v>
      </c>
      <c r="AB80">
        <v>-2.0488599999999999</v>
      </c>
      <c r="AC80">
        <v>508.04500000000002</v>
      </c>
      <c r="AH80">
        <f t="shared" si="14"/>
        <v>3.9999999999999942</v>
      </c>
      <c r="AI80">
        <v>73</v>
      </c>
      <c r="AJ80">
        <v>0.79466999999999999</v>
      </c>
      <c r="AK80">
        <v>871.18799999999999</v>
      </c>
      <c r="AP80">
        <f t="shared" si="15"/>
        <v>3.9999999999999942</v>
      </c>
      <c r="AQ80">
        <v>73</v>
      </c>
      <c r="AR80">
        <v>1.85728</v>
      </c>
      <c r="AS80">
        <v>665.62400000000002</v>
      </c>
      <c r="AX80">
        <f t="shared" si="16"/>
        <v>3.9999999999999942</v>
      </c>
      <c r="AY80">
        <v>73</v>
      </c>
      <c r="AZ80">
        <v>0.34191100000000002</v>
      </c>
      <c r="BA80">
        <v>916.57799999999997</v>
      </c>
      <c r="BF80">
        <f t="shared" si="17"/>
        <v>3.9999999999999942</v>
      </c>
      <c r="BG80">
        <v>73</v>
      </c>
      <c r="BH80">
        <v>-0.62830600000000003</v>
      </c>
      <c r="BI80">
        <v>721.29100000000005</v>
      </c>
      <c r="BN80">
        <f t="shared" si="18"/>
        <v>3.9999999999999942</v>
      </c>
      <c r="BO80">
        <v>73</v>
      </c>
      <c r="BP80">
        <v>-9.6224000000000004E-2</v>
      </c>
      <c r="BQ80">
        <v>586.20000000000005</v>
      </c>
      <c r="BV80">
        <f t="shared" si="19"/>
        <v>3.9999999999999942</v>
      </c>
      <c r="BW80">
        <v>73</v>
      </c>
      <c r="BX80">
        <v>1.32809</v>
      </c>
      <c r="BY80">
        <v>790.67200000000003</v>
      </c>
    </row>
    <row r="81" spans="2:77" x14ac:dyDescent="0.2">
      <c r="B81">
        <f t="shared" si="10"/>
        <v>4.0499999999999945</v>
      </c>
      <c r="C81">
        <v>74</v>
      </c>
      <c r="D81">
        <v>-1.77102</v>
      </c>
      <c r="E81">
        <v>-812.32600000000002</v>
      </c>
      <c r="J81">
        <f t="shared" si="11"/>
        <v>4.0499999999999945</v>
      </c>
      <c r="K81">
        <v>74</v>
      </c>
      <c r="L81">
        <v>-0.70108899999999996</v>
      </c>
      <c r="M81">
        <v>-1031.25</v>
      </c>
      <c r="R81">
        <f t="shared" si="12"/>
        <v>4.0499999999999945</v>
      </c>
      <c r="S81">
        <v>74</v>
      </c>
      <c r="T81">
        <v>4.0637899999999998E-2</v>
      </c>
      <c r="U81">
        <v>-963.32600000000002</v>
      </c>
      <c r="Z81">
        <f t="shared" si="13"/>
        <v>4.0499999999999945</v>
      </c>
      <c r="AA81">
        <v>74</v>
      </c>
      <c r="AB81">
        <v>-2.0649899999999999</v>
      </c>
      <c r="AC81">
        <v>490.38799999999998</v>
      </c>
      <c r="AH81">
        <f t="shared" si="14"/>
        <v>4.0499999999999945</v>
      </c>
      <c r="AI81">
        <v>74</v>
      </c>
      <c r="AJ81">
        <v>0.76701799999999998</v>
      </c>
      <c r="AK81">
        <v>840.29399999999998</v>
      </c>
      <c r="AP81">
        <f t="shared" si="15"/>
        <v>4.0499999999999945</v>
      </c>
      <c r="AQ81">
        <v>74</v>
      </c>
      <c r="AR81">
        <v>1.8362000000000001</v>
      </c>
      <c r="AS81">
        <v>639.34100000000001</v>
      </c>
      <c r="AX81">
        <f t="shared" si="16"/>
        <v>4.0499999999999945</v>
      </c>
      <c r="AY81">
        <v>74</v>
      </c>
      <c r="AZ81">
        <v>0.31281799999999998</v>
      </c>
      <c r="BA81">
        <v>884.10900000000004</v>
      </c>
      <c r="BF81">
        <f t="shared" si="17"/>
        <v>4.0499999999999945</v>
      </c>
      <c r="BG81">
        <v>74</v>
      </c>
      <c r="BH81">
        <v>-0.651196</v>
      </c>
      <c r="BI81">
        <v>695.48299999999995</v>
      </c>
      <c r="BN81">
        <f t="shared" si="18"/>
        <v>4.0499999999999945</v>
      </c>
      <c r="BO81">
        <v>74</v>
      </c>
      <c r="BP81">
        <v>-0.11479</v>
      </c>
      <c r="BQ81">
        <v>562.98599999999999</v>
      </c>
      <c r="BV81">
        <f t="shared" si="19"/>
        <v>4.0499999999999945</v>
      </c>
      <c r="BW81">
        <v>74</v>
      </c>
      <c r="BX81">
        <v>1.3029500000000001</v>
      </c>
      <c r="BY81">
        <v>765.08900000000006</v>
      </c>
    </row>
    <row r="82" spans="2:77" x14ac:dyDescent="0.2">
      <c r="B82">
        <f t="shared" si="10"/>
        <v>4.0999999999999943</v>
      </c>
      <c r="C82">
        <v>75</v>
      </c>
      <c r="D82">
        <v>-1.7455799999999999</v>
      </c>
      <c r="E82">
        <v>-782.553</v>
      </c>
      <c r="J82">
        <f t="shared" si="11"/>
        <v>4.0999999999999943</v>
      </c>
      <c r="K82">
        <v>75</v>
      </c>
      <c r="L82">
        <v>-0.668512</v>
      </c>
      <c r="M82">
        <v>-1010.24</v>
      </c>
      <c r="R82">
        <f t="shared" si="12"/>
        <v>4.0999999999999943</v>
      </c>
      <c r="S82">
        <v>75</v>
      </c>
      <c r="T82">
        <v>7.08757E-2</v>
      </c>
      <c r="U82">
        <v>-931.73699999999997</v>
      </c>
      <c r="Z82">
        <f t="shared" si="13"/>
        <v>4.0999999999999943</v>
      </c>
      <c r="AA82">
        <v>75</v>
      </c>
      <c r="AB82">
        <v>-2.0803600000000002</v>
      </c>
      <c r="AC82">
        <v>473.47699999999998</v>
      </c>
      <c r="AH82">
        <f t="shared" si="14"/>
        <v>4.0999999999999943</v>
      </c>
      <c r="AI82">
        <v>75</v>
      </c>
      <c r="AJ82">
        <v>0.74067799999999995</v>
      </c>
      <c r="AK82">
        <v>810.58100000000002</v>
      </c>
      <c r="AP82">
        <f t="shared" si="15"/>
        <v>4.0999999999999943</v>
      </c>
      <c r="AQ82">
        <v>75</v>
      </c>
      <c r="AR82">
        <v>1.8162</v>
      </c>
      <c r="AS82">
        <v>614.178</v>
      </c>
      <c r="AX82">
        <f t="shared" si="16"/>
        <v>4.0999999999999943</v>
      </c>
      <c r="AY82">
        <v>75</v>
      </c>
      <c r="AZ82">
        <v>0.285105</v>
      </c>
      <c r="BA82">
        <v>852.80899999999997</v>
      </c>
      <c r="BF82">
        <f t="shared" si="17"/>
        <v>4.0999999999999943</v>
      </c>
      <c r="BG82">
        <v>75</v>
      </c>
      <c r="BH82">
        <v>-0.67299200000000003</v>
      </c>
      <c r="BI82">
        <v>670.60400000000004</v>
      </c>
      <c r="BN82">
        <f t="shared" si="18"/>
        <v>4.0999999999999943</v>
      </c>
      <c r="BO82">
        <v>75</v>
      </c>
      <c r="BP82">
        <v>-0.13240299999999999</v>
      </c>
      <c r="BQ82">
        <v>540.95399999999995</v>
      </c>
      <c r="BV82">
        <f t="shared" si="19"/>
        <v>4.0999999999999943</v>
      </c>
      <c r="BW82">
        <v>75</v>
      </c>
      <c r="BX82">
        <v>1.2789299999999999</v>
      </c>
      <c r="BY82">
        <v>740.19</v>
      </c>
    </row>
    <row r="83" spans="2:77" x14ac:dyDescent="0.2">
      <c r="B83">
        <f t="shared" si="10"/>
        <v>4.1499999999999941</v>
      </c>
      <c r="C83">
        <v>76</v>
      </c>
      <c r="D83">
        <v>-1.7213499999999999</v>
      </c>
      <c r="E83">
        <v>-754.66399999999999</v>
      </c>
      <c r="J83">
        <f t="shared" si="11"/>
        <v>4.1499999999999941</v>
      </c>
      <c r="K83">
        <v>76</v>
      </c>
      <c r="L83">
        <v>-0.63700199999999996</v>
      </c>
      <c r="M83">
        <v>-988.93799999999999</v>
      </c>
      <c r="R83">
        <f t="shared" si="12"/>
        <v>4.1499999999999941</v>
      </c>
      <c r="S83">
        <v>76</v>
      </c>
      <c r="T83">
        <v>9.9761100000000005E-2</v>
      </c>
      <c r="U83">
        <v>-901.09</v>
      </c>
      <c r="Z83">
        <f t="shared" si="13"/>
        <v>4.1499999999999941</v>
      </c>
      <c r="AA83">
        <v>76</v>
      </c>
      <c r="AB83">
        <v>-2.0950299999999999</v>
      </c>
      <c r="AC83">
        <v>457.274</v>
      </c>
      <c r="AH83">
        <f t="shared" si="14"/>
        <v>4.1499999999999941</v>
      </c>
      <c r="AI83">
        <v>76</v>
      </c>
      <c r="AJ83">
        <v>0.71557400000000004</v>
      </c>
      <c r="AK83">
        <v>782.423</v>
      </c>
      <c r="AP83">
        <f t="shared" si="15"/>
        <v>4.1499999999999941</v>
      </c>
      <c r="AQ83">
        <v>76</v>
      </c>
      <c r="AR83">
        <v>1.79722</v>
      </c>
      <c r="AS83">
        <v>590.22299999999996</v>
      </c>
      <c r="AX83">
        <f t="shared" si="16"/>
        <v>4.1499999999999941</v>
      </c>
      <c r="AY83">
        <v>76</v>
      </c>
      <c r="AZ83">
        <v>0.25869799999999998</v>
      </c>
      <c r="BA83">
        <v>822.79399999999998</v>
      </c>
      <c r="BF83">
        <f t="shared" si="17"/>
        <v>4.1499999999999941</v>
      </c>
      <c r="BG83">
        <v>76</v>
      </c>
      <c r="BH83">
        <v>-0.69375200000000004</v>
      </c>
      <c r="BI83">
        <v>646.69000000000005</v>
      </c>
      <c r="BN83">
        <f t="shared" si="18"/>
        <v>4.1499999999999941</v>
      </c>
      <c r="BO83">
        <v>76</v>
      </c>
      <c r="BP83">
        <v>-0.14912400000000001</v>
      </c>
      <c r="BQ83">
        <v>520.13300000000004</v>
      </c>
      <c r="BV83">
        <f t="shared" si="19"/>
        <v>4.1499999999999941</v>
      </c>
      <c r="BW83">
        <v>76</v>
      </c>
      <c r="BX83">
        <v>1.2559800000000001</v>
      </c>
      <c r="BY83">
        <v>716.03499999999997</v>
      </c>
    </row>
    <row r="84" spans="2:77" x14ac:dyDescent="0.2">
      <c r="B84">
        <f t="shared" si="10"/>
        <v>4.199999999999994</v>
      </c>
      <c r="C84">
        <v>77</v>
      </c>
      <c r="D84">
        <v>-1.6982600000000001</v>
      </c>
      <c r="E84">
        <v>-728.58199999999999</v>
      </c>
      <c r="J84">
        <f t="shared" si="11"/>
        <v>4.199999999999994</v>
      </c>
      <c r="K84">
        <v>77</v>
      </c>
      <c r="L84">
        <v>-0.60653800000000002</v>
      </c>
      <c r="M84">
        <v>-967.59799999999996</v>
      </c>
      <c r="R84">
        <f t="shared" si="12"/>
        <v>4.199999999999994</v>
      </c>
      <c r="S84">
        <v>77</v>
      </c>
      <c r="T84">
        <v>0.127359</v>
      </c>
      <c r="U84">
        <v>-871.53599999999994</v>
      </c>
      <c r="Z84">
        <f t="shared" si="13"/>
        <v>4.199999999999994</v>
      </c>
      <c r="AA84">
        <v>77</v>
      </c>
      <c r="AB84">
        <v>-2.1090300000000002</v>
      </c>
      <c r="AC84">
        <v>441.73399999999998</v>
      </c>
      <c r="AH84">
        <f t="shared" si="14"/>
        <v>4.199999999999994</v>
      </c>
      <c r="AI84">
        <v>77</v>
      </c>
      <c r="AJ84">
        <v>0.69162400000000002</v>
      </c>
      <c r="AK84">
        <v>756.11900000000003</v>
      </c>
      <c r="AP84">
        <f t="shared" si="15"/>
        <v>4.199999999999994</v>
      </c>
      <c r="AQ84">
        <v>77</v>
      </c>
      <c r="AR84">
        <v>1.7791999999999999</v>
      </c>
      <c r="AS84">
        <v>567.53599999999994</v>
      </c>
      <c r="AX84">
        <f t="shared" si="16"/>
        <v>4.199999999999994</v>
      </c>
      <c r="AY84">
        <v>77</v>
      </c>
      <c r="AZ84">
        <v>0.23352500000000001</v>
      </c>
      <c r="BA84">
        <v>794.19299999999998</v>
      </c>
      <c r="BF84">
        <f t="shared" si="17"/>
        <v>4.199999999999994</v>
      </c>
      <c r="BG84">
        <v>77</v>
      </c>
      <c r="BH84">
        <v>-0.71353100000000003</v>
      </c>
      <c r="BI84">
        <v>623.75300000000004</v>
      </c>
      <c r="BN84">
        <f t="shared" si="18"/>
        <v>4.199999999999994</v>
      </c>
      <c r="BO84">
        <v>77</v>
      </c>
      <c r="BP84">
        <v>-0.16501299999999999</v>
      </c>
      <c r="BQ84">
        <v>500.52699999999999</v>
      </c>
      <c r="BV84">
        <f t="shared" si="19"/>
        <v>4.199999999999994</v>
      </c>
      <c r="BW84">
        <v>77</v>
      </c>
      <c r="BX84">
        <v>1.2340500000000001</v>
      </c>
      <c r="BY84">
        <v>692.66300000000001</v>
      </c>
    </row>
    <row r="85" spans="2:77" x14ac:dyDescent="0.2">
      <c r="B85">
        <f t="shared" si="10"/>
        <v>4.2499999999999938</v>
      </c>
      <c r="C85">
        <v>78</v>
      </c>
      <c r="D85">
        <v>-1.6762300000000001</v>
      </c>
      <c r="E85">
        <v>-704.18499999999995</v>
      </c>
      <c r="J85">
        <f t="shared" si="11"/>
        <v>4.2499999999999938</v>
      </c>
      <c r="K85">
        <v>78</v>
      </c>
      <c r="L85">
        <v>-0.577094</v>
      </c>
      <c r="M85">
        <v>-946.41600000000005</v>
      </c>
      <c r="R85">
        <f t="shared" si="12"/>
        <v>4.2499999999999938</v>
      </c>
      <c r="S85">
        <v>78</v>
      </c>
      <c r="T85">
        <v>0.15373500000000001</v>
      </c>
      <c r="U85">
        <v>-843.16899999999998</v>
      </c>
      <c r="Z85">
        <f t="shared" si="13"/>
        <v>4.2499999999999938</v>
      </c>
      <c r="AA85">
        <v>78</v>
      </c>
      <c r="AB85">
        <v>-2.1223900000000002</v>
      </c>
      <c r="AC85">
        <v>426.8</v>
      </c>
      <c r="AH85">
        <f t="shared" si="14"/>
        <v>4.2499999999999938</v>
      </c>
      <c r="AI85">
        <v>78</v>
      </c>
      <c r="AJ85">
        <v>0.66873800000000005</v>
      </c>
      <c r="AK85">
        <v>731.87199999999996</v>
      </c>
      <c r="AP85">
        <f t="shared" si="15"/>
        <v>4.2499999999999938</v>
      </c>
      <c r="AQ85">
        <v>78</v>
      </c>
      <c r="AR85">
        <v>1.76207</v>
      </c>
      <c r="AS85">
        <v>546.14599999999996</v>
      </c>
      <c r="AX85">
        <f t="shared" si="16"/>
        <v>4.2499999999999938</v>
      </c>
      <c r="AY85">
        <v>78</v>
      </c>
      <c r="AZ85">
        <v>0.20951</v>
      </c>
      <c r="BA85">
        <v>767.13300000000004</v>
      </c>
      <c r="BF85">
        <f t="shared" si="17"/>
        <v>4.2499999999999938</v>
      </c>
      <c r="BG85">
        <v>78</v>
      </c>
      <c r="BH85">
        <v>-0.73238199999999998</v>
      </c>
      <c r="BI85">
        <v>601.78499999999997</v>
      </c>
      <c r="BN85">
        <f t="shared" si="18"/>
        <v>4.2499999999999938</v>
      </c>
      <c r="BO85">
        <v>78</v>
      </c>
      <c r="BP85">
        <v>-0.18012700000000001</v>
      </c>
      <c r="BQ85">
        <v>482.11200000000002</v>
      </c>
      <c r="BV85">
        <f t="shared" si="19"/>
        <v>4.2499999999999938</v>
      </c>
      <c r="BW85">
        <v>78</v>
      </c>
      <c r="BX85">
        <v>1.21309</v>
      </c>
      <c r="BY85">
        <v>670.08900000000006</v>
      </c>
    </row>
    <row r="86" spans="2:77" x14ac:dyDescent="0.2">
      <c r="B86">
        <f t="shared" si="10"/>
        <v>4.2999999999999936</v>
      </c>
      <c r="C86">
        <v>79</v>
      </c>
      <c r="D86" s="3">
        <v>-1.65517</v>
      </c>
      <c r="E86">
        <v>-681.31399999999996</v>
      </c>
      <c r="J86">
        <f t="shared" si="11"/>
        <v>4.2999999999999936</v>
      </c>
      <c r="K86">
        <v>79</v>
      </c>
      <c r="L86">
        <v>-0.54863799999999996</v>
      </c>
      <c r="M86">
        <v>-925.53099999999995</v>
      </c>
      <c r="R86">
        <f t="shared" si="12"/>
        <v>4.2999999999999936</v>
      </c>
      <c r="S86">
        <v>79</v>
      </c>
      <c r="T86">
        <v>0.178954</v>
      </c>
      <c r="U86">
        <v>-816.02800000000002</v>
      </c>
      <c r="Z86">
        <f t="shared" si="13"/>
        <v>4.2999999999999936</v>
      </c>
      <c r="AA86">
        <v>79</v>
      </c>
      <c r="AB86">
        <v>-2.1351499999999999</v>
      </c>
      <c r="AC86">
        <v>412.40899999999999</v>
      </c>
      <c r="AH86">
        <f t="shared" si="14"/>
        <v>4.2999999999999936</v>
      </c>
      <c r="AI86">
        <v>79</v>
      </c>
      <c r="AJ86">
        <v>0.64682799999999996</v>
      </c>
      <c r="AK86">
        <v>709.78700000000003</v>
      </c>
      <c r="AP86">
        <f t="shared" si="15"/>
        <v>4.2999999999999936</v>
      </c>
      <c r="AQ86">
        <v>79</v>
      </c>
      <c r="AR86">
        <v>1.74577</v>
      </c>
      <c r="AS86">
        <v>526.04899999999998</v>
      </c>
      <c r="AX86">
        <f t="shared" si="16"/>
        <v>4.2999999999999936</v>
      </c>
      <c r="AY86">
        <v>79</v>
      </c>
      <c r="AZ86">
        <v>0.18657599999999999</v>
      </c>
      <c r="BA86">
        <v>741.721</v>
      </c>
      <c r="BF86">
        <f t="shared" si="17"/>
        <v>4.2999999999999936</v>
      </c>
      <c r="BG86">
        <v>79</v>
      </c>
      <c r="BH86">
        <v>-0.75035700000000005</v>
      </c>
      <c r="BI86">
        <v>580.75699999999995</v>
      </c>
      <c r="BN86">
        <f t="shared" si="18"/>
        <v>4.2999999999999936</v>
      </c>
      <c r="BO86">
        <v>79</v>
      </c>
      <c r="BP86">
        <v>-0.194519</v>
      </c>
      <c r="BQ86">
        <v>464.84</v>
      </c>
      <c r="BV86">
        <f t="shared" si="19"/>
        <v>4.2999999999999936</v>
      </c>
      <c r="BW86">
        <v>79</v>
      </c>
      <c r="BX86">
        <v>1.1930499999999999</v>
      </c>
      <c r="BY86">
        <v>648.30600000000004</v>
      </c>
    </row>
    <row r="87" spans="2:77" x14ac:dyDescent="0.2">
      <c r="B87">
        <f t="shared" si="10"/>
        <v>4.3499999999999934</v>
      </c>
      <c r="C87">
        <v>80</v>
      </c>
      <c r="D87">
        <v>-1.6350199999999999</v>
      </c>
      <c r="E87">
        <v>-659.779</v>
      </c>
      <c r="J87">
        <f t="shared" si="11"/>
        <v>4.3499999999999934</v>
      </c>
      <c r="K87">
        <v>80</v>
      </c>
      <c r="L87">
        <v>-0.52113699999999996</v>
      </c>
      <c r="M87">
        <v>-905.02300000000002</v>
      </c>
      <c r="R87">
        <f t="shared" si="12"/>
        <v>4.3499999999999934</v>
      </c>
      <c r="S87">
        <v>80</v>
      </c>
      <c r="T87">
        <v>0.20308200000000001</v>
      </c>
      <c r="U87">
        <v>-790.09400000000005</v>
      </c>
      <c r="Z87">
        <f t="shared" si="13"/>
        <v>4.3499999999999934</v>
      </c>
      <c r="AA87">
        <v>80</v>
      </c>
      <c r="AB87">
        <v>-2.1473300000000002</v>
      </c>
      <c r="AC87">
        <v>398.49099999999999</v>
      </c>
      <c r="AH87">
        <f t="shared" si="14"/>
        <v>4.3499999999999934</v>
      </c>
      <c r="AI87">
        <v>80</v>
      </c>
      <c r="AJ87">
        <v>0.62580499999999994</v>
      </c>
      <c r="AK87">
        <v>689.86</v>
      </c>
      <c r="AP87">
        <f t="shared" si="15"/>
        <v>4.3499999999999934</v>
      </c>
      <c r="AQ87">
        <v>80</v>
      </c>
      <c r="AR87">
        <v>1.7302500000000001</v>
      </c>
      <c r="AS87">
        <v>507.20800000000003</v>
      </c>
      <c r="AX87">
        <f t="shared" si="16"/>
        <v>4.3499999999999934</v>
      </c>
      <c r="AY87">
        <v>80</v>
      </c>
      <c r="AZ87">
        <v>0.16464899999999999</v>
      </c>
      <c r="BA87">
        <v>718.02499999999998</v>
      </c>
      <c r="BF87">
        <f t="shared" si="17"/>
        <v>4.3499999999999934</v>
      </c>
      <c r="BG87">
        <v>80</v>
      </c>
      <c r="BH87">
        <v>-0.76750300000000005</v>
      </c>
      <c r="BI87">
        <v>560.62300000000005</v>
      </c>
      <c r="BN87">
        <f t="shared" si="18"/>
        <v>4.3499999999999934</v>
      </c>
      <c r="BO87">
        <v>80</v>
      </c>
      <c r="BP87">
        <v>-0.20824100000000001</v>
      </c>
      <c r="BQ87">
        <v>448.63600000000002</v>
      </c>
      <c r="BV87">
        <f t="shared" si="19"/>
        <v>4.3499999999999934</v>
      </c>
      <c r="BW87">
        <v>80</v>
      </c>
      <c r="BX87">
        <v>1.1738900000000001</v>
      </c>
      <c r="BY87">
        <v>627.28099999999995</v>
      </c>
    </row>
    <row r="88" spans="2:77" x14ac:dyDescent="0.2">
      <c r="B88">
        <f t="shared" si="10"/>
        <v>4.3999999999999932</v>
      </c>
      <c r="C88">
        <v>81</v>
      </c>
      <c r="D88">
        <v>-1.6157300000000001</v>
      </c>
      <c r="E88">
        <v>-639.36300000000006</v>
      </c>
      <c r="J88">
        <f t="shared" si="11"/>
        <v>4.3999999999999932</v>
      </c>
      <c r="K88">
        <v>81</v>
      </c>
      <c r="L88">
        <v>-0.49455700000000002</v>
      </c>
      <c r="M88">
        <v>-884.91099999999994</v>
      </c>
      <c r="R88">
        <f t="shared" si="12"/>
        <v>4.3999999999999932</v>
      </c>
      <c r="S88">
        <v>81</v>
      </c>
      <c r="T88">
        <v>0.22617699999999999</v>
      </c>
      <c r="U88">
        <v>-765.29600000000005</v>
      </c>
      <c r="Z88">
        <f t="shared" si="13"/>
        <v>4.3999999999999932</v>
      </c>
      <c r="AA88">
        <v>81</v>
      </c>
      <c r="AB88">
        <v>-2.15896</v>
      </c>
      <c r="AC88">
        <v>384.96899999999999</v>
      </c>
      <c r="AH88">
        <f t="shared" si="14"/>
        <v>4.3999999999999932</v>
      </c>
      <c r="AI88">
        <v>81</v>
      </c>
      <c r="AJ88">
        <v>0.60558599999999996</v>
      </c>
      <c r="AK88">
        <v>671.98400000000004</v>
      </c>
      <c r="AP88">
        <f t="shared" si="15"/>
        <v>4.3999999999999932</v>
      </c>
      <c r="AQ88">
        <v>81</v>
      </c>
      <c r="AR88">
        <v>1.7154499999999999</v>
      </c>
      <c r="AS88">
        <v>489.553</v>
      </c>
      <c r="AX88">
        <f t="shared" si="16"/>
        <v>4.3999999999999932</v>
      </c>
      <c r="AY88">
        <v>81</v>
      </c>
      <c r="AZ88">
        <v>0.143654</v>
      </c>
      <c r="BA88">
        <v>696.06700000000001</v>
      </c>
      <c r="BF88">
        <f t="shared" si="17"/>
        <v>4.3999999999999932</v>
      </c>
      <c r="BG88">
        <v>81</v>
      </c>
      <c r="BH88">
        <v>-0.78386500000000003</v>
      </c>
      <c r="BI88">
        <v>541.31899999999996</v>
      </c>
      <c r="BN88">
        <f t="shared" si="18"/>
        <v>4.3999999999999932</v>
      </c>
      <c r="BO88">
        <v>81</v>
      </c>
      <c r="BP88">
        <v>-0.22133700000000001</v>
      </c>
      <c r="BQ88">
        <v>433.40300000000002</v>
      </c>
      <c r="BV88">
        <f t="shared" si="19"/>
        <v>4.3999999999999932</v>
      </c>
      <c r="BW88">
        <v>81</v>
      </c>
      <c r="BX88">
        <v>1.1555599999999999</v>
      </c>
      <c r="BY88">
        <v>606.95699999999999</v>
      </c>
    </row>
    <row r="89" spans="2:77" x14ac:dyDescent="0.2">
      <c r="B89">
        <f t="shared" si="10"/>
        <v>4.4499999999999931</v>
      </c>
      <c r="C89">
        <v>82</v>
      </c>
      <c r="D89">
        <v>-1.5972500000000001</v>
      </c>
      <c r="E89">
        <v>-619.83399999999995</v>
      </c>
      <c r="J89">
        <f t="shared" si="11"/>
        <v>4.4499999999999931</v>
      </c>
      <c r="K89">
        <v>82</v>
      </c>
      <c r="L89">
        <v>-0.468866</v>
      </c>
      <c r="M89">
        <v>-865.15499999999997</v>
      </c>
      <c r="R89">
        <f t="shared" si="12"/>
        <v>4.4499999999999931</v>
      </c>
      <c r="S89">
        <v>82</v>
      </c>
      <c r="T89">
        <v>0.24829599999999999</v>
      </c>
      <c r="U89">
        <v>-741.51700000000005</v>
      </c>
      <c r="Z89">
        <f t="shared" si="13"/>
        <v>4.4499999999999931</v>
      </c>
      <c r="AA89">
        <v>82</v>
      </c>
      <c r="AB89">
        <v>-2.1700699999999999</v>
      </c>
      <c r="AC89">
        <v>371.762</v>
      </c>
      <c r="AH89">
        <f t="shared" si="14"/>
        <v>4.4499999999999931</v>
      </c>
      <c r="AI89">
        <v>82</v>
      </c>
      <c r="AJ89">
        <v>0.58609500000000003</v>
      </c>
      <c r="AK89">
        <v>655.95299999999997</v>
      </c>
      <c r="AP89">
        <f t="shared" si="15"/>
        <v>4.4499999999999931</v>
      </c>
      <c r="AQ89">
        <v>82</v>
      </c>
      <c r="AR89">
        <v>1.7013199999999999</v>
      </c>
      <c r="AS89">
        <v>472.983</v>
      </c>
      <c r="AX89">
        <f t="shared" si="16"/>
        <v>4.4499999999999931</v>
      </c>
      <c r="AY89">
        <v>82</v>
      </c>
      <c r="AZ89">
        <v>0.123518</v>
      </c>
      <c r="BA89">
        <v>675.81299999999999</v>
      </c>
      <c r="BF89">
        <f t="shared" si="17"/>
        <v>4.4499999999999931</v>
      </c>
      <c r="BG89">
        <v>82</v>
      </c>
      <c r="BH89">
        <v>-0.799485</v>
      </c>
      <c r="BI89">
        <v>522.77099999999996</v>
      </c>
      <c r="BN89">
        <f t="shared" si="18"/>
        <v>4.4499999999999931</v>
      </c>
      <c r="BO89">
        <v>82</v>
      </c>
      <c r="BP89">
        <v>-0.23385</v>
      </c>
      <c r="BQ89">
        <v>419.024</v>
      </c>
      <c r="BV89">
        <f t="shared" si="19"/>
        <v>4.4499999999999931</v>
      </c>
      <c r="BW89">
        <v>82</v>
      </c>
      <c r="BX89">
        <v>1.1380300000000001</v>
      </c>
      <c r="BY89">
        <v>587.26099999999997</v>
      </c>
    </row>
    <row r="90" spans="2:77" x14ac:dyDescent="0.2">
      <c r="B90">
        <f t="shared" si="10"/>
        <v>4.4999999999999929</v>
      </c>
      <c r="C90">
        <v>83</v>
      </c>
      <c r="D90">
        <v>-1.5795300000000001</v>
      </c>
      <c r="E90">
        <v>-600.952</v>
      </c>
      <c r="J90">
        <f t="shared" si="11"/>
        <v>4.4999999999999929</v>
      </c>
      <c r="K90">
        <v>83</v>
      </c>
      <c r="L90">
        <v>-0.44403500000000001</v>
      </c>
      <c r="M90">
        <v>-845.65800000000002</v>
      </c>
      <c r="R90">
        <f t="shared" si="12"/>
        <v>4.4999999999999929</v>
      </c>
      <c r="S90">
        <v>83</v>
      </c>
      <c r="T90">
        <v>0.26948699999999998</v>
      </c>
      <c r="U90">
        <v>-718.59799999999996</v>
      </c>
      <c r="Z90">
        <f t="shared" si="13"/>
        <v>4.4999999999999929</v>
      </c>
      <c r="AA90">
        <v>83</v>
      </c>
      <c r="AB90">
        <v>-2.1806700000000001</v>
      </c>
      <c r="AC90">
        <v>358.78899999999999</v>
      </c>
      <c r="AH90">
        <f t="shared" si="14"/>
        <v>4.4999999999999929</v>
      </c>
      <c r="AI90">
        <v>83</v>
      </c>
      <c r="AJ90">
        <v>0.56726699999999997</v>
      </c>
      <c r="AK90">
        <v>641.47299999999996</v>
      </c>
      <c r="AP90">
        <f t="shared" si="15"/>
        <v>4.4999999999999929</v>
      </c>
      <c r="AQ90">
        <v>83</v>
      </c>
      <c r="AR90">
        <v>1.6878200000000001</v>
      </c>
      <c r="AS90">
        <v>457.37099999999998</v>
      </c>
      <c r="AX90">
        <f t="shared" si="16"/>
        <v>4.4999999999999929</v>
      </c>
      <c r="AY90">
        <v>83</v>
      </c>
      <c r="AZ90">
        <v>0.104174</v>
      </c>
      <c r="BA90">
        <v>657.16300000000001</v>
      </c>
      <c r="BF90">
        <f t="shared" si="17"/>
        <v>4.4999999999999929</v>
      </c>
      <c r="BG90">
        <v>83</v>
      </c>
      <c r="BH90">
        <v>-0.81440000000000001</v>
      </c>
      <c r="BI90">
        <v>504.89600000000002</v>
      </c>
      <c r="BN90">
        <f t="shared" si="18"/>
        <v>4.4999999999999929</v>
      </c>
      <c r="BO90">
        <v>83</v>
      </c>
      <c r="BP90">
        <v>-0.245814</v>
      </c>
      <c r="BQ90">
        <v>405.37</v>
      </c>
      <c r="BV90">
        <f t="shared" si="19"/>
        <v>4.4999999999999929</v>
      </c>
      <c r="BW90">
        <v>83</v>
      </c>
      <c r="BX90">
        <v>1.1212599999999999</v>
      </c>
      <c r="BY90">
        <v>568.09900000000005</v>
      </c>
    </row>
    <row r="91" spans="2:77" x14ac:dyDescent="0.2">
      <c r="B91">
        <f t="shared" si="10"/>
        <v>4.5499999999999927</v>
      </c>
      <c r="C91">
        <v>84</v>
      </c>
      <c r="D91">
        <v>-1.5625500000000001</v>
      </c>
      <c r="E91">
        <v>-582.476</v>
      </c>
      <c r="J91">
        <f t="shared" si="11"/>
        <v>4.5499999999999927</v>
      </c>
      <c r="K91">
        <v>84</v>
      </c>
      <c r="L91">
        <v>-0.420039</v>
      </c>
      <c r="M91">
        <v>-826.27700000000004</v>
      </c>
      <c r="R91">
        <f t="shared" si="12"/>
        <v>4.5499999999999927</v>
      </c>
      <c r="S91">
        <v>84</v>
      </c>
      <c r="T91">
        <v>0.289794</v>
      </c>
      <c r="U91">
        <v>-696.34799999999996</v>
      </c>
      <c r="Z91">
        <f t="shared" si="13"/>
        <v>4.5499999999999927</v>
      </c>
      <c r="AA91">
        <v>84</v>
      </c>
      <c r="AB91">
        <v>-2.1907899999999998</v>
      </c>
      <c r="AC91">
        <v>345.971</v>
      </c>
      <c r="AH91">
        <f t="shared" si="14"/>
        <v>4.5499999999999927</v>
      </c>
      <c r="AI91">
        <v>84</v>
      </c>
      <c r="AJ91">
        <v>0.54904600000000003</v>
      </c>
      <c r="AK91">
        <v>628.17999999999995</v>
      </c>
      <c r="AP91">
        <f t="shared" si="15"/>
        <v>4.5499999999999927</v>
      </c>
      <c r="AQ91">
        <v>84</v>
      </c>
      <c r="AR91">
        <v>1.6749099999999999</v>
      </c>
      <c r="AS91">
        <v>442.56700000000001</v>
      </c>
      <c r="AX91">
        <f t="shared" si="16"/>
        <v>4.5499999999999927</v>
      </c>
      <c r="AY91">
        <v>84</v>
      </c>
      <c r="AZ91">
        <v>8.5560300000000006E-2</v>
      </c>
      <c r="BA91">
        <v>639.96</v>
      </c>
      <c r="BF91">
        <f t="shared" si="17"/>
        <v>4.5499999999999927</v>
      </c>
      <c r="BG91">
        <v>84</v>
      </c>
      <c r="BH91">
        <v>-0.82864400000000005</v>
      </c>
      <c r="BI91">
        <v>487.608</v>
      </c>
      <c r="BN91">
        <f t="shared" si="18"/>
        <v>4.5499999999999927</v>
      </c>
      <c r="BO91">
        <v>84</v>
      </c>
      <c r="BP91">
        <v>-0.25726100000000002</v>
      </c>
      <c r="BQ91">
        <v>392.298</v>
      </c>
      <c r="BV91">
        <f t="shared" si="19"/>
        <v>4.5499999999999927</v>
      </c>
      <c r="BW91">
        <v>84</v>
      </c>
      <c r="BX91">
        <v>1.1052200000000001</v>
      </c>
      <c r="BY91">
        <v>549.37099999999998</v>
      </c>
    </row>
    <row r="92" spans="2:77" x14ac:dyDescent="0.2">
      <c r="B92">
        <f t="shared" si="10"/>
        <v>4.5999999999999925</v>
      </c>
      <c r="C92">
        <v>85</v>
      </c>
      <c r="D92">
        <v>-1.54627</v>
      </c>
      <c r="E92">
        <v>-564.17999999999995</v>
      </c>
      <c r="J92">
        <f t="shared" si="11"/>
        <v>4.5999999999999925</v>
      </c>
      <c r="K92">
        <v>85</v>
      </c>
      <c r="L92">
        <v>-0.39685799999999999</v>
      </c>
      <c r="M92">
        <v>-806.83100000000002</v>
      </c>
      <c r="R92">
        <f t="shared" si="12"/>
        <v>4.5999999999999925</v>
      </c>
      <c r="S92">
        <v>85</v>
      </c>
      <c r="T92">
        <v>0.30925200000000003</v>
      </c>
      <c r="U92">
        <v>-674.55799999999999</v>
      </c>
      <c r="Z92">
        <f t="shared" si="13"/>
        <v>4.5999999999999925</v>
      </c>
      <c r="AA92">
        <v>85</v>
      </c>
      <c r="AB92">
        <v>-2.2004299999999999</v>
      </c>
      <c r="AC92">
        <v>333.23500000000001</v>
      </c>
      <c r="AH92">
        <f t="shared" si="14"/>
        <v>4.5999999999999925</v>
      </c>
      <c r="AI92">
        <v>85</v>
      </c>
      <c r="AJ92">
        <v>0.531393</v>
      </c>
      <c r="AK92">
        <v>615.65599999999995</v>
      </c>
      <c r="AP92">
        <f t="shared" si="15"/>
        <v>4.5999999999999925</v>
      </c>
      <c r="AQ92">
        <v>85</v>
      </c>
      <c r="AR92">
        <v>1.66255</v>
      </c>
      <c r="AS92">
        <v>428.40899999999999</v>
      </c>
      <c r="AX92">
        <f t="shared" si="16"/>
        <v>4.5999999999999925</v>
      </c>
      <c r="AY92">
        <v>85</v>
      </c>
      <c r="AZ92">
        <v>6.7622600000000005E-2</v>
      </c>
      <c r="BA92">
        <v>623.98400000000004</v>
      </c>
      <c r="BF92">
        <f t="shared" si="17"/>
        <v>4.5999999999999925</v>
      </c>
      <c r="BG92">
        <v>85</v>
      </c>
      <c r="BH92">
        <v>-0.84224699999999997</v>
      </c>
      <c r="BI92">
        <v>470.82299999999998</v>
      </c>
      <c r="BN92">
        <f t="shared" si="18"/>
        <v>4.5999999999999925</v>
      </c>
      <c r="BO92">
        <v>85</v>
      </c>
      <c r="BP92">
        <v>-0.26821800000000001</v>
      </c>
      <c r="BQ92">
        <v>379.66399999999999</v>
      </c>
      <c r="BV92">
        <f t="shared" si="19"/>
        <v>4.5999999999999925</v>
      </c>
      <c r="BW92">
        <v>85</v>
      </c>
      <c r="BX92">
        <v>1.08989</v>
      </c>
      <c r="BY92">
        <v>530.97199999999998</v>
      </c>
    </row>
    <row r="93" spans="2:77" x14ac:dyDescent="0.2">
      <c r="B93">
        <f t="shared" si="10"/>
        <v>4.6499999999999924</v>
      </c>
      <c r="C93">
        <v>86</v>
      </c>
      <c r="D93">
        <v>-1.5306900000000001</v>
      </c>
      <c r="E93">
        <v>-545.85599999999999</v>
      </c>
      <c r="J93">
        <f t="shared" si="11"/>
        <v>4.6499999999999924</v>
      </c>
      <c r="K93">
        <v>86</v>
      </c>
      <c r="L93">
        <v>-0.37447999999999998</v>
      </c>
      <c r="M93">
        <v>-787.11099999999999</v>
      </c>
      <c r="R93">
        <f t="shared" si="12"/>
        <v>4.6499999999999924</v>
      </c>
      <c r="S93">
        <v>86</v>
      </c>
      <c r="T93">
        <v>0.32788899999999999</v>
      </c>
      <c r="U93">
        <v>-653.01</v>
      </c>
      <c r="Z93">
        <f t="shared" si="13"/>
        <v>4.6499999999999924</v>
      </c>
      <c r="AA93">
        <v>86</v>
      </c>
      <c r="AB93">
        <v>-2.2096100000000001</v>
      </c>
      <c r="AC93">
        <v>320.51600000000002</v>
      </c>
      <c r="AH93">
        <f t="shared" si="14"/>
        <v>4.6499999999999924</v>
      </c>
      <c r="AI93">
        <v>86</v>
      </c>
      <c r="AJ93">
        <v>0.51427800000000001</v>
      </c>
      <c r="AK93">
        <v>603.46</v>
      </c>
      <c r="AP93">
        <f t="shared" si="15"/>
        <v>4.6499999999999924</v>
      </c>
      <c r="AQ93">
        <v>86</v>
      </c>
      <c r="AR93">
        <v>1.6507099999999999</v>
      </c>
      <c r="AS93">
        <v>414.72699999999998</v>
      </c>
      <c r="AX93">
        <f t="shared" si="16"/>
        <v>4.6499999999999924</v>
      </c>
      <c r="AY93">
        <v>86</v>
      </c>
      <c r="AZ93">
        <v>5.0315499999999999E-2</v>
      </c>
      <c r="BA93">
        <v>608.96600000000001</v>
      </c>
      <c r="BF93">
        <f t="shared" si="17"/>
        <v>4.6499999999999924</v>
      </c>
      <c r="BG93">
        <v>86</v>
      </c>
      <c r="BH93">
        <v>-0.855236</v>
      </c>
      <c r="BI93">
        <v>454.46699999999998</v>
      </c>
      <c r="BN93">
        <f t="shared" si="18"/>
        <v>4.6499999999999924</v>
      </c>
      <c r="BO93">
        <v>86</v>
      </c>
      <c r="BP93">
        <v>-0.27870400000000001</v>
      </c>
      <c r="BQ93">
        <v>367.327</v>
      </c>
      <c r="BV93">
        <f t="shared" si="19"/>
        <v>4.6499999999999924</v>
      </c>
      <c r="BW93">
        <v>86</v>
      </c>
      <c r="BX93">
        <v>1.07524</v>
      </c>
      <c r="BY93">
        <v>512.80399999999997</v>
      </c>
    </row>
    <row r="94" spans="2:77" x14ac:dyDescent="0.2">
      <c r="B94">
        <f t="shared" si="10"/>
        <v>4.6999999999999922</v>
      </c>
      <c r="C94">
        <v>87</v>
      </c>
      <c r="D94">
        <v>-1.5157799999999999</v>
      </c>
      <c r="E94">
        <v>-527.33100000000002</v>
      </c>
      <c r="J94">
        <f t="shared" si="11"/>
        <v>4.6999999999999922</v>
      </c>
      <c r="K94">
        <v>87</v>
      </c>
      <c r="L94">
        <v>-0.35289799999999999</v>
      </c>
      <c r="M94">
        <v>-766.9</v>
      </c>
      <c r="R94">
        <f t="shared" si="12"/>
        <v>4.6999999999999922</v>
      </c>
      <c r="S94">
        <v>87</v>
      </c>
      <c r="T94">
        <v>0.34572700000000001</v>
      </c>
      <c r="U94">
        <v>-631.49300000000005</v>
      </c>
      <c r="Z94">
        <f t="shared" si="13"/>
        <v>4.6999999999999922</v>
      </c>
      <c r="AA94">
        <v>87</v>
      </c>
      <c r="AB94">
        <v>-2.2183299999999999</v>
      </c>
      <c r="AC94">
        <v>307.76600000000002</v>
      </c>
      <c r="AH94">
        <f t="shared" si="14"/>
        <v>4.6999999999999922</v>
      </c>
      <c r="AI94">
        <v>87</v>
      </c>
      <c r="AJ94">
        <v>0.49768800000000002</v>
      </c>
      <c r="AK94">
        <v>591.14599999999996</v>
      </c>
      <c r="AP94">
        <f t="shared" si="15"/>
        <v>4.6999999999999922</v>
      </c>
      <c r="AQ94">
        <v>87</v>
      </c>
      <c r="AR94">
        <v>1.6393800000000001</v>
      </c>
      <c r="AS94">
        <v>401.35300000000001</v>
      </c>
      <c r="AX94">
        <f t="shared" si="16"/>
        <v>4.6999999999999922</v>
      </c>
      <c r="AY94">
        <v>87</v>
      </c>
      <c r="AZ94">
        <v>3.3602699999999999E-2</v>
      </c>
      <c r="BA94">
        <v>594.6</v>
      </c>
      <c r="BF94">
        <f t="shared" si="17"/>
        <v>4.6999999999999922</v>
      </c>
      <c r="BG94">
        <v>87</v>
      </c>
      <c r="BH94">
        <v>-0.86763500000000005</v>
      </c>
      <c r="BI94">
        <v>438.48</v>
      </c>
      <c r="BN94">
        <f t="shared" si="18"/>
        <v>4.6999999999999922</v>
      </c>
      <c r="BO94">
        <v>87</v>
      </c>
      <c r="BP94">
        <v>-0.28873700000000002</v>
      </c>
      <c r="BQ94">
        <v>355.15800000000002</v>
      </c>
      <c r="BV94">
        <f t="shared" si="19"/>
        <v>4.6999999999999922</v>
      </c>
      <c r="BW94">
        <v>87</v>
      </c>
      <c r="BX94">
        <v>1.06124</v>
      </c>
      <c r="BY94">
        <v>494.78</v>
      </c>
    </row>
    <row r="95" spans="2:77" x14ac:dyDescent="0.2">
      <c r="B95">
        <f t="shared" si="10"/>
        <v>4.749999999999992</v>
      </c>
      <c r="C95">
        <v>88</v>
      </c>
      <c r="D95">
        <v>-1.5015499999999999</v>
      </c>
      <c r="E95">
        <v>-508.47399999999999</v>
      </c>
      <c r="J95">
        <f t="shared" si="11"/>
        <v>4.749999999999992</v>
      </c>
      <c r="K95">
        <v>88</v>
      </c>
      <c r="L95">
        <v>-0.33211200000000002</v>
      </c>
      <c r="M95">
        <v>-745.99</v>
      </c>
      <c r="R95">
        <f t="shared" si="12"/>
        <v>4.749999999999992</v>
      </c>
      <c r="S95">
        <v>88</v>
      </c>
      <c r="T95">
        <v>0.36278100000000002</v>
      </c>
      <c r="U95">
        <v>-609.81700000000001</v>
      </c>
      <c r="Z95">
        <f t="shared" si="13"/>
        <v>4.749999999999992</v>
      </c>
      <c r="AA95">
        <v>88</v>
      </c>
      <c r="AB95">
        <v>-2.22661</v>
      </c>
      <c r="AC95">
        <v>294.95400000000001</v>
      </c>
      <c r="AH95">
        <f t="shared" si="14"/>
        <v>4.749999999999992</v>
      </c>
      <c r="AI95">
        <v>88</v>
      </c>
      <c r="AJ95">
        <v>0.48161999999999999</v>
      </c>
      <c r="AK95">
        <v>578.298</v>
      </c>
      <c r="AP95">
        <f t="shared" si="15"/>
        <v>4.749999999999992</v>
      </c>
      <c r="AQ95">
        <v>88</v>
      </c>
      <c r="AR95">
        <v>1.62853</v>
      </c>
      <c r="AS95">
        <v>388.13600000000002</v>
      </c>
      <c r="AX95">
        <f t="shared" si="16"/>
        <v>4.749999999999992</v>
      </c>
      <c r="AY95">
        <v>88</v>
      </c>
      <c r="AZ95">
        <v>1.74583E-2</v>
      </c>
      <c r="BA95">
        <v>580.55700000000002</v>
      </c>
      <c r="BF95">
        <f t="shared" si="17"/>
        <v>4.749999999999992</v>
      </c>
      <c r="BG95">
        <v>88</v>
      </c>
      <c r="BH95">
        <v>-0.87946800000000003</v>
      </c>
      <c r="BI95">
        <v>422.822</v>
      </c>
      <c r="BN95">
        <f t="shared" si="18"/>
        <v>4.749999999999992</v>
      </c>
      <c r="BO95">
        <v>88</v>
      </c>
      <c r="BP95">
        <v>-0.29832900000000001</v>
      </c>
      <c r="BQ95">
        <v>343.04399999999998</v>
      </c>
      <c r="BV95">
        <f t="shared" si="19"/>
        <v>4.749999999999992</v>
      </c>
      <c r="BW95">
        <v>88</v>
      </c>
      <c r="BX95">
        <v>1.0479000000000001</v>
      </c>
      <c r="BY95">
        <v>476.83699999999999</v>
      </c>
    </row>
    <row r="96" spans="2:77" x14ac:dyDescent="0.2">
      <c r="B96">
        <f t="shared" si="10"/>
        <v>4.7999999999999918</v>
      </c>
      <c r="C96">
        <v>89</v>
      </c>
      <c r="D96">
        <v>-1.4879899999999999</v>
      </c>
      <c r="E96">
        <v>-489.20699999999999</v>
      </c>
      <c r="J96">
        <f t="shared" si="11"/>
        <v>4.7999999999999918</v>
      </c>
      <c r="K96">
        <v>89</v>
      </c>
      <c r="L96">
        <v>-0.31212499999999999</v>
      </c>
      <c r="M96">
        <v>-724.19799999999998</v>
      </c>
      <c r="R96">
        <f t="shared" si="12"/>
        <v>4.7999999999999918</v>
      </c>
      <c r="S96">
        <v>89</v>
      </c>
      <c r="T96">
        <v>0.37906200000000001</v>
      </c>
      <c r="U96">
        <v>-587.82799999999997</v>
      </c>
      <c r="Z96">
        <f t="shared" si="13"/>
        <v>4.7999999999999918</v>
      </c>
      <c r="AA96">
        <v>89</v>
      </c>
      <c r="AB96">
        <v>-2.2344599999999999</v>
      </c>
      <c r="AC96">
        <v>282.07600000000002</v>
      </c>
      <c r="AH96">
        <f t="shared" si="14"/>
        <v>4.7999999999999918</v>
      </c>
      <c r="AI96">
        <v>89</v>
      </c>
      <c r="AJ96">
        <v>0.46608300000000003</v>
      </c>
      <c r="AK96">
        <v>564.55799999999999</v>
      </c>
      <c r="AP96">
        <f t="shared" si="15"/>
        <v>4.7999999999999918</v>
      </c>
      <c r="AQ96">
        <v>89</v>
      </c>
      <c r="AR96">
        <v>1.61816</v>
      </c>
      <c r="AS96">
        <v>374.94299999999998</v>
      </c>
      <c r="AX96">
        <f t="shared" si="16"/>
        <v>4.7999999999999918</v>
      </c>
      <c r="AY96">
        <v>89</v>
      </c>
      <c r="AZ96">
        <v>1.8657999999999999E-3</v>
      </c>
      <c r="BA96">
        <v>566.50800000000004</v>
      </c>
      <c r="BF96">
        <f t="shared" si="17"/>
        <v>4.7999999999999918</v>
      </c>
      <c r="BG96">
        <v>89</v>
      </c>
      <c r="BH96">
        <v>-0.89075300000000002</v>
      </c>
      <c r="BI96">
        <v>407.483</v>
      </c>
      <c r="BN96">
        <f t="shared" si="18"/>
        <v>4.7999999999999918</v>
      </c>
      <c r="BO96">
        <v>89</v>
      </c>
      <c r="BP96">
        <v>-0.30748999999999999</v>
      </c>
      <c r="BQ96">
        <v>330.89800000000002</v>
      </c>
      <c r="BV96">
        <f t="shared" si="19"/>
        <v>4.7999999999999918</v>
      </c>
      <c r="BW96">
        <v>89</v>
      </c>
      <c r="BX96">
        <v>1.03518</v>
      </c>
      <c r="BY96">
        <v>458.94600000000003</v>
      </c>
    </row>
    <row r="97" spans="2:77" x14ac:dyDescent="0.2">
      <c r="B97">
        <f t="shared" si="10"/>
        <v>4.8499999999999917</v>
      </c>
      <c r="C97">
        <v>90</v>
      </c>
      <c r="D97">
        <v>-1.47509</v>
      </c>
      <c r="E97">
        <v>-469.51299999999998</v>
      </c>
      <c r="J97">
        <f t="shared" si="11"/>
        <v>4.8499999999999917</v>
      </c>
      <c r="K97">
        <v>90</v>
      </c>
      <c r="L97">
        <v>-0.29294700000000001</v>
      </c>
      <c r="M97">
        <v>-701.39</v>
      </c>
      <c r="R97">
        <f t="shared" si="12"/>
        <v>4.8499999999999917</v>
      </c>
      <c r="S97">
        <v>90</v>
      </c>
      <c r="T97">
        <v>0.39457500000000001</v>
      </c>
      <c r="U97">
        <v>-565.42600000000004</v>
      </c>
      <c r="Z97">
        <f t="shared" si="13"/>
        <v>4.8499999999999917</v>
      </c>
      <c r="AA97">
        <v>90</v>
      </c>
      <c r="AB97">
        <v>-2.24187</v>
      </c>
      <c r="AC97">
        <v>269.154</v>
      </c>
      <c r="AH97">
        <f t="shared" si="14"/>
        <v>4.8499999999999917</v>
      </c>
      <c r="AI97">
        <v>90</v>
      </c>
      <c r="AJ97">
        <v>0.45109300000000002</v>
      </c>
      <c r="AK97">
        <v>549.65099999999995</v>
      </c>
      <c r="AP97">
        <f t="shared" si="15"/>
        <v>4.8499999999999917</v>
      </c>
      <c r="AQ97">
        <v>90</v>
      </c>
      <c r="AR97">
        <v>1.60825</v>
      </c>
      <c r="AS97">
        <v>361.68200000000002</v>
      </c>
      <c r="AX97">
        <f t="shared" si="16"/>
        <v>4.8499999999999917</v>
      </c>
      <c r="AY97">
        <v>90</v>
      </c>
      <c r="AZ97">
        <v>-1.31819E-2</v>
      </c>
      <c r="BA97">
        <v>552.14400000000001</v>
      </c>
      <c r="BF97">
        <f t="shared" si="17"/>
        <v>4.8499999999999917</v>
      </c>
      <c r="BG97">
        <v>90</v>
      </c>
      <c r="BH97">
        <v>-0.90151300000000001</v>
      </c>
      <c r="BI97">
        <v>392.48399999999998</v>
      </c>
      <c r="BN97">
        <f t="shared" si="18"/>
        <v>4.8499999999999917</v>
      </c>
      <c r="BO97">
        <v>90</v>
      </c>
      <c r="BP97">
        <v>-0.31622800000000001</v>
      </c>
      <c r="BQ97">
        <v>318.66899999999998</v>
      </c>
      <c r="BV97">
        <f t="shared" si="19"/>
        <v>4.8499999999999917</v>
      </c>
      <c r="BW97">
        <v>90</v>
      </c>
      <c r="BX97">
        <v>1.0230699999999999</v>
      </c>
      <c r="BY97">
        <v>441.11799999999999</v>
      </c>
    </row>
    <row r="98" spans="2:77" x14ac:dyDescent="0.2">
      <c r="B98">
        <f t="shared" si="10"/>
        <v>4.8999999999999915</v>
      </c>
      <c r="C98">
        <v>91</v>
      </c>
      <c r="D98">
        <v>-1.46286</v>
      </c>
      <c r="E98">
        <v>-449.44400000000002</v>
      </c>
      <c r="J98">
        <f t="shared" si="11"/>
        <v>4.8999999999999915</v>
      </c>
      <c r="K98">
        <v>91</v>
      </c>
      <c r="L98">
        <v>-0.27459</v>
      </c>
      <c r="M98">
        <v>-677.50199999999995</v>
      </c>
      <c r="R98">
        <f t="shared" si="12"/>
        <v>4.8999999999999915</v>
      </c>
      <c r="S98">
        <v>91</v>
      </c>
      <c r="T98">
        <v>0.40932600000000002</v>
      </c>
      <c r="U98">
        <v>-542.57299999999998</v>
      </c>
      <c r="Z98">
        <f t="shared" si="13"/>
        <v>4.8999999999999915</v>
      </c>
      <c r="AA98">
        <v>91</v>
      </c>
      <c r="AB98">
        <v>-2.2488600000000001</v>
      </c>
      <c r="AC98">
        <v>256.24599999999998</v>
      </c>
      <c r="AH98">
        <f t="shared" si="14"/>
        <v>4.8999999999999915</v>
      </c>
      <c r="AI98">
        <v>91</v>
      </c>
      <c r="AJ98">
        <v>0.43667299999999998</v>
      </c>
      <c r="AK98">
        <v>533.41899999999998</v>
      </c>
      <c r="AP98">
        <f t="shared" si="15"/>
        <v>4.8999999999999915</v>
      </c>
      <c r="AQ98">
        <v>91</v>
      </c>
      <c r="AR98">
        <v>1.5988</v>
      </c>
      <c r="AS98">
        <v>348.3</v>
      </c>
      <c r="AX98">
        <f t="shared" si="16"/>
        <v>4.8999999999999915</v>
      </c>
      <c r="AY98">
        <v>91</v>
      </c>
      <c r="AZ98">
        <v>-2.76841E-2</v>
      </c>
      <c r="BA98">
        <v>537.19899999999996</v>
      </c>
      <c r="BF98">
        <f t="shared" si="17"/>
        <v>4.8999999999999915</v>
      </c>
      <c r="BG98">
        <v>91</v>
      </c>
      <c r="BH98">
        <v>-0.91176699999999999</v>
      </c>
      <c r="BI98">
        <v>377.88299999999998</v>
      </c>
      <c r="BN98">
        <f t="shared" si="18"/>
        <v>4.8999999999999915</v>
      </c>
      <c r="BO98">
        <v>91</v>
      </c>
      <c r="BP98">
        <v>-0.324548</v>
      </c>
      <c r="BQ98">
        <v>306.34300000000002</v>
      </c>
      <c r="BV98">
        <f t="shared" si="19"/>
        <v>4.8999999999999915</v>
      </c>
      <c r="BW98">
        <v>91</v>
      </c>
      <c r="BX98">
        <v>1.01156</v>
      </c>
      <c r="BY98">
        <v>423.41500000000002</v>
      </c>
    </row>
    <row r="99" spans="2:77" x14ac:dyDescent="0.2">
      <c r="B99">
        <f t="shared" si="10"/>
        <v>4.9499999999999913</v>
      </c>
      <c r="C99">
        <v>92</v>
      </c>
      <c r="D99">
        <v>-1.4512799999999999</v>
      </c>
      <c r="E99">
        <v>-429.12299999999999</v>
      </c>
      <c r="J99">
        <f t="shared" si="11"/>
        <v>4.9499999999999913</v>
      </c>
      <c r="K99">
        <v>92</v>
      </c>
      <c r="L99">
        <v>-0.25706400000000001</v>
      </c>
      <c r="M99">
        <v>-652.55799999999999</v>
      </c>
      <c r="R99">
        <f t="shared" si="12"/>
        <v>4.9499999999999913</v>
      </c>
      <c r="S99">
        <v>92</v>
      </c>
      <c r="T99">
        <v>0.423317</v>
      </c>
      <c r="U99">
        <v>-519.31100000000004</v>
      </c>
      <c r="Z99">
        <f t="shared" si="13"/>
        <v>4.9499999999999913</v>
      </c>
      <c r="AA99">
        <v>92</v>
      </c>
      <c r="AB99">
        <v>-2.2554500000000002</v>
      </c>
      <c r="AC99">
        <v>243.44800000000001</v>
      </c>
      <c r="AH99">
        <f t="shared" si="14"/>
        <v>4.9499999999999913</v>
      </c>
      <c r="AI99">
        <v>92</v>
      </c>
      <c r="AJ99">
        <v>0.422846</v>
      </c>
      <c r="AK99">
        <v>515.83900000000006</v>
      </c>
      <c r="AP99">
        <f t="shared" si="15"/>
        <v>4.9499999999999913</v>
      </c>
      <c r="AQ99">
        <v>92</v>
      </c>
      <c r="AR99">
        <v>1.5898000000000001</v>
      </c>
      <c r="AS99">
        <v>334.80500000000001</v>
      </c>
      <c r="AX99">
        <f t="shared" si="16"/>
        <v>4.9499999999999913</v>
      </c>
      <c r="AY99">
        <v>92</v>
      </c>
      <c r="AZ99">
        <v>-4.1633799999999999E-2</v>
      </c>
      <c r="BA99">
        <v>521.48</v>
      </c>
      <c r="BF99">
        <f t="shared" si="17"/>
        <v>4.9499999999999913</v>
      </c>
      <c r="BG99">
        <v>92</v>
      </c>
      <c r="BH99">
        <v>-0.92153700000000005</v>
      </c>
      <c r="BI99">
        <v>363.77800000000002</v>
      </c>
      <c r="BN99">
        <f t="shared" si="18"/>
        <v>4.9499999999999913</v>
      </c>
      <c r="BO99">
        <v>92</v>
      </c>
      <c r="BP99">
        <v>-0.332457</v>
      </c>
      <c r="BQ99">
        <v>293.95400000000001</v>
      </c>
      <c r="BV99">
        <f t="shared" si="19"/>
        <v>4.9499999999999913</v>
      </c>
      <c r="BW99">
        <v>92</v>
      </c>
      <c r="BX99">
        <v>1.0006299999999999</v>
      </c>
      <c r="BY99">
        <v>405.96</v>
      </c>
    </row>
    <row r="100" spans="2:77" x14ac:dyDescent="0.2">
      <c r="B100">
        <f t="shared" si="10"/>
        <v>4.9999999999999911</v>
      </c>
      <c r="C100">
        <v>93</v>
      </c>
      <c r="D100">
        <v>-1.4403600000000001</v>
      </c>
      <c r="E100">
        <v>-408.75200000000001</v>
      </c>
      <c r="J100">
        <f t="shared" si="11"/>
        <v>4.9999999999999911</v>
      </c>
      <c r="K100">
        <v>93</v>
      </c>
      <c r="L100">
        <v>-0.24038000000000001</v>
      </c>
      <c r="M100">
        <v>-626.68700000000001</v>
      </c>
      <c r="R100">
        <f t="shared" si="12"/>
        <v>4.9999999999999911</v>
      </c>
      <c r="S100">
        <v>93</v>
      </c>
      <c r="T100">
        <v>0.43655500000000003</v>
      </c>
      <c r="U100">
        <v>-495.767</v>
      </c>
      <c r="Z100">
        <f t="shared" si="13"/>
        <v>4.9999999999999911</v>
      </c>
      <c r="AA100">
        <v>93</v>
      </c>
      <c r="AB100">
        <v>-2.2616299999999998</v>
      </c>
      <c r="AC100">
        <v>230.893</v>
      </c>
      <c r="AH100">
        <f t="shared" si="14"/>
        <v>4.9999999999999911</v>
      </c>
      <c r="AI100">
        <v>93</v>
      </c>
      <c r="AJ100">
        <v>0.40963500000000003</v>
      </c>
      <c r="AK100">
        <v>497.04899999999998</v>
      </c>
      <c r="AP100">
        <f t="shared" si="15"/>
        <v>4.9999999999999911</v>
      </c>
      <c r="AQ100">
        <v>93</v>
      </c>
      <c r="AR100">
        <v>1.58124</v>
      </c>
      <c r="AS100">
        <v>321.26299999999998</v>
      </c>
      <c r="AX100">
        <f t="shared" si="16"/>
        <v>4.9999999999999911</v>
      </c>
      <c r="AY100">
        <v>93</v>
      </c>
      <c r="AZ100">
        <v>-5.5020699999999999E-2</v>
      </c>
      <c r="BA100">
        <v>504.88400000000001</v>
      </c>
      <c r="BF100">
        <f t="shared" si="17"/>
        <v>4.9999999999999911</v>
      </c>
      <c r="BG100">
        <v>93</v>
      </c>
      <c r="BH100">
        <v>-0.93084800000000001</v>
      </c>
      <c r="BI100">
        <v>350.31</v>
      </c>
      <c r="BN100">
        <f t="shared" si="18"/>
        <v>4.9999999999999911</v>
      </c>
      <c r="BO100">
        <v>93</v>
      </c>
      <c r="BP100">
        <v>-0.33996199999999999</v>
      </c>
      <c r="BQ100">
        <v>281.58600000000001</v>
      </c>
      <c r="BV100">
        <f t="shared" si="19"/>
        <v>4.9999999999999911</v>
      </c>
      <c r="BW100">
        <v>93</v>
      </c>
      <c r="BX100">
        <v>0.99026899999999995</v>
      </c>
      <c r="BY100">
        <v>388.93900000000002</v>
      </c>
    </row>
    <row r="101" spans="2:77" x14ac:dyDescent="0.2">
      <c r="B101">
        <f t="shared" si="10"/>
        <v>5.0499999999999909</v>
      </c>
      <c r="C101">
        <v>94</v>
      </c>
      <c r="D101">
        <v>-1.4300600000000001</v>
      </c>
      <c r="E101" s="3">
        <v>-388.60300000000001</v>
      </c>
      <c r="J101">
        <f t="shared" si="11"/>
        <v>5.0499999999999909</v>
      </c>
      <c r="K101">
        <v>94</v>
      </c>
      <c r="L101">
        <v>-0.22453999999999999</v>
      </c>
      <c r="M101" s="3">
        <v>-600.13699999999994</v>
      </c>
      <c r="R101">
        <f t="shared" si="12"/>
        <v>5.0499999999999909</v>
      </c>
      <c r="S101">
        <v>94</v>
      </c>
      <c r="T101">
        <v>0.44905099999999998</v>
      </c>
      <c r="U101" s="3">
        <v>-472.16300000000001</v>
      </c>
      <c r="Z101">
        <f t="shared" si="13"/>
        <v>5.0499999999999909</v>
      </c>
      <c r="AA101">
        <v>94</v>
      </c>
      <c r="AB101">
        <v>-2.2674400000000001</v>
      </c>
      <c r="AC101" s="3">
        <v>218.75899999999999</v>
      </c>
      <c r="AH101">
        <f t="shared" si="14"/>
        <v>5.0499999999999909</v>
      </c>
      <c r="AI101">
        <v>94</v>
      </c>
      <c r="AJ101">
        <v>0.39705400000000002</v>
      </c>
      <c r="AK101" s="3">
        <v>477.36200000000002</v>
      </c>
      <c r="AP101">
        <f t="shared" si="15"/>
        <v>5.0499999999999909</v>
      </c>
      <c r="AQ101">
        <v>94</v>
      </c>
      <c r="AR101">
        <v>1.5731200000000001</v>
      </c>
      <c r="AS101" s="3">
        <v>307.81299999999999</v>
      </c>
      <c r="AX101">
        <f t="shared" si="16"/>
        <v>5.0499999999999909</v>
      </c>
      <c r="AY101">
        <v>94</v>
      </c>
      <c r="AZ101">
        <v>-6.7833199999999996E-2</v>
      </c>
      <c r="BA101" s="3">
        <v>487.423</v>
      </c>
      <c r="BF101">
        <f t="shared" si="17"/>
        <v>5.0499999999999909</v>
      </c>
      <c r="BG101">
        <v>94</v>
      </c>
      <c r="BH101">
        <v>-0.93972699999999998</v>
      </c>
      <c r="BI101" s="3">
        <v>337.65800000000002</v>
      </c>
      <c r="BN101">
        <f t="shared" si="18"/>
        <v>5.0499999999999909</v>
      </c>
      <c r="BO101">
        <v>94</v>
      </c>
      <c r="BP101">
        <v>-0.34707500000000002</v>
      </c>
      <c r="BQ101" s="3">
        <v>269.37400000000002</v>
      </c>
      <c r="BV101">
        <f t="shared" si="19"/>
        <v>5.0499999999999909</v>
      </c>
      <c r="BW101">
        <v>94</v>
      </c>
      <c r="BX101">
        <v>0.98043899999999995</v>
      </c>
      <c r="BY101" s="3">
        <v>372.60300000000001</v>
      </c>
    </row>
    <row r="102" spans="2:77" x14ac:dyDescent="0.2">
      <c r="B102">
        <f t="shared" si="10"/>
        <v>5.0999999999999908</v>
      </c>
      <c r="C102">
        <v>95</v>
      </c>
      <c r="D102">
        <v>-1.42038</v>
      </c>
      <c r="E102">
        <v>-369.01799999999997</v>
      </c>
      <c r="J102">
        <f t="shared" si="11"/>
        <v>5.0999999999999908</v>
      </c>
      <c r="K102">
        <v>95</v>
      </c>
      <c r="L102">
        <v>-0.20954200000000001</v>
      </c>
      <c r="M102">
        <v>-573.28599999999994</v>
      </c>
      <c r="R102">
        <f t="shared" si="12"/>
        <v>5.0999999999999908</v>
      </c>
      <c r="S102">
        <v>95</v>
      </c>
      <c r="T102">
        <v>0.46082200000000001</v>
      </c>
      <c r="U102">
        <v>-448.81200000000001</v>
      </c>
      <c r="Z102">
        <f t="shared" si="13"/>
        <v>5.0999999999999908</v>
      </c>
      <c r="AA102">
        <v>95</v>
      </c>
      <c r="AB102">
        <v>-2.2728799999999998</v>
      </c>
      <c r="AC102">
        <v>207.25899999999999</v>
      </c>
      <c r="AH102">
        <f t="shared" si="14"/>
        <v>5.0999999999999908</v>
      </c>
      <c r="AI102">
        <v>95</v>
      </c>
      <c r="AJ102">
        <v>0.38510699999999998</v>
      </c>
      <c r="AK102">
        <v>457.27300000000002</v>
      </c>
      <c r="AP102">
        <f t="shared" si="15"/>
        <v>5.0999999999999908</v>
      </c>
      <c r="AQ102">
        <v>95</v>
      </c>
      <c r="AR102">
        <v>1.56542</v>
      </c>
      <c r="AS102">
        <v>294.66199999999998</v>
      </c>
      <c r="AX102">
        <f t="shared" si="16"/>
        <v>5.0999999999999908</v>
      </c>
      <c r="AY102">
        <v>95</v>
      </c>
      <c r="AZ102">
        <v>-8.00622E-2</v>
      </c>
      <c r="BA102">
        <v>469.24200000000002</v>
      </c>
      <c r="BF102">
        <f t="shared" si="17"/>
        <v>5.0999999999999908</v>
      </c>
      <c r="BG102">
        <v>95</v>
      </c>
      <c r="BH102">
        <v>-0.94820800000000005</v>
      </c>
      <c r="BI102">
        <v>326.03699999999998</v>
      </c>
      <c r="BN102">
        <f t="shared" si="18"/>
        <v>5.0999999999999908</v>
      </c>
      <c r="BO102">
        <v>95</v>
      </c>
      <c r="BP102">
        <v>-0.35380800000000001</v>
      </c>
      <c r="BQ102">
        <v>257.50900000000001</v>
      </c>
      <c r="BV102">
        <f t="shared" si="19"/>
        <v>5.0999999999999908</v>
      </c>
      <c r="BW102">
        <v>95</v>
      </c>
      <c r="BX102">
        <v>0.971113</v>
      </c>
      <c r="BY102">
        <v>357.27499999999998</v>
      </c>
    </row>
    <row r="103" spans="2:77" x14ac:dyDescent="0.2">
      <c r="B103">
        <f t="shared" si="10"/>
        <v>5.1499999999999906</v>
      </c>
      <c r="C103">
        <v>96</v>
      </c>
      <c r="D103">
        <v>-1.4112800000000001</v>
      </c>
      <c r="E103">
        <v>-350.39800000000002</v>
      </c>
      <c r="J103">
        <f t="shared" si="11"/>
        <v>5.1499999999999906</v>
      </c>
      <c r="K103">
        <v>96</v>
      </c>
      <c r="L103">
        <v>-0.19536899999999999</v>
      </c>
      <c r="M103">
        <v>-546.63699999999994</v>
      </c>
      <c r="R103">
        <f t="shared" si="12"/>
        <v>5.1499999999999906</v>
      </c>
      <c r="S103">
        <v>96</v>
      </c>
      <c r="T103">
        <v>0.47189300000000001</v>
      </c>
      <c r="U103">
        <v>-426.11799999999999</v>
      </c>
      <c r="Z103">
        <f t="shared" si="13"/>
        <v>5.1499999999999906</v>
      </c>
      <c r="AA103">
        <v>96</v>
      </c>
      <c r="AB103">
        <v>-2.27799</v>
      </c>
      <c r="AC103">
        <v>196.64500000000001</v>
      </c>
      <c r="AH103">
        <f t="shared" si="14"/>
        <v>5.1499999999999906</v>
      </c>
      <c r="AI103">
        <v>96</v>
      </c>
      <c r="AJ103">
        <v>0.37378499999999998</v>
      </c>
      <c r="AK103">
        <v>437.46199999999999</v>
      </c>
      <c r="AP103">
        <f t="shared" si="15"/>
        <v>5.1499999999999906</v>
      </c>
      <c r="AQ103">
        <v>96</v>
      </c>
      <c r="AR103">
        <v>1.5581199999999999</v>
      </c>
      <c r="AS103">
        <v>282.089</v>
      </c>
      <c r="AX103">
        <f t="shared" si="16"/>
        <v>5.1499999999999906</v>
      </c>
      <c r="AY103">
        <v>96</v>
      </c>
      <c r="AZ103">
        <v>-9.1704400000000005E-2</v>
      </c>
      <c r="BA103">
        <v>450.62599999999998</v>
      </c>
      <c r="BF103">
        <f t="shared" si="17"/>
        <v>5.1499999999999906</v>
      </c>
      <c r="BG103">
        <v>96</v>
      </c>
      <c r="BH103">
        <v>-0.95632700000000004</v>
      </c>
      <c r="BI103">
        <v>315.69099999999997</v>
      </c>
      <c r="BN103">
        <f t="shared" si="18"/>
        <v>5.1499999999999906</v>
      </c>
      <c r="BO103">
        <v>96</v>
      </c>
      <c r="BP103">
        <v>-0.360182</v>
      </c>
      <c r="BQ103">
        <v>246.23099999999999</v>
      </c>
      <c r="BV103">
        <f t="shared" si="19"/>
        <v>5.1499999999999906</v>
      </c>
      <c r="BW103">
        <v>96</v>
      </c>
      <c r="BX103">
        <v>0.96225000000000005</v>
      </c>
      <c r="BY103">
        <v>343.33499999999998</v>
      </c>
    </row>
    <row r="104" spans="2:77" x14ac:dyDescent="0.2">
      <c r="B104">
        <f t="shared" si="10"/>
        <v>5.1999999999999904</v>
      </c>
      <c r="C104">
        <v>97</v>
      </c>
      <c r="D104">
        <v>-1.4027099999999999</v>
      </c>
      <c r="E104">
        <v>-333.185</v>
      </c>
      <c r="J104">
        <f t="shared" si="11"/>
        <v>5.1999999999999904</v>
      </c>
      <c r="K104">
        <v>97</v>
      </c>
      <c r="L104">
        <v>-0.18199399999999999</v>
      </c>
      <c r="M104">
        <v>-520.81100000000004</v>
      </c>
      <c r="R104">
        <f t="shared" si="12"/>
        <v>5.1999999999999904</v>
      </c>
      <c r="S104">
        <v>97</v>
      </c>
      <c r="T104">
        <v>0.48230000000000001</v>
      </c>
      <c r="U104">
        <v>-404.56200000000001</v>
      </c>
      <c r="Z104">
        <f t="shared" si="13"/>
        <v>5.1999999999999904</v>
      </c>
      <c r="AA104">
        <v>97</v>
      </c>
      <c r="AB104">
        <v>-2.2827999999999999</v>
      </c>
      <c r="AC104">
        <v>187.19399999999999</v>
      </c>
      <c r="AH104">
        <f t="shared" si="14"/>
        <v>5.1999999999999904</v>
      </c>
      <c r="AI104">
        <v>97</v>
      </c>
      <c r="AJ104">
        <v>0.36305799999999999</v>
      </c>
      <c r="AK104">
        <v>418.77499999999998</v>
      </c>
      <c r="AP104">
        <f t="shared" si="15"/>
        <v>5.1999999999999904</v>
      </c>
      <c r="AQ104">
        <v>97</v>
      </c>
      <c r="AR104">
        <v>1.5511999999999999</v>
      </c>
      <c r="AS104">
        <v>270.43700000000001</v>
      </c>
      <c r="AX104">
        <f t="shared" si="16"/>
        <v>5.1999999999999904</v>
      </c>
      <c r="AY104">
        <v>97</v>
      </c>
      <c r="AZ104">
        <v>-0.102765</v>
      </c>
      <c r="BA104">
        <v>432.01</v>
      </c>
      <c r="BF104">
        <f t="shared" si="17"/>
        <v>5.1999999999999904</v>
      </c>
      <c r="BG104">
        <v>97</v>
      </c>
      <c r="BH104">
        <v>-0.96412500000000001</v>
      </c>
      <c r="BI104">
        <v>306.87900000000002</v>
      </c>
      <c r="BN104">
        <f t="shared" si="18"/>
        <v>5.1999999999999904</v>
      </c>
      <c r="BO104">
        <v>97</v>
      </c>
      <c r="BP104">
        <v>-0.36622100000000002</v>
      </c>
      <c r="BQ104">
        <v>235.82300000000001</v>
      </c>
      <c r="BV104">
        <f t="shared" si="19"/>
        <v>5.1999999999999904</v>
      </c>
      <c r="BW104">
        <v>97</v>
      </c>
      <c r="BX104">
        <v>0.95379999999999998</v>
      </c>
      <c r="BY104">
        <v>331.21600000000001</v>
      </c>
    </row>
    <row r="105" spans="2:77" x14ac:dyDescent="0.2">
      <c r="B105">
        <f t="shared" si="10"/>
        <v>5.2499999999999902</v>
      </c>
      <c r="C105">
        <v>98</v>
      </c>
      <c r="D105">
        <v>-1.3946400000000001</v>
      </c>
      <c r="E105">
        <v>-317.84699999999998</v>
      </c>
      <c r="J105">
        <f t="shared" si="11"/>
        <v>5.2499999999999902</v>
      </c>
      <c r="K105">
        <v>98</v>
      </c>
      <c r="L105">
        <v>-0.16937099999999999</v>
      </c>
      <c r="M105">
        <v>-496.53100000000001</v>
      </c>
      <c r="R105">
        <f t="shared" si="12"/>
        <v>5.2499999999999902</v>
      </c>
      <c r="S105">
        <v>98</v>
      </c>
      <c r="T105">
        <v>0.49209199999999997</v>
      </c>
      <c r="U105">
        <v>-384.685</v>
      </c>
      <c r="Z105">
        <f t="shared" si="13"/>
        <v>5.2499999999999902</v>
      </c>
      <c r="AA105">
        <v>98</v>
      </c>
      <c r="AB105">
        <v>-2.2873399999999999</v>
      </c>
      <c r="AC105">
        <v>179.19499999999999</v>
      </c>
      <c r="AH105">
        <f t="shared" si="14"/>
        <v>5.2499999999999902</v>
      </c>
      <c r="AI105">
        <v>98</v>
      </c>
      <c r="AJ105">
        <v>0.35287400000000002</v>
      </c>
      <c r="AK105">
        <v>402.202</v>
      </c>
      <c r="AP105">
        <f t="shared" si="15"/>
        <v>5.2499999999999902</v>
      </c>
      <c r="AQ105">
        <v>98</v>
      </c>
      <c r="AR105">
        <v>1.5446200000000001</v>
      </c>
      <c r="AS105">
        <v>260.10000000000002</v>
      </c>
      <c r="AX105">
        <f t="shared" si="16"/>
        <v>5.2499999999999902</v>
      </c>
      <c r="AY105">
        <v>98</v>
      </c>
      <c r="AZ105">
        <v>-0.113263</v>
      </c>
      <c r="BA105">
        <v>413.96600000000001</v>
      </c>
      <c r="BF105">
        <f t="shared" si="17"/>
        <v>5.2499999999999902</v>
      </c>
      <c r="BG105">
        <v>98</v>
      </c>
      <c r="BH105">
        <v>-0.97165100000000004</v>
      </c>
      <c r="BI105">
        <v>299.86099999999999</v>
      </c>
      <c r="BN105">
        <f t="shared" si="18"/>
        <v>5.2499999999999902</v>
      </c>
      <c r="BO105">
        <v>98</v>
      </c>
      <c r="BP105">
        <v>-0.37195800000000001</v>
      </c>
      <c r="BQ105">
        <v>226.601</v>
      </c>
      <c r="BV105">
        <f t="shared" si="19"/>
        <v>5.2499999999999902</v>
      </c>
      <c r="BW105">
        <v>98</v>
      </c>
      <c r="BX105">
        <v>0.94570600000000005</v>
      </c>
      <c r="BY105">
        <v>321.37799999999999</v>
      </c>
    </row>
    <row r="106" spans="2:77" x14ac:dyDescent="0.2">
      <c r="B106">
        <f t="shared" si="10"/>
        <v>5.2999999999999901</v>
      </c>
      <c r="C106">
        <v>99</v>
      </c>
      <c r="D106">
        <v>-1.3869899999999999</v>
      </c>
      <c r="E106">
        <v>-304.84399999999999</v>
      </c>
      <c r="J106">
        <f t="shared" si="11"/>
        <v>5.2999999999999901</v>
      </c>
      <c r="K106">
        <v>99</v>
      </c>
      <c r="L106">
        <v>-0.15744</v>
      </c>
      <c r="M106">
        <v>-474.58699999999999</v>
      </c>
      <c r="R106">
        <f t="shared" si="12"/>
        <v>5.2999999999999901</v>
      </c>
      <c r="S106">
        <v>99</v>
      </c>
      <c r="T106">
        <v>0.50132699999999997</v>
      </c>
      <c r="U106">
        <v>-367.06</v>
      </c>
      <c r="Z106">
        <f t="shared" si="13"/>
        <v>5.2999999999999901</v>
      </c>
      <c r="AA106">
        <v>99</v>
      </c>
      <c r="AB106">
        <v>-2.2916699999999999</v>
      </c>
      <c r="AC106">
        <v>172.93899999999999</v>
      </c>
      <c r="AH106">
        <f t="shared" si="14"/>
        <v>5.2999999999999901</v>
      </c>
      <c r="AI106">
        <v>99</v>
      </c>
      <c r="AJ106">
        <v>0.34315800000000002</v>
      </c>
      <c r="AK106">
        <v>388.83100000000002</v>
      </c>
      <c r="AP106">
        <f t="shared" si="15"/>
        <v>5.2999999999999901</v>
      </c>
      <c r="AQ106">
        <v>99</v>
      </c>
      <c r="AR106">
        <v>1.53834</v>
      </c>
      <c r="AS106">
        <v>251.50299999999999</v>
      </c>
      <c r="AX106">
        <f t="shared" si="16"/>
        <v>5.2999999999999901</v>
      </c>
      <c r="AY106">
        <v>99</v>
      </c>
      <c r="AZ106">
        <v>-0.12323099999999999</v>
      </c>
      <c r="BA106">
        <v>397.18200000000002</v>
      </c>
      <c r="BF106">
        <f t="shared" si="17"/>
        <v>5.2999999999999901</v>
      </c>
      <c r="BG106">
        <v>99</v>
      </c>
      <c r="BH106">
        <v>-0.97895799999999999</v>
      </c>
      <c r="BI106">
        <v>294.87400000000002</v>
      </c>
      <c r="BN106">
        <f t="shared" si="18"/>
        <v>5.2999999999999901</v>
      </c>
      <c r="BO106">
        <v>99</v>
      </c>
      <c r="BP106">
        <v>-0.37742999999999999</v>
      </c>
      <c r="BQ106">
        <v>218.89599999999999</v>
      </c>
      <c r="BV106">
        <f t="shared" si="19"/>
        <v>5.2999999999999901</v>
      </c>
      <c r="BW106">
        <v>99</v>
      </c>
      <c r="BX106">
        <v>0.93789800000000001</v>
      </c>
      <c r="BY106">
        <v>314.28699999999998</v>
      </c>
    </row>
    <row r="107" spans="2:77" x14ac:dyDescent="0.2">
      <c r="B107">
        <f t="shared" si="10"/>
        <v>5.3499999999999899</v>
      </c>
      <c r="C107">
        <v>100</v>
      </c>
      <c r="D107">
        <v>-1.3796999999999999</v>
      </c>
      <c r="E107">
        <v>-294.59899999999999</v>
      </c>
      <c r="J107">
        <f t="shared" si="11"/>
        <v>5.3499999999999899</v>
      </c>
      <c r="K107">
        <v>100</v>
      </c>
      <c r="L107">
        <v>-0.146119</v>
      </c>
      <c r="M107">
        <v>-455.78699999999998</v>
      </c>
      <c r="R107">
        <f t="shared" si="12"/>
        <v>5.3499999999999899</v>
      </c>
      <c r="S107">
        <v>100</v>
      </c>
      <c r="T107">
        <v>0.51007899999999995</v>
      </c>
      <c r="U107">
        <v>-352.25400000000002</v>
      </c>
      <c r="Z107">
        <f t="shared" si="13"/>
        <v>5.3499999999999899</v>
      </c>
      <c r="AA107">
        <v>100</v>
      </c>
      <c r="AB107">
        <v>-2.29582</v>
      </c>
      <c r="AC107">
        <v>168.68899999999999</v>
      </c>
      <c r="AH107">
        <f t="shared" si="14"/>
        <v>5.3499999999999899</v>
      </c>
      <c r="AI107">
        <v>100</v>
      </c>
      <c r="AJ107">
        <v>0.33381</v>
      </c>
      <c r="AK107">
        <v>379.77499999999998</v>
      </c>
      <c r="AP107">
        <f t="shared" si="15"/>
        <v>5.3499999999999899</v>
      </c>
      <c r="AQ107">
        <v>100</v>
      </c>
      <c r="AR107">
        <v>1.5322899999999999</v>
      </c>
      <c r="AS107">
        <v>245.07400000000001</v>
      </c>
      <c r="AX107">
        <f t="shared" si="16"/>
        <v>5.3499999999999899</v>
      </c>
      <c r="AY107">
        <v>100</v>
      </c>
      <c r="AZ107">
        <v>-0.132718</v>
      </c>
      <c r="BA107">
        <v>382.43299999999999</v>
      </c>
      <c r="BF107">
        <f t="shared" si="17"/>
        <v>5.3499999999999899</v>
      </c>
      <c r="BG107">
        <v>100</v>
      </c>
      <c r="BH107">
        <v>-0.98609999999999998</v>
      </c>
      <c r="BI107">
        <v>292.10700000000003</v>
      </c>
      <c r="BN107">
        <f t="shared" si="18"/>
        <v>5.3499999999999899</v>
      </c>
      <c r="BO107">
        <v>100</v>
      </c>
      <c r="BP107">
        <v>-0.382685</v>
      </c>
      <c r="BQ107">
        <v>213.03</v>
      </c>
      <c r="BV107">
        <f t="shared" si="19"/>
        <v>5.3499999999999899</v>
      </c>
      <c r="BW107">
        <v>100</v>
      </c>
      <c r="BX107">
        <v>0.93030000000000002</v>
      </c>
      <c r="BY107">
        <v>310.37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LiKNaCl MTP 18C</vt:lpstr>
      <vt:lpstr>LiCl-KCl</vt:lpstr>
      <vt:lpstr>LiCl-NaCl</vt:lpstr>
      <vt:lpstr>KCl-NaCl</vt:lpstr>
      <vt:lpstr>LiKNaCl ternaries</vt:lpstr>
      <vt:lpstr>rdfs</vt:lpstr>
      <vt:lpstr>viscosity</vt:lpstr>
      <vt:lpstr>therm cond</vt:lpstr>
      <vt:lpstr>dimer EvsR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W. Beeler</cp:lastModifiedBy>
  <dcterms:created xsi:type="dcterms:W3CDTF">2025-10-01T16:07:13Z</dcterms:created>
  <dcterms:modified xsi:type="dcterms:W3CDTF">2026-05-18T18:10:39Z</dcterms:modified>
</cp:coreProperties>
</file>