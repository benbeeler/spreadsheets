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B6A9B322-2162-C143-970A-A6E345977835}" xr6:coauthVersionLast="47" xr6:coauthVersionMax="47" xr10:uidLastSave="{00000000-0000-0000-0000-000000000000}"/>
  <bookViews>
    <workbookView xWindow="7560" yWindow="5020" windowWidth="27640" windowHeight="16020" activeTab="2" xr2:uid="{263A2D24-7DC2-114A-B34B-DF7FAD104BF4}"/>
  </bookViews>
  <sheets>
    <sheet name="LiKNaCl MTP 14B" sheetId="1" r:id="rId1"/>
    <sheet name="LiCl-KCl" sheetId="3" r:id="rId2"/>
    <sheet name="dimer EvsR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11" i="2" l="1"/>
  <c r="BV12" i="2"/>
  <c r="BV13" i="2"/>
  <c r="BV14" i="2"/>
  <c r="BV15" i="2" s="1"/>
  <c r="BV16" i="2" s="1"/>
  <c r="BV17" i="2" s="1"/>
  <c r="BV18" i="2" s="1"/>
  <c r="BV19" i="2" s="1"/>
  <c r="BV20" i="2" s="1"/>
  <c r="BV21" i="2" s="1"/>
  <c r="BV22" i="2" s="1"/>
  <c r="BV23" i="2" s="1"/>
  <c r="BV24" i="2" s="1"/>
  <c r="BV25" i="2" s="1"/>
  <c r="BV26" i="2" s="1"/>
  <c r="BV27" i="2" s="1"/>
  <c r="BV28" i="2" s="1"/>
  <c r="BV29" i="2" s="1"/>
  <c r="BV30" i="2" s="1"/>
  <c r="BV31" i="2" s="1"/>
  <c r="BV32" i="2" s="1"/>
  <c r="BV33" i="2" s="1"/>
  <c r="BV34" i="2" s="1"/>
  <c r="BV35" i="2" s="1"/>
  <c r="BV36" i="2" s="1"/>
  <c r="BV37" i="2" s="1"/>
  <c r="BV38" i="2" s="1"/>
  <c r="BV39" i="2" s="1"/>
  <c r="BV40" i="2" s="1"/>
  <c r="BV41" i="2" s="1"/>
  <c r="BV42" i="2" s="1"/>
  <c r="BV43" i="2" s="1"/>
  <c r="BV44" i="2" s="1"/>
  <c r="BV45" i="2" s="1"/>
  <c r="BV46" i="2" s="1"/>
  <c r="BV47" i="2" s="1"/>
  <c r="BV48" i="2" s="1"/>
  <c r="BV49" i="2" s="1"/>
  <c r="BV50" i="2" s="1"/>
  <c r="BV51" i="2" s="1"/>
  <c r="BV52" i="2" s="1"/>
  <c r="BV53" i="2" s="1"/>
  <c r="BV54" i="2" s="1"/>
  <c r="BV55" i="2" s="1"/>
  <c r="BV56" i="2" s="1"/>
  <c r="BV57" i="2" s="1"/>
  <c r="BV58" i="2" s="1"/>
  <c r="BV59" i="2" s="1"/>
  <c r="BV60" i="2" s="1"/>
  <c r="BV61" i="2" s="1"/>
  <c r="BV62" i="2" s="1"/>
  <c r="BV63" i="2" s="1"/>
  <c r="BV64" i="2" s="1"/>
  <c r="BV65" i="2" s="1"/>
  <c r="BV66" i="2" s="1"/>
  <c r="BV67" i="2" s="1"/>
  <c r="BV68" i="2" s="1"/>
  <c r="BV69" i="2" s="1"/>
  <c r="BV70" i="2" s="1"/>
  <c r="BV71" i="2" s="1"/>
  <c r="BV72" i="2" s="1"/>
  <c r="BV73" i="2" s="1"/>
  <c r="BV74" i="2" s="1"/>
  <c r="BV75" i="2" s="1"/>
  <c r="BV76" i="2" s="1"/>
  <c r="BV77" i="2" s="1"/>
  <c r="BV78" i="2" s="1"/>
  <c r="BV79" i="2" s="1"/>
  <c r="BV80" i="2" s="1"/>
  <c r="BV81" i="2" s="1"/>
  <c r="BV82" i="2" s="1"/>
  <c r="BV83" i="2" s="1"/>
  <c r="BV84" i="2" s="1"/>
  <c r="BV85" i="2" s="1"/>
  <c r="BV86" i="2" s="1"/>
  <c r="BV87" i="2" s="1"/>
  <c r="BV88" i="2" s="1"/>
  <c r="BV89" i="2" s="1"/>
  <c r="BV90" i="2" s="1"/>
  <c r="BV91" i="2" s="1"/>
  <c r="BV92" i="2" s="1"/>
  <c r="BV93" i="2" s="1"/>
  <c r="BV94" i="2" s="1"/>
  <c r="BV95" i="2" s="1"/>
  <c r="BV96" i="2" s="1"/>
  <c r="BV97" i="2" s="1"/>
  <c r="BV98" i="2" s="1"/>
  <c r="BV99" i="2" s="1"/>
  <c r="BV100" i="2" s="1"/>
  <c r="BV101" i="2" s="1"/>
  <c r="BV102" i="2" s="1"/>
  <c r="BV103" i="2" s="1"/>
  <c r="BV104" i="2" s="1"/>
  <c r="BV105" i="2" s="1"/>
  <c r="BV106" i="2" s="1"/>
  <c r="BV107" i="2" s="1"/>
  <c r="BN11" i="2"/>
  <c r="BN12" i="2" s="1"/>
  <c r="BN13" i="2" s="1"/>
  <c r="BN14" i="2" s="1"/>
  <c r="BN15" i="2" s="1"/>
  <c r="BN16" i="2" s="1"/>
  <c r="BN17" i="2" s="1"/>
  <c r="BN18" i="2" s="1"/>
  <c r="BN19" i="2" s="1"/>
  <c r="BN20" i="2" s="1"/>
  <c r="BN21" i="2" s="1"/>
  <c r="BN22" i="2" s="1"/>
  <c r="BN23" i="2" s="1"/>
  <c r="BN24" i="2" s="1"/>
  <c r="BN25" i="2" s="1"/>
  <c r="BN26" i="2" s="1"/>
  <c r="BN27" i="2" s="1"/>
  <c r="BN28" i="2" s="1"/>
  <c r="BN29" i="2" s="1"/>
  <c r="BN30" i="2" s="1"/>
  <c r="BN31" i="2" s="1"/>
  <c r="BN32" i="2" s="1"/>
  <c r="BN33" i="2" s="1"/>
  <c r="BN34" i="2" s="1"/>
  <c r="BN35" i="2" s="1"/>
  <c r="BN36" i="2" s="1"/>
  <c r="BN37" i="2" s="1"/>
  <c r="BN38" i="2" s="1"/>
  <c r="BN39" i="2" s="1"/>
  <c r="BN40" i="2" s="1"/>
  <c r="BN41" i="2" s="1"/>
  <c r="BN42" i="2" s="1"/>
  <c r="BN43" i="2" s="1"/>
  <c r="BN44" i="2" s="1"/>
  <c r="BN45" i="2" s="1"/>
  <c r="BN46" i="2" s="1"/>
  <c r="BN47" i="2" s="1"/>
  <c r="BN48" i="2" s="1"/>
  <c r="BN49" i="2" s="1"/>
  <c r="BN50" i="2" s="1"/>
  <c r="BN51" i="2" s="1"/>
  <c r="BN52" i="2" s="1"/>
  <c r="BN53" i="2" s="1"/>
  <c r="BN54" i="2" s="1"/>
  <c r="BN55" i="2" s="1"/>
  <c r="BN56" i="2" s="1"/>
  <c r="BN57" i="2" s="1"/>
  <c r="BN58" i="2" s="1"/>
  <c r="BN59" i="2" s="1"/>
  <c r="BN60" i="2" s="1"/>
  <c r="BN61" i="2" s="1"/>
  <c r="BN62" i="2" s="1"/>
  <c r="BN63" i="2" s="1"/>
  <c r="BN64" i="2" s="1"/>
  <c r="BN65" i="2" s="1"/>
  <c r="BN66" i="2" s="1"/>
  <c r="BN67" i="2" s="1"/>
  <c r="BN68" i="2" s="1"/>
  <c r="BN69" i="2" s="1"/>
  <c r="BN70" i="2" s="1"/>
  <c r="BN71" i="2" s="1"/>
  <c r="BN72" i="2" s="1"/>
  <c r="BN73" i="2" s="1"/>
  <c r="BN74" i="2" s="1"/>
  <c r="BN75" i="2" s="1"/>
  <c r="BN76" i="2" s="1"/>
  <c r="BN77" i="2" s="1"/>
  <c r="BN78" i="2" s="1"/>
  <c r="BN79" i="2" s="1"/>
  <c r="BN80" i="2" s="1"/>
  <c r="BN81" i="2" s="1"/>
  <c r="BN82" i="2" s="1"/>
  <c r="BN83" i="2" s="1"/>
  <c r="BN84" i="2" s="1"/>
  <c r="BN85" i="2" s="1"/>
  <c r="BN86" i="2" s="1"/>
  <c r="BN87" i="2" s="1"/>
  <c r="BN88" i="2" s="1"/>
  <c r="BN89" i="2" s="1"/>
  <c r="BN90" i="2" s="1"/>
  <c r="BN91" i="2" s="1"/>
  <c r="BN92" i="2" s="1"/>
  <c r="BN93" i="2" s="1"/>
  <c r="BN94" i="2" s="1"/>
  <c r="BN95" i="2" s="1"/>
  <c r="BN96" i="2" s="1"/>
  <c r="BN97" i="2" s="1"/>
  <c r="BN98" i="2" s="1"/>
  <c r="BN99" i="2" s="1"/>
  <c r="BN100" i="2" s="1"/>
  <c r="BN101" i="2" s="1"/>
  <c r="BN102" i="2" s="1"/>
  <c r="BN103" i="2" s="1"/>
  <c r="BN104" i="2" s="1"/>
  <c r="BN105" i="2" s="1"/>
  <c r="BN106" i="2" s="1"/>
  <c r="BN107" i="2" s="1"/>
  <c r="BF11" i="2"/>
  <c r="BF12" i="2"/>
  <c r="BF13" i="2" s="1"/>
  <c r="BF14" i="2" s="1"/>
  <c r="BF15" i="2" s="1"/>
  <c r="BF16" i="2" s="1"/>
  <c r="BF17" i="2" s="1"/>
  <c r="BF18" i="2" s="1"/>
  <c r="BF19" i="2" s="1"/>
  <c r="BF20" i="2" s="1"/>
  <c r="BF21" i="2" s="1"/>
  <c r="BF22" i="2" s="1"/>
  <c r="BF23" i="2" s="1"/>
  <c r="BF24" i="2" s="1"/>
  <c r="BF25" i="2" s="1"/>
  <c r="BF26" i="2" s="1"/>
  <c r="BF27" i="2" s="1"/>
  <c r="BF28" i="2" s="1"/>
  <c r="BF29" i="2" s="1"/>
  <c r="BF30" i="2" s="1"/>
  <c r="BF31" i="2" s="1"/>
  <c r="BF32" i="2" s="1"/>
  <c r="BF33" i="2" s="1"/>
  <c r="BF34" i="2" s="1"/>
  <c r="BF35" i="2" s="1"/>
  <c r="BF36" i="2" s="1"/>
  <c r="BF37" i="2" s="1"/>
  <c r="BF38" i="2" s="1"/>
  <c r="BF39" i="2" s="1"/>
  <c r="BF40" i="2" s="1"/>
  <c r="BF41" i="2" s="1"/>
  <c r="BF42" i="2" s="1"/>
  <c r="BF43" i="2" s="1"/>
  <c r="BF44" i="2" s="1"/>
  <c r="BF45" i="2" s="1"/>
  <c r="BF46" i="2" s="1"/>
  <c r="BF47" i="2" s="1"/>
  <c r="BF48" i="2" s="1"/>
  <c r="BF49" i="2" s="1"/>
  <c r="BF50" i="2" s="1"/>
  <c r="BF51" i="2" s="1"/>
  <c r="BF52" i="2" s="1"/>
  <c r="BF53" i="2" s="1"/>
  <c r="BF54" i="2" s="1"/>
  <c r="BF55" i="2" s="1"/>
  <c r="BF56" i="2" s="1"/>
  <c r="BF57" i="2" s="1"/>
  <c r="BF58" i="2" s="1"/>
  <c r="BF59" i="2" s="1"/>
  <c r="BF60" i="2" s="1"/>
  <c r="BF61" i="2" s="1"/>
  <c r="BF62" i="2" s="1"/>
  <c r="BF63" i="2" s="1"/>
  <c r="BF64" i="2" s="1"/>
  <c r="BF65" i="2" s="1"/>
  <c r="BF66" i="2" s="1"/>
  <c r="BF67" i="2" s="1"/>
  <c r="BF68" i="2" s="1"/>
  <c r="BF69" i="2" s="1"/>
  <c r="BF70" i="2" s="1"/>
  <c r="BF71" i="2" s="1"/>
  <c r="BF72" i="2" s="1"/>
  <c r="BF73" i="2" s="1"/>
  <c r="BF74" i="2" s="1"/>
  <c r="BF75" i="2" s="1"/>
  <c r="BF76" i="2" s="1"/>
  <c r="BF77" i="2" s="1"/>
  <c r="BF78" i="2" s="1"/>
  <c r="BF79" i="2" s="1"/>
  <c r="BF80" i="2" s="1"/>
  <c r="BF81" i="2" s="1"/>
  <c r="BF82" i="2" s="1"/>
  <c r="BF83" i="2" s="1"/>
  <c r="BF84" i="2" s="1"/>
  <c r="BF85" i="2" s="1"/>
  <c r="BF86" i="2" s="1"/>
  <c r="BF87" i="2" s="1"/>
  <c r="BF88" i="2" s="1"/>
  <c r="BF89" i="2" s="1"/>
  <c r="BF90" i="2" s="1"/>
  <c r="BF91" i="2" s="1"/>
  <c r="BF92" i="2" s="1"/>
  <c r="BF93" i="2" s="1"/>
  <c r="BF94" i="2" s="1"/>
  <c r="BF95" i="2" s="1"/>
  <c r="BF96" i="2" s="1"/>
  <c r="BF97" i="2" s="1"/>
  <c r="BF98" i="2" s="1"/>
  <c r="BF99" i="2" s="1"/>
  <c r="BF100" i="2" s="1"/>
  <c r="BF101" i="2" s="1"/>
  <c r="BF102" i="2" s="1"/>
  <c r="BF103" i="2" s="1"/>
  <c r="BF104" i="2" s="1"/>
  <c r="BF105" i="2" s="1"/>
  <c r="BF106" i="2" s="1"/>
  <c r="BF107" i="2" s="1"/>
  <c r="BV7" i="2"/>
  <c r="BV8" i="2" s="1"/>
  <c r="BV9" i="2" s="1"/>
  <c r="BV10" i="2" s="1"/>
  <c r="BN7" i="2"/>
  <c r="BN8" i="2" s="1"/>
  <c r="BN9" i="2" s="1"/>
  <c r="BN10" i="2" s="1"/>
  <c r="BF7" i="2"/>
  <c r="BF8" i="2" s="1"/>
  <c r="BF9" i="2" s="1"/>
  <c r="BF10" i="2" s="1"/>
  <c r="N46" i="3"/>
  <c r="M46" i="3"/>
  <c r="L46" i="3"/>
  <c r="B43" i="3"/>
  <c r="B44" i="3"/>
  <c r="B45" i="3"/>
  <c r="B46" i="3"/>
  <c r="B42" i="3"/>
  <c r="B36" i="3"/>
  <c r="L37" i="3"/>
  <c r="M37" i="3" s="1"/>
  <c r="B40" i="3"/>
  <c r="F51" i="3"/>
  <c r="F52" i="3" s="1"/>
  <c r="F63" i="3"/>
  <c r="B38" i="3" l="1"/>
  <c r="B39" i="3"/>
  <c r="N37" i="3"/>
  <c r="L38" i="3"/>
  <c r="M38" i="3"/>
  <c r="N38" i="3"/>
  <c r="L39" i="3"/>
  <c r="N39" i="3"/>
  <c r="L40" i="3"/>
  <c r="M40" i="3" s="1"/>
  <c r="N40" i="3"/>
  <c r="L41" i="3"/>
  <c r="M41" i="3" s="1"/>
  <c r="N41" i="3"/>
  <c r="L42" i="3"/>
  <c r="M42" i="3" s="1"/>
  <c r="N42" i="3"/>
  <c r="L43" i="3"/>
  <c r="M43" i="3" s="1"/>
  <c r="N43" i="3"/>
  <c r="L44" i="3"/>
  <c r="M44" i="3"/>
  <c r="N44" i="3"/>
  <c r="L45" i="3"/>
  <c r="M45" i="3" s="1"/>
  <c r="N45" i="3"/>
  <c r="N36" i="3"/>
  <c r="L36" i="3"/>
  <c r="M36" i="3" s="1"/>
  <c r="L16" i="3"/>
  <c r="M16" i="3"/>
  <c r="N16" i="3"/>
  <c r="L17" i="3"/>
  <c r="M17" i="3"/>
  <c r="N17" i="3"/>
  <c r="L18" i="3"/>
  <c r="M18" i="3"/>
  <c r="N18" i="3"/>
  <c r="L19" i="3"/>
  <c r="M19" i="3"/>
  <c r="N19" i="3"/>
  <c r="L20" i="3"/>
  <c r="M20" i="3"/>
  <c r="N20" i="3"/>
  <c r="L21" i="3"/>
  <c r="M21" i="3" s="1"/>
  <c r="N21" i="3"/>
  <c r="L22" i="3"/>
  <c r="M22" i="3"/>
  <c r="N22" i="3"/>
  <c r="L23" i="3"/>
  <c r="M23" i="3"/>
  <c r="N23" i="3"/>
  <c r="L24" i="3"/>
  <c r="M24" i="3"/>
  <c r="N24" i="3"/>
  <c r="L25" i="3"/>
  <c r="M25" i="3"/>
  <c r="N25" i="3"/>
  <c r="L26" i="3"/>
  <c r="M26" i="3"/>
  <c r="N26" i="3"/>
  <c r="L27" i="3"/>
  <c r="M27" i="3"/>
  <c r="N27" i="3"/>
  <c r="L28" i="3"/>
  <c r="M28" i="3"/>
  <c r="N28" i="3"/>
  <c r="L29" i="3"/>
  <c r="M29" i="3"/>
  <c r="N29" i="3"/>
  <c r="L30" i="3"/>
  <c r="M30" i="3"/>
  <c r="N30" i="3"/>
  <c r="L31" i="3"/>
  <c r="M31" i="3"/>
  <c r="N31" i="3"/>
  <c r="L32" i="3"/>
  <c r="M32" i="3"/>
  <c r="N32" i="3"/>
  <c r="L33" i="3"/>
  <c r="M33" i="3"/>
  <c r="N33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N11" i="3"/>
  <c r="L12" i="3"/>
  <c r="M12" i="3" s="1"/>
  <c r="N12" i="3"/>
  <c r="L13" i="3"/>
  <c r="M13" i="3" s="1"/>
  <c r="N13" i="3"/>
  <c r="L14" i="3"/>
  <c r="M14" i="3" s="1"/>
  <c r="N14" i="3"/>
  <c r="L15" i="3"/>
  <c r="M15" i="3" s="1"/>
  <c r="N15" i="3"/>
  <c r="B12" i="3"/>
  <c r="B13" i="3"/>
  <c r="B14" i="3"/>
  <c r="B15" i="3"/>
  <c r="M39" i="3" l="1"/>
  <c r="F55" i="3"/>
  <c r="F56" i="3" s="1"/>
  <c r="F58" i="3" s="1"/>
  <c r="F59" i="3" s="1"/>
  <c r="F60" i="3" s="1"/>
  <c r="O34" i="1"/>
  <c r="O12" i="1"/>
  <c r="B8" i="3"/>
  <c r="B9" i="3"/>
  <c r="B10" i="3"/>
  <c r="B11" i="3"/>
  <c r="B7" i="3"/>
  <c r="L11" i="3"/>
  <c r="M11" i="3" s="1"/>
  <c r="L9" i="3"/>
  <c r="M9" i="3" s="1"/>
  <c r="N9" i="3"/>
  <c r="L10" i="3"/>
  <c r="M10" i="3" s="1"/>
  <c r="N10" i="3"/>
  <c r="L8" i="3"/>
  <c r="M8" i="3" s="1"/>
  <c r="N8" i="3"/>
  <c r="N7" i="3"/>
  <c r="L7" i="3"/>
  <c r="M7" i="3" s="1"/>
  <c r="Q7" i="1" l="1"/>
  <c r="Q8" i="1"/>
  <c r="Q9" i="1"/>
  <c r="Q6" i="1"/>
  <c r="Q29" i="1"/>
  <c r="Q30" i="1"/>
  <c r="Q31" i="1"/>
  <c r="Q28" i="1"/>
  <c r="R28" i="1"/>
  <c r="S28" i="1"/>
  <c r="Q18" i="1"/>
  <c r="Q19" i="1"/>
  <c r="Q20" i="1"/>
  <c r="S20" i="1" s="1"/>
  <c r="Q17" i="1"/>
  <c r="R20" i="1"/>
  <c r="S19" i="1"/>
  <c r="R19" i="1"/>
  <c r="S18" i="1"/>
  <c r="R18" i="1"/>
  <c r="S17" i="1"/>
  <c r="R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L22" i="1" a="1"/>
  <c r="L22" i="1" s="1"/>
  <c r="L23" i="1" s="1"/>
  <c r="G22" i="1" a="1"/>
  <c r="G22" i="1" s="1"/>
  <c r="G23" i="1" s="1"/>
  <c r="M6" i="1"/>
  <c r="K9" i="1"/>
  <c r="L9" i="1" s="1"/>
  <c r="S9" i="1" s="1"/>
  <c r="L20" i="1"/>
  <c r="M20" i="1"/>
  <c r="M19" i="1"/>
  <c r="K19" i="1"/>
  <c r="L19" i="1" s="1"/>
  <c r="M18" i="1"/>
  <c r="K18" i="1"/>
  <c r="L18" i="1" s="1"/>
  <c r="M17" i="1"/>
  <c r="K17" i="1"/>
  <c r="L17" i="1" s="1"/>
  <c r="S31" i="1" l="1"/>
  <c r="R30" i="1"/>
  <c r="S30" i="1"/>
  <c r="R29" i="1"/>
  <c r="S29" i="1"/>
  <c r="R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L11" i="1" a="1"/>
  <c r="L11" i="1" s="1"/>
  <c r="L12" i="1" s="1"/>
  <c r="M7" i="1"/>
  <c r="M8" i="1"/>
  <c r="M9" i="1"/>
  <c r="K8" i="1"/>
  <c r="L8" i="1" s="1"/>
  <c r="K6" i="1"/>
  <c r="L6" i="1" s="1"/>
  <c r="K7" i="1"/>
  <c r="L7" i="1" s="1"/>
  <c r="R7" i="1" l="1"/>
  <c r="S7" i="1"/>
  <c r="S6" i="1"/>
  <c r="R6" i="1"/>
  <c r="R8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<sst xmlns="http://schemas.openxmlformats.org/spreadsheetml/2006/main" count="210" uniqueCount="58">
  <si>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</si>
  <si>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</si>
  <si>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</si>
  <si>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</si>
  <si>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</si>
  <si>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</si>
  <si>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</si>
  <si>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</si>
  <si>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</si>
  <si>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</si>
  <si>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</si>
  <si>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</si>
  <si>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</si>
  <si>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</si>
  <si>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</si>
  <si>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</si>
  <si>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</si>
  <si>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</si>
  <si>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</si>
  <si>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</si>
  <si>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</si>
  <si>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</si>
  <si>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</si>
  <si>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</si>
  <si>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</si>
  <si>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</si>
  <si>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</si>
  <si>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</si>
  <si>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</si>
  <si>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</si>
  <si>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</si>
  <si>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</si>
  <si>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</si>
  <si>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</si>
  <si>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</si>
  <si>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</si>
  <si>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</si>
  <si>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</si>
  <si>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</si>
  <si>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</si>
  <si>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</si>
  <si>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</si>
  <si>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</si>
  <si>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</si>
  <si>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ps</t>
  </si>
  <si>
    <t>Ang</t>
  </si>
  <si>
    <t>Ang/ps</t>
  </si>
  <si>
    <t>mass/at</t>
  </si>
  <si>
    <t>amu</t>
  </si>
  <si>
    <t>kg</t>
  </si>
  <si>
    <t>m/s</t>
  </si>
  <si>
    <t>KE (J)</t>
  </si>
  <si>
    <t>KE (eV)</t>
  </si>
  <si>
    <t>3/2 kT (eV)</t>
  </si>
  <si>
    <t>T (K)</t>
  </si>
  <si>
    <t>LiK EvsR</t>
  </si>
  <si>
    <t>LiNa EvsR</t>
  </si>
  <si>
    <t>KNa EvsR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</si>
</sst>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14B'!$C$6:$C$9</c:f>
              <c:numCache>
                <c:formatCode>General</c:formatCode>
                <c:ptCount val="4"/>
                <c:pt idx="0">
                  <c:v>1504.5</c:v>
                </c:pt>
                <c:pt idx="1">
                  <c:v>1399.1</c:v>
                </c:pt>
                <c:pt idx="2">
                  <c:v>1299.94</c:v>
                </c:pt>
                <c:pt idx="3">
                  <c:v>1197.46</c:v>
                </c:pt>
              </c:numCache>
            </c:numRef>
          </c:xVal>
          <c:yVal>
            <c:numRef>
              <c:f>'LiKNaCl MTP 14B'!$L$6:$L$9</c:f>
              <c:numCache>
                <c:formatCode>General</c:formatCode>
                <c:ptCount val="4"/>
                <c:pt idx="0">
                  <c:v>1.3964180230222538</c:v>
                </c:pt>
                <c:pt idx="1">
                  <c:v>1.4151255489016941</c:v>
                </c:pt>
                <c:pt idx="2">
                  <c:v>1.4424978861622011</c:v>
                </c:pt>
                <c:pt idx="3">
                  <c:v>1.4666400787594347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14B'!$D$40:$D$139</c:f>
              <c:numCache>
                <c:formatCode>General</c:formatCode>
                <c:ptCount val="100"/>
                <c:pt idx="0">
                  <c:v>-4051.99</c:v>
                </c:pt>
                <c:pt idx="1">
                  <c:v>-4080.92</c:v>
                </c:pt>
                <c:pt idx="2">
                  <c:v>-4090.37</c:v>
                </c:pt>
                <c:pt idx="3">
                  <c:v>-4095.95</c:v>
                </c:pt>
                <c:pt idx="4">
                  <c:v>-4104.4799999999996</c:v>
                </c:pt>
                <c:pt idx="5">
                  <c:v>-4115.17</c:v>
                </c:pt>
                <c:pt idx="6">
                  <c:v>-4121.6000000000004</c:v>
                </c:pt>
                <c:pt idx="7">
                  <c:v>-4119.93</c:v>
                </c:pt>
                <c:pt idx="8">
                  <c:v>-4123.8999999999996</c:v>
                </c:pt>
                <c:pt idx="9">
                  <c:v>-4130.3900000000003</c:v>
                </c:pt>
                <c:pt idx="10">
                  <c:v>-4126.71</c:v>
                </c:pt>
                <c:pt idx="11">
                  <c:v>-4130.41</c:v>
                </c:pt>
                <c:pt idx="12">
                  <c:v>-4134.1400000000003</c:v>
                </c:pt>
                <c:pt idx="13">
                  <c:v>-4141.54</c:v>
                </c:pt>
                <c:pt idx="14">
                  <c:v>-4143.6000000000004</c:v>
                </c:pt>
                <c:pt idx="15">
                  <c:v>-4149.58</c:v>
                </c:pt>
                <c:pt idx="16">
                  <c:v>-4151.09</c:v>
                </c:pt>
                <c:pt idx="17">
                  <c:v>-4148.67</c:v>
                </c:pt>
                <c:pt idx="18">
                  <c:v>-4151.16</c:v>
                </c:pt>
                <c:pt idx="19">
                  <c:v>-4151.74</c:v>
                </c:pt>
                <c:pt idx="20">
                  <c:v>-4144.99</c:v>
                </c:pt>
                <c:pt idx="21">
                  <c:v>-4152.04</c:v>
                </c:pt>
                <c:pt idx="22">
                  <c:v>-4138.8599999999997</c:v>
                </c:pt>
                <c:pt idx="23">
                  <c:v>-4157.38</c:v>
                </c:pt>
                <c:pt idx="24">
                  <c:v>-4143.3100000000004</c:v>
                </c:pt>
                <c:pt idx="25">
                  <c:v>-4148.6400000000003</c:v>
                </c:pt>
                <c:pt idx="26">
                  <c:v>-4141.76</c:v>
                </c:pt>
                <c:pt idx="27">
                  <c:v>-4150.9399999999996</c:v>
                </c:pt>
                <c:pt idx="28">
                  <c:v>-4147.9399999999996</c:v>
                </c:pt>
                <c:pt idx="29">
                  <c:v>-4148.4799999999996</c:v>
                </c:pt>
                <c:pt idx="30">
                  <c:v>-4141.16</c:v>
                </c:pt>
                <c:pt idx="31">
                  <c:v>-4147.53</c:v>
                </c:pt>
                <c:pt idx="32">
                  <c:v>-4148.26</c:v>
                </c:pt>
                <c:pt idx="33">
                  <c:v>-4154.22</c:v>
                </c:pt>
                <c:pt idx="34">
                  <c:v>-4152.8500000000004</c:v>
                </c:pt>
                <c:pt idx="35">
                  <c:v>-4151.03</c:v>
                </c:pt>
                <c:pt idx="36">
                  <c:v>-4153.5</c:v>
                </c:pt>
                <c:pt idx="37">
                  <c:v>-4150.3100000000004</c:v>
                </c:pt>
                <c:pt idx="38">
                  <c:v>-4149.53</c:v>
                </c:pt>
                <c:pt idx="39">
                  <c:v>-4148.05</c:v>
                </c:pt>
                <c:pt idx="40">
                  <c:v>-4145.74</c:v>
                </c:pt>
                <c:pt idx="41">
                  <c:v>-4139.58</c:v>
                </c:pt>
                <c:pt idx="42">
                  <c:v>-4146.76</c:v>
                </c:pt>
                <c:pt idx="43">
                  <c:v>-4140.68</c:v>
                </c:pt>
                <c:pt idx="44">
                  <c:v>-4147.25</c:v>
                </c:pt>
                <c:pt idx="45">
                  <c:v>-4144.6400000000003</c:v>
                </c:pt>
                <c:pt idx="46">
                  <c:v>-4145.8</c:v>
                </c:pt>
                <c:pt idx="47">
                  <c:v>-4152.63</c:v>
                </c:pt>
                <c:pt idx="48">
                  <c:v>-4145.7299999999996</c:v>
                </c:pt>
                <c:pt idx="49">
                  <c:v>-4148.5200000000004</c:v>
                </c:pt>
                <c:pt idx="50">
                  <c:v>-4149.5200000000004</c:v>
                </c:pt>
                <c:pt idx="51">
                  <c:v>-4149.17</c:v>
                </c:pt>
                <c:pt idx="52">
                  <c:v>-4149.25</c:v>
                </c:pt>
                <c:pt idx="53">
                  <c:v>-4148.47</c:v>
                </c:pt>
                <c:pt idx="54">
                  <c:v>-4158.6000000000004</c:v>
                </c:pt>
                <c:pt idx="55">
                  <c:v>-4148.6499999999996</c:v>
                </c:pt>
                <c:pt idx="56">
                  <c:v>-4148.08</c:v>
                </c:pt>
                <c:pt idx="57">
                  <c:v>-4148.43</c:v>
                </c:pt>
                <c:pt idx="58">
                  <c:v>-4155.84</c:v>
                </c:pt>
                <c:pt idx="59">
                  <c:v>-4157.3500000000004</c:v>
                </c:pt>
                <c:pt idx="60">
                  <c:v>-4153.37</c:v>
                </c:pt>
                <c:pt idx="61">
                  <c:v>-4145.7700000000004</c:v>
                </c:pt>
                <c:pt idx="62">
                  <c:v>-4153.1899999999996</c:v>
                </c:pt>
                <c:pt idx="63">
                  <c:v>-4153.93</c:v>
                </c:pt>
                <c:pt idx="64">
                  <c:v>-4150.07</c:v>
                </c:pt>
                <c:pt idx="65">
                  <c:v>-4146.18</c:v>
                </c:pt>
                <c:pt idx="66">
                  <c:v>-4145.82</c:v>
                </c:pt>
                <c:pt idx="67">
                  <c:v>-4145.26</c:v>
                </c:pt>
                <c:pt idx="68">
                  <c:v>-4153.05</c:v>
                </c:pt>
                <c:pt idx="69">
                  <c:v>-4145.8100000000004</c:v>
                </c:pt>
                <c:pt idx="70">
                  <c:v>-4143.57</c:v>
                </c:pt>
                <c:pt idx="71">
                  <c:v>-4154.33</c:v>
                </c:pt>
                <c:pt idx="72">
                  <c:v>-4149.95</c:v>
                </c:pt>
                <c:pt idx="73">
                  <c:v>-4150.99</c:v>
                </c:pt>
                <c:pt idx="74">
                  <c:v>-4151.58</c:v>
                </c:pt>
                <c:pt idx="75">
                  <c:v>-4155.97</c:v>
                </c:pt>
                <c:pt idx="76">
                  <c:v>-4163.82</c:v>
                </c:pt>
                <c:pt idx="77">
                  <c:v>-4149.9399999999996</c:v>
                </c:pt>
                <c:pt idx="78">
                  <c:v>-4152.38</c:v>
                </c:pt>
                <c:pt idx="79">
                  <c:v>-4153.1499999999996</c:v>
                </c:pt>
                <c:pt idx="80">
                  <c:v>-4154.6099999999997</c:v>
                </c:pt>
                <c:pt idx="81">
                  <c:v>-4143.2</c:v>
                </c:pt>
                <c:pt idx="82">
                  <c:v>-4143.53</c:v>
                </c:pt>
                <c:pt idx="83">
                  <c:v>-4137.25</c:v>
                </c:pt>
                <c:pt idx="84">
                  <c:v>-4144.87</c:v>
                </c:pt>
                <c:pt idx="85">
                  <c:v>-4146.43</c:v>
                </c:pt>
                <c:pt idx="86">
                  <c:v>-4151.58</c:v>
                </c:pt>
                <c:pt idx="87">
                  <c:v>-4154.26</c:v>
                </c:pt>
                <c:pt idx="88">
                  <c:v>-4151.75</c:v>
                </c:pt>
                <c:pt idx="89">
                  <c:v>-4140.46</c:v>
                </c:pt>
                <c:pt idx="90">
                  <c:v>-4152.8999999999996</c:v>
                </c:pt>
                <c:pt idx="91">
                  <c:v>-4158.1899999999996</c:v>
                </c:pt>
                <c:pt idx="92">
                  <c:v>-4148.55</c:v>
                </c:pt>
                <c:pt idx="93">
                  <c:v>-4151.28</c:v>
                </c:pt>
                <c:pt idx="94">
                  <c:v>-4149.71</c:v>
                </c:pt>
                <c:pt idx="95">
                  <c:v>-4148.59</c:v>
                </c:pt>
                <c:pt idx="96">
                  <c:v>-4148.13</c:v>
                </c:pt>
                <c:pt idx="97">
                  <c:v>-4140.91</c:v>
                </c:pt>
                <c:pt idx="98">
                  <c:v>-4150.29</c:v>
                </c:pt>
                <c:pt idx="99">
                  <c:v>-4145.21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14B'!$E$40:$E$139</c:f>
              <c:numCache>
                <c:formatCode>General</c:formatCode>
                <c:ptCount val="100"/>
                <c:pt idx="0">
                  <c:v>50031.199999999997</c:v>
                </c:pt>
                <c:pt idx="1">
                  <c:v>48293.4</c:v>
                </c:pt>
                <c:pt idx="2">
                  <c:v>46873</c:v>
                </c:pt>
                <c:pt idx="3">
                  <c:v>45623.5</c:v>
                </c:pt>
                <c:pt idx="4">
                  <c:v>44506.3</c:v>
                </c:pt>
                <c:pt idx="5">
                  <c:v>43526.5</c:v>
                </c:pt>
                <c:pt idx="6">
                  <c:v>42683.9</c:v>
                </c:pt>
                <c:pt idx="7">
                  <c:v>41931.300000000003</c:v>
                </c:pt>
                <c:pt idx="8">
                  <c:v>41240.300000000003</c:v>
                </c:pt>
                <c:pt idx="9">
                  <c:v>40566.5</c:v>
                </c:pt>
                <c:pt idx="10">
                  <c:v>40012.5</c:v>
                </c:pt>
                <c:pt idx="11">
                  <c:v>39605.300000000003</c:v>
                </c:pt>
                <c:pt idx="12">
                  <c:v>39254.5</c:v>
                </c:pt>
                <c:pt idx="13">
                  <c:v>38953.199999999997</c:v>
                </c:pt>
                <c:pt idx="14">
                  <c:v>38722.300000000003</c:v>
                </c:pt>
                <c:pt idx="15">
                  <c:v>38555.4</c:v>
                </c:pt>
                <c:pt idx="16">
                  <c:v>38394.400000000001</c:v>
                </c:pt>
                <c:pt idx="17">
                  <c:v>38282</c:v>
                </c:pt>
                <c:pt idx="18">
                  <c:v>38198.6</c:v>
                </c:pt>
                <c:pt idx="19">
                  <c:v>38171.199999999997</c:v>
                </c:pt>
                <c:pt idx="20">
                  <c:v>38185.5</c:v>
                </c:pt>
                <c:pt idx="21">
                  <c:v>38233</c:v>
                </c:pt>
                <c:pt idx="22">
                  <c:v>38299.199999999997</c:v>
                </c:pt>
                <c:pt idx="23">
                  <c:v>38408.300000000003</c:v>
                </c:pt>
                <c:pt idx="24">
                  <c:v>38505.1</c:v>
                </c:pt>
                <c:pt idx="25">
                  <c:v>38594.5</c:v>
                </c:pt>
                <c:pt idx="26">
                  <c:v>38656.699999999997</c:v>
                </c:pt>
                <c:pt idx="27">
                  <c:v>38715.1</c:v>
                </c:pt>
                <c:pt idx="28">
                  <c:v>38728.400000000001</c:v>
                </c:pt>
                <c:pt idx="29">
                  <c:v>38690.199999999997</c:v>
                </c:pt>
                <c:pt idx="30">
                  <c:v>38619.599999999999</c:v>
                </c:pt>
                <c:pt idx="31">
                  <c:v>38514.6</c:v>
                </c:pt>
                <c:pt idx="32">
                  <c:v>38366.199999999997</c:v>
                </c:pt>
                <c:pt idx="33">
                  <c:v>38221</c:v>
                </c:pt>
                <c:pt idx="34">
                  <c:v>38136.199999999997</c:v>
                </c:pt>
                <c:pt idx="35">
                  <c:v>38120.199999999997</c:v>
                </c:pt>
                <c:pt idx="36">
                  <c:v>38200.199999999997</c:v>
                </c:pt>
                <c:pt idx="37">
                  <c:v>38300.9</c:v>
                </c:pt>
                <c:pt idx="38">
                  <c:v>38415.699999999997</c:v>
                </c:pt>
                <c:pt idx="39">
                  <c:v>38561.800000000003</c:v>
                </c:pt>
                <c:pt idx="40">
                  <c:v>38687.1</c:v>
                </c:pt>
                <c:pt idx="41">
                  <c:v>38753.800000000003</c:v>
                </c:pt>
                <c:pt idx="42">
                  <c:v>38764.199999999997</c:v>
                </c:pt>
                <c:pt idx="43">
                  <c:v>38718.9</c:v>
                </c:pt>
                <c:pt idx="44">
                  <c:v>38606.6</c:v>
                </c:pt>
                <c:pt idx="45">
                  <c:v>38493.9</c:v>
                </c:pt>
                <c:pt idx="46">
                  <c:v>38379.800000000003</c:v>
                </c:pt>
                <c:pt idx="47">
                  <c:v>38283.5</c:v>
                </c:pt>
                <c:pt idx="48">
                  <c:v>38225.199999999997</c:v>
                </c:pt>
                <c:pt idx="49">
                  <c:v>38220.199999999997</c:v>
                </c:pt>
                <c:pt idx="50">
                  <c:v>38244.400000000001</c:v>
                </c:pt>
                <c:pt idx="51">
                  <c:v>38304.199999999997</c:v>
                </c:pt>
                <c:pt idx="52">
                  <c:v>38361.1</c:v>
                </c:pt>
                <c:pt idx="53">
                  <c:v>38409.699999999997</c:v>
                </c:pt>
                <c:pt idx="54">
                  <c:v>38490.199999999997</c:v>
                </c:pt>
                <c:pt idx="55">
                  <c:v>38506.300000000003</c:v>
                </c:pt>
                <c:pt idx="56">
                  <c:v>38442.6</c:v>
                </c:pt>
                <c:pt idx="57">
                  <c:v>38351.5</c:v>
                </c:pt>
                <c:pt idx="58">
                  <c:v>38285.599999999999</c:v>
                </c:pt>
                <c:pt idx="59">
                  <c:v>38253.1</c:v>
                </c:pt>
                <c:pt idx="60">
                  <c:v>38226</c:v>
                </c:pt>
                <c:pt idx="61">
                  <c:v>38236.800000000003</c:v>
                </c:pt>
                <c:pt idx="62">
                  <c:v>38295</c:v>
                </c:pt>
                <c:pt idx="63">
                  <c:v>38380.1</c:v>
                </c:pt>
                <c:pt idx="64">
                  <c:v>38444.699999999997</c:v>
                </c:pt>
                <c:pt idx="65">
                  <c:v>38521.9</c:v>
                </c:pt>
                <c:pt idx="66">
                  <c:v>38581.800000000003</c:v>
                </c:pt>
                <c:pt idx="67">
                  <c:v>38587.300000000003</c:v>
                </c:pt>
                <c:pt idx="68">
                  <c:v>38546.1</c:v>
                </c:pt>
                <c:pt idx="69">
                  <c:v>38482</c:v>
                </c:pt>
                <c:pt idx="70">
                  <c:v>38393.5</c:v>
                </c:pt>
                <c:pt idx="71">
                  <c:v>38285.4</c:v>
                </c:pt>
                <c:pt idx="72">
                  <c:v>38162.800000000003</c:v>
                </c:pt>
                <c:pt idx="73">
                  <c:v>38031.800000000003</c:v>
                </c:pt>
                <c:pt idx="74">
                  <c:v>37919.199999999997</c:v>
                </c:pt>
                <c:pt idx="75">
                  <c:v>37896.9</c:v>
                </c:pt>
                <c:pt idx="76">
                  <c:v>37927.9</c:v>
                </c:pt>
                <c:pt idx="77">
                  <c:v>38021.5</c:v>
                </c:pt>
                <c:pt idx="78">
                  <c:v>38157</c:v>
                </c:pt>
                <c:pt idx="79">
                  <c:v>38317</c:v>
                </c:pt>
                <c:pt idx="80">
                  <c:v>38460.6</c:v>
                </c:pt>
                <c:pt idx="81">
                  <c:v>38596.6</c:v>
                </c:pt>
                <c:pt idx="82">
                  <c:v>38676.1</c:v>
                </c:pt>
                <c:pt idx="83">
                  <c:v>38698.800000000003</c:v>
                </c:pt>
                <c:pt idx="84">
                  <c:v>38685.5</c:v>
                </c:pt>
                <c:pt idx="85">
                  <c:v>38634.1</c:v>
                </c:pt>
                <c:pt idx="86">
                  <c:v>38575.199999999997</c:v>
                </c:pt>
                <c:pt idx="87">
                  <c:v>38496.400000000001</c:v>
                </c:pt>
                <c:pt idx="88">
                  <c:v>38384.5</c:v>
                </c:pt>
                <c:pt idx="89">
                  <c:v>38234.9</c:v>
                </c:pt>
                <c:pt idx="90">
                  <c:v>38119.300000000003</c:v>
                </c:pt>
                <c:pt idx="91">
                  <c:v>38086.699999999997</c:v>
                </c:pt>
                <c:pt idx="92">
                  <c:v>38128.400000000001</c:v>
                </c:pt>
                <c:pt idx="93">
                  <c:v>38251.4</c:v>
                </c:pt>
                <c:pt idx="94">
                  <c:v>38405</c:v>
                </c:pt>
                <c:pt idx="95">
                  <c:v>38559.5</c:v>
                </c:pt>
                <c:pt idx="96">
                  <c:v>38654.1</c:v>
                </c:pt>
                <c:pt idx="97">
                  <c:v>38718.5</c:v>
                </c:pt>
                <c:pt idx="98">
                  <c:v>38782.699999999997</c:v>
                </c:pt>
                <c:pt idx="99">
                  <c:v>38838.1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'LiCl-KCl'!$B$7:$B$33</c:f>
              <c:numCache>
                <c:formatCode>General</c:formatCode>
                <c:ptCount val="2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</c:v>
                </c:pt>
                <c:pt idx="8">
                  <c:v>0.22500000000000001</c:v>
                </c:pt>
                <c:pt idx="9">
                  <c:v>0.25</c:v>
                </c:pt>
                <c:pt idx="10">
                  <c:v>0.27500000000000002</c:v>
                </c:pt>
                <c:pt idx="11">
                  <c:v>0.3</c:v>
                </c:pt>
                <c:pt idx="12">
                  <c:v>0.32500000000000001</c:v>
                </c:pt>
                <c:pt idx="13">
                  <c:v>0.35</c:v>
                </c:pt>
                <c:pt idx="14">
                  <c:v>0.375</c:v>
                </c:pt>
                <c:pt idx="15">
                  <c:v>0.4</c:v>
                </c:pt>
                <c:pt idx="16">
                  <c:v>0.42499999999999999</c:v>
                </c:pt>
                <c:pt idx="17">
                  <c:v>0.45</c:v>
                </c:pt>
                <c:pt idx="18">
                  <c:v>0.47499999999999998</c:v>
                </c:pt>
                <c:pt idx="19">
                  <c:v>0.5</c:v>
                </c:pt>
                <c:pt idx="20">
                  <c:v>0.52500000000000002</c:v>
                </c:pt>
                <c:pt idx="21">
                  <c:v>0.55000000000000004</c:v>
                </c:pt>
                <c:pt idx="22">
                  <c:v>0.57499999999999996</c:v>
                </c:pt>
                <c:pt idx="23">
                  <c:v>0.6</c:v>
                </c:pt>
                <c:pt idx="24">
                  <c:v>0.625</c:v>
                </c:pt>
                <c:pt idx="25">
                  <c:v>0.65</c:v>
                </c:pt>
                <c:pt idx="26">
                  <c:v>0.67500000000000004</c:v>
                </c:pt>
              </c:numCache>
            </c:numRef>
          </c:xVal>
          <c:yVal>
            <c:numRef>
              <c:f>'LiCl-KCl'!$M$7:$M$33</c:f>
              <c:numCache>
                <c:formatCode>General</c:formatCode>
                <c:ptCount val="27"/>
                <c:pt idx="0">
                  <c:v>1.3946737522944703</c:v>
                </c:pt>
                <c:pt idx="1">
                  <c:v>1.3970127227114109</c:v>
                </c:pt>
                <c:pt idx="2">
                  <c:v>1.4016544720428437</c:v>
                </c:pt>
                <c:pt idx="3">
                  <c:v>1.4009463271206983</c:v>
                </c:pt>
                <c:pt idx="4">
                  <c:v>1.4030740681098204</c:v>
                </c:pt>
                <c:pt idx="5">
                  <c:v>1.4030326601928718</c:v>
                </c:pt>
                <c:pt idx="6">
                  <c:v>1.404472307720084</c:v>
                </c:pt>
                <c:pt idx="7">
                  <c:v>1.4018107407426621</c:v>
                </c:pt>
                <c:pt idx="8">
                  <c:v>1.3989361932243314</c:v>
                </c:pt>
                <c:pt idx="9">
                  <c:v>1.4017823874519524</c:v>
                </c:pt>
                <c:pt idx="10">
                  <c:v>1.3987856621794372</c:v>
                </c:pt>
                <c:pt idx="11">
                  <c:v>1.4003984214313501</c:v>
                </c:pt>
                <c:pt idx="12">
                  <c:v>1.3960268772462949</c:v>
                </c:pt>
                <c:pt idx="13">
                  <c:v>1.3916003680829212</c:v>
                </c:pt>
                <c:pt idx="14">
                  <c:v>1.3948705077541952</c:v>
                </c:pt>
                <c:pt idx="15">
                  <c:v>1.3946149516616604</c:v>
                </c:pt>
                <c:pt idx="16">
                  <c:v>1.3898205129943209</c:v>
                </c:pt>
                <c:pt idx="17">
                  <c:v>1.3902461454330619</c:v>
                </c:pt>
                <c:pt idx="18">
                  <c:v>1.3879867242656387</c:v>
                </c:pt>
                <c:pt idx="19">
                  <c:v>1.3898309166517551</c:v>
                </c:pt>
                <c:pt idx="20">
                  <c:v>1.378623540477983</c:v>
                </c:pt>
                <c:pt idx="21">
                  <c:v>1.3793378883886369</c:v>
                </c:pt>
                <c:pt idx="22">
                  <c:v>1.3717131359992132</c:v>
                </c:pt>
                <c:pt idx="23">
                  <c:v>1.3764199776531809</c:v>
                </c:pt>
                <c:pt idx="24">
                  <c:v>1.3743877021753563</c:v>
                </c:pt>
                <c:pt idx="25">
                  <c:v>1.3722985832494148</c:v>
                </c:pt>
                <c:pt idx="26">
                  <c:v>1.3725585297698111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15-E34C-BAAE-4B3CABD95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'LiCl-KCl'!$B$36:$B$47</c:f>
              <c:numCache>
                <c:formatCode>General</c:formatCode>
                <c:ptCount val="12"/>
                <c:pt idx="0">
                  <c:v>0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'LiCl-KCl'!$M$36:$M$47</c:f>
              <c:numCache>
                <c:formatCode>General</c:formatCode>
                <c:ptCount val="12"/>
                <c:pt idx="0">
                  <c:v>1.27477362357751</c:v>
                </c:pt>
                <c:pt idx="1">
                  <c:v>0</c:v>
                </c:pt>
                <c:pt idx="2">
                  <c:v>1.2566712665536384</c:v>
                </c:pt>
                <c:pt idx="3">
                  <c:v>1.2462325802519216</c:v>
                </c:pt>
                <c:pt idx="4">
                  <c:v>1.2381581328200779</c:v>
                </c:pt>
                <c:pt idx="5">
                  <c:v>0</c:v>
                </c:pt>
                <c:pt idx="6">
                  <c:v>1.2165760624262318</c:v>
                </c:pt>
                <c:pt idx="7">
                  <c:v>1.1940997768639798</c:v>
                </c:pt>
                <c:pt idx="8">
                  <c:v>1.165211639300523</c:v>
                </c:pt>
                <c:pt idx="9">
                  <c:v>1.1440144717431013</c:v>
                </c:pt>
                <c:pt idx="10">
                  <c:v>1.1154620604610666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'LiCl-KCl'!$J$54:$J$153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'LiCl-KCl'!$N$54:$N$153</c:f>
              <c:numCache>
                <c:formatCode>General</c:formatCode>
                <c:ptCount val="100"/>
                <c:pt idx="0">
                  <c:v>-418.005</c:v>
                </c:pt>
                <c:pt idx="1">
                  <c:v>-3479.29</c:v>
                </c:pt>
                <c:pt idx="2">
                  <c:v>-2211.46</c:v>
                </c:pt>
                <c:pt idx="3">
                  <c:v>-1940.86</c:v>
                </c:pt>
                <c:pt idx="4">
                  <c:v>-838.08500000000004</c:v>
                </c:pt>
                <c:pt idx="5">
                  <c:v>-3028.4</c:v>
                </c:pt>
                <c:pt idx="6">
                  <c:v>-278.25200000000001</c:v>
                </c:pt>
                <c:pt idx="7">
                  <c:v>-770.221</c:v>
                </c:pt>
                <c:pt idx="8">
                  <c:v>-1726.54</c:v>
                </c:pt>
                <c:pt idx="9">
                  <c:v>-1369.3</c:v>
                </c:pt>
                <c:pt idx="10">
                  <c:v>-1081.02</c:v>
                </c:pt>
                <c:pt idx="11">
                  <c:v>-1141.76</c:v>
                </c:pt>
                <c:pt idx="12">
                  <c:v>-1389.55</c:v>
                </c:pt>
                <c:pt idx="13">
                  <c:v>-1042.1199999999999</c:v>
                </c:pt>
                <c:pt idx="14">
                  <c:v>-899.44100000000003</c:v>
                </c:pt>
                <c:pt idx="15">
                  <c:v>30.571400000000001</c:v>
                </c:pt>
                <c:pt idx="16">
                  <c:v>329.483</c:v>
                </c:pt>
                <c:pt idx="17">
                  <c:v>-1574.75</c:v>
                </c:pt>
                <c:pt idx="18">
                  <c:v>511.51299999999998</c:v>
                </c:pt>
                <c:pt idx="19">
                  <c:v>-344.74799999999999</c:v>
                </c:pt>
                <c:pt idx="20">
                  <c:v>406.47699999999998</c:v>
                </c:pt>
                <c:pt idx="21">
                  <c:v>44.0807</c:v>
                </c:pt>
                <c:pt idx="22">
                  <c:v>413.10399999999998</c:v>
                </c:pt>
                <c:pt idx="23">
                  <c:v>98.280299999999997</c:v>
                </c:pt>
                <c:pt idx="24">
                  <c:v>-838.83199999999999</c:v>
                </c:pt>
                <c:pt idx="25">
                  <c:v>-65.842399999999998</c:v>
                </c:pt>
                <c:pt idx="26">
                  <c:v>-487.42</c:v>
                </c:pt>
                <c:pt idx="27">
                  <c:v>-199.90799999999999</c:v>
                </c:pt>
                <c:pt idx="28">
                  <c:v>256.495</c:v>
                </c:pt>
                <c:pt idx="29">
                  <c:v>1834.4</c:v>
                </c:pt>
                <c:pt idx="30">
                  <c:v>-362.47199999999998</c:v>
                </c:pt>
                <c:pt idx="31">
                  <c:v>339.28699999999998</c:v>
                </c:pt>
                <c:pt idx="32">
                  <c:v>535.98699999999997</c:v>
                </c:pt>
                <c:pt idx="33">
                  <c:v>1493.21</c:v>
                </c:pt>
                <c:pt idx="34">
                  <c:v>302.97300000000001</c:v>
                </c:pt>
                <c:pt idx="35">
                  <c:v>-391.38299999999998</c:v>
                </c:pt>
                <c:pt idx="36">
                  <c:v>-1112.58</c:v>
                </c:pt>
                <c:pt idx="37">
                  <c:v>674.02800000000002</c:v>
                </c:pt>
                <c:pt idx="38">
                  <c:v>1005.5</c:v>
                </c:pt>
                <c:pt idx="39">
                  <c:v>-662.84</c:v>
                </c:pt>
                <c:pt idx="40">
                  <c:v>-1098.27</c:v>
                </c:pt>
                <c:pt idx="41">
                  <c:v>-125.07899999999999</c:v>
                </c:pt>
                <c:pt idx="42">
                  <c:v>448.49900000000002</c:v>
                </c:pt>
                <c:pt idx="43">
                  <c:v>-1355.08</c:v>
                </c:pt>
                <c:pt idx="44">
                  <c:v>749.97900000000004</c:v>
                </c:pt>
                <c:pt idx="45">
                  <c:v>-1586.56</c:v>
                </c:pt>
                <c:pt idx="46">
                  <c:v>-115.471</c:v>
                </c:pt>
                <c:pt idx="47">
                  <c:v>-1323.39</c:v>
                </c:pt>
                <c:pt idx="48">
                  <c:v>1726.07</c:v>
                </c:pt>
                <c:pt idx="49">
                  <c:v>659.45600000000002</c:v>
                </c:pt>
                <c:pt idx="50">
                  <c:v>-137.93100000000001</c:v>
                </c:pt>
                <c:pt idx="51">
                  <c:v>-394.74700000000001</c:v>
                </c:pt>
                <c:pt idx="52">
                  <c:v>-622.70799999999997</c:v>
                </c:pt>
                <c:pt idx="53">
                  <c:v>655.14700000000005</c:v>
                </c:pt>
                <c:pt idx="54">
                  <c:v>-765.11900000000003</c:v>
                </c:pt>
                <c:pt idx="55">
                  <c:v>-49.468800000000002</c:v>
                </c:pt>
                <c:pt idx="56">
                  <c:v>581.17200000000003</c:v>
                </c:pt>
                <c:pt idx="57">
                  <c:v>1576.53</c:v>
                </c:pt>
                <c:pt idx="58">
                  <c:v>-208.00399999999999</c:v>
                </c:pt>
                <c:pt idx="59">
                  <c:v>-1551.01</c:v>
                </c:pt>
                <c:pt idx="60">
                  <c:v>-524.29399999999998</c:v>
                </c:pt>
                <c:pt idx="61">
                  <c:v>-174.78</c:v>
                </c:pt>
                <c:pt idx="62">
                  <c:v>1515.32</c:v>
                </c:pt>
                <c:pt idx="63">
                  <c:v>60.439700000000002</c:v>
                </c:pt>
                <c:pt idx="64">
                  <c:v>183.96</c:v>
                </c:pt>
                <c:pt idx="65">
                  <c:v>177.773</c:v>
                </c:pt>
                <c:pt idx="66">
                  <c:v>305.54300000000001</c:v>
                </c:pt>
                <c:pt idx="67">
                  <c:v>953.20399999999995</c:v>
                </c:pt>
                <c:pt idx="68">
                  <c:v>1333.93</c:v>
                </c:pt>
                <c:pt idx="69">
                  <c:v>-445.36700000000002</c:v>
                </c:pt>
                <c:pt idx="70">
                  <c:v>-270.202</c:v>
                </c:pt>
                <c:pt idx="71">
                  <c:v>-1205.3399999999999</c:v>
                </c:pt>
                <c:pt idx="72">
                  <c:v>-25.155799999999999</c:v>
                </c:pt>
                <c:pt idx="73">
                  <c:v>229.22800000000001</c:v>
                </c:pt>
                <c:pt idx="74">
                  <c:v>1088.01</c:v>
                </c:pt>
                <c:pt idx="75">
                  <c:v>-1249.67</c:v>
                </c:pt>
                <c:pt idx="76">
                  <c:v>735.755</c:v>
                </c:pt>
                <c:pt idx="77">
                  <c:v>-630.07100000000003</c:v>
                </c:pt>
                <c:pt idx="78">
                  <c:v>1104.3399999999999</c:v>
                </c:pt>
                <c:pt idx="79">
                  <c:v>111.26</c:v>
                </c:pt>
                <c:pt idx="80">
                  <c:v>308.79199999999997</c:v>
                </c:pt>
                <c:pt idx="81">
                  <c:v>1849.23</c:v>
                </c:pt>
                <c:pt idx="82">
                  <c:v>53.276600000000002</c:v>
                </c:pt>
                <c:pt idx="83">
                  <c:v>-833.30600000000004</c:v>
                </c:pt>
                <c:pt idx="84">
                  <c:v>-49.661700000000003</c:v>
                </c:pt>
                <c:pt idx="85">
                  <c:v>608.77800000000002</c:v>
                </c:pt>
                <c:pt idx="86">
                  <c:v>2386.9699999999998</c:v>
                </c:pt>
                <c:pt idx="87">
                  <c:v>254.65899999999999</c:v>
                </c:pt>
                <c:pt idx="88">
                  <c:v>955.12300000000005</c:v>
                </c:pt>
                <c:pt idx="89">
                  <c:v>-447.16899999999998</c:v>
                </c:pt>
                <c:pt idx="90">
                  <c:v>-2237.4499999999998</c:v>
                </c:pt>
                <c:pt idx="91">
                  <c:v>1181.51</c:v>
                </c:pt>
                <c:pt idx="92">
                  <c:v>348.66199999999998</c:v>
                </c:pt>
                <c:pt idx="93">
                  <c:v>-668.12199999999996</c:v>
                </c:pt>
                <c:pt idx="94">
                  <c:v>-296.10700000000003</c:v>
                </c:pt>
                <c:pt idx="95">
                  <c:v>1085.0999999999999</c:v>
                </c:pt>
                <c:pt idx="96" formatCode="0.00E+00">
                  <c:v>273.93400000000003</c:v>
                </c:pt>
                <c:pt idx="97" formatCode="0.00E+00">
                  <c:v>34.884</c:v>
                </c:pt>
                <c:pt idx="98" formatCode="0.00E+00">
                  <c:v>-1706.84</c:v>
                </c:pt>
                <c:pt idx="99" formatCode="0.00E+00">
                  <c:v>-1169.73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-8588900</c:v>
                </c:pt>
                <c:pt idx="1">
                  <c:v>-8588900</c:v>
                </c:pt>
                <c:pt idx="2">
                  <c:v>-4077470</c:v>
                </c:pt>
                <c:pt idx="3">
                  <c:v>-1891780</c:v>
                </c:pt>
                <c:pt idx="4">
                  <c:v>-855311</c:v>
                </c:pt>
                <c:pt idx="5">
                  <c:v>-375373</c:v>
                </c:pt>
                <c:pt idx="6">
                  <c:v>-159030</c:v>
                </c:pt>
                <c:pt idx="7">
                  <c:v>-64490.9</c:v>
                </c:pt>
                <c:pt idx="8">
                  <c:v>-24682.3</c:v>
                </c:pt>
                <c:pt idx="9">
                  <c:v>-8678.58</c:v>
                </c:pt>
                <c:pt idx="10">
                  <c:v>-2632.07</c:v>
                </c:pt>
                <c:pt idx="11">
                  <c:v>-549.93100000000004</c:v>
                </c:pt>
                <c:pt idx="12">
                  <c:v>56.210500000000003</c:v>
                </c:pt>
                <c:pt idx="13">
                  <c:v>166.48699999999999</c:v>
                </c:pt>
                <c:pt idx="14">
                  <c:v>139.74799999999999</c:v>
                </c:pt>
                <c:pt idx="15">
                  <c:v>93.049199999999999</c:v>
                </c:pt>
                <c:pt idx="16">
                  <c:v>56.597999999999999</c:v>
                </c:pt>
                <c:pt idx="17">
                  <c:v>33.256900000000002</c:v>
                </c:pt>
                <c:pt idx="18">
                  <c:v>19.447900000000001</c:v>
                </c:pt>
                <c:pt idx="19">
                  <c:v>11.460100000000001</c:v>
                </c:pt>
                <c:pt idx="20">
                  <c:v>6.7563399999999998</c:v>
                </c:pt>
                <c:pt idx="21">
                  <c:v>3.8490600000000001</c:v>
                </c:pt>
                <c:pt idx="22">
                  <c:v>1.9317299999999999</c:v>
                </c:pt>
                <c:pt idx="23">
                  <c:v>0.583928</c:v>
                </c:pt>
                <c:pt idx="24">
                  <c:v>-0.41181699999999999</c:v>
                </c:pt>
                <c:pt idx="25">
                  <c:v>-1.17092</c:v>
                </c:pt>
                <c:pt idx="26">
                  <c:v>-1.7584500000000001</c:v>
                </c:pt>
                <c:pt idx="27">
                  <c:v>-2.2145100000000002</c:v>
                </c:pt>
                <c:pt idx="28">
                  <c:v>-2.5663299999999998</c:v>
                </c:pt>
                <c:pt idx="29">
                  <c:v>-2.8340200000000002</c:v>
                </c:pt>
                <c:pt idx="30" formatCode="General">
                  <c:v>-3.0333199999999998</c:v>
                </c:pt>
                <c:pt idx="31" formatCode="General">
                  <c:v>-3.1768900000000002</c:v>
                </c:pt>
                <c:pt idx="32" formatCode="General">
                  <c:v>-3.2751199999999998</c:v>
                </c:pt>
                <c:pt idx="33" formatCode="General">
                  <c:v>-3.3365100000000001</c:v>
                </c:pt>
                <c:pt idx="34" formatCode="General">
                  <c:v>-3.36802</c:v>
                </c:pt>
                <c:pt idx="35" formatCode="General">
                  <c:v>-3.37534</c:v>
                </c:pt>
                <c:pt idx="36" formatCode="General">
                  <c:v>-3.3630599999999999</c:v>
                </c:pt>
                <c:pt idx="37" formatCode="General">
                  <c:v>-3.3349199999999999</c:v>
                </c:pt>
                <c:pt idx="38" formatCode="General">
                  <c:v>-3.2939400000000001</c:v>
                </c:pt>
                <c:pt idx="39" formatCode="General">
                  <c:v>-3.2425799999999998</c:v>
                </c:pt>
                <c:pt idx="40" formatCode="General">
                  <c:v>-3.1828599999999998</c:v>
                </c:pt>
                <c:pt idx="41" formatCode="General">
                  <c:v>-3.1164299999999998</c:v>
                </c:pt>
                <c:pt idx="42" formatCode="General">
                  <c:v>-3.0446800000000001</c:v>
                </c:pt>
                <c:pt idx="43" formatCode="General">
                  <c:v>-2.9687600000000001</c:v>
                </c:pt>
                <c:pt idx="44" formatCode="General">
                  <c:v>-2.8896899999999999</c:v>
                </c:pt>
                <c:pt idx="45" formatCode="General">
                  <c:v>-2.80829</c:v>
                </c:pt>
                <c:pt idx="46" formatCode="General">
                  <c:v>-2.72533</c:v>
                </c:pt>
                <c:pt idx="47" formatCode="General">
                  <c:v>-2.6414399999999998</c:v>
                </c:pt>
                <c:pt idx="48" formatCode="General">
                  <c:v>-2.5571999999999999</c:v>
                </c:pt>
                <c:pt idx="49" formatCode="General">
                  <c:v>-2.4731100000000001</c:v>
                </c:pt>
                <c:pt idx="50" formatCode="General">
                  <c:v>-2.3896099999999998</c:v>
                </c:pt>
                <c:pt idx="51" formatCode="General">
                  <c:v>-2.3070900000000001</c:v>
                </c:pt>
                <c:pt idx="52" formatCode="General">
                  <c:v>-2.22587</c:v>
                </c:pt>
                <c:pt idx="53" formatCode="General">
                  <c:v>-2.1462400000000001</c:v>
                </c:pt>
                <c:pt idx="54" formatCode="General">
                  <c:v>-2.0684200000000001</c:v>
                </c:pt>
                <c:pt idx="55" formatCode="General">
                  <c:v>-1.9925999999999999</c:v>
                </c:pt>
                <c:pt idx="56" formatCode="General">
                  <c:v>-1.9189099999999999</c:v>
                </c:pt>
                <c:pt idx="57" formatCode="General">
                  <c:v>-1.8474299999999999</c:v>
                </c:pt>
                <c:pt idx="58" formatCode="General">
                  <c:v>-1.77823</c:v>
                </c:pt>
                <c:pt idx="59" formatCode="General">
                  <c:v>-1.7113</c:v>
                </c:pt>
                <c:pt idx="60" formatCode="General">
                  <c:v>-1.64663</c:v>
                </c:pt>
                <c:pt idx="61" formatCode="General">
                  <c:v>-1.5841700000000001</c:v>
                </c:pt>
                <c:pt idx="62" formatCode="General">
                  <c:v>-1.52386</c:v>
                </c:pt>
                <c:pt idx="63" formatCode="General">
                  <c:v>-1.4656199999999999</c:v>
                </c:pt>
                <c:pt idx="64" formatCode="General">
                  <c:v>-1.4093599999999999</c:v>
                </c:pt>
                <c:pt idx="65" formatCode="General">
                  <c:v>-1.355</c:v>
                </c:pt>
                <c:pt idx="66" formatCode="General">
                  <c:v>-1.3024800000000001</c:v>
                </c:pt>
                <c:pt idx="67" formatCode="General">
                  <c:v>-1.2517499999999999</c:v>
                </c:pt>
                <c:pt idx="68" formatCode="General">
                  <c:v>-1.2027600000000001</c:v>
                </c:pt>
                <c:pt idx="69" formatCode="General">
                  <c:v>-1.1555</c:v>
                </c:pt>
                <c:pt idx="70" formatCode="General">
                  <c:v>-1.10998</c:v>
                </c:pt>
                <c:pt idx="71" formatCode="General">
                  <c:v>-1.06623</c:v>
                </c:pt>
                <c:pt idx="72" formatCode="General">
                  <c:v>-1.0243100000000001</c:v>
                </c:pt>
                <c:pt idx="73" formatCode="General">
                  <c:v>-0.98428000000000004</c:v>
                </c:pt>
                <c:pt idx="74" formatCode="General">
                  <c:v>-0.946218</c:v>
                </c:pt>
                <c:pt idx="75" formatCode="General">
                  <c:v>-0.91019499999999998</c:v>
                </c:pt>
                <c:pt idx="76" formatCode="General">
                  <c:v>-0.87626700000000002</c:v>
                </c:pt>
                <c:pt idx="77" formatCode="General">
                  <c:v>-0.84446500000000002</c:v>
                </c:pt>
                <c:pt idx="78" formatCode="General">
                  <c:v>-0.81478099999999998</c:v>
                </c:pt>
                <c:pt idx="79">
                  <c:v>-0.787157</c:v>
                </c:pt>
                <c:pt idx="80" formatCode="General">
                  <c:v>-0.76147100000000001</c:v>
                </c:pt>
                <c:pt idx="81" formatCode="General">
                  <c:v>-0.73753400000000002</c:v>
                </c:pt>
                <c:pt idx="82" formatCode="General">
                  <c:v>-0.71508499999999997</c:v>
                </c:pt>
                <c:pt idx="83" formatCode="General">
                  <c:v>-0.69379900000000005</c:v>
                </c:pt>
                <c:pt idx="84" formatCode="General">
                  <c:v>-0.67329600000000001</c:v>
                </c:pt>
                <c:pt idx="85" formatCode="General">
                  <c:v>-0.65316600000000002</c:v>
                </c:pt>
                <c:pt idx="86" formatCode="General">
                  <c:v>-0.63300800000000002</c:v>
                </c:pt>
                <c:pt idx="87" formatCode="General">
                  <c:v>-0.61248100000000005</c:v>
                </c:pt>
                <c:pt idx="88" formatCode="General">
                  <c:v>-0.59137499999999998</c:v>
                </c:pt>
                <c:pt idx="89" formatCode="General">
                  <c:v>-0.56970799999999999</c:v>
                </c:pt>
                <c:pt idx="90" formatCode="General">
                  <c:v>-0.54784600000000006</c:v>
                </c:pt>
                <c:pt idx="91" formatCode="General">
                  <c:v>-0.52666100000000005</c:v>
                </c:pt>
                <c:pt idx="92" formatCode="General">
                  <c:v>-0.507718</c:v>
                </c:pt>
                <c:pt idx="93" formatCode="General">
                  <c:v>-0.49350699999999997</c:v>
                </c:pt>
                <c:pt idx="94" formatCode="General">
                  <c:v>-0.48771300000000001</c:v>
                </c:pt>
                <c:pt idx="95" formatCode="General">
                  <c:v>-0.48771300000000001</c:v>
                </c:pt>
                <c:pt idx="96" formatCode="General">
                  <c:v>-0.48771300000000001</c:v>
                </c:pt>
                <c:pt idx="97" formatCode="General">
                  <c:v>-0.48771300000000001</c:v>
                </c:pt>
                <c:pt idx="98" formatCode="General">
                  <c:v>-0.48771300000000001</c:v>
                </c:pt>
                <c:pt idx="99" formatCode="General">
                  <c:v>-0.48771300000000001</c:v>
                </c:pt>
                <c:pt idx="100" formatCode="General">
                  <c:v>-0.48771300000000001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25554500</c:v>
                </c:pt>
                <c:pt idx="1">
                  <c:v>25554500</c:v>
                </c:pt>
                <c:pt idx="2">
                  <c:v>12948500</c:v>
                </c:pt>
                <c:pt idx="3">
                  <c:v>6466010</c:v>
                </c:pt>
                <c:pt idx="4">
                  <c:v>3180140</c:v>
                </c:pt>
                <c:pt idx="5">
                  <c:v>1539410</c:v>
                </c:pt>
                <c:pt idx="6">
                  <c:v>732897</c:v>
                </c:pt>
                <c:pt idx="7">
                  <c:v>342900</c:v>
                </c:pt>
                <c:pt idx="8">
                  <c:v>157523</c:v>
                </c:pt>
                <c:pt idx="9">
                  <c:v>70980.3</c:v>
                </c:pt>
                <c:pt idx="10">
                  <c:v>31337.9</c:v>
                </c:pt>
                <c:pt idx="11">
                  <c:v>13540.8</c:v>
                </c:pt>
                <c:pt idx="12">
                  <c:v>5721.12</c:v>
                </c:pt>
                <c:pt idx="13">
                  <c:v>2364.5300000000002</c:v>
                </c:pt>
                <c:pt idx="14">
                  <c:v>960.22900000000004</c:v>
                </c:pt>
                <c:pt idx="15" formatCode="General">
                  <c:v>389.28</c:v>
                </c:pt>
                <c:pt idx="16" formatCode="General">
                  <c:v>164.4</c:v>
                </c:pt>
                <c:pt idx="17" formatCode="General">
                  <c:v>78.684100000000001</c:v>
                </c:pt>
                <c:pt idx="18" formatCode="General">
                  <c:v>46.758699999999997</c:v>
                </c:pt>
                <c:pt idx="19" formatCode="General">
                  <c:v>34.577500000000001</c:v>
                </c:pt>
                <c:pt idx="20" formatCode="General">
                  <c:v>29.141200000000001</c:v>
                </c:pt>
                <c:pt idx="21" formatCode="General">
                  <c:v>25.7805</c:v>
                </c:pt>
                <c:pt idx="22" formatCode="General">
                  <c:v>22.975300000000001</c:v>
                </c:pt>
                <c:pt idx="23" formatCode="General">
                  <c:v>20.319600000000001</c:v>
                </c:pt>
                <c:pt idx="24" formatCode="General">
                  <c:v>17.760100000000001</c:v>
                </c:pt>
                <c:pt idx="25" formatCode="General">
                  <c:v>15.3301</c:v>
                </c:pt>
                <c:pt idx="26" formatCode="General">
                  <c:v>13.068300000000001</c:v>
                </c:pt>
                <c:pt idx="27" formatCode="General">
                  <c:v>10.9998</c:v>
                </c:pt>
                <c:pt idx="28" formatCode="General">
                  <c:v>9.1355199999999996</c:v>
                </c:pt>
                <c:pt idx="29" formatCode="General">
                  <c:v>7.4762000000000004</c:v>
                </c:pt>
                <c:pt idx="30" formatCode="General">
                  <c:v>6.0156200000000002</c:v>
                </c:pt>
                <c:pt idx="31" formatCode="General">
                  <c:v>4.7430300000000001</c:v>
                </c:pt>
                <c:pt idx="32" formatCode="General">
                  <c:v>3.6447600000000002</c:v>
                </c:pt>
                <c:pt idx="33" formatCode="General">
                  <c:v>2.7054299999999998</c:v>
                </c:pt>
                <c:pt idx="34" formatCode="General">
                  <c:v>1.9088499999999999</c:v>
                </c:pt>
                <c:pt idx="35" formatCode="General">
                  <c:v>1.23875</c:v>
                </c:pt>
                <c:pt idx="36" formatCode="General">
                  <c:v>0.67936700000000005</c:v>
                </c:pt>
                <c:pt idx="37" formatCode="General">
                  <c:v>0.21591199999999999</c:v>
                </c:pt>
                <c:pt idx="38" formatCode="General">
                  <c:v>-0.165186</c:v>
                </c:pt>
                <c:pt idx="39" formatCode="General">
                  <c:v>-0.47608400000000001</c:v>
                </c:pt>
                <c:pt idx="40" formatCode="General">
                  <c:v>-0.72748299999999999</c:v>
                </c:pt>
                <c:pt idx="41" formatCode="General">
                  <c:v>-0.92865699999999995</c:v>
                </c:pt>
                <c:pt idx="42" formatCode="General">
                  <c:v>-1.08754</c:v>
                </c:pt>
                <c:pt idx="43" formatCode="General">
                  <c:v>-1.21085</c:v>
                </c:pt>
                <c:pt idx="44" formatCode="General">
                  <c:v>-1.30426</c:v>
                </c:pt>
                <c:pt idx="45" formatCode="General">
                  <c:v>-1.37252</c:v>
                </c:pt>
                <c:pt idx="46" formatCode="General">
                  <c:v>-1.4196</c:v>
                </c:pt>
                <c:pt idx="47" formatCode="General">
                  <c:v>-1.4488700000000001</c:v>
                </c:pt>
                <c:pt idx="48" formatCode="General">
                  <c:v>-1.46315</c:v>
                </c:pt>
                <c:pt idx="49" formatCode="General">
                  <c:v>-1.46485</c:v>
                </c:pt>
                <c:pt idx="50" formatCode="General">
                  <c:v>-1.4560500000000001</c:v>
                </c:pt>
                <c:pt idx="51" formatCode="General">
                  <c:v>-1.4385300000000001</c:v>
                </c:pt>
                <c:pt idx="52" formatCode="General">
                  <c:v>-1.4138500000000001</c:v>
                </c:pt>
                <c:pt idx="53" formatCode="General">
                  <c:v>-1.38337</c:v>
                </c:pt>
                <c:pt idx="54" formatCode="General">
                  <c:v>-1.3482499999999999</c:v>
                </c:pt>
                <c:pt idx="55" formatCode="General">
                  <c:v>-1.3095300000000001</c:v>
                </c:pt>
                <c:pt idx="56" formatCode="General">
                  <c:v>-1.26807</c:v>
                </c:pt>
                <c:pt idx="57" formatCode="General">
                  <c:v>-1.22462</c:v>
                </c:pt>
                <c:pt idx="58" formatCode="General">
                  <c:v>-1.17977</c:v>
                </c:pt>
                <c:pt idx="59" formatCode="General">
                  <c:v>-1.1340300000000001</c:v>
                </c:pt>
                <c:pt idx="60" formatCode="General">
                  <c:v>-1.0877699999999999</c:v>
                </c:pt>
                <c:pt idx="61" formatCode="General">
                  <c:v>-1.04128</c:v>
                </c:pt>
                <c:pt idx="62" formatCode="General">
                  <c:v>-0.99475599999999997</c:v>
                </c:pt>
                <c:pt idx="63" formatCode="General">
                  <c:v>-0.94832399999999994</c:v>
                </c:pt>
                <c:pt idx="64" formatCode="General">
                  <c:v>-0.90203999999999995</c:v>
                </c:pt>
                <c:pt idx="65" formatCode="General">
                  <c:v>-0.85590999999999995</c:v>
                </c:pt>
                <c:pt idx="66" formatCode="General">
                  <c:v>-0.80990499999999999</c:v>
                </c:pt>
                <c:pt idx="67" formatCode="General">
                  <c:v>-0.76397300000000001</c:v>
                </c:pt>
                <c:pt idx="68" formatCode="General">
                  <c:v>-0.71805099999999999</c:v>
                </c:pt>
                <c:pt idx="69" formatCode="General">
                  <c:v>-0.67208500000000004</c:v>
                </c:pt>
                <c:pt idx="70" formatCode="General">
                  <c:v>-0.62603699999999995</c:v>
                </c:pt>
                <c:pt idx="71" formatCode="General">
                  <c:v>-0.579905</c:v>
                </c:pt>
                <c:pt idx="72" formatCode="General">
                  <c:v>-0.53372699999999995</c:v>
                </c:pt>
                <c:pt idx="73" formatCode="General">
                  <c:v>-0.48759000000000002</c:v>
                </c:pt>
                <c:pt idx="74" formatCode="General">
                  <c:v>-0.441631</c:v>
                </c:pt>
                <c:pt idx="75" formatCode="General">
                  <c:v>-0.39602799999999999</c:v>
                </c:pt>
                <c:pt idx="76" formatCode="General">
                  <c:v>-0.35099399999999997</c:v>
                </c:pt>
                <c:pt idx="77" formatCode="General">
                  <c:v>-0.306753</c:v>
                </c:pt>
                <c:pt idx="78" formatCode="General">
                  <c:v>-0.263517</c:v>
                </c:pt>
                <c:pt idx="79" formatCode="General">
                  <c:v>-0.22145500000000001</c:v>
                </c:pt>
                <c:pt idx="80" formatCode="General">
                  <c:v>-0.18066599999999999</c:v>
                </c:pt>
                <c:pt idx="81" formatCode="General">
                  <c:v>-0.14114699999999999</c:v>
                </c:pt>
                <c:pt idx="82" formatCode="General">
                  <c:v>-0.102773</c:v>
                </c:pt>
                <c:pt idx="83" formatCode="General">
                  <c:v>-6.52837E-2</c:v>
                </c:pt>
                <c:pt idx="84" formatCode="General">
                  <c:v>-2.8284299999999998E-2</c:v>
                </c:pt>
                <c:pt idx="85" formatCode="General">
                  <c:v>8.73408E-3</c:v>
                </c:pt>
                <c:pt idx="86" formatCode="General">
                  <c:v>4.6349099999999997E-2</c:v>
                </c:pt>
                <c:pt idx="87" formatCode="General">
                  <c:v>8.5127999999999995E-2</c:v>
                </c:pt>
                <c:pt idx="88" formatCode="General">
                  <c:v>0.125498</c:v>
                </c:pt>
                <c:pt idx="89" formatCode="General">
                  <c:v>0.16755200000000001</c:v>
                </c:pt>
                <c:pt idx="90" formatCode="General">
                  <c:v>0.21074699999999999</c:v>
                </c:pt>
                <c:pt idx="91" formatCode="General">
                  <c:v>0.25349100000000002</c:v>
                </c:pt>
                <c:pt idx="92" formatCode="General">
                  <c:v>0.29258299999999998</c:v>
                </c:pt>
                <c:pt idx="93" formatCode="General">
                  <c:v>0.32253300000000001</c:v>
                </c:pt>
                <c:pt idx="94" formatCode="General">
                  <c:v>0.334928</c:v>
                </c:pt>
                <c:pt idx="95" formatCode="General">
                  <c:v>0.334928</c:v>
                </c:pt>
                <c:pt idx="96" formatCode="General">
                  <c:v>0.334928</c:v>
                </c:pt>
                <c:pt idx="97" formatCode="General">
                  <c:v>0.334928</c:v>
                </c:pt>
                <c:pt idx="98" formatCode="General">
                  <c:v>0.334928</c:v>
                </c:pt>
                <c:pt idx="99" formatCode="General">
                  <c:v>0.334928</c:v>
                </c:pt>
                <c:pt idx="100" formatCode="General">
                  <c:v>0.334928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-97551800</c:v>
                </c:pt>
                <c:pt idx="1">
                  <c:v>-97551800</c:v>
                </c:pt>
                <c:pt idx="2">
                  <c:v>-48927600</c:v>
                </c:pt>
                <c:pt idx="3">
                  <c:v>-24131800</c:v>
                </c:pt>
                <c:pt idx="4">
                  <c:v>-11692200</c:v>
                </c:pt>
                <c:pt idx="5">
                  <c:v>-5558800</c:v>
                </c:pt>
                <c:pt idx="6">
                  <c:v>-2589980</c:v>
                </c:pt>
                <c:pt idx="7">
                  <c:v>-1180930</c:v>
                </c:pt>
                <c:pt idx="8" formatCode="General">
                  <c:v>-526106</c:v>
                </c:pt>
                <c:pt idx="9" formatCode="General">
                  <c:v>-228585</c:v>
                </c:pt>
                <c:pt idx="10" formatCode="General">
                  <c:v>-96655.5</c:v>
                </c:pt>
                <c:pt idx="11" formatCode="General">
                  <c:v>-39674</c:v>
                </c:pt>
                <c:pt idx="12" formatCode="General">
                  <c:v>-15757.4</c:v>
                </c:pt>
                <c:pt idx="13" formatCode="General">
                  <c:v>-6028.26</c:v>
                </c:pt>
                <c:pt idx="14" formatCode="General">
                  <c:v>-2204.84</c:v>
                </c:pt>
                <c:pt idx="15" formatCode="General">
                  <c:v>-759.3</c:v>
                </c:pt>
                <c:pt idx="16" formatCode="General">
                  <c:v>-236.666</c:v>
                </c:pt>
                <c:pt idx="17" formatCode="General">
                  <c:v>-57.8767</c:v>
                </c:pt>
                <c:pt idx="18" formatCode="General">
                  <c:v>-1.40744</c:v>
                </c:pt>
                <c:pt idx="19" formatCode="General">
                  <c:v>13.831200000000001</c:v>
                </c:pt>
                <c:pt idx="20" formatCode="General">
                  <c:v>16.091000000000001</c:v>
                </c:pt>
                <c:pt idx="21" formatCode="General">
                  <c:v>14.6806</c:v>
                </c:pt>
                <c:pt idx="22" formatCode="General">
                  <c:v>12.4764</c:v>
                </c:pt>
                <c:pt idx="23" formatCode="General">
                  <c:v>10.2987</c:v>
                </c:pt>
                <c:pt idx="24" formatCode="General">
                  <c:v>8.3519799999999993</c:v>
                </c:pt>
                <c:pt idx="25" formatCode="General">
                  <c:v>6.66805</c:v>
                </c:pt>
                <c:pt idx="26" formatCode="General">
                  <c:v>5.2328599999999996</c:v>
                </c:pt>
                <c:pt idx="27" formatCode="General">
                  <c:v>4.0210100000000004</c:v>
                </c:pt>
                <c:pt idx="28" formatCode="General">
                  <c:v>3.0051899999999998</c:v>
                </c:pt>
                <c:pt idx="29" formatCode="General">
                  <c:v>2.1591900000000002</c:v>
                </c:pt>
                <c:pt idx="30" formatCode="General">
                  <c:v>1.4589799999999999</c:v>
                </c:pt>
                <c:pt idx="31" formatCode="General">
                  <c:v>0.88315600000000005</c:v>
                </c:pt>
                <c:pt idx="32" formatCode="General">
                  <c:v>0.41299200000000003</c:v>
                </c:pt>
                <c:pt idx="33" formatCode="General">
                  <c:v>3.2294200000000002E-2</c:v>
                </c:pt>
                <c:pt idx="34" formatCode="General">
                  <c:v>-0.272839</c:v>
                </c:pt>
                <c:pt idx="35" formatCode="General">
                  <c:v>-0.51429000000000002</c:v>
                </c:pt>
                <c:pt idx="36" formatCode="General">
                  <c:v>-0.70219299999999996</c:v>
                </c:pt>
                <c:pt idx="37" formatCode="General">
                  <c:v>-0.84517299999999995</c:v>
                </c:pt>
                <c:pt idx="38" formatCode="General">
                  <c:v>-0.95056499999999999</c:v>
                </c:pt>
                <c:pt idx="39" formatCode="General">
                  <c:v>-1.0246</c:v>
                </c:pt>
                <c:pt idx="40" formatCode="General">
                  <c:v>-1.0725499999999999</c:v>
                </c:pt>
                <c:pt idx="41" formatCode="General">
                  <c:v>-1.0988800000000001</c:v>
                </c:pt>
                <c:pt idx="42" formatCode="General">
                  <c:v>-1.10737</c:v>
                </c:pt>
                <c:pt idx="43" formatCode="General">
                  <c:v>-1.10118</c:v>
                </c:pt>
                <c:pt idx="44" formatCode="General">
                  <c:v>-1.0829899999999999</c:v>
                </c:pt>
                <c:pt idx="45" formatCode="General">
                  <c:v>-1.0550200000000001</c:v>
                </c:pt>
                <c:pt idx="46" formatCode="General">
                  <c:v>-1.0191600000000001</c:v>
                </c:pt>
                <c:pt idx="47" formatCode="General">
                  <c:v>-0.97701199999999999</c:v>
                </c:pt>
                <c:pt idx="48" formatCode="General">
                  <c:v>-0.92989900000000003</c:v>
                </c:pt>
                <c:pt idx="49" formatCode="General">
                  <c:v>-0.87895900000000005</c:v>
                </c:pt>
                <c:pt idx="50" formatCode="General">
                  <c:v>-0.82515499999999997</c:v>
                </c:pt>
                <c:pt idx="51" formatCode="General">
                  <c:v>-0.76930200000000004</c:v>
                </c:pt>
                <c:pt idx="52" formatCode="General">
                  <c:v>-0.71209299999999998</c:v>
                </c:pt>
                <c:pt idx="53" formatCode="General">
                  <c:v>-0.65410800000000002</c:v>
                </c:pt>
                <c:pt idx="54" formatCode="General">
                  <c:v>-0.59583200000000003</c:v>
                </c:pt>
                <c:pt idx="55" formatCode="General">
                  <c:v>-0.537663</c:v>
                </c:pt>
                <c:pt idx="56" formatCode="General">
                  <c:v>-0.47991899999999998</c:v>
                </c:pt>
                <c:pt idx="57" formatCode="General">
                  <c:v>-0.42284699999999997</c:v>
                </c:pt>
                <c:pt idx="58" formatCode="General">
                  <c:v>-0.36663099999999998</c:v>
                </c:pt>
                <c:pt idx="59" formatCode="General">
                  <c:v>-0.31139699999999998</c:v>
                </c:pt>
                <c:pt idx="60" formatCode="General">
                  <c:v>-0.25722400000000001</c:v>
                </c:pt>
                <c:pt idx="61" formatCode="General">
                  <c:v>-0.20415</c:v>
                </c:pt>
                <c:pt idx="62" formatCode="General">
                  <c:v>-0.15218100000000001</c:v>
                </c:pt>
                <c:pt idx="63" formatCode="General">
                  <c:v>-0.101296</c:v>
                </c:pt>
                <c:pt idx="64" formatCode="General">
                  <c:v>-5.1460400000000003E-2</c:v>
                </c:pt>
                <c:pt idx="65" formatCode="General">
                  <c:v>-2.6267299999999999E-3</c:v>
                </c:pt>
                <c:pt idx="66" formatCode="General">
                  <c:v>4.5253099999999997E-2</c:v>
                </c:pt>
                <c:pt idx="67" formatCode="General">
                  <c:v>9.2223299999999994E-2</c:v>
                </c:pt>
                <c:pt idx="68" formatCode="General">
                  <c:v>0.138318</c:v>
                </c:pt>
                <c:pt idx="69" formatCode="General">
                  <c:v>0.183555</c:v>
                </c:pt>
                <c:pt idx="70" formatCode="General">
                  <c:v>0.227935</c:v>
                </c:pt>
                <c:pt idx="71" formatCode="General">
                  <c:v>0.27143499999999998</c:v>
                </c:pt>
                <c:pt idx="72" formatCode="General">
                  <c:v>0.31401299999999999</c:v>
                </c:pt>
                <c:pt idx="73" formatCode="General">
                  <c:v>0.35560799999999998</c:v>
                </c:pt>
                <c:pt idx="74" formatCode="General">
                  <c:v>0.39614300000000002</c:v>
                </c:pt>
                <c:pt idx="75" formatCode="General">
                  <c:v>0.43553500000000001</c:v>
                </c:pt>
                <c:pt idx="76" formatCode="General">
                  <c:v>0.47370299999999999</c:v>
                </c:pt>
                <c:pt idx="77" formatCode="General">
                  <c:v>0.51057799999999998</c:v>
                </c:pt>
                <c:pt idx="78" formatCode="General">
                  <c:v>0.54611799999999999</c:v>
                </c:pt>
                <c:pt idx="79" formatCode="General">
                  <c:v>0.580314</c:v>
                </c:pt>
                <c:pt idx="80" formatCode="General">
                  <c:v>0.61321000000000003</c:v>
                </c:pt>
                <c:pt idx="81" formatCode="General">
                  <c:v>0.64490000000000003</c:v>
                </c:pt>
                <c:pt idx="82" formatCode="General">
                  <c:v>0.675539</c:v>
                </c:pt>
                <c:pt idx="83" formatCode="General">
                  <c:v>0.70533999999999997</c:v>
                </c:pt>
                <c:pt idx="84" formatCode="General">
                  <c:v>0.73456100000000002</c:v>
                </c:pt>
                <c:pt idx="85" formatCode="General">
                  <c:v>0.76348700000000003</c:v>
                </c:pt>
                <c:pt idx="86" formatCode="General">
                  <c:v>0.79239499999999996</c:v>
                </c:pt>
                <c:pt idx="87" formatCode="General">
                  <c:v>0.82150100000000004</c:v>
                </c:pt>
                <c:pt idx="88" formatCode="General">
                  <c:v>0.85088900000000001</c:v>
                </c:pt>
                <c:pt idx="89" formatCode="General">
                  <c:v>0.88040300000000005</c:v>
                </c:pt>
                <c:pt idx="90" formatCode="General">
                  <c:v>0.90950699999999995</c:v>
                </c:pt>
                <c:pt idx="91" formatCode="General">
                  <c:v>0.93710099999999996</c:v>
                </c:pt>
                <c:pt idx="92" formatCode="General">
                  <c:v>0.96129299999999995</c:v>
                </c:pt>
                <c:pt idx="93" formatCode="General">
                  <c:v>0.97912500000000002</c:v>
                </c:pt>
                <c:pt idx="94" formatCode="General">
                  <c:v>0.98628800000000005</c:v>
                </c:pt>
                <c:pt idx="95" formatCode="General">
                  <c:v>0.98628800000000005</c:v>
                </c:pt>
                <c:pt idx="96" formatCode="General">
                  <c:v>0.98628800000000005</c:v>
                </c:pt>
                <c:pt idx="97" formatCode="General">
                  <c:v>0.98628800000000005</c:v>
                </c:pt>
                <c:pt idx="98" formatCode="General">
                  <c:v>0.98628800000000005</c:v>
                </c:pt>
                <c:pt idx="99" formatCode="General">
                  <c:v>0.98628800000000005</c:v>
                </c:pt>
                <c:pt idx="100" formatCode="General">
                  <c:v>0.98628800000000005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-1013690</c:v>
                </c:pt>
                <c:pt idx="1">
                  <c:v>-1013690</c:v>
                </c:pt>
                <c:pt idx="2">
                  <c:v>-580766</c:v>
                </c:pt>
                <c:pt idx="3">
                  <c:v>-329484</c:v>
                </c:pt>
                <c:pt idx="4" formatCode="General">
                  <c:v>-185064</c:v>
                </c:pt>
                <c:pt idx="5" formatCode="General">
                  <c:v>-102893</c:v>
                </c:pt>
                <c:pt idx="6" formatCode="General">
                  <c:v>-56617.5</c:v>
                </c:pt>
                <c:pt idx="7" formatCode="General">
                  <c:v>-30828.1</c:v>
                </c:pt>
                <c:pt idx="8" formatCode="General">
                  <c:v>-16607.599999999999</c:v>
                </c:pt>
                <c:pt idx="9" formatCode="General">
                  <c:v>-8850.06</c:v>
                </c:pt>
                <c:pt idx="10" formatCode="General">
                  <c:v>-4663.95</c:v>
                </c:pt>
                <c:pt idx="11" formatCode="General">
                  <c:v>-2429.66</c:v>
                </c:pt>
                <c:pt idx="12" formatCode="General">
                  <c:v>-1250.26</c:v>
                </c:pt>
                <c:pt idx="13" formatCode="General">
                  <c:v>-634.65499999999997</c:v>
                </c:pt>
                <c:pt idx="14" formatCode="General">
                  <c:v>-317.04399999999998</c:v>
                </c:pt>
                <c:pt idx="15" formatCode="General">
                  <c:v>-155.19200000000001</c:v>
                </c:pt>
                <c:pt idx="16" formatCode="General">
                  <c:v>-73.854500000000002</c:v>
                </c:pt>
                <c:pt idx="17" formatCode="General">
                  <c:v>-33.6706</c:v>
                </c:pt>
                <c:pt idx="18" formatCode="General">
                  <c:v>-14.276999999999999</c:v>
                </c:pt>
                <c:pt idx="19" formatCode="General">
                  <c:v>-5.2523600000000004</c:v>
                </c:pt>
                <c:pt idx="20" formatCode="General">
                  <c:v>-1.3202799999999999</c:v>
                </c:pt>
                <c:pt idx="21" formatCode="General">
                  <c:v>0.16178500000000001</c:v>
                </c:pt>
                <c:pt idx="22" formatCode="General">
                  <c:v>0.50190000000000001</c:v>
                </c:pt>
                <c:pt idx="23" formatCode="General">
                  <c:v>0.33877400000000002</c:v>
                </c:pt>
                <c:pt idx="24" formatCode="General">
                  <c:v>-2.13718E-2</c:v>
                </c:pt>
                <c:pt idx="25" formatCode="General">
                  <c:v>-0.43582599999999999</c:v>
                </c:pt>
                <c:pt idx="26" formatCode="General">
                  <c:v>-0.84139399999999998</c:v>
                </c:pt>
                <c:pt idx="27" formatCode="General">
                  <c:v>-1.21302</c:v>
                </c:pt>
                <c:pt idx="28" formatCode="General">
                  <c:v>-1.54355</c:v>
                </c:pt>
                <c:pt idx="29" formatCode="General">
                  <c:v>-1.8339099999999999</c:v>
                </c:pt>
                <c:pt idx="30" formatCode="General">
                  <c:v>-2.0884</c:v>
                </c:pt>
                <c:pt idx="31" formatCode="General">
                  <c:v>-2.3123900000000002</c:v>
                </c:pt>
                <c:pt idx="32" formatCode="General">
                  <c:v>-2.5112700000000001</c:v>
                </c:pt>
                <c:pt idx="33" formatCode="General">
                  <c:v>-2.6899099999999998</c:v>
                </c:pt>
                <c:pt idx="34" formatCode="General">
                  <c:v>-2.8525299999999998</c:v>
                </c:pt>
                <c:pt idx="35" formatCode="General">
                  <c:v>-3.0025300000000001</c:v>
                </c:pt>
                <c:pt idx="36" formatCode="General">
                  <c:v>-3.14263</c:v>
                </c:pt>
                <c:pt idx="37" formatCode="General">
                  <c:v>-3.2748499999999998</c:v>
                </c:pt>
                <c:pt idx="38" formatCode="General">
                  <c:v>-3.4006099999999999</c:v>
                </c:pt>
                <c:pt idx="39" formatCode="General">
                  <c:v>-3.52088</c:v>
                </c:pt>
                <c:pt idx="40" formatCode="General">
                  <c:v>-3.63625</c:v>
                </c:pt>
                <c:pt idx="41" formatCode="General">
                  <c:v>-3.74701</c:v>
                </c:pt>
                <c:pt idx="42" formatCode="General">
                  <c:v>-3.8532799999999998</c:v>
                </c:pt>
                <c:pt idx="43" formatCode="General">
                  <c:v>-3.95505</c:v>
                </c:pt>
                <c:pt idx="44" formatCode="General">
                  <c:v>-4.0522400000000003</c:v>
                </c:pt>
                <c:pt idx="45" formatCode="General">
                  <c:v>-4.1447599999999998</c:v>
                </c:pt>
                <c:pt idx="46" formatCode="General">
                  <c:v>-4.2325299999999997</c:v>
                </c:pt>
                <c:pt idx="47" formatCode="General">
                  <c:v>-4.3155099999999997</c:v>
                </c:pt>
                <c:pt idx="48" formatCode="General">
                  <c:v>-4.3936900000000003</c:v>
                </c:pt>
                <c:pt idx="49" formatCode="General">
                  <c:v>-4.4671200000000004</c:v>
                </c:pt>
                <c:pt idx="50" formatCode="General">
                  <c:v>-4.5358799999999997</c:v>
                </c:pt>
                <c:pt idx="51" formatCode="General">
                  <c:v>-4.6001099999999999</c:v>
                </c:pt>
                <c:pt idx="52" formatCode="General">
                  <c:v>-4.6599700000000004</c:v>
                </c:pt>
                <c:pt idx="53" formatCode="General">
                  <c:v>-4.7156700000000003</c:v>
                </c:pt>
                <c:pt idx="54" formatCode="General">
                  <c:v>-4.7674000000000003</c:v>
                </c:pt>
                <c:pt idx="55" formatCode="General">
                  <c:v>-4.81541</c:v>
                </c:pt>
                <c:pt idx="56" formatCode="General">
                  <c:v>-4.8599100000000002</c:v>
                </c:pt>
                <c:pt idx="57" formatCode="General">
                  <c:v>-4.9011399999999998</c:v>
                </c:pt>
                <c:pt idx="58" formatCode="General">
                  <c:v>-4.9393200000000004</c:v>
                </c:pt>
                <c:pt idx="59" formatCode="General">
                  <c:v>-4.9746800000000002</c:v>
                </c:pt>
                <c:pt idx="60" formatCode="General">
                  <c:v>-5.0073999999999996</c:v>
                </c:pt>
                <c:pt idx="61" formatCode="General">
                  <c:v>-5.0376799999999999</c:v>
                </c:pt>
                <c:pt idx="62" formatCode="General">
                  <c:v>-5.0656999999999996</c:v>
                </c:pt>
                <c:pt idx="63" formatCode="General">
                  <c:v>-5.0916100000000002</c:v>
                </c:pt>
                <c:pt idx="64" formatCode="General">
                  <c:v>-5.1155600000000003</c:v>
                </c:pt>
                <c:pt idx="65" formatCode="General">
                  <c:v>-5.1376799999999996</c:v>
                </c:pt>
                <c:pt idx="66" formatCode="General">
                  <c:v>-5.1581000000000001</c:v>
                </c:pt>
                <c:pt idx="67" formatCode="General">
                  <c:v>-5.1769299999999996</c:v>
                </c:pt>
                <c:pt idx="68" formatCode="General">
                  <c:v>-5.1942700000000004</c:v>
                </c:pt>
                <c:pt idx="69" formatCode="General">
                  <c:v>-5.2102300000000001</c:v>
                </c:pt>
                <c:pt idx="70" formatCode="General">
                  <c:v>-5.2249100000000004</c:v>
                </c:pt>
                <c:pt idx="71" formatCode="General">
                  <c:v>-5.2384000000000004</c:v>
                </c:pt>
                <c:pt idx="72" formatCode="General">
                  <c:v>-5.2507900000000003</c:v>
                </c:pt>
                <c:pt idx="73" formatCode="General">
                  <c:v>-5.2621900000000004</c:v>
                </c:pt>
                <c:pt idx="74" formatCode="General">
                  <c:v>-5.2726899999999999</c:v>
                </c:pt>
                <c:pt idx="75" formatCode="General">
                  <c:v>-5.2823799999999999</c:v>
                </c:pt>
                <c:pt idx="76" formatCode="General">
                  <c:v>-5.2913600000000001</c:v>
                </c:pt>
                <c:pt idx="77" formatCode="General">
                  <c:v>-5.29969</c:v>
                </c:pt>
                <c:pt idx="78" formatCode="General">
                  <c:v>-5.3074700000000004</c:v>
                </c:pt>
                <c:pt idx="79" formatCode="General">
                  <c:v>-5.3147399999999996</c:v>
                </c:pt>
                <c:pt idx="80" formatCode="General">
                  <c:v>-5.3215700000000004</c:v>
                </c:pt>
                <c:pt idx="81" formatCode="General">
                  <c:v>-5.3279699999999997</c:v>
                </c:pt>
                <c:pt idx="82" formatCode="General">
                  <c:v>-5.3339600000000003</c:v>
                </c:pt>
                <c:pt idx="83" formatCode="General">
                  <c:v>-5.3395099999999998</c:v>
                </c:pt>
                <c:pt idx="84" formatCode="General">
                  <c:v>-5.3445900000000002</c:v>
                </c:pt>
                <c:pt idx="85" formatCode="General">
                  <c:v>-5.3491299999999997</c:v>
                </c:pt>
                <c:pt idx="86" formatCode="General">
                  <c:v>-5.35304</c:v>
                </c:pt>
                <c:pt idx="87" formatCode="General">
                  <c:v>-5.3562399999999997</c:v>
                </c:pt>
                <c:pt idx="88" formatCode="General">
                  <c:v>-5.3586299999999998</c:v>
                </c:pt>
                <c:pt idx="89" formatCode="General">
                  <c:v>-5.3601599999999996</c:v>
                </c:pt>
                <c:pt idx="90" formatCode="General">
                  <c:v>-5.3608099999999999</c:v>
                </c:pt>
                <c:pt idx="91" formatCode="General">
                  <c:v>-5.3606400000000001</c:v>
                </c:pt>
                <c:pt idx="92" formatCode="General">
                  <c:v>-5.3598600000000003</c:v>
                </c:pt>
                <c:pt idx="93" formatCode="General">
                  <c:v>-5.3588699999999996</c:v>
                </c:pt>
                <c:pt idx="94" formatCode="General">
                  <c:v>-5.3583299999999996</c:v>
                </c:pt>
                <c:pt idx="95" formatCode="General">
                  <c:v>-5.3583299999999996</c:v>
                </c:pt>
                <c:pt idx="96" formatCode="General">
                  <c:v>-5.3583299999999996</c:v>
                </c:pt>
                <c:pt idx="97" formatCode="General">
                  <c:v>-5.3583299999999996</c:v>
                </c:pt>
                <c:pt idx="98" formatCode="General">
                  <c:v>-5.3583299999999996</c:v>
                </c:pt>
                <c:pt idx="99" formatCode="General">
                  <c:v>-5.3583299999999996</c:v>
                </c:pt>
                <c:pt idx="100" formatCode="General">
                  <c:v>-5.3583299999999996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-569268000</c:v>
                </c:pt>
                <c:pt idx="1">
                  <c:v>-569268000</c:v>
                </c:pt>
                <c:pt idx="2">
                  <c:v>-315534000</c:v>
                </c:pt>
                <c:pt idx="3">
                  <c:v>-172530000</c:v>
                </c:pt>
                <c:pt idx="4">
                  <c:v>-92986600</c:v>
                </c:pt>
                <c:pt idx="5">
                  <c:v>-49355500</c:v>
                </c:pt>
                <c:pt idx="6">
                  <c:v>-25774400</c:v>
                </c:pt>
                <c:pt idx="7">
                  <c:v>-13228500</c:v>
                </c:pt>
                <c:pt idx="8">
                  <c:v>-6664680</c:v>
                </c:pt>
                <c:pt idx="9">
                  <c:v>-3291630</c:v>
                </c:pt>
                <c:pt idx="10">
                  <c:v>-1591280</c:v>
                </c:pt>
                <c:pt idx="11">
                  <c:v>-751694</c:v>
                </c:pt>
                <c:pt idx="12" formatCode="General">
                  <c:v>-346286</c:v>
                </c:pt>
                <c:pt idx="13" formatCode="General">
                  <c:v>-155213</c:v>
                </c:pt>
                <c:pt idx="14" formatCode="General">
                  <c:v>-67503.100000000006</c:v>
                </c:pt>
                <c:pt idx="15" formatCode="General">
                  <c:v>-28387</c:v>
                </c:pt>
                <c:pt idx="16" formatCode="General">
                  <c:v>-11488.7</c:v>
                </c:pt>
                <c:pt idx="17" formatCode="General">
                  <c:v>-4442.3100000000004</c:v>
                </c:pt>
                <c:pt idx="18" formatCode="General">
                  <c:v>-1619.03</c:v>
                </c:pt>
                <c:pt idx="19" formatCode="General">
                  <c:v>-538.96799999999996</c:v>
                </c:pt>
                <c:pt idx="20" formatCode="General">
                  <c:v>-148.55099999999999</c:v>
                </c:pt>
                <c:pt idx="21" formatCode="General">
                  <c:v>-18.0288</c:v>
                </c:pt>
                <c:pt idx="22" formatCode="General">
                  <c:v>20.014299999999999</c:v>
                </c:pt>
                <c:pt idx="23" formatCode="General">
                  <c:v>27.467600000000001</c:v>
                </c:pt>
                <c:pt idx="24" formatCode="General">
                  <c:v>25.858699999999999</c:v>
                </c:pt>
                <c:pt idx="25" formatCode="General">
                  <c:v>22.145800000000001</c:v>
                </c:pt>
                <c:pt idx="26" formatCode="General">
                  <c:v>18.367100000000001</c:v>
                </c:pt>
                <c:pt idx="27" formatCode="General">
                  <c:v>15.023999999999999</c:v>
                </c:pt>
                <c:pt idx="28" formatCode="General">
                  <c:v>12.181800000000001</c:v>
                </c:pt>
                <c:pt idx="29" formatCode="General">
                  <c:v>9.7974200000000007</c:v>
                </c:pt>
                <c:pt idx="30" formatCode="General">
                  <c:v>7.8090700000000002</c:v>
                </c:pt>
                <c:pt idx="31" formatCode="General">
                  <c:v>6.1571400000000001</c:v>
                </c:pt>
                <c:pt idx="32" formatCode="General">
                  <c:v>4.7886100000000003</c:v>
                </c:pt>
                <c:pt idx="33" formatCode="General">
                  <c:v>3.6572200000000001</c:v>
                </c:pt>
                <c:pt idx="34" formatCode="General">
                  <c:v>2.7228300000000001</c:v>
                </c:pt>
                <c:pt idx="35" formatCode="General">
                  <c:v>1.95078</c:v>
                </c:pt>
                <c:pt idx="36" formatCode="General">
                  <c:v>1.31145</c:v>
                </c:pt>
                <c:pt idx="37" formatCode="General">
                  <c:v>0.77986299999999997</c:v>
                </c:pt>
                <c:pt idx="38" formatCode="General">
                  <c:v>0.33531499999999997</c:v>
                </c:pt>
                <c:pt idx="39" formatCode="General">
                  <c:v>-3.9064500000000002E-2</c:v>
                </c:pt>
                <c:pt idx="40" formatCode="General">
                  <c:v>-0.35685099999999997</c:v>
                </c:pt>
                <c:pt idx="41" formatCode="General">
                  <c:v>-0.62888999999999995</c:v>
                </c:pt>
                <c:pt idx="42" formatCode="General">
                  <c:v>-0.86384099999999997</c:v>
                </c:pt>
                <c:pt idx="43" formatCode="General">
                  <c:v>-1.0686500000000001</c:v>
                </c:pt>
                <c:pt idx="44" formatCode="General">
                  <c:v>-1.24892</c:v>
                </c:pt>
                <c:pt idx="45" formatCode="General">
                  <c:v>-1.4092100000000001</c:v>
                </c:pt>
                <c:pt idx="46" formatCode="General">
                  <c:v>-1.55321</c:v>
                </c:pt>
                <c:pt idx="47" formatCode="General">
                  <c:v>-1.68388</c:v>
                </c:pt>
                <c:pt idx="48" formatCode="General">
                  <c:v>-1.8035699999999999</c:v>
                </c:pt>
                <c:pt idx="49" formatCode="General">
                  <c:v>-1.91412</c:v>
                </c:pt>
                <c:pt idx="50" formatCode="General">
                  <c:v>-2.0169100000000002</c:v>
                </c:pt>
                <c:pt idx="51" formatCode="General">
                  <c:v>-2.1129600000000002</c:v>
                </c:pt>
                <c:pt idx="52" formatCode="General">
                  <c:v>-2.2029899999999998</c:v>
                </c:pt>
                <c:pt idx="53" formatCode="General">
                  <c:v>-2.2875100000000002</c:v>
                </c:pt>
                <c:pt idx="54" formatCode="General">
                  <c:v>-2.3669099999999998</c:v>
                </c:pt>
                <c:pt idx="55" formatCode="General">
                  <c:v>-2.4414400000000001</c:v>
                </c:pt>
                <c:pt idx="56" formatCode="General">
                  <c:v>-2.5113400000000001</c:v>
                </c:pt>
                <c:pt idx="57" formatCode="General">
                  <c:v>-2.57681</c:v>
                </c:pt>
                <c:pt idx="58" formatCode="General">
                  <c:v>-2.6381000000000001</c:v>
                </c:pt>
                <c:pt idx="59" formatCode="General">
                  <c:v>-2.6954600000000002</c:v>
                </c:pt>
                <c:pt idx="60" formatCode="General">
                  <c:v>-2.7491599999999998</c:v>
                </c:pt>
                <c:pt idx="61" formatCode="General">
                  <c:v>-2.7995299999999999</c:v>
                </c:pt>
                <c:pt idx="62" formatCode="General">
                  <c:v>-2.8468900000000001</c:v>
                </c:pt>
                <c:pt idx="63" formatCode="General">
                  <c:v>-2.89161</c:v>
                </c:pt>
                <c:pt idx="64" formatCode="General">
                  <c:v>-2.9340199999999999</c:v>
                </c:pt>
                <c:pt idx="65" formatCode="General">
                  <c:v>-2.9744799999999998</c:v>
                </c:pt>
                <c:pt idx="66" formatCode="General">
                  <c:v>-3.01329</c:v>
                </c:pt>
                <c:pt idx="67" formatCode="General">
                  <c:v>-3.0507499999999999</c:v>
                </c:pt>
                <c:pt idx="68" formatCode="General">
                  <c:v>-3.0870799999999998</c:v>
                </c:pt>
                <c:pt idx="69" formatCode="General">
                  <c:v>-3.1224699999999999</c:v>
                </c:pt>
                <c:pt idx="70" formatCode="General">
                  <c:v>-3.15706</c:v>
                </c:pt>
                <c:pt idx="71" formatCode="General">
                  <c:v>-3.1909299999999998</c:v>
                </c:pt>
                <c:pt idx="72" formatCode="General">
                  <c:v>-3.2240799999999998</c:v>
                </c:pt>
                <c:pt idx="73" formatCode="General">
                  <c:v>-3.25651</c:v>
                </c:pt>
                <c:pt idx="74" formatCode="General">
                  <c:v>-3.2881300000000002</c:v>
                </c:pt>
                <c:pt idx="75" formatCode="General">
                  <c:v>-3.31887</c:v>
                </c:pt>
                <c:pt idx="76" formatCode="General">
                  <c:v>-3.3485999999999998</c:v>
                </c:pt>
                <c:pt idx="77" formatCode="General">
                  <c:v>-3.3772199999999999</c:v>
                </c:pt>
                <c:pt idx="78" formatCode="General">
                  <c:v>-3.40463</c:v>
                </c:pt>
                <c:pt idx="79" formatCode="General">
                  <c:v>-3.4307599999999998</c:v>
                </c:pt>
                <c:pt idx="80" formatCode="General">
                  <c:v>-3.4555899999999999</c:v>
                </c:pt>
                <c:pt idx="81" formatCode="General">
                  <c:v>-3.4791500000000002</c:v>
                </c:pt>
                <c:pt idx="82" formatCode="General">
                  <c:v>-3.5015399999999999</c:v>
                </c:pt>
                <c:pt idx="83" formatCode="General">
                  <c:v>-3.52291</c:v>
                </c:pt>
                <c:pt idx="84" formatCode="General">
                  <c:v>-3.5434600000000001</c:v>
                </c:pt>
                <c:pt idx="85" formatCode="General">
                  <c:v>-3.56345</c:v>
                </c:pt>
                <c:pt idx="86" formatCode="General">
                  <c:v>-3.5831400000000002</c:v>
                </c:pt>
                <c:pt idx="87" formatCode="General">
                  <c:v>-3.6027499999999999</c:v>
                </c:pt>
                <c:pt idx="88" formatCode="General">
                  <c:v>-3.62242</c:v>
                </c:pt>
                <c:pt idx="89" formatCode="General">
                  <c:v>-3.6421100000000002</c:v>
                </c:pt>
                <c:pt idx="90" formatCode="General">
                  <c:v>-3.66153</c:v>
                </c:pt>
                <c:pt idx="91" formatCode="General">
                  <c:v>-3.67998</c:v>
                </c:pt>
                <c:pt idx="92" formatCode="General">
                  <c:v>-3.6962000000000002</c:v>
                </c:pt>
                <c:pt idx="93" formatCode="General">
                  <c:v>-3.7082000000000002</c:v>
                </c:pt>
                <c:pt idx="94" formatCode="General">
                  <c:v>-3.71305</c:v>
                </c:pt>
                <c:pt idx="95" formatCode="General">
                  <c:v>-3.71305</c:v>
                </c:pt>
                <c:pt idx="96" formatCode="General">
                  <c:v>-3.71305</c:v>
                </c:pt>
                <c:pt idx="97" formatCode="General">
                  <c:v>-3.71305</c:v>
                </c:pt>
                <c:pt idx="98" formatCode="General">
                  <c:v>-3.71305</c:v>
                </c:pt>
                <c:pt idx="99" formatCode="General">
                  <c:v>-3.71305</c:v>
                </c:pt>
                <c:pt idx="100" formatCode="General">
                  <c:v>-3.71305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-32063000</c:v>
                </c:pt>
                <c:pt idx="1">
                  <c:v>-32063000</c:v>
                </c:pt>
                <c:pt idx="2">
                  <c:v>-16996600</c:v>
                </c:pt>
                <c:pt idx="3">
                  <c:v>-8898340</c:v>
                </c:pt>
                <c:pt idx="4">
                  <c:v>-4599340</c:v>
                </c:pt>
                <c:pt idx="5">
                  <c:v>-2346320</c:v>
                </c:pt>
                <c:pt idx="6">
                  <c:v>-1181070</c:v>
                </c:pt>
                <c:pt idx="7">
                  <c:v>-586540</c:v>
                </c:pt>
                <c:pt idx="8">
                  <c:v>-287367</c:v>
                </c:pt>
                <c:pt idx="9">
                  <c:v>-138918</c:v>
                </c:pt>
                <c:pt idx="10">
                  <c:v>-66286.7</c:v>
                </c:pt>
                <c:pt idx="11">
                  <c:v>-31240.799999999999</c:v>
                </c:pt>
                <c:pt idx="12">
                  <c:v>-14557</c:v>
                </c:pt>
                <c:pt idx="13">
                  <c:v>-6715.06</c:v>
                </c:pt>
                <c:pt idx="14">
                  <c:v>-3071.34</c:v>
                </c:pt>
                <c:pt idx="15" formatCode="General">
                  <c:v>-1394.97</c:v>
                </c:pt>
                <c:pt idx="16" formatCode="General">
                  <c:v>-629.71600000000001</c:v>
                </c:pt>
                <c:pt idx="17" formatCode="General">
                  <c:v>-282.26799999999997</c:v>
                </c:pt>
                <c:pt idx="18" formatCode="General">
                  <c:v>-125.01900000000001</c:v>
                </c:pt>
                <c:pt idx="19" formatCode="General">
                  <c:v>-53.9895</c:v>
                </c:pt>
                <c:pt idx="20" formatCode="General">
                  <c:v>-22.009</c:v>
                </c:pt>
                <c:pt idx="21" formatCode="General">
                  <c:v>-7.7479300000000002</c:v>
                </c:pt>
                <c:pt idx="22" formatCode="General">
                  <c:v>-1.55263</c:v>
                </c:pt>
                <c:pt idx="23" formatCode="General">
                  <c:v>0.96730899999999997</c:v>
                </c:pt>
                <c:pt idx="24" formatCode="General">
                  <c:v>1.8240799999999999</c:v>
                </c:pt>
                <c:pt idx="25" formatCode="General">
                  <c:v>1.9471400000000001</c:v>
                </c:pt>
                <c:pt idx="26" formatCode="General">
                  <c:v>1.7673099999999999</c:v>
                </c:pt>
                <c:pt idx="27" formatCode="General">
                  <c:v>1.4826299999999999</c:v>
                </c:pt>
                <c:pt idx="28" formatCode="General">
                  <c:v>1.1812400000000001</c:v>
                </c:pt>
                <c:pt idx="29" formatCode="General">
                  <c:v>0.89917100000000005</c:v>
                </c:pt>
                <c:pt idx="30" formatCode="General">
                  <c:v>0.64807000000000003</c:v>
                </c:pt>
                <c:pt idx="31" formatCode="General">
                  <c:v>0.42869499999999999</c:v>
                </c:pt>
                <c:pt idx="32" formatCode="General">
                  <c:v>0.237482</c:v>
                </c:pt>
                <c:pt idx="33" formatCode="General">
                  <c:v>6.9686700000000004E-2</c:v>
                </c:pt>
                <c:pt idx="34" formatCode="General">
                  <c:v>-7.9226199999999997E-2</c:v>
                </c:pt>
                <c:pt idx="35" formatCode="General">
                  <c:v>-0.213062</c:v>
                </c:pt>
                <c:pt idx="36" formatCode="General">
                  <c:v>-0.33480700000000002</c:v>
                </c:pt>
                <c:pt idx="37" formatCode="General">
                  <c:v>-0.44672600000000001</c:v>
                </c:pt>
                <c:pt idx="38" formatCode="General">
                  <c:v>-0.55051399999999995</c:v>
                </c:pt>
                <c:pt idx="39" formatCode="General">
                  <c:v>-0.64744699999999999</c:v>
                </c:pt>
                <c:pt idx="40" formatCode="General">
                  <c:v>-0.73850400000000005</c:v>
                </c:pt>
                <c:pt idx="41" formatCode="General">
                  <c:v>-0.82445299999999999</c:v>
                </c:pt>
                <c:pt idx="42" formatCode="General">
                  <c:v>-0.90590400000000004</c:v>
                </c:pt>
                <c:pt idx="43" formatCode="General">
                  <c:v>-0.983348</c:v>
                </c:pt>
                <c:pt idx="44" formatCode="General">
                  <c:v>-1.05718</c:v>
                </c:pt>
                <c:pt idx="45" formatCode="General">
                  <c:v>-1.12771</c:v>
                </c:pt>
                <c:pt idx="46" formatCode="General">
                  <c:v>-1.1951700000000001</c:v>
                </c:pt>
                <c:pt idx="47" formatCode="General">
                  <c:v>-1.2597400000000001</c:v>
                </c:pt>
                <c:pt idx="48" formatCode="General">
                  <c:v>-1.3215600000000001</c:v>
                </c:pt>
                <c:pt idx="49" formatCode="General">
                  <c:v>-1.3807100000000001</c:v>
                </c:pt>
                <c:pt idx="50" formatCode="General">
                  <c:v>-1.43727</c:v>
                </c:pt>
                <c:pt idx="51" formatCode="General">
                  <c:v>-1.4912700000000001</c:v>
                </c:pt>
                <c:pt idx="52" formatCode="General">
                  <c:v>-1.54278</c:v>
                </c:pt>
                <c:pt idx="53" formatCode="General">
                  <c:v>-1.5918099999999999</c:v>
                </c:pt>
                <c:pt idx="54" formatCode="General">
                  <c:v>-1.63842</c:v>
                </c:pt>
                <c:pt idx="55" formatCode="General">
                  <c:v>-1.68266</c:v>
                </c:pt>
                <c:pt idx="56" formatCode="General">
                  <c:v>-1.72458</c:v>
                </c:pt>
                <c:pt idx="57" formatCode="General">
                  <c:v>-1.7642500000000001</c:v>
                </c:pt>
                <c:pt idx="58" formatCode="General">
                  <c:v>-1.80176</c:v>
                </c:pt>
                <c:pt idx="59" formatCode="General">
                  <c:v>-1.83718</c:v>
                </c:pt>
                <c:pt idx="60" formatCode="General">
                  <c:v>-1.8706400000000001</c:v>
                </c:pt>
                <c:pt idx="61" formatCode="General">
                  <c:v>-1.90222</c:v>
                </c:pt>
                <c:pt idx="62" formatCode="General">
                  <c:v>-1.93207</c:v>
                </c:pt>
                <c:pt idx="63" formatCode="General">
                  <c:v>-1.9602999999999999</c:v>
                </c:pt>
                <c:pt idx="64" formatCode="General">
                  <c:v>-1.9870399999999999</c:v>
                </c:pt>
                <c:pt idx="65" formatCode="General">
                  <c:v>-2.0124200000000001</c:v>
                </c:pt>
                <c:pt idx="66" formatCode="General">
                  <c:v>-2.0365600000000001</c:v>
                </c:pt>
                <c:pt idx="67" formatCode="General">
                  <c:v>-2.05959</c:v>
                </c:pt>
                <c:pt idx="68" formatCode="General">
                  <c:v>-2.0815999999999999</c:v>
                </c:pt>
                <c:pt idx="69" formatCode="General">
                  <c:v>-2.1027</c:v>
                </c:pt>
                <c:pt idx="70" formatCode="General">
                  <c:v>-2.1229499999999999</c:v>
                </c:pt>
                <c:pt idx="71" formatCode="General">
                  <c:v>-2.1424099999999999</c:v>
                </c:pt>
                <c:pt idx="72" formatCode="General">
                  <c:v>-2.1611099999999999</c:v>
                </c:pt>
                <c:pt idx="73" formatCode="General">
                  <c:v>-2.17909</c:v>
                </c:pt>
                <c:pt idx="74" formatCode="General">
                  <c:v>-2.1963300000000001</c:v>
                </c:pt>
                <c:pt idx="75" formatCode="General">
                  <c:v>-2.2128299999999999</c:v>
                </c:pt>
                <c:pt idx="76" formatCode="General">
                  <c:v>-2.2285599999999999</c:v>
                </c:pt>
                <c:pt idx="77" formatCode="General">
                  <c:v>-2.24349</c:v>
                </c:pt>
                <c:pt idx="78" formatCode="General">
                  <c:v>-2.2576100000000001</c:v>
                </c:pt>
                <c:pt idx="79" formatCode="General">
                  <c:v>-2.2709000000000001</c:v>
                </c:pt>
                <c:pt idx="80" formatCode="General">
                  <c:v>-2.2833600000000001</c:v>
                </c:pt>
                <c:pt idx="81" formatCode="General">
                  <c:v>-2.2950300000000001</c:v>
                </c:pt>
                <c:pt idx="82" formatCode="General">
                  <c:v>-2.3059799999999999</c:v>
                </c:pt>
                <c:pt idx="83" formatCode="General">
                  <c:v>-2.31629</c:v>
                </c:pt>
                <c:pt idx="84" formatCode="General">
                  <c:v>-2.3260999999999998</c:v>
                </c:pt>
                <c:pt idx="85" formatCode="General">
                  <c:v>-2.3355800000000002</c:v>
                </c:pt>
                <c:pt idx="86" formatCode="General">
                  <c:v>-2.3449</c:v>
                </c:pt>
                <c:pt idx="87" formatCode="General">
                  <c:v>-2.3542200000000002</c:v>
                </c:pt>
                <c:pt idx="88" formatCode="General">
                  <c:v>-2.36368</c:v>
                </c:pt>
                <c:pt idx="89" formatCode="General">
                  <c:v>-2.3733300000000002</c:v>
                </c:pt>
                <c:pt idx="90" formatCode="General">
                  <c:v>-2.38307</c:v>
                </c:pt>
                <c:pt idx="91" formatCode="General">
                  <c:v>-2.39256</c:v>
                </c:pt>
                <c:pt idx="92" formatCode="General">
                  <c:v>-2.4011300000000002</c:v>
                </c:pt>
                <c:pt idx="93" formatCode="General">
                  <c:v>-2.4076399999999998</c:v>
                </c:pt>
                <c:pt idx="94" formatCode="General">
                  <c:v>-2.4103300000000001</c:v>
                </c:pt>
                <c:pt idx="95" formatCode="General">
                  <c:v>-2.4103300000000001</c:v>
                </c:pt>
                <c:pt idx="96" formatCode="General">
                  <c:v>-2.4103300000000001</c:v>
                </c:pt>
                <c:pt idx="97" formatCode="General">
                  <c:v>-2.4103300000000001</c:v>
                </c:pt>
                <c:pt idx="98" formatCode="General">
                  <c:v>-2.4103300000000001</c:v>
                </c:pt>
                <c:pt idx="99" formatCode="General">
                  <c:v>-2.4103300000000001</c:v>
                </c:pt>
                <c:pt idx="100" formatCode="General">
                  <c:v>-2.4103300000000001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-34908100</c:v>
                </c:pt>
                <c:pt idx="1">
                  <c:v>-34908100</c:v>
                </c:pt>
                <c:pt idx="2">
                  <c:v>-15935300</c:v>
                </c:pt>
                <c:pt idx="3">
                  <c:v>-7075230</c:v>
                </c:pt>
                <c:pt idx="4">
                  <c:v>-3046700</c:v>
                </c:pt>
                <c:pt idx="5">
                  <c:v>-1268170</c:v>
                </c:pt>
                <c:pt idx="6">
                  <c:v>-508228</c:v>
                </c:pt>
                <c:pt idx="7">
                  <c:v>-195175</c:v>
                </c:pt>
                <c:pt idx="8">
                  <c:v>-71414</c:v>
                </c:pt>
                <c:pt idx="9" formatCode="General">
                  <c:v>-24715.8</c:v>
                </c:pt>
                <c:pt idx="10" formatCode="General">
                  <c:v>-8007.65</c:v>
                </c:pt>
                <c:pt idx="11" formatCode="General">
                  <c:v>-2382.4299999999998</c:v>
                </c:pt>
                <c:pt idx="12" formatCode="General">
                  <c:v>-616.61800000000005</c:v>
                </c:pt>
                <c:pt idx="13" formatCode="General">
                  <c:v>-106.38500000000001</c:v>
                </c:pt>
                <c:pt idx="14" formatCode="General">
                  <c:v>25.275300000000001</c:v>
                </c:pt>
                <c:pt idx="15" formatCode="General">
                  <c:v>51.575200000000002</c:v>
                </c:pt>
                <c:pt idx="16" formatCode="General">
                  <c:v>50.775100000000002</c:v>
                </c:pt>
                <c:pt idx="17" formatCode="General">
                  <c:v>43.763500000000001</c:v>
                </c:pt>
                <c:pt idx="18" formatCode="General">
                  <c:v>36.063600000000001</c:v>
                </c:pt>
                <c:pt idx="19" formatCode="General">
                  <c:v>29.249500000000001</c:v>
                </c:pt>
                <c:pt idx="20" formatCode="General">
                  <c:v>23.730499999999999</c:v>
                </c:pt>
                <c:pt idx="21" formatCode="General">
                  <c:v>19.462199999999999</c:v>
                </c:pt>
                <c:pt idx="22" formatCode="General">
                  <c:v>16.222100000000001</c:v>
                </c:pt>
                <c:pt idx="23" formatCode="General">
                  <c:v>13.7598</c:v>
                </c:pt>
                <c:pt idx="24" formatCode="General">
                  <c:v>11.867599999999999</c:v>
                </c:pt>
                <c:pt idx="25" formatCode="General">
                  <c:v>10.397</c:v>
                </c:pt>
                <c:pt idx="26" formatCode="General">
                  <c:v>9.2484099999999998</c:v>
                </c:pt>
                <c:pt idx="27" formatCode="General">
                  <c:v>8.3531300000000002</c:v>
                </c:pt>
                <c:pt idx="28" formatCode="General">
                  <c:v>7.6602800000000002</c:v>
                </c:pt>
                <c:pt idx="29" formatCode="General">
                  <c:v>7.1285499999999997</c:v>
                </c:pt>
                <c:pt idx="30" formatCode="General">
                  <c:v>6.7230299999999996</c:v>
                </c:pt>
                <c:pt idx="31" formatCode="General">
                  <c:v>6.4142799999999998</c:v>
                </c:pt>
                <c:pt idx="32" formatCode="General">
                  <c:v>6.1782000000000004</c:v>
                </c:pt>
                <c:pt idx="33" formatCode="General">
                  <c:v>5.9958400000000003</c:v>
                </c:pt>
                <c:pt idx="34" formatCode="General">
                  <c:v>5.8528500000000001</c:v>
                </c:pt>
                <c:pt idx="35" formatCode="General">
                  <c:v>5.7387699999999997</c:v>
                </c:pt>
                <c:pt idx="36" formatCode="General">
                  <c:v>5.6461199999999998</c:v>
                </c:pt>
                <c:pt idx="37" formatCode="General">
                  <c:v>5.5696700000000003</c:v>
                </c:pt>
                <c:pt idx="38" formatCode="General">
                  <c:v>5.5057700000000001</c:v>
                </c:pt>
                <c:pt idx="39" formatCode="General">
                  <c:v>5.4518599999999999</c:v>
                </c:pt>
                <c:pt idx="40" formatCode="General">
                  <c:v>5.40611</c:v>
                </c:pt>
                <c:pt idx="41" formatCode="General">
                  <c:v>5.3672199999999997</c:v>
                </c:pt>
                <c:pt idx="42" formatCode="General">
                  <c:v>5.3341900000000004</c:v>
                </c:pt>
                <c:pt idx="43" formatCode="General">
                  <c:v>5.3062500000000004</c:v>
                </c:pt>
                <c:pt idx="44" formatCode="General">
                  <c:v>5.2827599999999997</c:v>
                </c:pt>
                <c:pt idx="45" formatCode="General">
                  <c:v>5.2631300000000003</c:v>
                </c:pt>
                <c:pt idx="46" formatCode="General">
                  <c:v>5.2467699999999997</c:v>
                </c:pt>
                <c:pt idx="47" formatCode="General">
                  <c:v>5.2330899999999998</c:v>
                </c:pt>
                <c:pt idx="48" formatCode="General">
                  <c:v>5.2214499999999999</c:v>
                </c:pt>
                <c:pt idx="49" formatCode="General">
                  <c:v>5.2111999999999998</c:v>
                </c:pt>
                <c:pt idx="50" formatCode="General">
                  <c:v>5.2017100000000003</c:v>
                </c:pt>
                <c:pt idx="51" formatCode="General">
                  <c:v>5.1923599999999999</c:v>
                </c:pt>
                <c:pt idx="52" formatCode="General">
                  <c:v>5.18262</c:v>
                </c:pt>
                <c:pt idx="53" formatCode="General">
                  <c:v>5.1720699999999997</c:v>
                </c:pt>
                <c:pt idx="54" formatCode="General">
                  <c:v>5.16038</c:v>
                </c:pt>
                <c:pt idx="55" formatCode="General">
                  <c:v>5.1473800000000001</c:v>
                </c:pt>
                <c:pt idx="56" formatCode="General">
                  <c:v>5.1330200000000001</c:v>
                </c:pt>
                <c:pt idx="57" formatCode="General">
                  <c:v>5.1173200000000003</c:v>
                </c:pt>
                <c:pt idx="58" formatCode="General">
                  <c:v>5.1004399999999999</c:v>
                </c:pt>
                <c:pt idx="59" formatCode="General">
                  <c:v>5.0825399999999998</c:v>
                </c:pt>
                <c:pt idx="60" formatCode="General">
                  <c:v>5.0638399999999999</c:v>
                </c:pt>
                <c:pt idx="61" formatCode="General">
                  <c:v>5.0445599999999997</c:v>
                </c:pt>
                <c:pt idx="62" formatCode="General">
                  <c:v>5.0248699999999999</c:v>
                </c:pt>
                <c:pt idx="63" formatCode="General">
                  <c:v>5.0049400000000004</c:v>
                </c:pt>
                <c:pt idx="64" formatCode="General">
                  <c:v>4.9848600000000003</c:v>
                </c:pt>
                <c:pt idx="65" formatCode="General">
                  <c:v>4.96469</c:v>
                </c:pt>
                <c:pt idx="66" formatCode="General">
                  <c:v>4.9444600000000003</c:v>
                </c:pt>
                <c:pt idx="67" formatCode="General">
                  <c:v>4.9241400000000004</c:v>
                </c:pt>
                <c:pt idx="68" formatCode="General">
                  <c:v>4.9036999999999997</c:v>
                </c:pt>
                <c:pt idx="69" formatCode="General">
                  <c:v>4.8830999999999998</c:v>
                </c:pt>
                <c:pt idx="70" formatCode="General">
                  <c:v>4.8622800000000002</c:v>
                </c:pt>
                <c:pt idx="71" formatCode="General">
                  <c:v>4.8412300000000004</c:v>
                </c:pt>
                <c:pt idx="72" formatCode="General">
                  <c:v>4.8199399999999999</c:v>
                </c:pt>
                <c:pt idx="73" formatCode="General">
                  <c:v>4.7984400000000003</c:v>
                </c:pt>
                <c:pt idx="74" formatCode="General">
                  <c:v>4.7767799999999996</c:v>
                </c:pt>
                <c:pt idx="75" formatCode="General">
                  <c:v>4.7550499999999998</c:v>
                </c:pt>
                <c:pt idx="76" formatCode="General">
                  <c:v>4.7333499999999997</c:v>
                </c:pt>
                <c:pt idx="77" formatCode="General">
                  <c:v>4.7118000000000002</c:v>
                </c:pt>
                <c:pt idx="78" formatCode="General">
                  <c:v>4.6905299999999999</c:v>
                </c:pt>
                <c:pt idx="79" formatCode="General">
                  <c:v>4.6696299999999997</c:v>
                </c:pt>
                <c:pt idx="80" formatCode="General">
                  <c:v>4.6491600000000002</c:v>
                </c:pt>
                <c:pt idx="81" formatCode="General">
                  <c:v>4.6291399999999996</c:v>
                </c:pt>
                <c:pt idx="82" formatCode="General">
                  <c:v>4.6095199999999998</c:v>
                </c:pt>
                <c:pt idx="83" formatCode="General">
                  <c:v>4.5901800000000001</c:v>
                </c:pt>
                <c:pt idx="84" formatCode="General">
                  <c:v>4.5709400000000002</c:v>
                </c:pt>
                <c:pt idx="85" formatCode="General">
                  <c:v>4.5515600000000003</c:v>
                </c:pt>
                <c:pt idx="86" formatCode="General">
                  <c:v>4.5317600000000002</c:v>
                </c:pt>
                <c:pt idx="87" formatCode="General">
                  <c:v>4.5113099999999999</c:v>
                </c:pt>
                <c:pt idx="88" formatCode="General">
                  <c:v>4.4900399999999996</c:v>
                </c:pt>
                <c:pt idx="89" formatCode="General">
                  <c:v>4.4680200000000001</c:v>
                </c:pt>
                <c:pt idx="90" formatCode="General">
                  <c:v>4.4456199999999999</c:v>
                </c:pt>
                <c:pt idx="91" formatCode="General">
                  <c:v>4.4237299999999999</c:v>
                </c:pt>
                <c:pt idx="92" formatCode="General">
                  <c:v>4.4039900000000003</c:v>
                </c:pt>
                <c:pt idx="93" formatCode="General">
                  <c:v>4.3890500000000001</c:v>
                </c:pt>
                <c:pt idx="94" formatCode="General">
                  <c:v>4.3829099999999999</c:v>
                </c:pt>
                <c:pt idx="95" formatCode="General">
                  <c:v>4.3829099999999999</c:v>
                </c:pt>
                <c:pt idx="96" formatCode="General">
                  <c:v>4.3829099999999999</c:v>
                </c:pt>
                <c:pt idx="97" formatCode="General">
                  <c:v>4.3829099999999999</c:v>
                </c:pt>
                <c:pt idx="98" formatCode="General">
                  <c:v>4.3829099999999999</c:v>
                </c:pt>
                <c:pt idx="99" formatCode="General">
                  <c:v>4.3829099999999999</c:v>
                </c:pt>
                <c:pt idx="100" formatCode="General">
                  <c:v>4.3829099999999999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-10951200000000</c:v>
                </c:pt>
                <c:pt idx="1">
                  <c:v>-10951200000000</c:v>
                </c:pt>
                <c:pt idx="2">
                  <c:v>-6171350000000</c:v>
                </c:pt>
                <c:pt idx="3">
                  <c:v>-3441510000000</c:v>
                </c:pt>
                <c:pt idx="4">
                  <c:v>-1898350000000</c:v>
                </c:pt>
                <c:pt idx="5">
                  <c:v>-1035270000000</c:v>
                </c:pt>
                <c:pt idx="6">
                  <c:v>-557899000000</c:v>
                </c:pt>
                <c:pt idx="7">
                  <c:v>-296922000000</c:v>
                </c:pt>
                <c:pt idx="8">
                  <c:v>-155973000000</c:v>
                </c:pt>
                <c:pt idx="9">
                  <c:v>-80814700000</c:v>
                </c:pt>
                <c:pt idx="10">
                  <c:v>-41271700000</c:v>
                </c:pt>
                <c:pt idx="11">
                  <c:v>-20758200000</c:v>
                </c:pt>
                <c:pt idx="12">
                  <c:v>-10273600000</c:v>
                </c:pt>
                <c:pt idx="13">
                  <c:v>-4998380000</c:v>
                </c:pt>
                <c:pt idx="14">
                  <c:v>-2388000000</c:v>
                </c:pt>
                <c:pt idx="15">
                  <c:v>-1118940000</c:v>
                </c:pt>
                <c:pt idx="16">
                  <c:v>-513497000</c:v>
                </c:pt>
                <c:pt idx="17">
                  <c:v>-230427000</c:v>
                </c:pt>
                <c:pt idx="18">
                  <c:v>-100921000</c:v>
                </c:pt>
                <c:pt idx="19">
                  <c:v>-43046400</c:v>
                </c:pt>
                <c:pt idx="20">
                  <c:v>-17834300</c:v>
                </c:pt>
                <c:pt idx="21">
                  <c:v>-7154240</c:v>
                </c:pt>
                <c:pt idx="22">
                  <c:v>-2767850</c:v>
                </c:pt>
                <c:pt idx="23">
                  <c:v>-1027590</c:v>
                </c:pt>
                <c:pt idx="24" formatCode="General">
                  <c:v>-363698</c:v>
                </c:pt>
                <c:pt idx="25" formatCode="General">
                  <c:v>-121634</c:v>
                </c:pt>
                <c:pt idx="26" formatCode="General">
                  <c:v>-37957.5</c:v>
                </c:pt>
                <c:pt idx="27" formatCode="General">
                  <c:v>-10846.3</c:v>
                </c:pt>
                <c:pt idx="28" formatCode="General">
                  <c:v>-2752.07</c:v>
                </c:pt>
                <c:pt idx="29" formatCode="General">
                  <c:v>-585.50900000000001</c:v>
                </c:pt>
                <c:pt idx="30" formatCode="General">
                  <c:v>-90.7376</c:v>
                </c:pt>
                <c:pt idx="31" formatCode="General">
                  <c:v>-4.3295199999999996</c:v>
                </c:pt>
                <c:pt idx="32" formatCode="General">
                  <c:v>3.48685</c:v>
                </c:pt>
                <c:pt idx="33" formatCode="General">
                  <c:v>2.5421800000000001</c:v>
                </c:pt>
                <c:pt idx="34" formatCode="General">
                  <c:v>2.1583199999999998</c:v>
                </c:pt>
                <c:pt idx="35" formatCode="General">
                  <c:v>1.89551</c:v>
                </c:pt>
                <c:pt idx="36" formatCode="General">
                  <c:v>1.27538</c:v>
                </c:pt>
                <c:pt idx="37" formatCode="General">
                  <c:v>0.41920299999999999</c:v>
                </c:pt>
                <c:pt idx="38" formatCode="General">
                  <c:v>-0.42901099999999998</c:v>
                </c:pt>
                <c:pt idx="39" formatCode="General">
                  <c:v>-1.1275500000000001</c:v>
                </c:pt>
                <c:pt idx="40" formatCode="General">
                  <c:v>-1.6463300000000001</c:v>
                </c:pt>
                <c:pt idx="41" formatCode="General">
                  <c:v>-2.0143900000000001</c:v>
                </c:pt>
                <c:pt idx="42" formatCode="General">
                  <c:v>-2.2761800000000001</c:v>
                </c:pt>
                <c:pt idx="43" formatCode="General">
                  <c:v>-2.4700500000000001</c:v>
                </c:pt>
                <c:pt idx="44" formatCode="General">
                  <c:v>-2.6223100000000001</c:v>
                </c:pt>
                <c:pt idx="45" formatCode="General">
                  <c:v>-2.74871</c:v>
                </c:pt>
                <c:pt idx="46" formatCode="General">
                  <c:v>-2.85785</c:v>
                </c:pt>
                <c:pt idx="47" formatCode="General">
                  <c:v>-2.9542700000000002</c:v>
                </c:pt>
                <c:pt idx="48" formatCode="General">
                  <c:v>-3.0405799999999998</c:v>
                </c:pt>
                <c:pt idx="49" formatCode="General">
                  <c:v>-3.11863</c:v>
                </c:pt>
                <c:pt idx="50" formatCode="General">
                  <c:v>-3.1899799999999998</c:v>
                </c:pt>
                <c:pt idx="51" formatCode="General">
                  <c:v>-3.2561</c:v>
                </c:pt>
                <c:pt idx="52" formatCode="General">
                  <c:v>-3.3183099999999999</c:v>
                </c:pt>
                <c:pt idx="53" formatCode="General">
                  <c:v>-3.3777499999999998</c:v>
                </c:pt>
                <c:pt idx="54" formatCode="General">
                  <c:v>-3.4352999999999998</c:v>
                </c:pt>
                <c:pt idx="55" formatCode="General">
                  <c:v>-3.4915699999999998</c:v>
                </c:pt>
                <c:pt idx="56" formatCode="General">
                  <c:v>-3.5469200000000001</c:v>
                </c:pt>
                <c:pt idx="57" formatCode="General">
                  <c:v>-3.6014900000000001</c:v>
                </c:pt>
                <c:pt idx="58" formatCode="General">
                  <c:v>-3.65523</c:v>
                </c:pt>
                <c:pt idx="59" formatCode="General">
                  <c:v>-3.7079599999999999</c:v>
                </c:pt>
                <c:pt idx="60" formatCode="General">
                  <c:v>-3.75943</c:v>
                </c:pt>
                <c:pt idx="61" formatCode="General">
                  <c:v>-3.80932</c:v>
                </c:pt>
                <c:pt idx="62" formatCode="General">
                  <c:v>-3.8573400000000002</c:v>
                </c:pt>
                <c:pt idx="63" formatCode="General">
                  <c:v>-3.9031799999999999</c:v>
                </c:pt>
                <c:pt idx="64" formatCode="General">
                  <c:v>-3.9466100000000002</c:v>
                </c:pt>
                <c:pt idx="65" formatCode="General">
                  <c:v>-3.98746</c:v>
                </c:pt>
                <c:pt idx="66" formatCode="General">
                  <c:v>-4.0256400000000001</c:v>
                </c:pt>
                <c:pt idx="67" formatCode="General">
                  <c:v>-4.0611499999999996</c:v>
                </c:pt>
                <c:pt idx="68" formatCode="General">
                  <c:v>-4.0940599999999998</c:v>
                </c:pt>
                <c:pt idx="69" formatCode="General">
                  <c:v>-4.1245399999999997</c:v>
                </c:pt>
                <c:pt idx="70" formatCode="General">
                  <c:v>-4.1528</c:v>
                </c:pt>
                <c:pt idx="71" formatCode="General">
                  <c:v>-4.1790799999999999</c:v>
                </c:pt>
                <c:pt idx="72" formatCode="General">
                  <c:v>-4.20364</c:v>
                </c:pt>
                <c:pt idx="73" formatCode="General">
                  <c:v>-4.2267400000000004</c:v>
                </c:pt>
                <c:pt idx="74" formatCode="General">
                  <c:v>-4.2486100000000002</c:v>
                </c:pt>
                <c:pt idx="75" formatCode="General">
                  <c:v>-4.2694400000000003</c:v>
                </c:pt>
                <c:pt idx="76" formatCode="General">
                  <c:v>-4.2893699999999999</c:v>
                </c:pt>
                <c:pt idx="77" formatCode="General">
                  <c:v>-4.3084899999999999</c:v>
                </c:pt>
                <c:pt idx="78" formatCode="General">
                  <c:v>-4.3268199999999997</c:v>
                </c:pt>
                <c:pt idx="79" formatCode="General">
                  <c:v>-4.3443500000000004</c:v>
                </c:pt>
                <c:pt idx="80" formatCode="General">
                  <c:v>-4.3609999999999998</c:v>
                </c:pt>
                <c:pt idx="81" formatCode="General">
                  <c:v>-4.3766800000000003</c:v>
                </c:pt>
                <c:pt idx="82" formatCode="General">
                  <c:v>-4.3912599999999999</c:v>
                </c:pt>
                <c:pt idx="83" formatCode="General">
                  <c:v>-4.40463</c:v>
                </c:pt>
                <c:pt idx="84" formatCode="General">
                  <c:v>-4.4166999999999996</c:v>
                </c:pt>
                <c:pt idx="85" formatCode="General">
                  <c:v>-4.4273999999999996</c:v>
                </c:pt>
                <c:pt idx="86" formatCode="General">
                  <c:v>-4.4367799999999997</c:v>
                </c:pt>
                <c:pt idx="87" formatCode="General">
                  <c:v>-4.4448999999999996</c:v>
                </c:pt>
                <c:pt idx="88" formatCode="General">
                  <c:v>-4.4519500000000001</c:v>
                </c:pt>
                <c:pt idx="89" formatCode="General">
                  <c:v>-4.4581299999999997</c:v>
                </c:pt>
                <c:pt idx="90" formatCode="General">
                  <c:v>-4.4636500000000003</c:v>
                </c:pt>
                <c:pt idx="91" formatCode="General">
                  <c:v>-4.4686300000000001</c:v>
                </c:pt>
                <c:pt idx="92" formatCode="General">
                  <c:v>-4.4730299999999996</c:v>
                </c:pt>
                <c:pt idx="93" formatCode="General">
                  <c:v>-4.4764400000000002</c:v>
                </c:pt>
                <c:pt idx="94" formatCode="General">
                  <c:v>-4.4779200000000001</c:v>
                </c:pt>
                <c:pt idx="95" formatCode="General">
                  <c:v>-4.4779200000000001</c:v>
                </c:pt>
                <c:pt idx="96" formatCode="General">
                  <c:v>-4.4779200000000001</c:v>
                </c:pt>
                <c:pt idx="97" formatCode="General">
                  <c:v>-4.4779200000000001</c:v>
                </c:pt>
                <c:pt idx="98" formatCode="General">
                  <c:v>-4.4779200000000001</c:v>
                </c:pt>
                <c:pt idx="99" formatCode="General">
                  <c:v>-4.4779200000000001</c:v>
                </c:pt>
                <c:pt idx="100" formatCode="General">
                  <c:v>-4.4779200000000001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-1039160000</c:v>
                </c:pt>
                <c:pt idx="1">
                  <c:v>-1039160000</c:v>
                </c:pt>
                <c:pt idx="2">
                  <c:v>-524359000</c:v>
                </c:pt>
                <c:pt idx="3">
                  <c:v>-260117000</c:v>
                </c:pt>
                <c:pt idx="4">
                  <c:v>-126733000</c:v>
                </c:pt>
                <c:pt idx="5">
                  <c:v>-60584500</c:v>
                </c:pt>
                <c:pt idx="6">
                  <c:v>-28388500</c:v>
                </c:pt>
                <c:pt idx="7">
                  <c:v>-13026000</c:v>
                </c:pt>
                <c:pt idx="8">
                  <c:v>-5847850</c:v>
                </c:pt>
                <c:pt idx="9">
                  <c:v>-2566990</c:v>
                </c:pt>
                <c:pt idx="10">
                  <c:v>-1101590</c:v>
                </c:pt>
                <c:pt idx="11" formatCode="General">
                  <c:v>-462406</c:v>
                </c:pt>
                <c:pt idx="12" formatCode="General">
                  <c:v>-190183</c:v>
                </c:pt>
                <c:pt idx="13" formatCode="General">
                  <c:v>-76892.3</c:v>
                </c:pt>
                <c:pt idx="14" formatCode="General">
                  <c:v>-30715.4</c:v>
                </c:pt>
                <c:pt idx="15" formatCode="General">
                  <c:v>-12201.5</c:v>
                </c:pt>
                <c:pt idx="16" formatCode="General">
                  <c:v>-4849.96</c:v>
                </c:pt>
                <c:pt idx="17" formatCode="General">
                  <c:v>-1933.79</c:v>
                </c:pt>
                <c:pt idx="18" formatCode="General">
                  <c:v>-769.04499999999996</c:v>
                </c:pt>
                <c:pt idx="19" formatCode="General">
                  <c:v>-299.57100000000003</c:v>
                </c:pt>
                <c:pt idx="20" formatCode="General">
                  <c:v>-110.324</c:v>
                </c:pt>
                <c:pt idx="21" formatCode="General">
                  <c:v>-35.912599999999998</c:v>
                </c:pt>
                <c:pt idx="22" formatCode="General">
                  <c:v>-8.6982700000000008</c:v>
                </c:pt>
                <c:pt idx="23" formatCode="General">
                  <c:v>-0.31916499999999998</c:v>
                </c:pt>
                <c:pt idx="24" formatCode="General">
                  <c:v>1.17157</c:v>
                </c:pt>
                <c:pt idx="25" formatCode="General">
                  <c:v>0.62421300000000002</c:v>
                </c:pt>
                <c:pt idx="26" formatCode="General">
                  <c:v>-0.190691</c:v>
                </c:pt>
                <c:pt idx="27" formatCode="General">
                  <c:v>-0.77762799999999999</c:v>
                </c:pt>
                <c:pt idx="28" formatCode="General">
                  <c:v>-1.1058399999999999</c:v>
                </c:pt>
                <c:pt idx="29" formatCode="General">
                  <c:v>-1.2668600000000001</c:v>
                </c:pt>
                <c:pt idx="30" formatCode="General">
                  <c:v>-1.34985</c:v>
                </c:pt>
                <c:pt idx="31" formatCode="General">
                  <c:v>-1.41092</c:v>
                </c:pt>
                <c:pt idx="32" formatCode="General">
                  <c:v>-1.47651</c:v>
                </c:pt>
                <c:pt idx="33" formatCode="General">
                  <c:v>-1.55461</c:v>
                </c:pt>
                <c:pt idx="34" formatCode="General">
                  <c:v>-1.64438</c:v>
                </c:pt>
                <c:pt idx="35" formatCode="General">
                  <c:v>-1.7419899999999999</c:v>
                </c:pt>
                <c:pt idx="36" formatCode="General">
                  <c:v>-1.84354</c:v>
                </c:pt>
                <c:pt idx="37" formatCode="General">
                  <c:v>-1.946</c:v>
                </c:pt>
                <c:pt idx="38" formatCode="General">
                  <c:v>-2.0473300000000001</c:v>
                </c:pt>
                <c:pt idx="39" formatCode="General">
                  <c:v>-2.1462500000000002</c:v>
                </c:pt>
                <c:pt idx="40" formatCode="General">
                  <c:v>-2.2419199999999999</c:v>
                </c:pt>
                <c:pt idx="41" formatCode="General">
                  <c:v>-2.3338100000000002</c:v>
                </c:pt>
                <c:pt idx="42" formatCode="General">
                  <c:v>-2.4215200000000001</c:v>
                </c:pt>
                <c:pt idx="43" formatCode="General">
                  <c:v>-2.5047600000000001</c:v>
                </c:pt>
                <c:pt idx="44" formatCode="General">
                  <c:v>-2.5833400000000002</c:v>
                </c:pt>
                <c:pt idx="45" formatCode="General">
                  <c:v>-2.6572</c:v>
                </c:pt>
                <c:pt idx="46" formatCode="General">
                  <c:v>-2.7263600000000001</c:v>
                </c:pt>
                <c:pt idx="47" formatCode="General">
                  <c:v>-2.7909899999999999</c:v>
                </c:pt>
                <c:pt idx="48" formatCode="General">
                  <c:v>-2.8513500000000001</c:v>
                </c:pt>
                <c:pt idx="49" formatCode="General">
                  <c:v>-2.9077799999999998</c:v>
                </c:pt>
                <c:pt idx="50" formatCode="General">
                  <c:v>-2.9607000000000001</c:v>
                </c:pt>
                <c:pt idx="51" formatCode="General">
                  <c:v>-3.0105</c:v>
                </c:pt>
                <c:pt idx="52" formatCode="General">
                  <c:v>-3.0575999999999999</c:v>
                </c:pt>
                <c:pt idx="53" formatCode="General">
                  <c:v>-3.10236</c:v>
                </c:pt>
                <c:pt idx="54" formatCode="General">
                  <c:v>-3.14507</c:v>
                </c:pt>
                <c:pt idx="55" formatCode="General">
                  <c:v>-3.1859799999999998</c:v>
                </c:pt>
                <c:pt idx="56" formatCode="General">
                  <c:v>-3.22525</c:v>
                </c:pt>
                <c:pt idx="57" formatCode="General">
                  <c:v>-3.2629899999999998</c:v>
                </c:pt>
                <c:pt idx="58" formatCode="General">
                  <c:v>-3.2992499999999998</c:v>
                </c:pt>
                <c:pt idx="59" formatCode="General">
                  <c:v>-3.3340700000000001</c:v>
                </c:pt>
                <c:pt idx="60" formatCode="General">
                  <c:v>-3.3674499999999998</c:v>
                </c:pt>
                <c:pt idx="61" formatCode="General">
                  <c:v>-3.3993899999999999</c:v>
                </c:pt>
                <c:pt idx="62" formatCode="General">
                  <c:v>-3.4298899999999999</c:v>
                </c:pt>
                <c:pt idx="63" formatCode="General">
                  <c:v>-3.4589500000000002</c:v>
                </c:pt>
                <c:pt idx="64" formatCode="General">
                  <c:v>-3.4866000000000001</c:v>
                </c:pt>
                <c:pt idx="65" formatCode="General">
                  <c:v>-3.5128499999999998</c:v>
                </c:pt>
                <c:pt idx="66" formatCode="General">
                  <c:v>-3.5377700000000001</c:v>
                </c:pt>
                <c:pt idx="67" formatCode="General">
                  <c:v>-3.5613800000000002</c:v>
                </c:pt>
                <c:pt idx="68" formatCode="General">
                  <c:v>-3.5837500000000002</c:v>
                </c:pt>
                <c:pt idx="69" formatCode="General">
                  <c:v>-3.6049199999999999</c:v>
                </c:pt>
                <c:pt idx="70" formatCode="General">
                  <c:v>-3.6249400000000001</c:v>
                </c:pt>
                <c:pt idx="71" formatCode="General">
                  <c:v>-3.6438700000000002</c:v>
                </c:pt>
                <c:pt idx="72" formatCode="General">
                  <c:v>-3.6617299999999999</c:v>
                </c:pt>
                <c:pt idx="73" formatCode="General">
                  <c:v>-3.67855</c:v>
                </c:pt>
                <c:pt idx="74" formatCode="General">
                  <c:v>-3.69435</c:v>
                </c:pt>
                <c:pt idx="75" formatCode="General">
                  <c:v>-3.7091500000000002</c:v>
                </c:pt>
                <c:pt idx="76" formatCode="General">
                  <c:v>-3.72295</c:v>
                </c:pt>
                <c:pt idx="77" formatCode="General">
                  <c:v>-3.7357399999999998</c:v>
                </c:pt>
                <c:pt idx="78" formatCode="General">
                  <c:v>-3.7475200000000002</c:v>
                </c:pt>
                <c:pt idx="79" formatCode="General">
                  <c:v>-3.7582900000000001</c:v>
                </c:pt>
                <c:pt idx="80" formatCode="General">
                  <c:v>-3.7680400000000001</c:v>
                </c:pt>
                <c:pt idx="81" formatCode="General">
                  <c:v>-3.77677</c:v>
                </c:pt>
                <c:pt idx="82" formatCode="General">
                  <c:v>-3.7845300000000002</c:v>
                </c:pt>
                <c:pt idx="83" formatCode="General">
                  <c:v>-3.7913299999999999</c:v>
                </c:pt>
                <c:pt idx="84" formatCode="General">
                  <c:v>-3.79725</c:v>
                </c:pt>
                <c:pt idx="85" formatCode="General">
                  <c:v>-3.8023600000000002</c:v>
                </c:pt>
                <c:pt idx="86" formatCode="General">
                  <c:v>-3.8067600000000001</c:v>
                </c:pt>
                <c:pt idx="87" formatCode="General">
                  <c:v>-3.8105699999999998</c:v>
                </c:pt>
                <c:pt idx="88" formatCode="General">
                  <c:v>-3.8138999999999998</c:v>
                </c:pt>
                <c:pt idx="89" formatCode="General">
                  <c:v>-3.8168600000000001</c:v>
                </c:pt>
                <c:pt idx="90" formatCode="General">
                  <c:v>-3.81955</c:v>
                </c:pt>
                <c:pt idx="91" formatCode="General">
                  <c:v>-3.82199</c:v>
                </c:pt>
                <c:pt idx="92" formatCode="General">
                  <c:v>-3.8241200000000002</c:v>
                </c:pt>
                <c:pt idx="93" formatCode="General">
                  <c:v>-3.8257400000000001</c:v>
                </c:pt>
                <c:pt idx="94" formatCode="General">
                  <c:v>-3.8264300000000002</c:v>
                </c:pt>
                <c:pt idx="95" formatCode="General">
                  <c:v>-3.8264300000000002</c:v>
                </c:pt>
                <c:pt idx="96" formatCode="General">
                  <c:v>-3.8264300000000002</c:v>
                </c:pt>
                <c:pt idx="97" formatCode="General">
                  <c:v>-3.8264300000000002</c:v>
                </c:pt>
                <c:pt idx="98" formatCode="General">
                  <c:v>-3.8264300000000002</c:v>
                </c:pt>
                <c:pt idx="99" formatCode="General">
                  <c:v>-3.8264300000000002</c:v>
                </c:pt>
                <c:pt idx="100" formatCode="General">
                  <c:v>-3.8264300000000002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-7955130</c:v>
                </c:pt>
                <c:pt idx="1">
                  <c:v>-7955130</c:v>
                </c:pt>
                <c:pt idx="2">
                  <c:v>-4016120</c:v>
                </c:pt>
                <c:pt idx="3">
                  <c:v>-1991660</c:v>
                </c:pt>
                <c:pt idx="4">
                  <c:v>-969502</c:v>
                </c:pt>
                <c:pt idx="5" formatCode="General">
                  <c:v>-462934</c:v>
                </c:pt>
                <c:pt idx="6" formatCode="General">
                  <c:v>-216720</c:v>
                </c:pt>
                <c:pt idx="7" formatCode="General">
                  <c:v>-99437.8</c:v>
                </c:pt>
                <c:pt idx="8" formatCode="General">
                  <c:v>-44714.7</c:v>
                </c:pt>
                <c:pt idx="9" formatCode="General">
                  <c:v>-19709.400000000001</c:v>
                </c:pt>
                <c:pt idx="10" formatCode="General">
                  <c:v>-8517.2099999999991</c:v>
                </c:pt>
                <c:pt idx="11" formatCode="General">
                  <c:v>-3606.09</c:v>
                </c:pt>
                <c:pt idx="12" formatCode="General">
                  <c:v>-1490.34</c:v>
                </c:pt>
                <c:pt idx="13" formatCode="General">
                  <c:v>-593.81899999999996</c:v>
                </c:pt>
                <c:pt idx="14" formatCode="General">
                  <c:v>-219.75399999999999</c:v>
                </c:pt>
                <c:pt idx="15" formatCode="General">
                  <c:v>-66.441199999999995</c:v>
                </c:pt>
                <c:pt idx="16" formatCode="General">
                  <c:v>-5.5133099999999997</c:v>
                </c:pt>
                <c:pt idx="17" formatCode="General">
                  <c:v>16.9832</c:v>
                </c:pt>
                <c:pt idx="18" formatCode="General">
                  <c:v>23.6004</c:v>
                </c:pt>
                <c:pt idx="19" formatCode="General">
                  <c:v>23.781700000000001</c:v>
                </c:pt>
                <c:pt idx="20" formatCode="General">
                  <c:v>21.510400000000001</c:v>
                </c:pt>
                <c:pt idx="21" formatCode="General">
                  <c:v>18.479900000000001</c:v>
                </c:pt>
                <c:pt idx="22" formatCode="General">
                  <c:v>15.409000000000001</c:v>
                </c:pt>
                <c:pt idx="23" formatCode="General">
                  <c:v>12.5931</c:v>
                </c:pt>
                <c:pt idx="24" formatCode="General">
                  <c:v>10.1387</c:v>
                </c:pt>
                <c:pt idx="25" formatCode="General">
                  <c:v>8.0652500000000007</c:v>
                </c:pt>
                <c:pt idx="26" formatCode="General">
                  <c:v>6.3509099999999998</c:v>
                </c:pt>
                <c:pt idx="27" formatCode="General">
                  <c:v>4.95425</c:v>
                </c:pt>
                <c:pt idx="28" formatCode="General">
                  <c:v>3.82626</c:v>
                </c:pt>
                <c:pt idx="29" formatCode="General">
                  <c:v>2.9174899999999999</c:v>
                </c:pt>
                <c:pt idx="30" formatCode="General">
                  <c:v>2.1825000000000001</c:v>
                </c:pt>
                <c:pt idx="31" formatCode="General">
                  <c:v>1.5824800000000001</c:v>
                </c:pt>
                <c:pt idx="32" formatCode="General">
                  <c:v>1.0861400000000001</c:v>
                </c:pt>
                <c:pt idx="33" formatCode="General">
                  <c:v>0.66955299999999995</c:v>
                </c:pt>
                <c:pt idx="34" formatCode="General">
                  <c:v>0.31511400000000001</c:v>
                </c:pt>
                <c:pt idx="35" formatCode="General">
                  <c:v>1.02218E-2</c:v>
                </c:pt>
                <c:pt idx="36" formatCode="General">
                  <c:v>-0.254108</c:v>
                </c:pt>
                <c:pt idx="37" formatCode="General">
                  <c:v>-0.48443199999999997</c:v>
                </c:pt>
                <c:pt idx="38" formatCode="General">
                  <c:v>-0.68577900000000003</c:v>
                </c:pt>
                <c:pt idx="39" formatCode="General">
                  <c:v>-0.862259</c:v>
                </c:pt>
                <c:pt idx="40" formatCode="General">
                  <c:v>-1.0174099999999999</c:v>
                </c:pt>
                <c:pt idx="41" formatCode="General">
                  <c:v>-1.1543699999999999</c:v>
                </c:pt>
                <c:pt idx="42" formatCode="General">
                  <c:v>-1.2759400000000001</c:v>
                </c:pt>
                <c:pt idx="43" formatCode="General">
                  <c:v>-1.3845799999999999</c:v>
                </c:pt>
                <c:pt idx="44" formatCode="General">
                  <c:v>-1.4823900000000001</c:v>
                </c:pt>
                <c:pt idx="45" formatCode="General">
                  <c:v>-1.57115</c:v>
                </c:pt>
                <c:pt idx="46" formatCode="General">
                  <c:v>-1.65228</c:v>
                </c:pt>
                <c:pt idx="47" formatCode="General">
                  <c:v>-1.72695</c:v>
                </c:pt>
                <c:pt idx="48" formatCode="General">
                  <c:v>-1.79603</c:v>
                </c:pt>
                <c:pt idx="49" formatCode="General">
                  <c:v>-1.86026</c:v>
                </c:pt>
                <c:pt idx="50" formatCode="General">
                  <c:v>-1.9201699999999999</c:v>
                </c:pt>
                <c:pt idx="51" formatCode="General">
                  <c:v>-1.9762500000000001</c:v>
                </c:pt>
                <c:pt idx="52" formatCode="General">
                  <c:v>-2.0288900000000001</c:v>
                </c:pt>
                <c:pt idx="53" formatCode="General">
                  <c:v>-2.0784400000000001</c:v>
                </c:pt>
                <c:pt idx="54" formatCode="General">
                  <c:v>-2.1252399999999998</c:v>
                </c:pt>
                <c:pt idx="55" formatCode="General">
                  <c:v>-2.1696</c:v>
                </c:pt>
                <c:pt idx="56" formatCode="General">
                  <c:v>-2.2118000000000002</c:v>
                </c:pt>
                <c:pt idx="57" formatCode="General">
                  <c:v>-2.2521100000000001</c:v>
                </c:pt>
                <c:pt idx="58" formatCode="General">
                  <c:v>-2.2907899999999999</c:v>
                </c:pt>
                <c:pt idx="59" formatCode="General">
                  <c:v>-2.3280400000000001</c:v>
                </c:pt>
                <c:pt idx="60" formatCode="General">
                  <c:v>-2.3640599999999998</c:v>
                </c:pt>
                <c:pt idx="61" formatCode="General">
                  <c:v>-2.3989799999999999</c:v>
                </c:pt>
                <c:pt idx="62" formatCode="General">
                  <c:v>-2.4329499999999999</c:v>
                </c:pt>
                <c:pt idx="63" formatCode="General">
                  <c:v>-2.4660500000000001</c:v>
                </c:pt>
                <c:pt idx="64" formatCode="General">
                  <c:v>-2.4983499999999998</c:v>
                </c:pt>
                <c:pt idx="65" formatCode="General">
                  <c:v>-2.5299</c:v>
                </c:pt>
                <c:pt idx="66" formatCode="General">
                  <c:v>-2.56074</c:v>
                </c:pt>
                <c:pt idx="67" formatCode="General">
                  <c:v>-2.5908899999999999</c:v>
                </c:pt>
                <c:pt idx="68" formatCode="General">
                  <c:v>-2.6203400000000001</c:v>
                </c:pt>
                <c:pt idx="69" formatCode="General">
                  <c:v>-2.6490900000000002</c:v>
                </c:pt>
                <c:pt idx="70" formatCode="General">
                  <c:v>-2.6771099999999999</c:v>
                </c:pt>
                <c:pt idx="71" formatCode="General">
                  <c:v>-2.70438</c:v>
                </c:pt>
                <c:pt idx="72" formatCode="General">
                  <c:v>-2.7308400000000002</c:v>
                </c:pt>
                <c:pt idx="73" formatCode="General">
                  <c:v>-2.7564299999999999</c:v>
                </c:pt>
                <c:pt idx="74" formatCode="General">
                  <c:v>-2.7810700000000002</c:v>
                </c:pt>
                <c:pt idx="75" formatCode="General">
                  <c:v>-2.8046899999999999</c:v>
                </c:pt>
                <c:pt idx="76" formatCode="General">
                  <c:v>-2.8271799999999998</c:v>
                </c:pt>
                <c:pt idx="77" formatCode="General">
                  <c:v>-2.8484799999999999</c:v>
                </c:pt>
                <c:pt idx="78" formatCode="General">
                  <c:v>-2.8685100000000001</c:v>
                </c:pt>
                <c:pt idx="79" formatCode="General">
                  <c:v>-2.8872200000000001</c:v>
                </c:pt>
                <c:pt idx="80" formatCode="General">
                  <c:v>-2.9045899999999998</c:v>
                </c:pt>
                <c:pt idx="81" formatCode="General">
                  <c:v>-2.9206500000000002</c:v>
                </c:pt>
                <c:pt idx="82" formatCode="General">
                  <c:v>-2.93546</c:v>
                </c:pt>
                <c:pt idx="83" formatCode="General">
                  <c:v>-2.9491299999999998</c:v>
                </c:pt>
                <c:pt idx="84" formatCode="General">
                  <c:v>-2.9618500000000001</c:v>
                </c:pt>
                <c:pt idx="85" formatCode="General">
                  <c:v>-2.9738199999999999</c:v>
                </c:pt>
                <c:pt idx="86" formatCode="General">
                  <c:v>-2.98529</c:v>
                </c:pt>
                <c:pt idx="87" formatCode="General">
                  <c:v>-2.9965000000000002</c:v>
                </c:pt>
                <c:pt idx="88" formatCode="General">
                  <c:v>-3.0076700000000001</c:v>
                </c:pt>
                <c:pt idx="89" formatCode="General">
                  <c:v>-3.01891</c:v>
                </c:pt>
                <c:pt idx="90" formatCode="General">
                  <c:v>-3.03016</c:v>
                </c:pt>
                <c:pt idx="91" formatCode="General">
                  <c:v>-3.0411100000000002</c:v>
                </c:pt>
                <c:pt idx="92" formatCode="General">
                  <c:v>-3.0510100000000002</c:v>
                </c:pt>
                <c:pt idx="93" formatCode="General">
                  <c:v>-3.0585599999999999</c:v>
                </c:pt>
                <c:pt idx="94" formatCode="General">
                  <c:v>-3.06169</c:v>
                </c:pt>
                <c:pt idx="95" formatCode="General">
                  <c:v>-3.06169</c:v>
                </c:pt>
                <c:pt idx="96" formatCode="General">
                  <c:v>-3.06169</c:v>
                </c:pt>
                <c:pt idx="97" formatCode="General">
                  <c:v>-3.06169</c:v>
                </c:pt>
                <c:pt idx="98" formatCode="General">
                  <c:v>-3.06169</c:v>
                </c:pt>
                <c:pt idx="99" formatCode="General">
                  <c:v>-3.06169</c:v>
                </c:pt>
                <c:pt idx="100" formatCode="General">
                  <c:v>-3.06169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425450</xdr:colOff>
      <xdr:row>8</xdr:row>
      <xdr:rowOff>12700</xdr:rowOff>
    </xdr:from>
    <xdr:to>
      <xdr:col>20</xdr:col>
      <xdr:colOff>44450</xdr:colOff>
      <xdr:row>21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AB9C75-55CA-9EFA-287B-1AB085F9DE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34</xdr:row>
      <xdr:rowOff>0</xdr:rowOff>
    </xdr:from>
    <xdr:to>
      <xdr:col>20</xdr:col>
      <xdr:colOff>444500</xdr:colOff>
      <xdr:row>47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463550</xdr:colOff>
      <xdr:row>57</xdr:row>
      <xdr:rowOff>152400</xdr:rowOff>
    </xdr:from>
    <xdr:to>
      <xdr:col>20</xdr:col>
      <xdr:colOff>82550</xdr:colOff>
      <xdr:row>71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39"/>
  <sheetViews>
    <sheetView workbookViewId="0">
      <selection activeCell="F13" sqref="F13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1504.5</v>
      </c>
      <c r="D6">
        <v>-4070.09</v>
      </c>
      <c r="E6">
        <v>40326.199999999997</v>
      </c>
      <c r="F6">
        <v>280.16000000000003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1.3964180230222538</v>
      </c>
      <c r="M6">
        <f>D6+SUM(G6:J6)*1.5*(0.000086173)*C6</f>
        <v>-3758.9365316000003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7.7583108248995489E-2</v>
      </c>
      <c r="S6">
        <f>ABS(Q6-L6)/Q6</f>
        <v>0.1348378894939081</v>
      </c>
    </row>
    <row r="7" spans="2:19" x14ac:dyDescent="0.2">
      <c r="B7">
        <v>100000</v>
      </c>
      <c r="C7">
        <v>1399.1</v>
      </c>
      <c r="D7">
        <v>-4095.1</v>
      </c>
      <c r="E7">
        <v>39793.1</v>
      </c>
      <c r="F7">
        <v>-288.79599999999999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1.4151255489016941</v>
      </c>
      <c r="M7">
        <f t="shared" ref="M7:M9" si="0">D7+SUM(G7:J7)*1.5*(0.000086173)*C7</f>
        <v>-3805.7448536799998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5.8378590995131041E-2</v>
      </c>
      <c r="S7">
        <f>ABS(Q7-L7)/Q7</f>
        <v>0.11094798940311981</v>
      </c>
    </row>
    <row r="8" spans="2:19" x14ac:dyDescent="0.2">
      <c r="B8">
        <v>100000</v>
      </c>
      <c r="C8">
        <v>1299.94</v>
      </c>
      <c r="D8">
        <v>-4121.7299999999996</v>
      </c>
      <c r="E8">
        <v>39038</v>
      </c>
      <c r="F8">
        <v>-39.776899999999998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1.4424978861622011</v>
      </c>
      <c r="M8">
        <f t="shared" si="0"/>
        <v>-3852.8826489119997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4.1210607151098519E-2</v>
      </c>
      <c r="S8">
        <f>ABS(Q8-L8)/Q8</f>
        <v>9.5207566746793079E-2</v>
      </c>
    </row>
    <row r="9" spans="2:19" x14ac:dyDescent="0.2">
      <c r="B9">
        <v>100000</v>
      </c>
      <c r="C9">
        <v>1197.46</v>
      </c>
      <c r="D9">
        <v>-4149.29</v>
      </c>
      <c r="E9">
        <v>38395.4</v>
      </c>
      <c r="F9">
        <v>147.69800000000001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1.4666400787594347</v>
      </c>
      <c r="M9">
        <f t="shared" si="0"/>
        <v>-3901.6370706080002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4.7313168372930148E-2</v>
      </c>
      <c r="S9">
        <f>ABS(Q9-L9)/Q9</f>
        <v>7.809473593019324E-2</v>
      </c>
    </row>
    <row r="11" spans="2:19" x14ac:dyDescent="0.2">
      <c r="F11" t="s">
        <v>20</v>
      </c>
      <c r="G11" cm="1">
        <f t="array" ref="G11:H11">LINEST(E6:E9,C6:C9)</f>
        <v>6.4119227462892523</v>
      </c>
      <c r="H11">
        <v>30730.476311822931</v>
      </c>
      <c r="K11" t="s">
        <v>22</v>
      </c>
      <c r="L11" cm="1">
        <f t="array" ref="L11:M11">LINEST(M6:M9,C6:C9)</f>
        <v>0.46571769234576899</v>
      </c>
      <c r="M11">
        <v>-4458.6355902898749</v>
      </c>
      <c r="O11" t="s">
        <v>42</v>
      </c>
      <c r="P11" t="s">
        <v>43</v>
      </c>
    </row>
    <row r="12" spans="2:19" x14ac:dyDescent="0.2">
      <c r="G12" s="2">
        <f>G11/E9</f>
        <v>1.6699715971937398E-4</v>
      </c>
      <c r="L12">
        <f>L11/SUM(G6:I6)*(1.602E-19)*(6.022E+23)</f>
        <v>56.161152664707075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1502.67</v>
      </c>
      <c r="D17">
        <v>-2270.5500000000002</v>
      </c>
      <c r="E17">
        <v>74622.899999999994</v>
      </c>
      <c r="F17">
        <v>23.7197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1.3270986350838685</v>
      </c>
      <c r="M17">
        <f>D17+SUM(G17:J17)*1.5*(0.000086173)*C17</f>
        <v>-1959.7750034160001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7.3278863535523389E-2</v>
      </c>
      <c r="S17">
        <f>ABS(Q17-L17)/Q17</f>
        <v>4.8675333926407105E-2</v>
      </c>
    </row>
    <row r="18" spans="2:19" x14ac:dyDescent="0.2">
      <c r="B18">
        <v>100000</v>
      </c>
      <c r="C18">
        <v>1397.39</v>
      </c>
      <c r="D18">
        <v>-2300.11</v>
      </c>
      <c r="E18">
        <v>73060.600000000006</v>
      </c>
      <c r="F18">
        <v>-82.686400000000006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1.3554768060486775</v>
      </c>
      <c r="M18">
        <f t="shared" ref="M18:M20" si="2">D18+SUM(G18:J18)*1.5*(0.000086173)*C18</f>
        <v>-2011.1085076720001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2.6001034211948298E-2</v>
      </c>
      <c r="S18">
        <f>ABS(Q18-L18)/Q18</f>
        <v>2.3928694703638894E-2</v>
      </c>
    </row>
    <row r="19" spans="2:19" x14ac:dyDescent="0.2">
      <c r="B19">
        <v>100000</v>
      </c>
      <c r="C19">
        <v>1301.3599999999999</v>
      </c>
      <c r="D19">
        <v>-2332.2399999999998</v>
      </c>
      <c r="E19">
        <v>70523.5</v>
      </c>
      <c r="F19">
        <v>37.229799999999997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1.4042404125716959</v>
      </c>
      <c r="M19">
        <f t="shared" si="2"/>
        <v>-2063.0989713279996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4.7785242000064065E-2</v>
      </c>
      <c r="S19">
        <f>ABS(Q19-L19)/Q19</f>
        <v>1.6019399878225538E-2</v>
      </c>
    </row>
    <row r="20" spans="2:19" x14ac:dyDescent="0.2">
      <c r="B20">
        <v>100000</v>
      </c>
      <c r="C20">
        <v>1199.77</v>
      </c>
      <c r="D20">
        <v>-2364.2199999999998</v>
      </c>
      <c r="E20">
        <v>68628</v>
      </c>
      <c r="F20">
        <v>73.805999999999997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1.4430254230926154</v>
      </c>
      <c r="M20">
        <f t="shared" si="2"/>
        <v>-2116.0893274959999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4.8469036500204347E-3</v>
      </c>
      <c r="S20">
        <f>ABS(Q20-L20)/Q20</f>
        <v>1.8227041742677479E-3</v>
      </c>
    </row>
    <row r="22" spans="2:19" x14ac:dyDescent="0.2">
      <c r="F22" t="s">
        <v>20</v>
      </c>
      <c r="G22" cm="1">
        <f t="array" ref="G22:H22">LINEST(E17:E20,C17:C20)</f>
        <v>20.389579787482816</v>
      </c>
      <c r="H22">
        <v>44176.751386911419</v>
      </c>
      <c r="K22" t="s">
        <v>22</v>
      </c>
      <c r="L22" cm="1">
        <f t="array" ref="L22:M22">LINEST(M17:M20,C17:C20)</f>
        <v>0.51830819896934444</v>
      </c>
      <c r="M22">
        <v>-2737.3882177758082</v>
      </c>
      <c r="O22" t="s">
        <v>42</v>
      </c>
      <c r="P22" t="s">
        <v>43</v>
      </c>
    </row>
    <row r="23" spans="2:19" x14ac:dyDescent="0.2">
      <c r="G23" s="2">
        <f>G22/E20</f>
        <v>2.9710292865132038E-4</v>
      </c>
      <c r="L23">
        <f>L22/SUM(G17:I17)*(1.602E-19)*(6.022E+23)</f>
        <v>62.503070783222682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1497.8</v>
      </c>
      <c r="D28">
        <v>-2165.33</v>
      </c>
      <c r="E28">
        <v>53006</v>
      </c>
      <c r="F28">
        <v>-135.834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1.464618459797004</v>
      </c>
      <c r="M28">
        <f>D28+SUM(G28:J28)*1.5*(0.000086173)*C28</f>
        <v>-1855.5621934399999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9.0701676356844382E-2</v>
      </c>
      <c r="S28">
        <f>ABS(Q28-L28)/Q28</f>
        <v>0.10495545816446916</v>
      </c>
    </row>
    <row r="29" spans="2:19" x14ac:dyDescent="0.2">
      <c r="B29">
        <v>100000</v>
      </c>
      <c r="C29">
        <v>1398.92</v>
      </c>
      <c r="D29">
        <v>-2194.27</v>
      </c>
      <c r="E29">
        <v>51916.5</v>
      </c>
      <c r="F29">
        <v>-133.292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1.4953543879113578</v>
      </c>
      <c r="M29">
        <f t="shared" ref="M29:M31" si="4">D29+SUM(G29:J29)*1.5*(0.000086173)*C29</f>
        <v>-1904.9520804159999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6.3149944701027416E-2</v>
      </c>
      <c r="S29">
        <f>ABS(Q29-L29)/Q29</f>
        <v>8.3747200979386593E-2</v>
      </c>
    </row>
    <row r="30" spans="2:19" x14ac:dyDescent="0.2">
      <c r="B30">
        <v>100000</v>
      </c>
      <c r="C30">
        <v>1300.33</v>
      </c>
      <c r="D30">
        <v>-2224.9499999999998</v>
      </c>
      <c r="E30">
        <v>50618.9</v>
      </c>
      <c r="F30">
        <v>59.502899999999997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1.5336873397090809</v>
      </c>
      <c r="M30">
        <f t="shared" si="4"/>
        <v>-1956.0219909839998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5.6082344560896689E-2</v>
      </c>
      <c r="S30">
        <f>ABS(Q30-L30)/Q30</f>
        <v>6.9442395724901143E-2</v>
      </c>
    </row>
    <row r="31" spans="2:19" x14ac:dyDescent="0.2">
      <c r="B31">
        <v>100000</v>
      </c>
      <c r="C31">
        <v>1201.06</v>
      </c>
      <c r="D31">
        <v>-2253.7399999999998</v>
      </c>
      <c r="E31">
        <v>49630.9</v>
      </c>
      <c r="F31">
        <v>-201.88499999999999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1.5642183816936626</v>
      </c>
      <c r="M31">
        <f t="shared" si="4"/>
        <v>-2005.3425358879997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5.8557021038138701E-2</v>
      </c>
      <c r="S31">
        <f>ABS(Q31-L31)/Q31</f>
        <v>5.0939520084427835E-2</v>
      </c>
    </row>
    <row r="33" spans="2:16" x14ac:dyDescent="0.2">
      <c r="F33" t="s">
        <v>20</v>
      </c>
      <c r="G33" cm="1">
        <f t="array" ref="G33:H33">LINEST(E28:E31,C28:C31)</f>
        <v>11.551432638497673</v>
      </c>
      <c r="H33">
        <v>35704.098989949824</v>
      </c>
      <c r="K33" t="s">
        <v>22</v>
      </c>
      <c r="L33" cm="1">
        <f t="array" ref="L33:M33">LINEST(M28:M31,C28:C31)</f>
        <v>0.50606948376510252</v>
      </c>
      <c r="M33">
        <v>-2613.4243854338092</v>
      </c>
      <c r="O33" t="s">
        <v>42</v>
      </c>
      <c r="P33" t="s">
        <v>43</v>
      </c>
    </row>
    <row r="34" spans="2:16" x14ac:dyDescent="0.2">
      <c r="G34" s="2">
        <f>G33/E31</f>
        <v>2.3274678957056335E-4</v>
      </c>
      <c r="L34">
        <f>L33/SUM(G28:I28)*(1.602E-19)*(6.022E+23)</f>
        <v>61.027197385449782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1201.3900000000001</v>
      </c>
      <c r="D40">
        <v>-4051.99</v>
      </c>
      <c r="E40">
        <v>50031.199999999997</v>
      </c>
      <c r="F40">
        <v>-14399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1202.42</v>
      </c>
      <c r="D41">
        <v>-4080.92</v>
      </c>
      <c r="E41">
        <v>48293.4</v>
      </c>
      <c r="F41">
        <v>-10314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1197.9100000000001</v>
      </c>
      <c r="D42">
        <v>-4090.37</v>
      </c>
      <c r="E42">
        <v>46873</v>
      </c>
      <c r="F42">
        <v>-11801.3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1198.49</v>
      </c>
      <c r="D43">
        <v>-4095.95</v>
      </c>
      <c r="E43">
        <v>45623.5</v>
      </c>
      <c r="F43">
        <v>-7468.18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1193.6600000000001</v>
      </c>
      <c r="D44">
        <v>-4104.4799999999996</v>
      </c>
      <c r="E44">
        <v>44506.3</v>
      </c>
      <c r="F44">
        <v>-7564.33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1199.8</v>
      </c>
      <c r="D45">
        <v>-4115.17</v>
      </c>
      <c r="E45">
        <v>43526.5</v>
      </c>
      <c r="F45">
        <v>-8368.89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1201.44</v>
      </c>
      <c r="D46">
        <v>-4121.6000000000004</v>
      </c>
      <c r="E46">
        <v>42683.9</v>
      </c>
      <c r="F46">
        <v>-7805.73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1201.95</v>
      </c>
      <c r="D47">
        <v>-4119.93</v>
      </c>
      <c r="E47">
        <v>41931.300000000003</v>
      </c>
      <c r="F47">
        <v>-7325.92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1203.22</v>
      </c>
      <c r="D48">
        <v>-4123.8999999999996</v>
      </c>
      <c r="E48">
        <v>41240.300000000003</v>
      </c>
      <c r="F48">
        <v>-7353.85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1210.05</v>
      </c>
      <c r="D49">
        <v>-4130.3900000000003</v>
      </c>
      <c r="E49">
        <v>40566.5</v>
      </c>
      <c r="F49">
        <v>-3432.41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1205.9100000000001</v>
      </c>
      <c r="D50">
        <v>-4126.71</v>
      </c>
      <c r="E50">
        <v>40012.5</v>
      </c>
      <c r="F50">
        <v>-4536.3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1201.78</v>
      </c>
      <c r="D51">
        <v>-4130.41</v>
      </c>
      <c r="E51">
        <v>39605.300000000003</v>
      </c>
      <c r="F51">
        <v>-3077.08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1194.3499999999999</v>
      </c>
      <c r="D52">
        <v>-4134.1400000000003</v>
      </c>
      <c r="E52">
        <v>39254.5</v>
      </c>
      <c r="F52">
        <v>-1880.83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1198.45</v>
      </c>
      <c r="D53">
        <v>-4141.54</v>
      </c>
      <c r="E53">
        <v>38953.199999999997</v>
      </c>
      <c r="F53">
        <v>-1191.82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1208.3499999999999</v>
      </c>
      <c r="D54">
        <v>-4143.6000000000004</v>
      </c>
      <c r="E54">
        <v>38722.300000000003</v>
      </c>
      <c r="F54">
        <v>201.72399999999999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1201.8699999999999</v>
      </c>
      <c r="D55">
        <v>-4149.58</v>
      </c>
      <c r="E55">
        <v>38555.4</v>
      </c>
      <c r="F55">
        <v>-1645.39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1202.1600000000001</v>
      </c>
      <c r="D56">
        <v>-4151.09</v>
      </c>
      <c r="E56">
        <v>38394.400000000001</v>
      </c>
      <c r="F56">
        <v>-957.38599999999997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1199.1400000000001</v>
      </c>
      <c r="D57">
        <v>-4148.67</v>
      </c>
      <c r="E57">
        <v>38282</v>
      </c>
      <c r="F57">
        <v>219.55799999999999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1202.6199999999999</v>
      </c>
      <c r="D58">
        <v>-4151.16</v>
      </c>
      <c r="E58">
        <v>38198.6</v>
      </c>
      <c r="F58">
        <v>690.89200000000005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1194.6099999999999</v>
      </c>
      <c r="D59">
        <v>-4151.74</v>
      </c>
      <c r="E59">
        <v>38171.199999999997</v>
      </c>
      <c r="F59">
        <v>49.470199999999998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1204.33</v>
      </c>
      <c r="D60">
        <v>-4144.99</v>
      </c>
      <c r="E60">
        <v>38185.5</v>
      </c>
      <c r="F60">
        <v>1038.92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1182.3599999999999</v>
      </c>
      <c r="D61">
        <v>-4152.04</v>
      </c>
      <c r="E61">
        <v>38233</v>
      </c>
      <c r="F61">
        <v>219.09700000000001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1225.43</v>
      </c>
      <c r="D62">
        <v>-4138.8599999999997</v>
      </c>
      <c r="E62">
        <v>38299.199999999997</v>
      </c>
      <c r="F62">
        <v>516.47299999999996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1228.3699999999999</v>
      </c>
      <c r="D63">
        <v>-4157.38</v>
      </c>
      <c r="E63">
        <v>38408.300000000003</v>
      </c>
      <c r="F63">
        <v>-1542.75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1237.72</v>
      </c>
      <c r="D64">
        <v>-4143.3100000000004</v>
      </c>
      <c r="E64">
        <v>38505.1</v>
      </c>
      <c r="F64">
        <v>501.858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1228.8</v>
      </c>
      <c r="D65">
        <v>-4148.6400000000003</v>
      </c>
      <c r="E65">
        <v>38594.5</v>
      </c>
      <c r="F65">
        <v>-927.75400000000002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1177.17</v>
      </c>
      <c r="D66">
        <v>-4141.76</v>
      </c>
      <c r="E66">
        <v>38656.699999999997</v>
      </c>
      <c r="F66">
        <v>-850.23900000000003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1210.71</v>
      </c>
      <c r="D67">
        <v>-4150.9399999999996</v>
      </c>
      <c r="E67">
        <v>38715.1</v>
      </c>
      <c r="F67">
        <v>-2017.83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1213.52</v>
      </c>
      <c r="D68">
        <v>-4147.9399999999996</v>
      </c>
      <c r="E68">
        <v>38728.400000000001</v>
      </c>
      <c r="F68">
        <v>-1966.84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1195.52</v>
      </c>
      <c r="D69">
        <v>-4148.4799999999996</v>
      </c>
      <c r="E69">
        <v>38690.199999999997</v>
      </c>
      <c r="F69">
        <v>-803.81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1200.1300000000001</v>
      </c>
      <c r="D70">
        <v>-4141.16</v>
      </c>
      <c r="E70">
        <v>38619.599999999999</v>
      </c>
      <c r="F70">
        <v>-934.404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1205.72</v>
      </c>
      <c r="D71">
        <v>-4147.53</v>
      </c>
      <c r="E71">
        <v>38514.6</v>
      </c>
      <c r="F71">
        <v>-2207.04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1230.97</v>
      </c>
      <c r="D72">
        <v>-4148.26</v>
      </c>
      <c r="E72">
        <v>38366.199999999997</v>
      </c>
      <c r="F72">
        <v>1058.8800000000001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1178.26</v>
      </c>
      <c r="D73">
        <v>-4154.22</v>
      </c>
      <c r="E73">
        <v>38221</v>
      </c>
      <c r="F73">
        <v>3432.49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1195.55</v>
      </c>
      <c r="D74">
        <v>-4152.8500000000004</v>
      </c>
      <c r="E74">
        <v>38136.199999999997</v>
      </c>
      <c r="F74">
        <v>2511.1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1175.01</v>
      </c>
      <c r="D75">
        <v>-4151.03</v>
      </c>
      <c r="E75">
        <v>38120.199999999997</v>
      </c>
      <c r="F75">
        <v>2601.41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1176.67</v>
      </c>
      <c r="D76">
        <v>-4153.5</v>
      </c>
      <c r="E76">
        <v>38200.199999999997</v>
      </c>
      <c r="F76">
        <v>-809.51599999999996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1199.9000000000001</v>
      </c>
      <c r="D77">
        <v>-4150.3100000000004</v>
      </c>
      <c r="E77">
        <v>38300.9</v>
      </c>
      <c r="F77">
        <v>-154.495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1204.97</v>
      </c>
      <c r="D78">
        <v>-4149.53</v>
      </c>
      <c r="E78">
        <v>38415.699999999997</v>
      </c>
      <c r="F78">
        <v>-399.14100000000002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1201.93</v>
      </c>
      <c r="D79">
        <v>-4148.05</v>
      </c>
      <c r="E79">
        <v>38561.800000000003</v>
      </c>
      <c r="F79">
        <v>811.81799999999998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1222.53</v>
      </c>
      <c r="D80">
        <v>-4145.74</v>
      </c>
      <c r="E80">
        <v>38687.1</v>
      </c>
      <c r="F80">
        <v>-371.952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1217.97</v>
      </c>
      <c r="D81">
        <v>-4139.58</v>
      </c>
      <c r="E81">
        <v>38753.800000000003</v>
      </c>
      <c r="F81">
        <v>-644.43200000000002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1220.0999999999999</v>
      </c>
      <c r="D82">
        <v>-4146.76</v>
      </c>
      <c r="E82">
        <v>38764.199999999997</v>
      </c>
      <c r="F82">
        <v>-205.334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1211.53</v>
      </c>
      <c r="D83">
        <v>-4140.68</v>
      </c>
      <c r="E83">
        <v>38718.9</v>
      </c>
      <c r="F83">
        <v>-2548.3200000000002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1228.6500000000001</v>
      </c>
      <c r="D84">
        <v>-4147.25</v>
      </c>
      <c r="E84">
        <v>38606.6</v>
      </c>
      <c r="F84">
        <v>-124.42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1197.1400000000001</v>
      </c>
      <c r="D85">
        <v>-4144.6400000000003</v>
      </c>
      <c r="E85">
        <v>38493.9</v>
      </c>
      <c r="F85">
        <v>-79.263099999999994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1184.3699999999999</v>
      </c>
      <c r="D86">
        <v>-4145.8</v>
      </c>
      <c r="E86">
        <v>38379.800000000003</v>
      </c>
      <c r="F86">
        <v>645.57899999999995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1171.1300000000001</v>
      </c>
      <c r="D87">
        <v>-4152.63</v>
      </c>
      <c r="E87">
        <v>38283.5</v>
      </c>
      <c r="F87">
        <v>1119.1500000000001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1233.21</v>
      </c>
      <c r="D88">
        <v>-4145.7299999999996</v>
      </c>
      <c r="E88">
        <v>38225.199999999997</v>
      </c>
      <c r="F88">
        <v>-1268.3499999999999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1251.27</v>
      </c>
      <c r="D89">
        <v>-4148.5200000000004</v>
      </c>
      <c r="E89">
        <v>38220.199999999997</v>
      </c>
      <c r="F89">
        <v>1016.58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1219.79</v>
      </c>
      <c r="D90">
        <v>-4149.5200000000004</v>
      </c>
      <c r="E90">
        <v>38244.400000000001</v>
      </c>
      <c r="F90">
        <v>1384.01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1211.1300000000001</v>
      </c>
      <c r="D91">
        <v>-4149.17</v>
      </c>
      <c r="E91">
        <v>38304.199999999997</v>
      </c>
      <c r="F91">
        <v>-724.91300000000001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1208.22</v>
      </c>
      <c r="D92">
        <v>-4149.25</v>
      </c>
      <c r="E92">
        <v>38361.1</v>
      </c>
      <c r="F92">
        <v>-1020.9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1173.31</v>
      </c>
      <c r="D93">
        <v>-4148.47</v>
      </c>
      <c r="E93">
        <v>38409.699999999997</v>
      </c>
      <c r="F93">
        <v>832.70299999999997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1167.46</v>
      </c>
      <c r="D94">
        <v>-4158.6000000000004</v>
      </c>
      <c r="E94">
        <v>38490.199999999997</v>
      </c>
      <c r="F94">
        <v>-1433.98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1191.7</v>
      </c>
      <c r="D95">
        <v>-4148.6499999999996</v>
      </c>
      <c r="E95">
        <v>38506.300000000003</v>
      </c>
      <c r="F95">
        <v>-2197.7399999999998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1189.31</v>
      </c>
      <c r="D96">
        <v>-4148.08</v>
      </c>
      <c r="E96">
        <v>38442.6</v>
      </c>
      <c r="F96">
        <v>-3642.01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1211.9000000000001</v>
      </c>
      <c r="D97">
        <v>-4148.43</v>
      </c>
      <c r="E97">
        <v>38351.5</v>
      </c>
      <c r="F97">
        <v>557.60599999999999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1190.03</v>
      </c>
      <c r="D98">
        <v>-4155.84</v>
      </c>
      <c r="E98">
        <v>38285.599999999999</v>
      </c>
      <c r="F98">
        <v>-1304.1199999999999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1173.68</v>
      </c>
      <c r="D99">
        <v>-4157.3500000000004</v>
      </c>
      <c r="E99">
        <v>38253.1</v>
      </c>
      <c r="F99">
        <v>-721.81100000000004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1204.5899999999999</v>
      </c>
      <c r="D100">
        <v>-4153.37</v>
      </c>
      <c r="E100">
        <v>38226</v>
      </c>
      <c r="F100">
        <v>2282.0100000000002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1225.67</v>
      </c>
      <c r="D101">
        <v>-4145.7700000000004</v>
      </c>
      <c r="E101">
        <v>38236.800000000003</v>
      </c>
      <c r="F101">
        <v>1799.69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1212.05</v>
      </c>
      <c r="D102">
        <v>-4153.1899999999996</v>
      </c>
      <c r="E102">
        <v>38295</v>
      </c>
      <c r="F102">
        <v>-479.02199999999999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1244.75</v>
      </c>
      <c r="D103">
        <v>-4153.93</v>
      </c>
      <c r="E103">
        <v>38380.1</v>
      </c>
      <c r="F103">
        <v>295.40300000000002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1216.4100000000001</v>
      </c>
      <c r="D104">
        <v>-4150.07</v>
      </c>
      <c r="E104">
        <v>38444.699999999997</v>
      </c>
      <c r="F104">
        <v>-97.266099999999994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1212.18</v>
      </c>
      <c r="D105">
        <v>-4146.18</v>
      </c>
      <c r="E105">
        <v>38521.9</v>
      </c>
      <c r="F105">
        <v>-1167.17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1214.54</v>
      </c>
      <c r="D106">
        <v>-4145.82</v>
      </c>
      <c r="E106">
        <v>38581.800000000003</v>
      </c>
      <c r="F106">
        <v>600.89499999999998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1203.6500000000001</v>
      </c>
      <c r="D107">
        <v>-4145.26</v>
      </c>
      <c r="E107">
        <v>38587.300000000003</v>
      </c>
      <c r="F107">
        <v>-2858.1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1235.72</v>
      </c>
      <c r="D108">
        <v>-4153.05</v>
      </c>
      <c r="E108">
        <v>38546.1</v>
      </c>
      <c r="F108">
        <v>117.91200000000001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1211.1099999999999</v>
      </c>
      <c r="D109">
        <v>-4145.8100000000004</v>
      </c>
      <c r="E109">
        <v>38482</v>
      </c>
      <c r="F109">
        <v>-1852.34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1175.06</v>
      </c>
      <c r="D110">
        <v>-4143.57</v>
      </c>
      <c r="E110">
        <v>38393.5</v>
      </c>
      <c r="F110">
        <v>-1096.58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1171.78</v>
      </c>
      <c r="D111">
        <v>-4154.33</v>
      </c>
      <c r="E111">
        <v>38285.4</v>
      </c>
      <c r="F111">
        <v>317.45800000000003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1223.3900000000001</v>
      </c>
      <c r="D112">
        <v>-4149.95</v>
      </c>
      <c r="E112">
        <v>38162.800000000003</v>
      </c>
      <c r="F112">
        <v>555.33299999999997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1219.6300000000001</v>
      </c>
      <c r="D113">
        <v>-4150.99</v>
      </c>
      <c r="E113">
        <v>38031.800000000003</v>
      </c>
      <c r="F113">
        <v>410.06700000000001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1196.98</v>
      </c>
      <c r="D114">
        <v>-4151.58</v>
      </c>
      <c r="E114">
        <v>37919.199999999997</v>
      </c>
      <c r="F114">
        <v>2080.33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1198.1300000000001</v>
      </c>
      <c r="D115">
        <v>-4155.97</v>
      </c>
      <c r="E115">
        <v>37896.9</v>
      </c>
      <c r="F115">
        <v>278.33100000000002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1184.03</v>
      </c>
      <c r="D116">
        <v>-4163.82</v>
      </c>
      <c r="E116">
        <v>37927.9</v>
      </c>
      <c r="F116">
        <v>2545.4699999999998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1209.8399999999999</v>
      </c>
      <c r="D117">
        <v>-4149.9399999999996</v>
      </c>
      <c r="E117">
        <v>38021.5</v>
      </c>
      <c r="F117">
        <v>-494.661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1213.4000000000001</v>
      </c>
      <c r="D118">
        <v>-4152.38</v>
      </c>
      <c r="E118">
        <v>38157</v>
      </c>
      <c r="F118">
        <v>1378.24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1198.54</v>
      </c>
      <c r="D119">
        <v>-4153.1499999999996</v>
      </c>
      <c r="E119">
        <v>38317</v>
      </c>
      <c r="F119">
        <v>-211.41300000000001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1201.08</v>
      </c>
      <c r="D120">
        <v>-4154.6099999999997</v>
      </c>
      <c r="E120">
        <v>38460.6</v>
      </c>
      <c r="F120">
        <v>666.09900000000005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1212.6300000000001</v>
      </c>
      <c r="D121">
        <v>-4143.2</v>
      </c>
      <c r="E121">
        <v>38596.6</v>
      </c>
      <c r="F121">
        <v>-2934.94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1225.05</v>
      </c>
      <c r="D122">
        <v>-4143.53</v>
      </c>
      <c r="E122">
        <v>38676.1</v>
      </c>
      <c r="F122">
        <v>409.83600000000001</v>
      </c>
      <c r="G122">
        <v>800</v>
      </c>
      <c r="H122">
        <v>0</v>
      </c>
      <c r="I122">
        <v>0</v>
      </c>
      <c r="J122">
        <v>800</v>
      </c>
    </row>
    <row r="123" spans="2:10" x14ac:dyDescent="0.2">
      <c r="B123">
        <v>84000</v>
      </c>
      <c r="C123">
        <v>1232.4000000000001</v>
      </c>
      <c r="D123">
        <v>-4137.25</v>
      </c>
      <c r="E123">
        <v>38698.800000000003</v>
      </c>
      <c r="F123">
        <v>-789.23099999999999</v>
      </c>
      <c r="G123">
        <v>800</v>
      </c>
      <c r="H123">
        <v>0</v>
      </c>
      <c r="I123">
        <v>0</v>
      </c>
      <c r="J123">
        <v>800</v>
      </c>
    </row>
    <row r="124" spans="2:10" x14ac:dyDescent="0.2">
      <c r="B124">
        <v>85000</v>
      </c>
      <c r="C124">
        <v>1222.73</v>
      </c>
      <c r="D124">
        <v>-4144.87</v>
      </c>
      <c r="E124">
        <v>38685.5</v>
      </c>
      <c r="F124">
        <v>-747.875</v>
      </c>
      <c r="G124">
        <v>800</v>
      </c>
      <c r="H124">
        <v>0</v>
      </c>
      <c r="I124">
        <v>0</v>
      </c>
      <c r="J124">
        <v>800</v>
      </c>
    </row>
    <row r="125" spans="2:10" x14ac:dyDescent="0.2">
      <c r="B125">
        <v>86000</v>
      </c>
      <c r="C125">
        <v>1198.04</v>
      </c>
      <c r="D125">
        <v>-4146.43</v>
      </c>
      <c r="E125">
        <v>38634.1</v>
      </c>
      <c r="F125">
        <v>-106.136</v>
      </c>
      <c r="G125">
        <v>800</v>
      </c>
      <c r="H125">
        <v>0</v>
      </c>
      <c r="I125">
        <v>0</v>
      </c>
      <c r="J125">
        <v>800</v>
      </c>
    </row>
    <row r="126" spans="2:10" x14ac:dyDescent="0.2">
      <c r="B126">
        <v>87000</v>
      </c>
      <c r="C126">
        <v>1175.56</v>
      </c>
      <c r="D126">
        <v>-4151.58</v>
      </c>
      <c r="E126">
        <v>38575.199999999997</v>
      </c>
      <c r="F126">
        <v>-1635.82</v>
      </c>
      <c r="G126">
        <v>800</v>
      </c>
      <c r="H126">
        <v>0</v>
      </c>
      <c r="I126">
        <v>0</v>
      </c>
      <c r="J126">
        <v>800</v>
      </c>
    </row>
    <row r="127" spans="2:10" x14ac:dyDescent="0.2">
      <c r="B127">
        <v>88000</v>
      </c>
      <c r="C127">
        <v>1170.3499999999999</v>
      </c>
      <c r="D127">
        <v>-4154.26</v>
      </c>
      <c r="E127">
        <v>38496.400000000001</v>
      </c>
      <c r="F127">
        <v>235.72900000000001</v>
      </c>
      <c r="G127">
        <v>800</v>
      </c>
      <c r="H127">
        <v>0</v>
      </c>
      <c r="I127">
        <v>0</v>
      </c>
      <c r="J127">
        <v>800</v>
      </c>
    </row>
    <row r="128" spans="2:10" x14ac:dyDescent="0.2">
      <c r="B128">
        <v>89000</v>
      </c>
      <c r="C128">
        <v>1207.17</v>
      </c>
      <c r="D128">
        <v>-4151.75</v>
      </c>
      <c r="E128">
        <v>38384.5</v>
      </c>
      <c r="F128">
        <v>-739.94</v>
      </c>
      <c r="G128">
        <v>800</v>
      </c>
      <c r="H128">
        <v>0</v>
      </c>
      <c r="I128">
        <v>0</v>
      </c>
      <c r="J128">
        <v>800</v>
      </c>
    </row>
    <row r="129" spans="2:10" x14ac:dyDescent="0.2">
      <c r="B129">
        <v>90000</v>
      </c>
      <c r="C129">
        <v>1190.26</v>
      </c>
      <c r="D129">
        <v>-4140.46</v>
      </c>
      <c r="E129">
        <v>38234.9</v>
      </c>
      <c r="F129">
        <v>2097.2399999999998</v>
      </c>
      <c r="G129">
        <v>800</v>
      </c>
      <c r="H129">
        <v>0</v>
      </c>
      <c r="I129">
        <v>0</v>
      </c>
      <c r="J129">
        <v>800</v>
      </c>
    </row>
    <row r="130" spans="2:10" x14ac:dyDescent="0.2">
      <c r="B130">
        <v>91000</v>
      </c>
      <c r="C130">
        <v>1169.56</v>
      </c>
      <c r="D130">
        <v>-4152.8999999999996</v>
      </c>
      <c r="E130">
        <v>38119.300000000003</v>
      </c>
      <c r="F130">
        <v>1961.63</v>
      </c>
      <c r="G130">
        <v>800</v>
      </c>
      <c r="H130">
        <v>0</v>
      </c>
      <c r="I130">
        <v>0</v>
      </c>
      <c r="J130">
        <v>800</v>
      </c>
    </row>
    <row r="131" spans="2:10" x14ac:dyDescent="0.2">
      <c r="B131">
        <v>92000</v>
      </c>
      <c r="C131">
        <v>1186.78</v>
      </c>
      <c r="D131">
        <v>-4158.1899999999996</v>
      </c>
      <c r="E131">
        <v>38086.699999999997</v>
      </c>
      <c r="F131">
        <v>1553.82</v>
      </c>
      <c r="G131">
        <v>800</v>
      </c>
      <c r="H131">
        <v>0</v>
      </c>
      <c r="I131">
        <v>0</v>
      </c>
      <c r="J131">
        <v>800</v>
      </c>
    </row>
    <row r="132" spans="2:10" x14ac:dyDescent="0.2">
      <c r="B132">
        <v>93000</v>
      </c>
      <c r="C132">
        <v>1197.51</v>
      </c>
      <c r="D132">
        <v>-4148.55</v>
      </c>
      <c r="E132">
        <v>38128.400000000001</v>
      </c>
      <c r="F132">
        <v>4470.0200000000004</v>
      </c>
      <c r="G132">
        <v>800</v>
      </c>
      <c r="H132">
        <v>0</v>
      </c>
      <c r="I132">
        <v>0</v>
      </c>
      <c r="J132">
        <v>800</v>
      </c>
    </row>
    <row r="133" spans="2:10" x14ac:dyDescent="0.2">
      <c r="B133">
        <v>94000</v>
      </c>
      <c r="C133">
        <v>1199.3900000000001</v>
      </c>
      <c r="D133">
        <v>-4151.28</v>
      </c>
      <c r="E133">
        <v>38251.4</v>
      </c>
      <c r="F133">
        <v>1436.05</v>
      </c>
      <c r="G133">
        <v>800</v>
      </c>
      <c r="H133">
        <v>0</v>
      </c>
      <c r="I133">
        <v>0</v>
      </c>
      <c r="J133">
        <v>800</v>
      </c>
    </row>
    <row r="134" spans="2:10" x14ac:dyDescent="0.2">
      <c r="B134">
        <v>95000</v>
      </c>
      <c r="C134">
        <v>1198.53</v>
      </c>
      <c r="D134">
        <v>-4149.71</v>
      </c>
      <c r="E134">
        <v>38405</v>
      </c>
      <c r="F134">
        <v>807.02700000000004</v>
      </c>
      <c r="G134">
        <v>800</v>
      </c>
      <c r="H134">
        <v>0</v>
      </c>
      <c r="I134">
        <v>0</v>
      </c>
      <c r="J134">
        <v>800</v>
      </c>
    </row>
    <row r="135" spans="2:10" x14ac:dyDescent="0.2">
      <c r="B135">
        <v>96000</v>
      </c>
      <c r="C135">
        <v>1185.05</v>
      </c>
      <c r="D135">
        <v>-4148.59</v>
      </c>
      <c r="E135">
        <v>38559.5</v>
      </c>
      <c r="F135">
        <v>-3654.96</v>
      </c>
      <c r="G135">
        <v>800</v>
      </c>
      <c r="H135">
        <v>0</v>
      </c>
      <c r="I135">
        <v>0</v>
      </c>
      <c r="J135">
        <v>800</v>
      </c>
    </row>
    <row r="136" spans="2:10" x14ac:dyDescent="0.2">
      <c r="B136">
        <v>97000</v>
      </c>
      <c r="C136">
        <v>1152.1199999999999</v>
      </c>
      <c r="D136">
        <v>-4148.13</v>
      </c>
      <c r="E136">
        <v>38654.1</v>
      </c>
      <c r="F136">
        <v>-174.78899999999999</v>
      </c>
      <c r="G136">
        <v>800</v>
      </c>
      <c r="H136">
        <v>0</v>
      </c>
      <c r="I136">
        <v>0</v>
      </c>
      <c r="J136">
        <v>800</v>
      </c>
    </row>
    <row r="137" spans="2:10" x14ac:dyDescent="0.2">
      <c r="B137">
        <v>98000</v>
      </c>
      <c r="C137">
        <v>1221.08</v>
      </c>
      <c r="D137">
        <v>-4140.91</v>
      </c>
      <c r="E137">
        <v>38718.5</v>
      </c>
      <c r="F137">
        <v>1310.03</v>
      </c>
      <c r="G137">
        <v>800</v>
      </c>
      <c r="H137">
        <v>0</v>
      </c>
      <c r="I137">
        <v>0</v>
      </c>
      <c r="J137">
        <v>800</v>
      </c>
    </row>
    <row r="138" spans="2:10" x14ac:dyDescent="0.2">
      <c r="B138">
        <v>99000</v>
      </c>
      <c r="C138">
        <v>1206.0899999999999</v>
      </c>
      <c r="D138">
        <v>-4150.29</v>
      </c>
      <c r="E138">
        <v>38782.699999999997</v>
      </c>
      <c r="F138">
        <v>-761.87300000000005</v>
      </c>
      <c r="G138">
        <v>800</v>
      </c>
      <c r="H138">
        <v>0</v>
      </c>
      <c r="I138">
        <v>0</v>
      </c>
      <c r="J138">
        <v>800</v>
      </c>
    </row>
    <row r="139" spans="2:10" x14ac:dyDescent="0.2">
      <c r="B139">
        <v>100000</v>
      </c>
      <c r="C139">
        <v>1163.42</v>
      </c>
      <c r="D139">
        <v>-4145.21</v>
      </c>
      <c r="E139">
        <v>38838.1</v>
      </c>
      <c r="F139">
        <v>-3167.14</v>
      </c>
      <c r="G139">
        <v>800</v>
      </c>
      <c r="H139">
        <v>0</v>
      </c>
      <c r="I139">
        <v>0</v>
      </c>
      <c r="J139">
        <v>800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B2:S171"/>
  <sheetViews>
    <sheetView topLeftCell="A30" workbookViewId="0">
      <selection activeCell="H53" sqref="H53"/>
    </sheetView>
  </sheetViews>
  <sheetFormatPr baseColWidth="10" defaultRowHeight="16" x14ac:dyDescent="0.2"/>
  <cols>
    <col min="6" max="6" width="12.1640625" bestFit="1" customWidth="1"/>
  </cols>
  <sheetData>
    <row r="2" spans="2:14" x14ac:dyDescent="0.2">
      <c r="G2" t="s">
        <v>14</v>
      </c>
      <c r="H2">
        <v>6.94</v>
      </c>
      <c r="I2">
        <v>39.097999999999999</v>
      </c>
      <c r="J2">
        <v>22.99</v>
      </c>
      <c r="K2">
        <v>35.450000000000003</v>
      </c>
    </row>
    <row r="3" spans="2:14" x14ac:dyDescent="0.2">
      <c r="C3" t="s">
        <v>40</v>
      </c>
      <c r="H3" t="s">
        <v>10</v>
      </c>
      <c r="I3" t="s">
        <v>11</v>
      </c>
      <c r="J3" t="s">
        <v>12</v>
      </c>
      <c r="K3" t="s">
        <v>13</v>
      </c>
    </row>
    <row r="5" spans="2:14" x14ac:dyDescent="0.2">
      <c r="B5" t="s">
        <v>41</v>
      </c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6</v>
      </c>
      <c r="I5" t="s">
        <v>7</v>
      </c>
      <c r="J5" t="s">
        <v>8</v>
      </c>
      <c r="K5" t="s">
        <v>9</v>
      </c>
      <c r="L5" t="s">
        <v>15</v>
      </c>
      <c r="M5" t="s">
        <v>16</v>
      </c>
      <c r="N5" t="s">
        <v>21</v>
      </c>
    </row>
    <row r="7" spans="2:14" x14ac:dyDescent="0.2">
      <c r="B7">
        <f>I7/SUM(H7:I7)</f>
        <v>2.5000000000000001E-2</v>
      </c>
      <c r="C7">
        <v>100000</v>
      </c>
      <c r="D7">
        <v>1500.24</v>
      </c>
      <c r="E7">
        <v>-4027.81</v>
      </c>
      <c r="F7">
        <v>41142.400000000001</v>
      </c>
      <c r="G7">
        <v>-113.152</v>
      </c>
      <c r="H7">
        <v>780</v>
      </c>
      <c r="I7">
        <v>20</v>
      </c>
      <c r="J7">
        <v>0</v>
      </c>
      <c r="K7">
        <v>800</v>
      </c>
      <c r="L7">
        <f>H7*H$2+I7*I$2+J7*J$2+K7*K$2</f>
        <v>34555.160000000003</v>
      </c>
      <c r="M7">
        <f>L7*(1.66054E-24)/(F7)/(1E-24)</f>
        <v>1.3946737522944703</v>
      </c>
      <c r="N7">
        <f>E7+SUM(H7:K7)*1.5*(0.000086173)*D7</f>
        <v>-3717.5375643520001</v>
      </c>
    </row>
    <row r="8" spans="2:14" x14ac:dyDescent="0.2">
      <c r="B8">
        <f t="shared" ref="B8:B33" si="0">I8/SUM(H8:I8)</f>
        <v>0.05</v>
      </c>
      <c r="C8">
        <v>200000</v>
      </c>
      <c r="D8">
        <v>1500.15</v>
      </c>
      <c r="E8">
        <v>-3987.54</v>
      </c>
      <c r="F8">
        <v>41838</v>
      </c>
      <c r="G8">
        <v>10.4726</v>
      </c>
      <c r="H8">
        <v>760</v>
      </c>
      <c r="I8">
        <v>40</v>
      </c>
      <c r="J8">
        <v>0</v>
      </c>
      <c r="K8">
        <v>800</v>
      </c>
      <c r="L8">
        <f>H8*H$2+I8*I$2+J8*J$2+K8*K$2</f>
        <v>35198.320000000007</v>
      </c>
      <c r="M8">
        <f>L8*(1.66054E-24)/(F8)/(1E-24)</f>
        <v>1.3970127227114109</v>
      </c>
      <c r="N8">
        <f>E8+SUM(H8:K8)*1.5*(0.000086173)*D8</f>
        <v>-3677.2861777200001</v>
      </c>
    </row>
    <row r="9" spans="2:14" x14ac:dyDescent="0.2">
      <c r="B9">
        <f t="shared" si="0"/>
        <v>7.4999999999999997E-2</v>
      </c>
      <c r="C9">
        <v>300000</v>
      </c>
      <c r="D9">
        <v>1499.97</v>
      </c>
      <c r="E9">
        <v>-3946.06</v>
      </c>
      <c r="F9">
        <v>42461.4</v>
      </c>
      <c r="G9">
        <v>-27.088699999999999</v>
      </c>
      <c r="H9">
        <v>740</v>
      </c>
      <c r="I9">
        <v>60</v>
      </c>
      <c r="J9">
        <v>0</v>
      </c>
      <c r="K9">
        <v>800</v>
      </c>
      <c r="L9">
        <f t="shared" ref="L9:L10" si="1">H9*H$2+I9*I$2+J9*J$2+K9*K$2</f>
        <v>35841.480000000003</v>
      </c>
      <c r="M9">
        <f t="shared" ref="M9" si="2">L9*(1.66054E-24)/(F9)/(1E-24)</f>
        <v>1.4016544720428437</v>
      </c>
      <c r="N9">
        <f t="shared" ref="N9:N10" si="3">E9+SUM(H9:K9)*1.5*(0.000086173)*D9</f>
        <v>-3635.8434044559999</v>
      </c>
    </row>
    <row r="10" spans="2:14" x14ac:dyDescent="0.2">
      <c r="B10">
        <f t="shared" si="0"/>
        <v>0.1</v>
      </c>
      <c r="C10">
        <v>400000</v>
      </c>
      <c r="D10">
        <v>1500.13</v>
      </c>
      <c r="E10">
        <v>-3903.24</v>
      </c>
      <c r="F10">
        <v>43245.2</v>
      </c>
      <c r="G10">
        <v>5.7857500000000002</v>
      </c>
      <c r="H10">
        <v>720</v>
      </c>
      <c r="I10">
        <v>80</v>
      </c>
      <c r="J10">
        <v>0</v>
      </c>
      <c r="K10">
        <v>800</v>
      </c>
      <c r="L10">
        <f t="shared" si="1"/>
        <v>36484.640000000007</v>
      </c>
      <c r="M10">
        <f>L10*(1.66054E-24)/(F10)/(1E-24)</f>
        <v>1.4009463271206983</v>
      </c>
      <c r="N10">
        <f t="shared" si="3"/>
        <v>-3592.9903140239999</v>
      </c>
    </row>
    <row r="11" spans="2:14" x14ac:dyDescent="0.2">
      <c r="B11">
        <f t="shared" si="0"/>
        <v>0.125</v>
      </c>
      <c r="C11">
        <v>500000</v>
      </c>
      <c r="D11">
        <v>1499.94</v>
      </c>
      <c r="E11">
        <v>-3861.11</v>
      </c>
      <c r="F11">
        <v>43940.800000000003</v>
      </c>
      <c r="G11">
        <v>5.0433599999999998</v>
      </c>
      <c r="H11">
        <v>700</v>
      </c>
      <c r="I11">
        <v>100</v>
      </c>
      <c r="J11">
        <v>0</v>
      </c>
      <c r="K11">
        <v>800</v>
      </c>
      <c r="L11">
        <f t="shared" ref="L11" si="4">H11*H$2+I11*I$2+J11*J$2+K11*K$2</f>
        <v>37127.800000000003</v>
      </c>
      <c r="M11">
        <f>L11*(1.66054E-24)/(F11)/(1E-24)</f>
        <v>1.4030740681098204</v>
      </c>
      <c r="N11">
        <f>E11+SUM(H11:K11)*1.5*(0.000086173)*D11</f>
        <v>-3550.8996089120001</v>
      </c>
    </row>
    <row r="12" spans="2:14" x14ac:dyDescent="0.2">
      <c r="B12">
        <f t="shared" si="0"/>
        <v>0.15</v>
      </c>
      <c r="C12">
        <v>600000</v>
      </c>
      <c r="D12">
        <v>1499.83</v>
      </c>
      <c r="E12">
        <v>-3817.87</v>
      </c>
      <c r="F12">
        <v>44703.3</v>
      </c>
      <c r="G12">
        <v>46.172600000000003</v>
      </c>
      <c r="H12">
        <v>680</v>
      </c>
      <c r="I12">
        <v>120</v>
      </c>
      <c r="J12">
        <v>0</v>
      </c>
      <c r="K12">
        <v>800</v>
      </c>
      <c r="L12">
        <f t="shared" ref="L12:L15" si="5">H12*H$2+I12*I$2+J12*J$2+K12*K$2</f>
        <v>37770.960000000006</v>
      </c>
      <c r="M12">
        <f t="shared" ref="M12:M15" si="6">L12*(1.66054E-24)/(F12)/(1E-24)</f>
        <v>1.4030326601928718</v>
      </c>
      <c r="N12">
        <f t="shared" ref="N12:N15" si="7">E12+SUM(H12:K12)*1.5*(0.000086173)*D12</f>
        <v>-3507.6823585839998</v>
      </c>
    </row>
    <row r="13" spans="2:14" x14ac:dyDescent="0.2">
      <c r="B13">
        <f t="shared" si="0"/>
        <v>0.17499999999999999</v>
      </c>
      <c r="C13">
        <v>700000</v>
      </c>
      <c r="D13">
        <v>1500</v>
      </c>
      <c r="E13">
        <v>-3774.91</v>
      </c>
      <c r="F13">
        <v>45417.9</v>
      </c>
      <c r="G13">
        <v>69.203000000000003</v>
      </c>
      <c r="H13">
        <v>660</v>
      </c>
      <c r="I13">
        <v>140</v>
      </c>
      <c r="J13">
        <v>0</v>
      </c>
      <c r="K13">
        <v>800</v>
      </c>
      <c r="L13">
        <f t="shared" si="5"/>
        <v>38414.120000000003</v>
      </c>
      <c r="M13">
        <f t="shared" si="6"/>
        <v>1.404472307720084</v>
      </c>
      <c r="N13">
        <f t="shared" si="7"/>
        <v>-3464.6871999999998</v>
      </c>
    </row>
    <row r="14" spans="2:14" x14ac:dyDescent="0.2">
      <c r="B14">
        <f t="shared" si="0"/>
        <v>0.2</v>
      </c>
      <c r="C14">
        <v>800000</v>
      </c>
      <c r="D14">
        <v>1499.95</v>
      </c>
      <c r="E14">
        <v>-3730.46</v>
      </c>
      <c r="F14">
        <v>46266</v>
      </c>
      <c r="G14">
        <v>-76.468900000000005</v>
      </c>
      <c r="H14">
        <v>640</v>
      </c>
      <c r="I14">
        <v>160</v>
      </c>
      <c r="J14">
        <v>0</v>
      </c>
      <c r="K14">
        <v>800</v>
      </c>
      <c r="L14">
        <f t="shared" si="5"/>
        <v>39057.280000000006</v>
      </c>
      <c r="M14">
        <f t="shared" si="6"/>
        <v>1.4018107407426621</v>
      </c>
      <c r="N14">
        <f t="shared" si="7"/>
        <v>-3420.24754076</v>
      </c>
    </row>
    <row r="15" spans="2:14" x14ac:dyDescent="0.2">
      <c r="B15">
        <f t="shared" si="0"/>
        <v>0.22500000000000001</v>
      </c>
      <c r="C15">
        <v>900000</v>
      </c>
      <c r="D15">
        <v>1499.72</v>
      </c>
      <c r="E15">
        <v>-3686.8</v>
      </c>
      <c r="F15">
        <v>47124.5</v>
      </c>
      <c r="G15">
        <v>-113.55200000000001</v>
      </c>
      <c r="H15">
        <v>620</v>
      </c>
      <c r="I15">
        <v>180</v>
      </c>
      <c r="J15">
        <v>0</v>
      </c>
      <c r="K15">
        <v>800</v>
      </c>
      <c r="L15">
        <f t="shared" si="5"/>
        <v>39700.44</v>
      </c>
      <c r="M15">
        <f t="shared" si="6"/>
        <v>1.3989361932243314</v>
      </c>
      <c r="N15">
        <f t="shared" si="7"/>
        <v>-3376.6351082560004</v>
      </c>
    </row>
    <row r="16" spans="2:14" x14ac:dyDescent="0.2">
      <c r="B16">
        <f t="shared" si="0"/>
        <v>0.25</v>
      </c>
      <c r="C16">
        <v>1000000</v>
      </c>
      <c r="D16">
        <v>1500.07</v>
      </c>
      <c r="E16">
        <v>-3644.43</v>
      </c>
      <c r="F16">
        <v>47790.7</v>
      </c>
      <c r="G16">
        <v>-40.1248</v>
      </c>
      <c r="H16">
        <v>600</v>
      </c>
      <c r="I16">
        <v>200</v>
      </c>
      <c r="J16">
        <v>0</v>
      </c>
      <c r="K16">
        <v>800</v>
      </c>
      <c r="L16">
        <f t="shared" ref="L16:L33" si="8">H16*H$2+I16*I$2+J16*J$2+K16*K$2</f>
        <v>40343.600000000006</v>
      </c>
      <c r="M16">
        <f t="shared" ref="M16:M33" si="9">L16*(1.66054E-24)/(F16)/(1E-24)</f>
        <v>1.4017823874519524</v>
      </c>
      <c r="N16">
        <f t="shared" ref="N16:N33" si="10">E16+SUM(H16:K16)*1.5*(0.000086173)*D16</f>
        <v>-3334.1927229359999</v>
      </c>
    </row>
    <row r="17" spans="2:14" x14ac:dyDescent="0.2">
      <c r="B17">
        <f t="shared" si="0"/>
        <v>0.27500000000000002</v>
      </c>
      <c r="C17">
        <v>1100000</v>
      </c>
      <c r="D17">
        <v>1500.01</v>
      </c>
      <c r="E17">
        <v>-3600.77</v>
      </c>
      <c r="F17">
        <v>48656.6</v>
      </c>
      <c r="G17">
        <v>-31.7273</v>
      </c>
      <c r="H17">
        <v>580</v>
      </c>
      <c r="I17">
        <v>220</v>
      </c>
      <c r="J17">
        <v>0</v>
      </c>
      <c r="K17">
        <v>800</v>
      </c>
      <c r="L17">
        <f t="shared" si="8"/>
        <v>40986.76</v>
      </c>
      <c r="M17">
        <f t="shared" si="9"/>
        <v>1.3987856621794372</v>
      </c>
      <c r="N17">
        <f t="shared" si="10"/>
        <v>-3290.545131848</v>
      </c>
    </row>
    <row r="18" spans="2:14" x14ac:dyDescent="0.2">
      <c r="B18">
        <f t="shared" si="0"/>
        <v>0.3</v>
      </c>
      <c r="C18">
        <v>1200000</v>
      </c>
      <c r="D18">
        <v>1500.18</v>
      </c>
      <c r="E18">
        <v>-3558.45</v>
      </c>
      <c r="F18">
        <v>49363.199999999997</v>
      </c>
      <c r="G18">
        <v>45.782299999999999</v>
      </c>
      <c r="H18">
        <v>560</v>
      </c>
      <c r="I18">
        <v>240</v>
      </c>
      <c r="J18">
        <v>0</v>
      </c>
      <c r="K18">
        <v>800</v>
      </c>
      <c r="L18">
        <f t="shared" si="8"/>
        <v>41629.920000000006</v>
      </c>
      <c r="M18">
        <f t="shared" si="9"/>
        <v>1.4003984214313501</v>
      </c>
      <c r="N18">
        <f t="shared" si="10"/>
        <v>-3248.1899732639999</v>
      </c>
    </row>
    <row r="19" spans="2:14" x14ac:dyDescent="0.2">
      <c r="B19">
        <f t="shared" si="0"/>
        <v>0.32500000000000001</v>
      </c>
      <c r="C19">
        <v>1300000</v>
      </c>
      <c r="D19">
        <v>1499.69</v>
      </c>
      <c r="E19">
        <v>-3512.5</v>
      </c>
      <c r="F19">
        <v>50282.8</v>
      </c>
      <c r="G19">
        <v>-157.251</v>
      </c>
      <c r="H19">
        <v>540</v>
      </c>
      <c r="I19">
        <v>260</v>
      </c>
      <c r="J19">
        <v>0</v>
      </c>
      <c r="K19">
        <v>800</v>
      </c>
      <c r="L19">
        <f t="shared" si="8"/>
        <v>42273.08</v>
      </c>
      <c r="M19">
        <f t="shared" si="9"/>
        <v>1.3960268772462949</v>
      </c>
      <c r="N19">
        <f t="shared" si="10"/>
        <v>-3202.3413127120002</v>
      </c>
    </row>
    <row r="20" spans="2:14" x14ac:dyDescent="0.2">
      <c r="B20">
        <f t="shared" si="0"/>
        <v>0.35</v>
      </c>
      <c r="C20">
        <v>1400000</v>
      </c>
      <c r="D20">
        <v>1500.07</v>
      </c>
      <c r="E20">
        <v>-3467.49</v>
      </c>
      <c r="F20">
        <v>51210.2</v>
      </c>
      <c r="G20">
        <v>-53.860399999999998</v>
      </c>
      <c r="H20">
        <v>520</v>
      </c>
      <c r="I20">
        <v>280</v>
      </c>
      <c r="J20">
        <v>0</v>
      </c>
      <c r="K20">
        <v>800</v>
      </c>
      <c r="L20">
        <f t="shared" si="8"/>
        <v>42916.240000000005</v>
      </c>
      <c r="M20">
        <f t="shared" si="9"/>
        <v>1.3916003680829212</v>
      </c>
      <c r="N20">
        <f t="shared" si="10"/>
        <v>-3157.2527229359998</v>
      </c>
    </row>
    <row r="21" spans="2:14" x14ac:dyDescent="0.2">
      <c r="B21">
        <f t="shared" si="0"/>
        <v>0.375</v>
      </c>
      <c r="C21">
        <v>1500000</v>
      </c>
      <c r="D21">
        <v>1499.98</v>
      </c>
      <c r="E21">
        <v>-3424.5</v>
      </c>
      <c r="F21">
        <v>51855.8</v>
      </c>
      <c r="G21">
        <v>-57.0379</v>
      </c>
      <c r="H21">
        <v>500</v>
      </c>
      <c r="I21">
        <v>300</v>
      </c>
      <c r="J21">
        <v>0</v>
      </c>
      <c r="K21">
        <v>800</v>
      </c>
      <c r="L21">
        <f t="shared" si="8"/>
        <v>43559.4</v>
      </c>
      <c r="M21">
        <f t="shared" si="9"/>
        <v>1.3948705077541952</v>
      </c>
      <c r="N21">
        <f t="shared" si="10"/>
        <v>-3114.281336304</v>
      </c>
    </row>
    <row r="22" spans="2:14" x14ac:dyDescent="0.2">
      <c r="B22">
        <f t="shared" si="0"/>
        <v>0.4</v>
      </c>
      <c r="C22">
        <v>1600000</v>
      </c>
      <c r="D22">
        <v>1499.95</v>
      </c>
      <c r="E22">
        <v>-3380.32</v>
      </c>
      <c r="F22">
        <v>52631.1</v>
      </c>
      <c r="G22">
        <v>-45.198300000000003</v>
      </c>
      <c r="H22">
        <v>480</v>
      </c>
      <c r="I22">
        <v>320</v>
      </c>
      <c r="J22">
        <v>0</v>
      </c>
      <c r="K22">
        <v>800</v>
      </c>
      <c r="L22">
        <f t="shared" si="8"/>
        <v>44202.560000000005</v>
      </c>
      <c r="M22">
        <f t="shared" si="9"/>
        <v>1.3946149516616604</v>
      </c>
      <c r="N22">
        <f t="shared" si="10"/>
        <v>-3070.1075407600001</v>
      </c>
    </row>
    <row r="23" spans="2:14" x14ac:dyDescent="0.2">
      <c r="B23">
        <f t="shared" si="0"/>
        <v>0.42499999999999999</v>
      </c>
      <c r="C23">
        <v>1700000</v>
      </c>
      <c r="D23">
        <v>1500.22</v>
      </c>
      <c r="E23">
        <v>-3334.25</v>
      </c>
      <c r="F23">
        <v>53581.1</v>
      </c>
      <c r="G23">
        <v>-14.1678</v>
      </c>
      <c r="H23">
        <v>460</v>
      </c>
      <c r="I23">
        <v>340</v>
      </c>
      <c r="J23">
        <v>0</v>
      </c>
      <c r="K23">
        <v>800</v>
      </c>
      <c r="L23">
        <f t="shared" si="8"/>
        <v>44845.72</v>
      </c>
      <c r="M23">
        <f t="shared" si="9"/>
        <v>1.3898205129943209</v>
      </c>
      <c r="N23">
        <f t="shared" si="10"/>
        <v>-3023.9817006560002</v>
      </c>
    </row>
    <row r="24" spans="2:14" x14ac:dyDescent="0.2">
      <c r="B24">
        <f t="shared" si="0"/>
        <v>0.45</v>
      </c>
      <c r="C24">
        <v>1800000</v>
      </c>
      <c r="D24">
        <v>1500.02</v>
      </c>
      <c r="E24">
        <v>-3290.93</v>
      </c>
      <c r="F24">
        <v>54332.9</v>
      </c>
      <c r="G24">
        <v>-18.373699999999999</v>
      </c>
      <c r="H24">
        <v>440</v>
      </c>
      <c r="I24">
        <v>360</v>
      </c>
      <c r="J24">
        <v>0</v>
      </c>
      <c r="K24">
        <v>800</v>
      </c>
      <c r="L24">
        <f t="shared" si="8"/>
        <v>45488.880000000005</v>
      </c>
      <c r="M24">
        <f t="shared" si="9"/>
        <v>1.3902461454330619</v>
      </c>
      <c r="N24">
        <f t="shared" si="10"/>
        <v>-2980.7030636959998</v>
      </c>
    </row>
    <row r="25" spans="2:14" x14ac:dyDescent="0.2">
      <c r="B25">
        <f t="shared" si="0"/>
        <v>0.47499999999999998</v>
      </c>
      <c r="C25">
        <v>1900000</v>
      </c>
      <c r="D25">
        <v>1499.89</v>
      </c>
      <c r="E25">
        <v>-3246.58</v>
      </c>
      <c r="F25">
        <v>55190.8</v>
      </c>
      <c r="G25">
        <v>-39.407800000000002</v>
      </c>
      <c r="H25">
        <v>420</v>
      </c>
      <c r="I25">
        <v>380</v>
      </c>
      <c r="J25">
        <v>0</v>
      </c>
      <c r="K25">
        <v>800</v>
      </c>
      <c r="L25">
        <f t="shared" si="8"/>
        <v>46132.040000000008</v>
      </c>
      <c r="M25">
        <f t="shared" si="9"/>
        <v>1.3879867242656387</v>
      </c>
      <c r="N25">
        <f t="shared" si="10"/>
        <v>-2936.3799496719998</v>
      </c>
    </row>
    <row r="26" spans="2:14" x14ac:dyDescent="0.2">
      <c r="B26">
        <f t="shared" si="0"/>
        <v>0.5</v>
      </c>
      <c r="C26">
        <v>2000000</v>
      </c>
      <c r="D26">
        <v>1500</v>
      </c>
      <c r="E26">
        <v>-3201.5</v>
      </c>
      <c r="F26">
        <v>55886</v>
      </c>
      <c r="G26">
        <v>24.960699999999999</v>
      </c>
      <c r="H26">
        <v>400</v>
      </c>
      <c r="I26">
        <v>400</v>
      </c>
      <c r="J26">
        <v>0</v>
      </c>
      <c r="K26">
        <v>800</v>
      </c>
      <c r="L26">
        <f t="shared" si="8"/>
        <v>46775.199999999997</v>
      </c>
      <c r="M26">
        <f t="shared" si="9"/>
        <v>1.3898309166517551</v>
      </c>
      <c r="N26">
        <f t="shared" si="10"/>
        <v>-2891.2772</v>
      </c>
    </row>
    <row r="27" spans="2:14" x14ac:dyDescent="0.2">
      <c r="B27">
        <f t="shared" si="0"/>
        <v>0.52500000000000002</v>
      </c>
      <c r="C27">
        <v>2100000</v>
      </c>
      <c r="D27">
        <v>1500.08</v>
      </c>
      <c r="E27">
        <v>-3154.44</v>
      </c>
      <c r="F27">
        <v>57115</v>
      </c>
      <c r="G27">
        <v>70.586399999999998</v>
      </c>
      <c r="H27">
        <v>380</v>
      </c>
      <c r="I27">
        <v>420</v>
      </c>
      <c r="J27">
        <v>0</v>
      </c>
      <c r="K27">
        <v>800</v>
      </c>
      <c r="L27">
        <f t="shared" si="8"/>
        <v>47418.36</v>
      </c>
      <c r="M27">
        <f t="shared" si="9"/>
        <v>1.378623540477983</v>
      </c>
      <c r="N27">
        <f t="shared" si="10"/>
        <v>-2844.2006547840001</v>
      </c>
    </row>
    <row r="28" spans="2:14" x14ac:dyDescent="0.2">
      <c r="B28">
        <f t="shared" si="0"/>
        <v>0.55000000000000004</v>
      </c>
      <c r="C28">
        <v>2200000</v>
      </c>
      <c r="D28">
        <v>1499.86</v>
      </c>
      <c r="E28">
        <v>-3109.58</v>
      </c>
      <c r="F28">
        <v>57859.7</v>
      </c>
      <c r="G28">
        <v>42.904299999999999</v>
      </c>
      <c r="H28">
        <v>360</v>
      </c>
      <c r="I28">
        <v>440</v>
      </c>
      <c r="J28">
        <v>0</v>
      </c>
      <c r="K28">
        <v>800</v>
      </c>
      <c r="L28">
        <f t="shared" si="8"/>
        <v>48061.520000000004</v>
      </c>
      <c r="M28">
        <f t="shared" si="9"/>
        <v>1.3793378883886369</v>
      </c>
      <c r="N28">
        <f t="shared" si="10"/>
        <v>-2799.3861541279998</v>
      </c>
    </row>
    <row r="29" spans="2:14" x14ac:dyDescent="0.2">
      <c r="B29">
        <f t="shared" si="0"/>
        <v>0.57499999999999996</v>
      </c>
      <c r="C29">
        <v>2300000</v>
      </c>
      <c r="D29">
        <v>1500.26</v>
      </c>
      <c r="E29">
        <v>-3061.69</v>
      </c>
      <c r="F29">
        <v>58959.9</v>
      </c>
      <c r="G29">
        <v>29.296399999999998</v>
      </c>
      <c r="H29">
        <v>340</v>
      </c>
      <c r="I29">
        <v>460</v>
      </c>
      <c r="J29">
        <v>0</v>
      </c>
      <c r="K29">
        <v>800</v>
      </c>
      <c r="L29">
        <f t="shared" si="8"/>
        <v>48704.68</v>
      </c>
      <c r="M29">
        <f t="shared" si="9"/>
        <v>1.3717131359992132</v>
      </c>
      <c r="N29">
        <f t="shared" si="10"/>
        <v>-2751.4134280480002</v>
      </c>
    </row>
    <row r="30" spans="2:14" x14ac:dyDescent="0.2">
      <c r="B30">
        <f t="shared" si="0"/>
        <v>0.6</v>
      </c>
      <c r="C30">
        <v>2400000</v>
      </c>
      <c r="D30">
        <v>1499.85</v>
      </c>
      <c r="E30">
        <v>-3019.73</v>
      </c>
      <c r="F30">
        <v>59534.2</v>
      </c>
      <c r="G30">
        <v>14.235900000000001</v>
      </c>
      <c r="H30">
        <v>320</v>
      </c>
      <c r="I30">
        <v>480</v>
      </c>
      <c r="J30">
        <v>0</v>
      </c>
      <c r="K30">
        <v>800</v>
      </c>
      <c r="L30">
        <f t="shared" si="8"/>
        <v>49347.840000000004</v>
      </c>
      <c r="M30">
        <f t="shared" si="9"/>
        <v>1.3764199776531809</v>
      </c>
      <c r="N30">
        <f t="shared" si="10"/>
        <v>-2709.5382222799999</v>
      </c>
    </row>
    <row r="31" spans="2:14" x14ac:dyDescent="0.2">
      <c r="B31">
        <f t="shared" si="0"/>
        <v>0.625</v>
      </c>
      <c r="C31">
        <v>2500000</v>
      </c>
      <c r="D31">
        <v>1499.92</v>
      </c>
      <c r="E31">
        <v>-2973.54</v>
      </c>
      <c r="F31">
        <v>60399.3</v>
      </c>
      <c r="G31">
        <v>-18.3093</v>
      </c>
      <c r="H31">
        <v>300</v>
      </c>
      <c r="I31">
        <v>500</v>
      </c>
      <c r="J31">
        <v>0</v>
      </c>
      <c r="K31">
        <v>800</v>
      </c>
      <c r="L31">
        <f t="shared" si="8"/>
        <v>49991</v>
      </c>
      <c r="M31">
        <f t="shared" si="9"/>
        <v>1.3743877021753563</v>
      </c>
      <c r="N31">
        <f t="shared" si="10"/>
        <v>-2663.3337452159999</v>
      </c>
    </row>
    <row r="32" spans="2:14" x14ac:dyDescent="0.2">
      <c r="B32">
        <f t="shared" si="0"/>
        <v>0.65</v>
      </c>
      <c r="C32">
        <v>2600000</v>
      </c>
      <c r="D32">
        <v>1500.16</v>
      </c>
      <c r="E32">
        <v>-2927.58</v>
      </c>
      <c r="F32">
        <v>61269.5</v>
      </c>
      <c r="G32">
        <v>54.1404</v>
      </c>
      <c r="H32">
        <v>280</v>
      </c>
      <c r="I32">
        <v>520</v>
      </c>
      <c r="J32">
        <v>0</v>
      </c>
      <c r="K32">
        <v>800</v>
      </c>
      <c r="L32">
        <f t="shared" si="8"/>
        <v>50634.16</v>
      </c>
      <c r="M32">
        <f t="shared" si="9"/>
        <v>1.3722985832494148</v>
      </c>
      <c r="N32">
        <f t="shared" si="10"/>
        <v>-2617.324109568</v>
      </c>
    </row>
    <row r="33" spans="2:14" x14ac:dyDescent="0.2">
      <c r="B33">
        <f t="shared" si="0"/>
        <v>0.67500000000000004</v>
      </c>
      <c r="C33">
        <v>2700000</v>
      </c>
      <c r="D33">
        <v>1500.02</v>
      </c>
      <c r="E33">
        <v>-2882.44</v>
      </c>
      <c r="F33">
        <v>62036</v>
      </c>
      <c r="G33">
        <v>44.493600000000001</v>
      </c>
      <c r="H33">
        <v>260</v>
      </c>
      <c r="I33">
        <v>540</v>
      </c>
      <c r="J33">
        <v>0</v>
      </c>
      <c r="K33">
        <v>800</v>
      </c>
      <c r="L33">
        <f t="shared" si="8"/>
        <v>51277.320000000007</v>
      </c>
      <c r="M33">
        <f t="shared" si="9"/>
        <v>1.3725585297698111</v>
      </c>
      <c r="N33">
        <f t="shared" si="10"/>
        <v>-2572.2130636960001</v>
      </c>
    </row>
    <row r="36" spans="2:14" x14ac:dyDescent="0.2">
      <c r="B36">
        <f t="shared" ref="B36:B46" si="11">I36/SUM(H36:I36)</f>
        <v>0</v>
      </c>
      <c r="C36">
        <v>100000</v>
      </c>
      <c r="D36">
        <v>1505.94</v>
      </c>
      <c r="E36">
        <v>-4034.71</v>
      </c>
      <c r="F36">
        <v>44174.3</v>
      </c>
      <c r="G36">
        <v>-14.2249</v>
      </c>
      <c r="H36">
        <v>800</v>
      </c>
      <c r="I36">
        <v>0</v>
      </c>
      <c r="J36">
        <v>0</v>
      </c>
      <c r="K36">
        <v>800</v>
      </c>
      <c r="L36">
        <f t="shared" ref="L36" si="12">H36*H$2+I36*I$2+J36*J$2+K36*K$2</f>
        <v>33912</v>
      </c>
      <c r="M36">
        <f t="shared" ref="M36" si="13">L36*(1.66054E-24)/(F36)/(1E-24)</f>
        <v>1.27477362357751</v>
      </c>
      <c r="N36">
        <f t="shared" ref="N36" si="14">E36+SUM(H36:K36)*1.5*(0.000086173)*D36</f>
        <v>-3723.2587177119999</v>
      </c>
    </row>
    <row r="37" spans="2:14" x14ac:dyDescent="0.2">
      <c r="D37" s="4"/>
      <c r="L37">
        <f>H37*H$2+I37*I$2+J37*J$2+K37*K$2</f>
        <v>0</v>
      </c>
      <c r="M37" t="e">
        <f>L37*(1.66054E-24)/(F37)/(1E-24)</f>
        <v>#DIV/0!</v>
      </c>
      <c r="N37">
        <f t="shared" ref="N37:N45" si="15">E37+SUM(H37:K37)*1.5*(0.000086173)*D37</f>
        <v>0</v>
      </c>
    </row>
    <row r="38" spans="2:14" x14ac:dyDescent="0.2">
      <c r="B38">
        <f t="shared" si="11"/>
        <v>0.2</v>
      </c>
      <c r="C38">
        <v>100000</v>
      </c>
      <c r="D38">
        <v>1504.76</v>
      </c>
      <c r="E38">
        <v>-3690.22</v>
      </c>
      <c r="F38">
        <v>51609.5</v>
      </c>
      <c r="G38">
        <v>13.510199999999999</v>
      </c>
      <c r="H38">
        <v>640</v>
      </c>
      <c r="I38">
        <v>160</v>
      </c>
      <c r="J38">
        <v>0</v>
      </c>
      <c r="K38">
        <v>800</v>
      </c>
      <c r="L38">
        <f t="shared" ref="L38:L45" si="16">H38*H$2+I38*I$2+J38*J$2+K38*K$2</f>
        <v>39057.280000000006</v>
      </c>
      <c r="M38">
        <f t="shared" ref="M38:M45" si="17">L38*(1.66054E-24)/(F38)/(1E-24)</f>
        <v>1.2566712665536384</v>
      </c>
      <c r="N38">
        <f t="shared" si="15"/>
        <v>-3379.0127596479997</v>
      </c>
    </row>
    <row r="39" spans="2:14" x14ac:dyDescent="0.2">
      <c r="B39">
        <f t="shared" si="11"/>
        <v>0.3</v>
      </c>
      <c r="C39">
        <v>100000</v>
      </c>
      <c r="D39">
        <v>1503.8</v>
      </c>
      <c r="E39">
        <v>-3513.93</v>
      </c>
      <c r="F39">
        <v>55469.7</v>
      </c>
      <c r="G39">
        <v>2.49295</v>
      </c>
      <c r="H39">
        <v>560</v>
      </c>
      <c r="I39">
        <v>240</v>
      </c>
      <c r="J39">
        <v>0</v>
      </c>
      <c r="K39">
        <v>800</v>
      </c>
      <c r="L39">
        <f t="shared" si="16"/>
        <v>41629.920000000006</v>
      </c>
      <c r="M39">
        <f t="shared" si="17"/>
        <v>1.2462325802519216</v>
      </c>
      <c r="N39">
        <f t="shared" si="15"/>
        <v>-3202.9213022399999</v>
      </c>
    </row>
    <row r="40" spans="2:14" x14ac:dyDescent="0.2">
      <c r="B40">
        <f t="shared" si="11"/>
        <v>0.4</v>
      </c>
      <c r="C40">
        <v>100000</v>
      </c>
      <c r="D40">
        <v>1503.1</v>
      </c>
      <c r="E40">
        <v>-3334.83</v>
      </c>
      <c r="F40">
        <v>59281.7</v>
      </c>
      <c r="G40">
        <v>5.2155100000000001</v>
      </c>
      <c r="H40">
        <v>480</v>
      </c>
      <c r="I40">
        <v>320</v>
      </c>
      <c r="J40">
        <v>0</v>
      </c>
      <c r="K40">
        <v>800</v>
      </c>
      <c r="L40">
        <f t="shared" si="16"/>
        <v>44202.560000000005</v>
      </c>
      <c r="M40">
        <f t="shared" si="17"/>
        <v>1.2381581328200779</v>
      </c>
      <c r="N40">
        <f t="shared" si="15"/>
        <v>-3023.96607288</v>
      </c>
    </row>
    <row r="41" spans="2:14" x14ac:dyDescent="0.2">
      <c r="D41" s="3"/>
      <c r="F41" s="3"/>
      <c r="G41" s="3"/>
      <c r="L41">
        <f t="shared" si="16"/>
        <v>0</v>
      </c>
      <c r="M41" t="e">
        <f t="shared" si="17"/>
        <v>#DIV/0!</v>
      </c>
      <c r="N41">
        <f t="shared" si="15"/>
        <v>0</v>
      </c>
    </row>
    <row r="42" spans="2:14" x14ac:dyDescent="0.2">
      <c r="B42">
        <f t="shared" si="11"/>
        <v>0.6</v>
      </c>
      <c r="C42">
        <v>100000</v>
      </c>
      <c r="D42">
        <v>1494.78</v>
      </c>
      <c r="E42">
        <v>-2974.21</v>
      </c>
      <c r="F42">
        <v>67356.3</v>
      </c>
      <c r="G42">
        <v>3.15828</v>
      </c>
      <c r="H42">
        <v>320</v>
      </c>
      <c r="I42">
        <v>480</v>
      </c>
      <c r="J42">
        <v>0</v>
      </c>
      <c r="K42">
        <v>800</v>
      </c>
      <c r="L42">
        <f t="shared" si="16"/>
        <v>49347.840000000004</v>
      </c>
      <c r="M42">
        <f t="shared" si="17"/>
        <v>1.2165760624262318</v>
      </c>
      <c r="N42">
        <f t="shared" si="15"/>
        <v>-2665.0667753440002</v>
      </c>
    </row>
    <row r="43" spans="2:14" x14ac:dyDescent="0.2">
      <c r="B43">
        <f t="shared" si="11"/>
        <v>0.7</v>
      </c>
      <c r="C43">
        <v>100000</v>
      </c>
      <c r="D43">
        <v>1501.9</v>
      </c>
      <c r="E43">
        <v>-2785.09</v>
      </c>
      <c r="F43">
        <v>72201.7</v>
      </c>
      <c r="G43">
        <v>31.8597</v>
      </c>
      <c r="H43">
        <v>240</v>
      </c>
      <c r="I43">
        <v>560</v>
      </c>
      <c r="J43">
        <v>0</v>
      </c>
      <c r="K43">
        <v>800</v>
      </c>
      <c r="L43">
        <f t="shared" si="16"/>
        <v>51920.480000000003</v>
      </c>
      <c r="M43">
        <f t="shared" si="17"/>
        <v>1.1940997768639798</v>
      </c>
      <c r="N43">
        <f t="shared" si="15"/>
        <v>-2474.4742511200002</v>
      </c>
    </row>
    <row r="44" spans="2:14" x14ac:dyDescent="0.2">
      <c r="B44">
        <f t="shared" si="11"/>
        <v>0.8</v>
      </c>
      <c r="C44">
        <v>100000</v>
      </c>
      <c r="D44">
        <v>1502.39</v>
      </c>
      <c r="E44">
        <v>-2592.9499999999998</v>
      </c>
      <c r="F44">
        <v>77658</v>
      </c>
      <c r="G44">
        <v>22.741499999999998</v>
      </c>
      <c r="H44">
        <v>160</v>
      </c>
      <c r="I44">
        <v>640</v>
      </c>
      <c r="J44">
        <v>0</v>
      </c>
      <c r="K44">
        <v>800</v>
      </c>
      <c r="L44">
        <f t="shared" si="16"/>
        <v>54493.12000000001</v>
      </c>
      <c r="M44">
        <f t="shared" si="17"/>
        <v>1.165211639300523</v>
      </c>
      <c r="N44">
        <f t="shared" si="15"/>
        <v>-2282.2329116719998</v>
      </c>
    </row>
    <row r="45" spans="2:14" x14ac:dyDescent="0.2">
      <c r="B45">
        <f t="shared" si="11"/>
        <v>0.9</v>
      </c>
      <c r="C45">
        <v>100000</v>
      </c>
      <c r="D45">
        <v>1503.12</v>
      </c>
      <c r="E45">
        <v>-2404.7800000000002</v>
      </c>
      <c r="F45">
        <v>82831.100000000006</v>
      </c>
      <c r="G45">
        <v>2.0632299999999999</v>
      </c>
      <c r="H45">
        <v>80</v>
      </c>
      <c r="I45">
        <v>720</v>
      </c>
      <c r="J45">
        <v>0</v>
      </c>
      <c r="K45">
        <v>800</v>
      </c>
      <c r="L45">
        <f t="shared" si="16"/>
        <v>57065.760000000002</v>
      </c>
      <c r="M45">
        <f t="shared" si="17"/>
        <v>1.1440144717431013</v>
      </c>
      <c r="N45">
        <f t="shared" si="15"/>
        <v>-2093.9119365760002</v>
      </c>
    </row>
    <row r="46" spans="2:14" x14ac:dyDescent="0.2">
      <c r="B46">
        <f t="shared" si="11"/>
        <v>1</v>
      </c>
      <c r="C46">
        <v>100000</v>
      </c>
      <c r="D46">
        <v>1499.22</v>
      </c>
      <c r="E46">
        <v>-2210.5700000000002</v>
      </c>
      <c r="F46">
        <v>88781.1</v>
      </c>
      <c r="G46">
        <v>-0.154422</v>
      </c>
      <c r="H46">
        <v>0</v>
      </c>
      <c r="I46">
        <v>800</v>
      </c>
      <c r="J46">
        <v>0</v>
      </c>
      <c r="K46">
        <v>800</v>
      </c>
      <c r="L46">
        <f>H46*H$2+I46*I$2+J46*J$2+K46*K$2</f>
        <v>59638.400000000001</v>
      </c>
      <c r="M46">
        <f>L46*(1.66054E-24)/(F46)/(1E-24)</f>
        <v>1.1154620604610666</v>
      </c>
      <c r="N46">
        <f>E46+SUM(H46:K46)*1.5*(0.000086173)*D46</f>
        <v>-1900.508515856</v>
      </c>
    </row>
    <row r="49" spans="6:19" x14ac:dyDescent="0.2">
      <c r="F49">
        <v>0.01</v>
      </c>
      <c r="G49" t="s">
        <v>45</v>
      </c>
    </row>
    <row r="50" spans="6:19" x14ac:dyDescent="0.2">
      <c r="F50">
        <v>1E-3</v>
      </c>
      <c r="G50" t="s">
        <v>44</v>
      </c>
      <c r="J50">
        <v>0.1</v>
      </c>
    </row>
    <row r="51" spans="6:19" x14ac:dyDescent="0.2">
      <c r="F51">
        <f>F49/F50</f>
        <v>10</v>
      </c>
      <c r="G51" t="s">
        <v>46</v>
      </c>
    </row>
    <row r="52" spans="6:19" x14ac:dyDescent="0.2">
      <c r="F52">
        <f>F51*(0.0000000001)/(0.000000000001)</f>
        <v>1000.0000000000001</v>
      </c>
      <c r="G52" t="s">
        <v>50</v>
      </c>
      <c r="J52" t="s">
        <v>24</v>
      </c>
      <c r="K52" t="s">
        <v>25</v>
      </c>
      <c r="L52" t="s">
        <v>26</v>
      </c>
      <c r="M52" t="s">
        <v>27</v>
      </c>
      <c r="N52" t="s">
        <v>28</v>
      </c>
      <c r="O52">
        <v>3</v>
      </c>
    </row>
    <row r="53" spans="6:19" x14ac:dyDescent="0.2">
      <c r="J53" t="s">
        <v>24</v>
      </c>
      <c r="K53" t="s">
        <v>1</v>
      </c>
      <c r="L53" t="s">
        <v>2</v>
      </c>
      <c r="M53" t="s">
        <v>3</v>
      </c>
      <c r="N53" t="s">
        <v>4</v>
      </c>
      <c r="O53" t="s">
        <v>5</v>
      </c>
      <c r="P53" t="s">
        <v>6</v>
      </c>
      <c r="Q53" t="s">
        <v>7</v>
      </c>
      <c r="R53" t="s">
        <v>8</v>
      </c>
      <c r="S53" t="s">
        <v>9</v>
      </c>
    </row>
    <row r="54" spans="6:19" x14ac:dyDescent="0.2">
      <c r="F54" t="s">
        <v>47</v>
      </c>
      <c r="J54">
        <v>1000</v>
      </c>
      <c r="K54">
        <v>2249.58</v>
      </c>
      <c r="L54">
        <v>-3679.53</v>
      </c>
      <c r="M54">
        <v>68717.100000000006</v>
      </c>
      <c r="N54">
        <v>-418.005</v>
      </c>
      <c r="O54">
        <v>800</v>
      </c>
      <c r="P54">
        <v>0</v>
      </c>
      <c r="Q54">
        <v>0</v>
      </c>
      <c r="R54">
        <v>800</v>
      </c>
    </row>
    <row r="55" spans="6:19" x14ac:dyDescent="0.2">
      <c r="F55">
        <f>L39/1600</f>
        <v>26.018700000000003</v>
      </c>
      <c r="G55" t="s">
        <v>48</v>
      </c>
      <c r="J55">
        <v>2000</v>
      </c>
      <c r="K55">
        <v>1822.5</v>
      </c>
      <c r="L55">
        <v>-3834.12</v>
      </c>
      <c r="M55">
        <v>65745</v>
      </c>
      <c r="N55">
        <v>-3479.29</v>
      </c>
      <c r="O55">
        <v>800</v>
      </c>
      <c r="P55">
        <v>0</v>
      </c>
      <c r="Q55">
        <v>0</v>
      </c>
      <c r="R55">
        <v>800</v>
      </c>
    </row>
    <row r="56" spans="6:19" x14ac:dyDescent="0.2">
      <c r="F56">
        <f>F55*1.66E-27</f>
        <v>4.3191042000000001E-26</v>
      </c>
      <c r="G56" t="s">
        <v>49</v>
      </c>
      <c r="J56">
        <v>3000</v>
      </c>
      <c r="K56">
        <v>1630.03</v>
      </c>
      <c r="L56">
        <v>-3889.52</v>
      </c>
      <c r="M56">
        <v>62667.6</v>
      </c>
      <c r="N56">
        <v>-2211.46</v>
      </c>
      <c r="O56">
        <v>800</v>
      </c>
      <c r="P56">
        <v>0</v>
      </c>
      <c r="Q56">
        <v>0</v>
      </c>
      <c r="R56">
        <v>800</v>
      </c>
    </row>
    <row r="57" spans="6:19" x14ac:dyDescent="0.2">
      <c r="J57">
        <v>4000</v>
      </c>
      <c r="K57">
        <v>1580.57</v>
      </c>
      <c r="L57">
        <v>-3932.32</v>
      </c>
      <c r="M57">
        <v>60003.8</v>
      </c>
      <c r="N57">
        <v>-1940.86</v>
      </c>
      <c r="O57">
        <v>800</v>
      </c>
      <c r="P57">
        <v>0</v>
      </c>
      <c r="Q57">
        <v>0</v>
      </c>
      <c r="R57">
        <v>800</v>
      </c>
    </row>
    <row r="58" spans="6:19" x14ac:dyDescent="0.2">
      <c r="F58">
        <f>1/2*F56*(F52^2)</f>
        <v>2.1595521000000004E-20</v>
      </c>
      <c r="G58" t="s">
        <v>51</v>
      </c>
      <c r="J58">
        <v>5000</v>
      </c>
      <c r="K58">
        <v>1593.3</v>
      </c>
      <c r="L58">
        <v>-3958.2</v>
      </c>
      <c r="M58">
        <v>57874.3</v>
      </c>
      <c r="N58">
        <v>-838.08500000000004</v>
      </c>
      <c r="O58">
        <v>800</v>
      </c>
      <c r="P58">
        <v>0</v>
      </c>
      <c r="Q58">
        <v>0</v>
      </c>
      <c r="R58">
        <v>800</v>
      </c>
    </row>
    <row r="59" spans="6:19" x14ac:dyDescent="0.2">
      <c r="F59">
        <f>F58/1.602E-19</f>
        <v>0.13480350187265921</v>
      </c>
      <c r="G59" t="s">
        <v>52</v>
      </c>
      <c r="J59">
        <v>6000</v>
      </c>
      <c r="K59">
        <v>1531.7</v>
      </c>
      <c r="L59">
        <v>-3974</v>
      </c>
      <c r="M59">
        <v>56316.4</v>
      </c>
      <c r="N59">
        <v>-3028.4</v>
      </c>
      <c r="O59">
        <v>800</v>
      </c>
      <c r="P59">
        <v>0</v>
      </c>
      <c r="Q59">
        <v>0</v>
      </c>
      <c r="R59">
        <v>800</v>
      </c>
    </row>
    <row r="60" spans="6:19" x14ac:dyDescent="0.2">
      <c r="F60">
        <f>F59/(3/2)/(0.000086173)</f>
        <v>1042.890479018248</v>
      </c>
      <c r="G60" t="s">
        <v>54</v>
      </c>
      <c r="J60">
        <v>7000</v>
      </c>
      <c r="K60">
        <v>1477.71</v>
      </c>
      <c r="L60">
        <v>-3981.38</v>
      </c>
      <c r="M60">
        <v>54342.7</v>
      </c>
      <c r="N60">
        <v>-278.25200000000001</v>
      </c>
      <c r="O60">
        <v>800</v>
      </c>
      <c r="P60">
        <v>0</v>
      </c>
      <c r="Q60">
        <v>0</v>
      </c>
      <c r="R60">
        <v>800</v>
      </c>
    </row>
    <row r="61" spans="6:19" x14ac:dyDescent="0.2">
      <c r="J61">
        <v>8000</v>
      </c>
      <c r="K61">
        <v>1480.42</v>
      </c>
      <c r="L61">
        <v>-3981.53</v>
      </c>
      <c r="M61">
        <v>53079.4</v>
      </c>
      <c r="N61">
        <v>-770.221</v>
      </c>
      <c r="O61">
        <v>800</v>
      </c>
      <c r="P61">
        <v>0</v>
      </c>
      <c r="Q61">
        <v>0</v>
      </c>
      <c r="R61">
        <v>800</v>
      </c>
    </row>
    <row r="62" spans="6:19" x14ac:dyDescent="0.2">
      <c r="J62">
        <v>9000</v>
      </c>
      <c r="K62">
        <v>1494.53</v>
      </c>
      <c r="L62">
        <v>-3994.2</v>
      </c>
      <c r="M62">
        <v>51681.5</v>
      </c>
      <c r="N62">
        <v>-1726.54</v>
      </c>
      <c r="O62">
        <v>800</v>
      </c>
      <c r="P62">
        <v>0</v>
      </c>
      <c r="Q62">
        <v>0</v>
      </c>
      <c r="R62">
        <v>800</v>
      </c>
    </row>
    <row r="63" spans="6:19" x14ac:dyDescent="0.2">
      <c r="F63">
        <f>(0.000086173)*1500*1.5</f>
        <v>0.19388925000000001</v>
      </c>
      <c r="G63" t="s">
        <v>53</v>
      </c>
      <c r="J63">
        <v>10000</v>
      </c>
      <c r="K63">
        <v>1501.13</v>
      </c>
      <c r="L63">
        <v>-4007.7</v>
      </c>
      <c r="M63">
        <v>49987.8</v>
      </c>
      <c r="N63">
        <v>-1369.3</v>
      </c>
      <c r="O63">
        <v>800</v>
      </c>
      <c r="P63">
        <v>0</v>
      </c>
      <c r="Q63">
        <v>0</v>
      </c>
      <c r="R63">
        <v>800</v>
      </c>
    </row>
    <row r="64" spans="6:19" x14ac:dyDescent="0.2">
      <c r="J64">
        <v>11000</v>
      </c>
      <c r="K64">
        <v>1462.15</v>
      </c>
      <c r="L64">
        <v>-4007.03</v>
      </c>
      <c r="M64">
        <v>48538.400000000001</v>
      </c>
      <c r="N64">
        <v>-1081.02</v>
      </c>
      <c r="O64">
        <v>800</v>
      </c>
      <c r="P64">
        <v>0</v>
      </c>
      <c r="Q64">
        <v>0</v>
      </c>
      <c r="R64">
        <v>800</v>
      </c>
    </row>
    <row r="65" spans="10:18" x14ac:dyDescent="0.2">
      <c r="J65">
        <v>12000</v>
      </c>
      <c r="K65">
        <v>1523.82</v>
      </c>
      <c r="L65">
        <v>-4020.08</v>
      </c>
      <c r="M65">
        <v>47595.7</v>
      </c>
      <c r="N65">
        <v>-1141.76</v>
      </c>
      <c r="O65">
        <v>800</v>
      </c>
      <c r="P65">
        <v>0</v>
      </c>
      <c r="Q65">
        <v>0</v>
      </c>
      <c r="R65">
        <v>800</v>
      </c>
    </row>
    <row r="66" spans="10:18" x14ac:dyDescent="0.2">
      <c r="J66">
        <v>13000</v>
      </c>
      <c r="K66">
        <v>1489.02</v>
      </c>
      <c r="L66">
        <v>-4012.85</v>
      </c>
      <c r="M66">
        <v>46591.8</v>
      </c>
      <c r="N66">
        <v>-1389.55</v>
      </c>
      <c r="O66">
        <v>800</v>
      </c>
      <c r="P66">
        <v>0</v>
      </c>
      <c r="Q66">
        <v>0</v>
      </c>
      <c r="R66">
        <v>800</v>
      </c>
    </row>
    <row r="67" spans="10:18" x14ac:dyDescent="0.2">
      <c r="J67">
        <v>14000</v>
      </c>
      <c r="K67">
        <v>1453.45</v>
      </c>
      <c r="L67">
        <v>-4020.4</v>
      </c>
      <c r="M67">
        <v>45715</v>
      </c>
      <c r="N67">
        <v>-1042.1199999999999</v>
      </c>
      <c r="O67">
        <v>800</v>
      </c>
      <c r="P67">
        <v>0</v>
      </c>
      <c r="Q67">
        <v>0</v>
      </c>
      <c r="R67">
        <v>800</v>
      </c>
    </row>
    <row r="68" spans="10:18" x14ac:dyDescent="0.2">
      <c r="J68">
        <v>15000</v>
      </c>
      <c r="K68">
        <v>1482.35</v>
      </c>
      <c r="L68">
        <v>-4039.06</v>
      </c>
      <c r="M68">
        <v>44753.7</v>
      </c>
      <c r="N68">
        <v>-899.44100000000003</v>
      </c>
      <c r="O68">
        <v>800</v>
      </c>
      <c r="P68">
        <v>0</v>
      </c>
      <c r="Q68">
        <v>0</v>
      </c>
      <c r="R68">
        <v>800</v>
      </c>
    </row>
    <row r="69" spans="10:18" x14ac:dyDescent="0.2">
      <c r="J69">
        <v>16000</v>
      </c>
      <c r="K69">
        <v>1525.58</v>
      </c>
      <c r="L69">
        <v>-4039.33</v>
      </c>
      <c r="M69">
        <v>44337</v>
      </c>
      <c r="N69">
        <v>30.571400000000001</v>
      </c>
      <c r="O69">
        <v>800</v>
      </c>
      <c r="P69">
        <v>0</v>
      </c>
      <c r="Q69">
        <v>0</v>
      </c>
      <c r="R69">
        <v>800</v>
      </c>
    </row>
    <row r="70" spans="10:18" x14ac:dyDescent="0.2">
      <c r="J70">
        <v>17000</v>
      </c>
      <c r="K70">
        <v>1504.1</v>
      </c>
      <c r="L70">
        <v>-4031.05</v>
      </c>
      <c r="M70">
        <v>44116.800000000003</v>
      </c>
      <c r="N70">
        <v>329.483</v>
      </c>
      <c r="O70">
        <v>800</v>
      </c>
      <c r="P70">
        <v>0</v>
      </c>
      <c r="Q70">
        <v>0</v>
      </c>
      <c r="R70">
        <v>800</v>
      </c>
    </row>
    <row r="71" spans="10:18" x14ac:dyDescent="0.2">
      <c r="J71">
        <v>18000</v>
      </c>
      <c r="K71">
        <v>1496.81</v>
      </c>
      <c r="L71">
        <v>-4034.95</v>
      </c>
      <c r="M71">
        <v>44053.7</v>
      </c>
      <c r="N71">
        <v>-1574.75</v>
      </c>
      <c r="O71">
        <v>800</v>
      </c>
      <c r="P71">
        <v>0</v>
      </c>
      <c r="Q71">
        <v>0</v>
      </c>
      <c r="R71">
        <v>800</v>
      </c>
    </row>
    <row r="72" spans="10:18" x14ac:dyDescent="0.2">
      <c r="J72">
        <v>19000</v>
      </c>
      <c r="K72">
        <v>1531</v>
      </c>
      <c r="L72">
        <v>-4043.96</v>
      </c>
      <c r="M72">
        <v>43907.1</v>
      </c>
      <c r="N72">
        <v>511.51299999999998</v>
      </c>
      <c r="O72">
        <v>800</v>
      </c>
      <c r="P72">
        <v>0</v>
      </c>
      <c r="Q72">
        <v>0</v>
      </c>
      <c r="R72">
        <v>800</v>
      </c>
    </row>
    <row r="73" spans="10:18" x14ac:dyDescent="0.2">
      <c r="J73">
        <v>20000</v>
      </c>
      <c r="K73">
        <v>1501.49</v>
      </c>
      <c r="L73">
        <v>-4043.75</v>
      </c>
      <c r="M73">
        <v>44065</v>
      </c>
      <c r="N73">
        <v>-344.74799999999999</v>
      </c>
      <c r="O73">
        <v>800</v>
      </c>
      <c r="P73">
        <v>0</v>
      </c>
      <c r="Q73">
        <v>0</v>
      </c>
      <c r="R73">
        <v>800</v>
      </c>
    </row>
    <row r="74" spans="10:18" x14ac:dyDescent="0.2">
      <c r="J74">
        <v>21000</v>
      </c>
      <c r="K74">
        <v>1504.93</v>
      </c>
      <c r="L74">
        <v>-4049.31</v>
      </c>
      <c r="M74">
        <v>43821.7</v>
      </c>
      <c r="N74">
        <v>406.47699999999998</v>
      </c>
      <c r="O74">
        <v>800</v>
      </c>
      <c r="P74">
        <v>0</v>
      </c>
      <c r="Q74">
        <v>0</v>
      </c>
      <c r="R74">
        <v>800</v>
      </c>
    </row>
    <row r="75" spans="10:18" x14ac:dyDescent="0.2">
      <c r="J75">
        <v>22000</v>
      </c>
      <c r="K75">
        <v>1504.97</v>
      </c>
      <c r="L75">
        <v>-4031.76</v>
      </c>
      <c r="M75">
        <v>43511</v>
      </c>
      <c r="N75">
        <v>44.0807</v>
      </c>
      <c r="O75">
        <v>800</v>
      </c>
      <c r="P75">
        <v>0</v>
      </c>
      <c r="Q75">
        <v>0</v>
      </c>
      <c r="R75">
        <v>800</v>
      </c>
    </row>
    <row r="76" spans="10:18" x14ac:dyDescent="0.2">
      <c r="J76">
        <v>23000</v>
      </c>
      <c r="K76">
        <v>1488.29</v>
      </c>
      <c r="L76">
        <v>-4036.69</v>
      </c>
      <c r="M76">
        <v>43235.1</v>
      </c>
      <c r="N76">
        <v>413.10399999999998</v>
      </c>
      <c r="O76">
        <v>800</v>
      </c>
      <c r="P76">
        <v>0</v>
      </c>
      <c r="Q76">
        <v>0</v>
      </c>
      <c r="R76">
        <v>800</v>
      </c>
    </row>
    <row r="77" spans="10:18" x14ac:dyDescent="0.2">
      <c r="J77">
        <v>24000</v>
      </c>
      <c r="K77">
        <v>1513.56</v>
      </c>
      <c r="L77">
        <v>-4041.06</v>
      </c>
      <c r="M77">
        <v>43303.199999999997</v>
      </c>
      <c r="N77">
        <v>98.280299999999997</v>
      </c>
      <c r="O77">
        <v>800</v>
      </c>
      <c r="P77">
        <v>0</v>
      </c>
      <c r="Q77">
        <v>0</v>
      </c>
      <c r="R77">
        <v>800</v>
      </c>
    </row>
    <row r="78" spans="10:18" x14ac:dyDescent="0.2">
      <c r="J78">
        <v>25000</v>
      </c>
      <c r="K78">
        <v>1493.32</v>
      </c>
      <c r="L78">
        <v>-4039.73</v>
      </c>
      <c r="M78">
        <v>43804.2</v>
      </c>
      <c r="N78">
        <v>-838.83199999999999</v>
      </c>
      <c r="O78">
        <v>800</v>
      </c>
      <c r="P78">
        <v>0</v>
      </c>
      <c r="Q78">
        <v>0</v>
      </c>
      <c r="R78">
        <v>800</v>
      </c>
    </row>
    <row r="79" spans="10:18" x14ac:dyDescent="0.2">
      <c r="J79">
        <v>26000</v>
      </c>
      <c r="K79">
        <v>1504.85</v>
      </c>
      <c r="L79">
        <v>-4026.98</v>
      </c>
      <c r="M79">
        <v>43946.5</v>
      </c>
      <c r="N79">
        <v>-65.842399999999998</v>
      </c>
      <c r="O79">
        <v>800</v>
      </c>
      <c r="P79">
        <v>0</v>
      </c>
      <c r="Q79">
        <v>0</v>
      </c>
      <c r="R79">
        <v>800</v>
      </c>
    </row>
    <row r="80" spans="10:18" x14ac:dyDescent="0.2">
      <c r="J80">
        <v>27000</v>
      </c>
      <c r="K80">
        <v>1517.64</v>
      </c>
      <c r="L80">
        <v>-4031.14</v>
      </c>
      <c r="M80">
        <v>43951.7</v>
      </c>
      <c r="N80">
        <v>-487.42</v>
      </c>
      <c r="O80">
        <v>800</v>
      </c>
      <c r="P80">
        <v>0</v>
      </c>
      <c r="Q80">
        <v>0</v>
      </c>
      <c r="R80">
        <v>800</v>
      </c>
    </row>
    <row r="81" spans="10:18" x14ac:dyDescent="0.2">
      <c r="J81">
        <v>28000</v>
      </c>
      <c r="K81">
        <v>1501.64</v>
      </c>
      <c r="L81">
        <v>-4028.58</v>
      </c>
      <c r="M81">
        <v>44027.7</v>
      </c>
      <c r="N81">
        <v>-199.90799999999999</v>
      </c>
      <c r="O81">
        <v>800</v>
      </c>
      <c r="P81">
        <v>0</v>
      </c>
      <c r="Q81">
        <v>0</v>
      </c>
      <c r="R81">
        <v>800</v>
      </c>
    </row>
    <row r="82" spans="10:18" x14ac:dyDescent="0.2">
      <c r="J82">
        <v>29000</v>
      </c>
      <c r="K82">
        <v>1470.52</v>
      </c>
      <c r="L82">
        <v>-4044.25</v>
      </c>
      <c r="M82">
        <v>43861.1</v>
      </c>
      <c r="N82">
        <v>256.495</v>
      </c>
      <c r="O82">
        <v>800</v>
      </c>
      <c r="P82">
        <v>0</v>
      </c>
      <c r="Q82">
        <v>0</v>
      </c>
      <c r="R82">
        <v>800</v>
      </c>
    </row>
    <row r="83" spans="10:18" x14ac:dyDescent="0.2">
      <c r="J83">
        <v>30000</v>
      </c>
      <c r="K83">
        <v>1476.55</v>
      </c>
      <c r="L83">
        <v>-4038.8</v>
      </c>
      <c r="M83">
        <v>43647.9</v>
      </c>
      <c r="N83">
        <v>1834.4</v>
      </c>
      <c r="O83">
        <v>800</v>
      </c>
      <c r="P83">
        <v>0</v>
      </c>
      <c r="Q83">
        <v>0</v>
      </c>
      <c r="R83">
        <v>800</v>
      </c>
    </row>
    <row r="84" spans="10:18" x14ac:dyDescent="0.2">
      <c r="J84">
        <v>31000</v>
      </c>
      <c r="K84">
        <v>1483.9</v>
      </c>
      <c r="L84">
        <v>-4047.37</v>
      </c>
      <c r="M84">
        <v>43663.9</v>
      </c>
      <c r="N84">
        <v>-362.47199999999998</v>
      </c>
      <c r="O84">
        <v>800</v>
      </c>
      <c r="P84">
        <v>0</v>
      </c>
      <c r="Q84">
        <v>0</v>
      </c>
      <c r="R84">
        <v>800</v>
      </c>
    </row>
    <row r="85" spans="10:18" x14ac:dyDescent="0.2">
      <c r="J85">
        <v>32000</v>
      </c>
      <c r="K85">
        <v>1435.35</v>
      </c>
      <c r="L85">
        <v>-4037.19</v>
      </c>
      <c r="M85">
        <v>43578.5</v>
      </c>
      <c r="N85">
        <v>339.28699999999998</v>
      </c>
      <c r="O85">
        <v>800</v>
      </c>
      <c r="P85">
        <v>0</v>
      </c>
      <c r="Q85">
        <v>0</v>
      </c>
      <c r="R85">
        <v>800</v>
      </c>
    </row>
    <row r="86" spans="10:18" x14ac:dyDescent="0.2">
      <c r="J86">
        <v>33000</v>
      </c>
      <c r="K86">
        <v>1483.32</v>
      </c>
      <c r="L86">
        <v>-4038.49</v>
      </c>
      <c r="M86">
        <v>43214.5</v>
      </c>
      <c r="N86">
        <v>535.98699999999997</v>
      </c>
      <c r="O86">
        <v>800</v>
      </c>
      <c r="P86">
        <v>0</v>
      </c>
      <c r="Q86">
        <v>0</v>
      </c>
      <c r="R86">
        <v>800</v>
      </c>
    </row>
    <row r="87" spans="10:18" x14ac:dyDescent="0.2">
      <c r="J87">
        <v>34000</v>
      </c>
      <c r="K87">
        <v>1490.93</v>
      </c>
      <c r="L87">
        <v>-4045.81</v>
      </c>
      <c r="M87">
        <v>43041.7</v>
      </c>
      <c r="N87">
        <v>1493.21</v>
      </c>
      <c r="O87">
        <v>800</v>
      </c>
      <c r="P87">
        <v>0</v>
      </c>
      <c r="Q87">
        <v>0</v>
      </c>
      <c r="R87">
        <v>800</v>
      </c>
    </row>
    <row r="88" spans="10:18" x14ac:dyDescent="0.2">
      <c r="J88">
        <v>35000</v>
      </c>
      <c r="K88">
        <v>1504.82</v>
      </c>
      <c r="L88">
        <v>-4042.96</v>
      </c>
      <c r="M88">
        <v>43594.3</v>
      </c>
      <c r="N88">
        <v>302.97300000000001</v>
      </c>
      <c r="O88">
        <v>800</v>
      </c>
      <c r="P88">
        <v>0</v>
      </c>
      <c r="Q88">
        <v>0</v>
      </c>
      <c r="R88">
        <v>800</v>
      </c>
    </row>
    <row r="89" spans="10:18" x14ac:dyDescent="0.2">
      <c r="J89">
        <v>36000</v>
      </c>
      <c r="K89">
        <v>1489.12</v>
      </c>
      <c r="L89">
        <v>-4033.55</v>
      </c>
      <c r="M89">
        <v>44473.599999999999</v>
      </c>
      <c r="N89">
        <v>-391.38299999999998</v>
      </c>
      <c r="O89">
        <v>800</v>
      </c>
      <c r="P89">
        <v>0</v>
      </c>
      <c r="Q89">
        <v>0</v>
      </c>
      <c r="R89">
        <v>800</v>
      </c>
    </row>
    <row r="90" spans="10:18" x14ac:dyDescent="0.2">
      <c r="J90">
        <v>37000</v>
      </c>
      <c r="K90">
        <v>1491.81</v>
      </c>
      <c r="L90">
        <v>-4036.21</v>
      </c>
      <c r="M90">
        <v>44749.7</v>
      </c>
      <c r="N90">
        <v>-1112.58</v>
      </c>
      <c r="O90">
        <v>800</v>
      </c>
      <c r="P90">
        <v>0</v>
      </c>
      <c r="Q90">
        <v>0</v>
      </c>
      <c r="R90">
        <v>800</v>
      </c>
    </row>
    <row r="91" spans="10:18" x14ac:dyDescent="0.2">
      <c r="J91">
        <v>38000</v>
      </c>
      <c r="K91">
        <v>1518.8</v>
      </c>
      <c r="L91">
        <v>-4031.79</v>
      </c>
      <c r="M91">
        <v>44226.6</v>
      </c>
      <c r="N91">
        <v>674.02800000000002</v>
      </c>
      <c r="O91">
        <v>800</v>
      </c>
      <c r="P91">
        <v>0</v>
      </c>
      <c r="Q91">
        <v>0</v>
      </c>
      <c r="R91">
        <v>800</v>
      </c>
    </row>
    <row r="92" spans="10:18" x14ac:dyDescent="0.2">
      <c r="J92">
        <v>39000</v>
      </c>
      <c r="K92">
        <v>1535.33</v>
      </c>
      <c r="L92">
        <v>-4042.24</v>
      </c>
      <c r="M92">
        <v>44413.7</v>
      </c>
      <c r="N92">
        <v>1005.5</v>
      </c>
      <c r="O92">
        <v>800</v>
      </c>
      <c r="P92">
        <v>0</v>
      </c>
      <c r="Q92">
        <v>0</v>
      </c>
      <c r="R92">
        <v>800</v>
      </c>
    </row>
    <row r="93" spans="10:18" x14ac:dyDescent="0.2">
      <c r="J93">
        <v>40000</v>
      </c>
      <c r="K93">
        <v>1487.89</v>
      </c>
      <c r="L93">
        <v>-4025.78</v>
      </c>
      <c r="M93">
        <v>45069</v>
      </c>
      <c r="N93">
        <v>-662.84</v>
      </c>
      <c r="O93">
        <v>800</v>
      </c>
      <c r="P93">
        <v>0</v>
      </c>
      <c r="Q93">
        <v>0</v>
      </c>
      <c r="R93">
        <v>800</v>
      </c>
    </row>
    <row r="94" spans="10:18" x14ac:dyDescent="0.2">
      <c r="J94">
        <v>41000</v>
      </c>
      <c r="K94">
        <v>1476.19</v>
      </c>
      <c r="L94">
        <v>-4027.58</v>
      </c>
      <c r="M94">
        <v>45459.3</v>
      </c>
      <c r="N94">
        <v>-1098.27</v>
      </c>
      <c r="O94">
        <v>800</v>
      </c>
      <c r="P94">
        <v>0</v>
      </c>
      <c r="Q94">
        <v>0</v>
      </c>
      <c r="R94">
        <v>800</v>
      </c>
    </row>
    <row r="95" spans="10:18" x14ac:dyDescent="0.2">
      <c r="J95">
        <v>42000</v>
      </c>
      <c r="K95">
        <v>1490.57</v>
      </c>
      <c r="L95">
        <v>-4022.26</v>
      </c>
      <c r="M95">
        <v>45043.6</v>
      </c>
      <c r="N95">
        <v>-125.07899999999999</v>
      </c>
      <c r="O95">
        <v>800</v>
      </c>
      <c r="P95">
        <v>0</v>
      </c>
      <c r="Q95">
        <v>0</v>
      </c>
      <c r="R95">
        <v>800</v>
      </c>
    </row>
    <row r="96" spans="10:18" x14ac:dyDescent="0.2">
      <c r="J96">
        <v>43000</v>
      </c>
      <c r="K96">
        <v>1530.73</v>
      </c>
      <c r="L96">
        <v>-4027.23</v>
      </c>
      <c r="M96">
        <v>44803.4</v>
      </c>
      <c r="N96">
        <v>448.49900000000002</v>
      </c>
      <c r="O96">
        <v>800</v>
      </c>
      <c r="P96">
        <v>0</v>
      </c>
      <c r="Q96">
        <v>0</v>
      </c>
      <c r="R96">
        <v>800</v>
      </c>
    </row>
    <row r="97" spans="10:18" x14ac:dyDescent="0.2">
      <c r="J97">
        <v>44000</v>
      </c>
      <c r="K97">
        <v>1510.75</v>
      </c>
      <c r="L97">
        <v>-4031.9</v>
      </c>
      <c r="M97">
        <v>44757</v>
      </c>
      <c r="N97">
        <v>-1355.08</v>
      </c>
      <c r="O97">
        <v>800</v>
      </c>
      <c r="P97">
        <v>0</v>
      </c>
      <c r="Q97">
        <v>0</v>
      </c>
      <c r="R97">
        <v>800</v>
      </c>
    </row>
    <row r="98" spans="10:18" x14ac:dyDescent="0.2">
      <c r="J98">
        <v>45000</v>
      </c>
      <c r="K98">
        <v>1508.34</v>
      </c>
      <c r="L98">
        <v>-4026.71</v>
      </c>
      <c r="M98">
        <v>44376.3</v>
      </c>
      <c r="N98">
        <v>749.97900000000004</v>
      </c>
      <c r="O98">
        <v>800</v>
      </c>
      <c r="P98">
        <v>0</v>
      </c>
      <c r="Q98">
        <v>0</v>
      </c>
      <c r="R98">
        <v>800</v>
      </c>
    </row>
    <row r="99" spans="10:18" x14ac:dyDescent="0.2">
      <c r="J99">
        <v>46000</v>
      </c>
      <c r="K99">
        <v>1478.27</v>
      </c>
      <c r="L99">
        <v>-4034.24</v>
      </c>
      <c r="M99">
        <v>44611.7</v>
      </c>
      <c r="N99">
        <v>-1586.56</v>
      </c>
      <c r="O99">
        <v>800</v>
      </c>
      <c r="P99">
        <v>0</v>
      </c>
      <c r="Q99">
        <v>0</v>
      </c>
      <c r="R99">
        <v>800</v>
      </c>
    </row>
    <row r="100" spans="10:18" x14ac:dyDescent="0.2">
      <c r="J100">
        <v>47000</v>
      </c>
      <c r="K100">
        <v>1488.4</v>
      </c>
      <c r="L100">
        <v>-4033.83</v>
      </c>
      <c r="M100">
        <v>44873.2</v>
      </c>
      <c r="N100">
        <v>-115.471</v>
      </c>
      <c r="O100">
        <v>800</v>
      </c>
      <c r="P100">
        <v>0</v>
      </c>
      <c r="Q100">
        <v>0</v>
      </c>
      <c r="R100">
        <v>800</v>
      </c>
    </row>
    <row r="101" spans="10:18" x14ac:dyDescent="0.2">
      <c r="J101">
        <v>48000</v>
      </c>
      <c r="K101">
        <v>1455.44</v>
      </c>
      <c r="L101">
        <v>-4039.58</v>
      </c>
      <c r="M101">
        <v>44985.9</v>
      </c>
      <c r="N101">
        <v>-1323.39</v>
      </c>
      <c r="O101">
        <v>800</v>
      </c>
      <c r="P101">
        <v>0</v>
      </c>
      <c r="Q101">
        <v>0</v>
      </c>
      <c r="R101">
        <v>800</v>
      </c>
    </row>
    <row r="102" spans="10:18" x14ac:dyDescent="0.2">
      <c r="J102">
        <v>49000</v>
      </c>
      <c r="K102">
        <v>1527.13</v>
      </c>
      <c r="L102">
        <v>-4031.58</v>
      </c>
      <c r="M102">
        <v>43894.8</v>
      </c>
      <c r="N102">
        <v>1726.07</v>
      </c>
      <c r="O102">
        <v>800</v>
      </c>
      <c r="P102">
        <v>0</v>
      </c>
      <c r="Q102">
        <v>0</v>
      </c>
      <c r="R102">
        <v>800</v>
      </c>
    </row>
    <row r="103" spans="10:18" x14ac:dyDescent="0.2">
      <c r="J103">
        <v>50000</v>
      </c>
      <c r="K103">
        <v>1480.9</v>
      </c>
      <c r="L103">
        <v>-4042.55</v>
      </c>
      <c r="M103">
        <v>43412.3</v>
      </c>
      <c r="N103">
        <v>659.45600000000002</v>
      </c>
      <c r="O103">
        <v>800</v>
      </c>
      <c r="P103">
        <v>0</v>
      </c>
      <c r="Q103">
        <v>0</v>
      </c>
      <c r="R103">
        <v>800</v>
      </c>
    </row>
    <row r="104" spans="10:18" x14ac:dyDescent="0.2">
      <c r="J104">
        <v>51000</v>
      </c>
      <c r="K104">
        <v>1532.75</v>
      </c>
      <c r="L104">
        <v>-4056.85</v>
      </c>
      <c r="M104">
        <v>43427</v>
      </c>
      <c r="N104">
        <v>-137.93100000000001</v>
      </c>
      <c r="O104">
        <v>800</v>
      </c>
      <c r="P104">
        <v>0</v>
      </c>
      <c r="Q104">
        <v>0</v>
      </c>
      <c r="R104">
        <v>800</v>
      </c>
    </row>
    <row r="105" spans="10:18" x14ac:dyDescent="0.2">
      <c r="J105">
        <v>52000</v>
      </c>
      <c r="K105">
        <v>1464.7</v>
      </c>
      <c r="L105">
        <v>-4051.22</v>
      </c>
      <c r="M105">
        <v>43699.6</v>
      </c>
      <c r="N105">
        <v>-394.74700000000001</v>
      </c>
      <c r="O105">
        <v>800</v>
      </c>
      <c r="P105">
        <v>0</v>
      </c>
      <c r="Q105">
        <v>0</v>
      </c>
      <c r="R105">
        <v>800</v>
      </c>
    </row>
    <row r="106" spans="10:18" x14ac:dyDescent="0.2">
      <c r="J106">
        <v>53000</v>
      </c>
      <c r="K106">
        <v>1505.22</v>
      </c>
      <c r="L106">
        <v>-4035.32</v>
      </c>
      <c r="M106">
        <v>44111.5</v>
      </c>
      <c r="N106">
        <v>-622.70799999999997</v>
      </c>
      <c r="O106">
        <v>800</v>
      </c>
      <c r="P106">
        <v>0</v>
      </c>
      <c r="Q106">
        <v>0</v>
      </c>
      <c r="R106">
        <v>800</v>
      </c>
    </row>
    <row r="107" spans="10:18" x14ac:dyDescent="0.2">
      <c r="J107">
        <v>54000</v>
      </c>
      <c r="K107">
        <v>1486.73</v>
      </c>
      <c r="L107">
        <v>-4038.98</v>
      </c>
      <c r="M107">
        <v>44304.5</v>
      </c>
      <c r="N107">
        <v>655.14700000000005</v>
      </c>
      <c r="O107">
        <v>800</v>
      </c>
      <c r="P107">
        <v>0</v>
      </c>
      <c r="Q107">
        <v>0</v>
      </c>
      <c r="R107">
        <v>800</v>
      </c>
    </row>
    <row r="108" spans="10:18" x14ac:dyDescent="0.2">
      <c r="J108">
        <v>55000</v>
      </c>
      <c r="K108">
        <v>1483.8</v>
      </c>
      <c r="L108">
        <v>-4042.51</v>
      </c>
      <c r="M108">
        <v>44751.3</v>
      </c>
      <c r="N108">
        <v>-765.11900000000003</v>
      </c>
      <c r="O108">
        <v>800</v>
      </c>
      <c r="P108">
        <v>0</v>
      </c>
      <c r="Q108">
        <v>0</v>
      </c>
      <c r="R108">
        <v>800</v>
      </c>
    </row>
    <row r="109" spans="10:18" x14ac:dyDescent="0.2">
      <c r="J109">
        <v>56000</v>
      </c>
      <c r="K109">
        <v>1503.02</v>
      </c>
      <c r="L109">
        <v>-4037.14</v>
      </c>
      <c r="M109">
        <v>44463.7</v>
      </c>
      <c r="N109">
        <v>-49.468800000000002</v>
      </c>
      <c r="O109">
        <v>800</v>
      </c>
      <c r="P109">
        <v>0</v>
      </c>
      <c r="Q109">
        <v>0</v>
      </c>
      <c r="R109">
        <v>800</v>
      </c>
    </row>
    <row r="110" spans="10:18" x14ac:dyDescent="0.2">
      <c r="J110">
        <v>57000</v>
      </c>
      <c r="K110">
        <v>1576.38</v>
      </c>
      <c r="L110">
        <v>-4038.57</v>
      </c>
      <c r="M110">
        <v>43930.3</v>
      </c>
      <c r="N110">
        <v>581.17200000000003</v>
      </c>
      <c r="O110">
        <v>800</v>
      </c>
      <c r="P110">
        <v>0</v>
      </c>
      <c r="Q110">
        <v>0</v>
      </c>
      <c r="R110">
        <v>800</v>
      </c>
    </row>
    <row r="111" spans="10:18" x14ac:dyDescent="0.2">
      <c r="J111">
        <v>58000</v>
      </c>
      <c r="K111">
        <v>1509.51</v>
      </c>
      <c r="L111">
        <v>-4045.02</v>
      </c>
      <c r="M111">
        <v>43853.7</v>
      </c>
      <c r="N111">
        <v>1576.53</v>
      </c>
      <c r="O111">
        <v>800</v>
      </c>
      <c r="P111">
        <v>0</v>
      </c>
      <c r="Q111">
        <v>0</v>
      </c>
      <c r="R111">
        <v>800</v>
      </c>
    </row>
    <row r="112" spans="10:18" x14ac:dyDescent="0.2">
      <c r="J112">
        <v>59000</v>
      </c>
      <c r="K112">
        <v>1531.49</v>
      </c>
      <c r="L112">
        <v>-4033.07</v>
      </c>
      <c r="M112">
        <v>44281.8</v>
      </c>
      <c r="N112">
        <v>-208.00399999999999</v>
      </c>
      <c r="O112">
        <v>800</v>
      </c>
      <c r="P112">
        <v>0</v>
      </c>
      <c r="Q112">
        <v>0</v>
      </c>
      <c r="R112">
        <v>800</v>
      </c>
    </row>
    <row r="113" spans="10:18" x14ac:dyDescent="0.2">
      <c r="J113">
        <v>60000</v>
      </c>
      <c r="K113">
        <v>1531.01</v>
      </c>
      <c r="L113">
        <v>-4021.34</v>
      </c>
      <c r="M113">
        <v>44893.599999999999</v>
      </c>
      <c r="N113">
        <v>-1551.01</v>
      </c>
      <c r="O113">
        <v>800</v>
      </c>
      <c r="P113">
        <v>0</v>
      </c>
      <c r="Q113">
        <v>0</v>
      </c>
      <c r="R113">
        <v>800</v>
      </c>
    </row>
    <row r="114" spans="10:18" x14ac:dyDescent="0.2">
      <c r="J114">
        <v>61000</v>
      </c>
      <c r="K114">
        <v>1571.63</v>
      </c>
      <c r="L114">
        <v>-4028.52</v>
      </c>
      <c r="M114">
        <v>44972.6</v>
      </c>
      <c r="N114">
        <v>-524.29399999999998</v>
      </c>
      <c r="O114">
        <v>800</v>
      </c>
      <c r="P114">
        <v>0</v>
      </c>
      <c r="Q114">
        <v>0</v>
      </c>
      <c r="R114">
        <v>800</v>
      </c>
    </row>
    <row r="115" spans="10:18" x14ac:dyDescent="0.2">
      <c r="J115">
        <v>62000</v>
      </c>
      <c r="K115">
        <v>1486.18</v>
      </c>
      <c r="L115">
        <v>-4033.08</v>
      </c>
      <c r="M115">
        <v>44794</v>
      </c>
      <c r="N115">
        <v>-174.78</v>
      </c>
      <c r="O115">
        <v>800</v>
      </c>
      <c r="P115">
        <v>0</v>
      </c>
      <c r="Q115">
        <v>0</v>
      </c>
      <c r="R115">
        <v>800</v>
      </c>
    </row>
    <row r="116" spans="10:18" x14ac:dyDescent="0.2">
      <c r="J116">
        <v>63000</v>
      </c>
      <c r="K116">
        <v>1516.46</v>
      </c>
      <c r="L116">
        <v>-4035.47</v>
      </c>
      <c r="M116">
        <v>43996.5</v>
      </c>
      <c r="N116">
        <v>1515.32</v>
      </c>
      <c r="O116">
        <v>800</v>
      </c>
      <c r="P116">
        <v>0</v>
      </c>
      <c r="Q116">
        <v>0</v>
      </c>
      <c r="R116">
        <v>800</v>
      </c>
    </row>
    <row r="117" spans="10:18" x14ac:dyDescent="0.2">
      <c r="J117">
        <v>64000</v>
      </c>
      <c r="K117">
        <v>1551.6</v>
      </c>
      <c r="L117">
        <v>-4040.26</v>
      </c>
      <c r="M117">
        <v>43855.4</v>
      </c>
      <c r="N117">
        <v>60.439700000000002</v>
      </c>
      <c r="O117">
        <v>800</v>
      </c>
      <c r="P117">
        <v>0</v>
      </c>
      <c r="Q117">
        <v>0</v>
      </c>
      <c r="R117">
        <v>800</v>
      </c>
    </row>
    <row r="118" spans="10:18" x14ac:dyDescent="0.2">
      <c r="J118">
        <v>65000</v>
      </c>
      <c r="K118">
        <v>1520.45</v>
      </c>
      <c r="L118">
        <v>-4035.62</v>
      </c>
      <c r="M118">
        <v>44086.8</v>
      </c>
      <c r="N118">
        <v>183.96</v>
      </c>
      <c r="O118">
        <v>800</v>
      </c>
      <c r="P118">
        <v>0</v>
      </c>
      <c r="Q118">
        <v>0</v>
      </c>
      <c r="R118">
        <v>800</v>
      </c>
    </row>
    <row r="119" spans="10:18" x14ac:dyDescent="0.2">
      <c r="J119">
        <v>66000</v>
      </c>
      <c r="K119">
        <v>1512.11</v>
      </c>
      <c r="L119">
        <v>-4020.91</v>
      </c>
      <c r="M119">
        <v>43917.2</v>
      </c>
      <c r="N119">
        <v>177.773</v>
      </c>
      <c r="O119">
        <v>800</v>
      </c>
      <c r="P119">
        <v>0</v>
      </c>
      <c r="Q119">
        <v>0</v>
      </c>
      <c r="R119">
        <v>800</v>
      </c>
    </row>
    <row r="120" spans="10:18" x14ac:dyDescent="0.2">
      <c r="J120">
        <v>67000</v>
      </c>
      <c r="K120">
        <v>1509.14</v>
      </c>
      <c r="L120">
        <v>-4042.72</v>
      </c>
      <c r="M120">
        <v>43551</v>
      </c>
      <c r="N120">
        <v>305.54300000000001</v>
      </c>
      <c r="O120">
        <v>800</v>
      </c>
      <c r="P120">
        <v>0</v>
      </c>
      <c r="Q120">
        <v>0</v>
      </c>
      <c r="R120">
        <v>800</v>
      </c>
    </row>
    <row r="121" spans="10:18" x14ac:dyDescent="0.2">
      <c r="J121">
        <v>68000</v>
      </c>
      <c r="K121">
        <v>1489.22</v>
      </c>
      <c r="L121">
        <v>-4045</v>
      </c>
      <c r="M121">
        <v>43038.1</v>
      </c>
      <c r="N121">
        <v>953.20399999999995</v>
      </c>
      <c r="O121">
        <v>800</v>
      </c>
      <c r="P121">
        <v>0</v>
      </c>
      <c r="Q121">
        <v>0</v>
      </c>
      <c r="R121">
        <v>800</v>
      </c>
    </row>
    <row r="122" spans="10:18" x14ac:dyDescent="0.2">
      <c r="J122">
        <v>69000</v>
      </c>
      <c r="K122">
        <v>1454.68</v>
      </c>
      <c r="L122">
        <v>-4044.51</v>
      </c>
      <c r="M122">
        <v>43084.9</v>
      </c>
      <c r="N122">
        <v>1333.93</v>
      </c>
      <c r="O122">
        <v>800</v>
      </c>
      <c r="P122">
        <v>0</v>
      </c>
      <c r="Q122">
        <v>0</v>
      </c>
      <c r="R122">
        <v>800</v>
      </c>
    </row>
    <row r="123" spans="10:18" x14ac:dyDescent="0.2">
      <c r="J123">
        <v>70000</v>
      </c>
      <c r="K123">
        <v>1519.06</v>
      </c>
      <c r="L123">
        <v>-4027.85</v>
      </c>
      <c r="M123">
        <v>44343.1</v>
      </c>
      <c r="N123">
        <v>-445.36700000000002</v>
      </c>
      <c r="O123">
        <v>800</v>
      </c>
      <c r="P123">
        <v>0</v>
      </c>
      <c r="Q123">
        <v>0</v>
      </c>
      <c r="R123">
        <v>800</v>
      </c>
    </row>
    <row r="124" spans="10:18" x14ac:dyDescent="0.2">
      <c r="J124">
        <v>71000</v>
      </c>
      <c r="K124">
        <v>1533.23</v>
      </c>
      <c r="L124">
        <v>-4032.78</v>
      </c>
      <c r="M124">
        <v>45004.6</v>
      </c>
      <c r="N124">
        <v>-270.202</v>
      </c>
      <c r="O124">
        <v>800</v>
      </c>
      <c r="P124">
        <v>0</v>
      </c>
      <c r="Q124">
        <v>0</v>
      </c>
      <c r="R124">
        <v>800</v>
      </c>
    </row>
    <row r="125" spans="10:18" x14ac:dyDescent="0.2">
      <c r="J125">
        <v>72000</v>
      </c>
      <c r="K125">
        <v>1457.28</v>
      </c>
      <c r="L125">
        <v>-4030.23</v>
      </c>
      <c r="M125">
        <v>45022.8</v>
      </c>
      <c r="N125">
        <v>-1205.3399999999999</v>
      </c>
      <c r="O125">
        <v>800</v>
      </c>
      <c r="P125">
        <v>0</v>
      </c>
      <c r="Q125">
        <v>0</v>
      </c>
      <c r="R125">
        <v>800</v>
      </c>
    </row>
    <row r="126" spans="10:18" x14ac:dyDescent="0.2">
      <c r="J126">
        <v>73000</v>
      </c>
      <c r="K126">
        <v>1502.21</v>
      </c>
      <c r="L126">
        <v>-4048.85</v>
      </c>
      <c r="M126">
        <v>44560.5</v>
      </c>
      <c r="N126">
        <v>-25.155799999999999</v>
      </c>
      <c r="O126">
        <v>800</v>
      </c>
      <c r="P126">
        <v>0</v>
      </c>
      <c r="Q126">
        <v>0</v>
      </c>
      <c r="R126">
        <v>800</v>
      </c>
    </row>
    <row r="127" spans="10:18" x14ac:dyDescent="0.2">
      <c r="J127">
        <v>74000</v>
      </c>
      <c r="K127">
        <v>1514.44</v>
      </c>
      <c r="L127">
        <v>-4040.63</v>
      </c>
      <c r="M127">
        <v>44114.400000000001</v>
      </c>
      <c r="N127">
        <v>229.22800000000001</v>
      </c>
      <c r="O127">
        <v>800</v>
      </c>
      <c r="P127">
        <v>0</v>
      </c>
      <c r="Q127">
        <v>0</v>
      </c>
      <c r="R127">
        <v>800</v>
      </c>
    </row>
    <row r="128" spans="10:18" x14ac:dyDescent="0.2">
      <c r="J128">
        <v>75000</v>
      </c>
      <c r="K128">
        <v>1536.6</v>
      </c>
      <c r="L128">
        <v>-4040.01</v>
      </c>
      <c r="M128">
        <v>43806.8</v>
      </c>
      <c r="N128">
        <v>1088.01</v>
      </c>
      <c r="O128">
        <v>800</v>
      </c>
      <c r="P128">
        <v>0</v>
      </c>
      <c r="Q128">
        <v>0</v>
      </c>
      <c r="R128">
        <v>800</v>
      </c>
    </row>
    <row r="129" spans="10:18" x14ac:dyDescent="0.2">
      <c r="J129">
        <v>76000</v>
      </c>
      <c r="K129">
        <v>1503.3</v>
      </c>
      <c r="L129">
        <v>-4035.81</v>
      </c>
      <c r="M129">
        <v>43852.7</v>
      </c>
      <c r="N129">
        <v>-1249.67</v>
      </c>
      <c r="O129">
        <v>800</v>
      </c>
      <c r="P129">
        <v>0</v>
      </c>
      <c r="Q129">
        <v>0</v>
      </c>
      <c r="R129">
        <v>800</v>
      </c>
    </row>
    <row r="130" spans="10:18" x14ac:dyDescent="0.2">
      <c r="J130">
        <v>77000</v>
      </c>
      <c r="K130">
        <v>1547</v>
      </c>
      <c r="L130">
        <v>-4035.63</v>
      </c>
      <c r="M130">
        <v>44119.4</v>
      </c>
      <c r="N130">
        <v>735.755</v>
      </c>
      <c r="O130">
        <v>800</v>
      </c>
      <c r="P130">
        <v>0</v>
      </c>
      <c r="Q130">
        <v>0</v>
      </c>
      <c r="R130">
        <v>800</v>
      </c>
    </row>
    <row r="131" spans="10:18" x14ac:dyDescent="0.2">
      <c r="J131">
        <v>78000</v>
      </c>
      <c r="K131">
        <v>1493.47</v>
      </c>
      <c r="L131">
        <v>-4033.51</v>
      </c>
      <c r="M131">
        <v>44723.8</v>
      </c>
      <c r="N131">
        <v>-630.07100000000003</v>
      </c>
      <c r="O131">
        <v>800</v>
      </c>
      <c r="P131">
        <v>0</v>
      </c>
      <c r="Q131">
        <v>0</v>
      </c>
      <c r="R131">
        <v>800</v>
      </c>
    </row>
    <row r="132" spans="10:18" x14ac:dyDescent="0.2">
      <c r="J132">
        <v>79000</v>
      </c>
      <c r="K132">
        <v>1497.58</v>
      </c>
      <c r="L132">
        <v>-4027.57</v>
      </c>
      <c r="M132">
        <v>44577.3</v>
      </c>
      <c r="N132">
        <v>1104.3399999999999</v>
      </c>
      <c r="O132">
        <v>800</v>
      </c>
      <c r="P132">
        <v>0</v>
      </c>
      <c r="Q132">
        <v>0</v>
      </c>
      <c r="R132">
        <v>800</v>
      </c>
    </row>
    <row r="133" spans="10:18" x14ac:dyDescent="0.2">
      <c r="J133">
        <v>80000</v>
      </c>
      <c r="K133">
        <v>1498.98</v>
      </c>
      <c r="L133">
        <v>-4035.15</v>
      </c>
      <c r="M133">
        <v>44288.4</v>
      </c>
      <c r="N133">
        <v>111.26</v>
      </c>
      <c r="O133">
        <v>800</v>
      </c>
      <c r="P133">
        <v>0</v>
      </c>
      <c r="Q133">
        <v>0</v>
      </c>
      <c r="R133">
        <v>800</v>
      </c>
    </row>
    <row r="134" spans="10:18" x14ac:dyDescent="0.2">
      <c r="J134">
        <v>81000</v>
      </c>
      <c r="K134">
        <v>1480.08</v>
      </c>
      <c r="L134">
        <v>-4030.57</v>
      </c>
      <c r="M134">
        <v>43794.2</v>
      </c>
      <c r="N134">
        <v>308.79199999999997</v>
      </c>
      <c r="O134">
        <v>800</v>
      </c>
      <c r="P134">
        <v>0</v>
      </c>
      <c r="Q134">
        <v>0</v>
      </c>
      <c r="R134">
        <v>800</v>
      </c>
    </row>
    <row r="135" spans="10:18" x14ac:dyDescent="0.2">
      <c r="J135">
        <v>82000</v>
      </c>
      <c r="K135">
        <v>1529.07</v>
      </c>
      <c r="L135">
        <v>-4038.13</v>
      </c>
      <c r="M135">
        <v>43128.9</v>
      </c>
      <c r="N135">
        <v>1849.23</v>
      </c>
      <c r="O135">
        <v>800</v>
      </c>
      <c r="P135">
        <v>0</v>
      </c>
      <c r="Q135">
        <v>0</v>
      </c>
      <c r="R135">
        <v>800</v>
      </c>
    </row>
    <row r="136" spans="10:18" x14ac:dyDescent="0.2">
      <c r="J136">
        <v>83000</v>
      </c>
      <c r="K136">
        <v>1509.73</v>
      </c>
      <c r="L136">
        <v>-4037.76</v>
      </c>
      <c r="M136">
        <v>43154.400000000001</v>
      </c>
      <c r="N136">
        <v>53.276600000000002</v>
      </c>
      <c r="O136">
        <v>800</v>
      </c>
      <c r="P136">
        <v>0</v>
      </c>
      <c r="Q136">
        <v>0</v>
      </c>
      <c r="R136">
        <v>800</v>
      </c>
    </row>
    <row r="137" spans="10:18" x14ac:dyDescent="0.2">
      <c r="J137">
        <v>84000</v>
      </c>
      <c r="K137">
        <v>1500.5</v>
      </c>
      <c r="L137">
        <v>-4027.42</v>
      </c>
      <c r="M137">
        <v>43850.400000000001</v>
      </c>
      <c r="N137">
        <v>-833.30600000000004</v>
      </c>
      <c r="O137">
        <v>800</v>
      </c>
      <c r="P137">
        <v>0</v>
      </c>
      <c r="Q137">
        <v>0</v>
      </c>
      <c r="R137">
        <v>800</v>
      </c>
    </row>
    <row r="138" spans="10:18" x14ac:dyDescent="0.2">
      <c r="J138">
        <v>85000</v>
      </c>
      <c r="K138">
        <v>1474.52</v>
      </c>
      <c r="L138">
        <v>-4039.4</v>
      </c>
      <c r="M138">
        <v>44333.2</v>
      </c>
      <c r="N138">
        <v>-49.661700000000003</v>
      </c>
      <c r="O138">
        <v>800</v>
      </c>
      <c r="P138">
        <v>0</v>
      </c>
      <c r="Q138">
        <v>0</v>
      </c>
      <c r="R138">
        <v>800</v>
      </c>
    </row>
    <row r="139" spans="10:18" x14ac:dyDescent="0.2">
      <c r="J139">
        <v>86000</v>
      </c>
      <c r="K139">
        <v>1506.53</v>
      </c>
      <c r="L139">
        <v>-4042.2</v>
      </c>
      <c r="M139">
        <v>43749.599999999999</v>
      </c>
      <c r="N139">
        <v>608.77800000000002</v>
      </c>
      <c r="O139">
        <v>800</v>
      </c>
      <c r="P139">
        <v>0</v>
      </c>
      <c r="Q139">
        <v>0</v>
      </c>
      <c r="R139">
        <v>800</v>
      </c>
    </row>
    <row r="140" spans="10:18" x14ac:dyDescent="0.2">
      <c r="J140">
        <v>87000</v>
      </c>
      <c r="K140">
        <v>1550.96</v>
      </c>
      <c r="L140">
        <v>-4034.73</v>
      </c>
      <c r="M140">
        <v>43184</v>
      </c>
      <c r="N140">
        <v>2386.9699999999998</v>
      </c>
      <c r="O140">
        <v>800</v>
      </c>
      <c r="P140">
        <v>0</v>
      </c>
      <c r="Q140">
        <v>0</v>
      </c>
      <c r="R140">
        <v>800</v>
      </c>
    </row>
    <row r="141" spans="10:18" x14ac:dyDescent="0.2">
      <c r="J141">
        <v>88000</v>
      </c>
      <c r="K141">
        <v>1513.62</v>
      </c>
      <c r="L141">
        <v>-4053.73</v>
      </c>
      <c r="M141">
        <v>44023</v>
      </c>
      <c r="N141">
        <v>254.65899999999999</v>
      </c>
      <c r="O141">
        <v>800</v>
      </c>
      <c r="P141">
        <v>0</v>
      </c>
      <c r="Q141">
        <v>0</v>
      </c>
      <c r="R141">
        <v>800</v>
      </c>
    </row>
    <row r="142" spans="10:18" x14ac:dyDescent="0.2">
      <c r="J142">
        <v>89000</v>
      </c>
      <c r="K142">
        <v>1476.22</v>
      </c>
      <c r="L142">
        <v>-4038.77</v>
      </c>
      <c r="M142">
        <v>44824.2</v>
      </c>
      <c r="N142">
        <v>955.12300000000005</v>
      </c>
      <c r="O142">
        <v>800</v>
      </c>
      <c r="P142">
        <v>0</v>
      </c>
      <c r="Q142">
        <v>0</v>
      </c>
      <c r="R142">
        <v>800</v>
      </c>
    </row>
    <row r="143" spans="10:18" x14ac:dyDescent="0.2">
      <c r="J143">
        <v>90000</v>
      </c>
      <c r="K143">
        <v>1474.13</v>
      </c>
      <c r="L143">
        <v>-4033.18</v>
      </c>
      <c r="M143">
        <v>45092.800000000003</v>
      </c>
      <c r="N143">
        <v>-447.16899999999998</v>
      </c>
      <c r="O143">
        <v>800</v>
      </c>
      <c r="P143">
        <v>0</v>
      </c>
      <c r="Q143">
        <v>0</v>
      </c>
      <c r="R143">
        <v>800</v>
      </c>
    </row>
    <row r="144" spans="10:18" x14ac:dyDescent="0.2">
      <c r="J144">
        <v>91000</v>
      </c>
      <c r="K144">
        <v>1487.1</v>
      </c>
      <c r="L144">
        <v>-4033.33</v>
      </c>
      <c r="M144">
        <v>44733.9</v>
      </c>
      <c r="N144">
        <v>-2237.4499999999998</v>
      </c>
      <c r="O144">
        <v>800</v>
      </c>
      <c r="P144">
        <v>0</v>
      </c>
      <c r="Q144">
        <v>0</v>
      </c>
      <c r="R144">
        <v>800</v>
      </c>
    </row>
    <row r="145" spans="10:18" x14ac:dyDescent="0.2">
      <c r="J145">
        <v>92000</v>
      </c>
      <c r="K145">
        <v>1544.64</v>
      </c>
      <c r="L145">
        <v>-4033.23</v>
      </c>
      <c r="M145">
        <v>43884.4</v>
      </c>
      <c r="N145">
        <v>1181.51</v>
      </c>
      <c r="O145">
        <v>800</v>
      </c>
      <c r="P145">
        <v>0</v>
      </c>
      <c r="Q145">
        <v>0</v>
      </c>
      <c r="R145">
        <v>800</v>
      </c>
    </row>
    <row r="146" spans="10:18" x14ac:dyDescent="0.2">
      <c r="J146">
        <v>93000</v>
      </c>
      <c r="K146">
        <v>1537.18</v>
      </c>
      <c r="L146">
        <v>-4027.43</v>
      </c>
      <c r="M146">
        <v>43996.3</v>
      </c>
      <c r="N146">
        <v>348.66199999999998</v>
      </c>
      <c r="O146">
        <v>800</v>
      </c>
      <c r="P146">
        <v>0</v>
      </c>
      <c r="Q146">
        <v>0</v>
      </c>
      <c r="R146">
        <v>800</v>
      </c>
    </row>
    <row r="147" spans="10:18" x14ac:dyDescent="0.2">
      <c r="J147">
        <v>94000</v>
      </c>
      <c r="K147">
        <v>1473.67</v>
      </c>
      <c r="L147">
        <v>-4035.11</v>
      </c>
      <c r="M147">
        <v>44249.7</v>
      </c>
      <c r="N147">
        <v>-668.12199999999996</v>
      </c>
      <c r="O147">
        <v>800</v>
      </c>
      <c r="P147">
        <v>0</v>
      </c>
      <c r="Q147">
        <v>0</v>
      </c>
      <c r="R147">
        <v>800</v>
      </c>
    </row>
    <row r="148" spans="10:18" x14ac:dyDescent="0.2">
      <c r="J148">
        <v>95000</v>
      </c>
      <c r="K148">
        <v>1508.32</v>
      </c>
      <c r="L148">
        <v>-4044.5</v>
      </c>
      <c r="M148">
        <v>44007.4</v>
      </c>
      <c r="N148">
        <v>-296.10700000000003</v>
      </c>
      <c r="O148">
        <v>800</v>
      </c>
      <c r="P148">
        <v>0</v>
      </c>
      <c r="Q148">
        <v>0</v>
      </c>
      <c r="R148">
        <v>800</v>
      </c>
    </row>
    <row r="149" spans="10:18" x14ac:dyDescent="0.2">
      <c r="J149">
        <v>96000</v>
      </c>
      <c r="K149">
        <v>1515.59</v>
      </c>
      <c r="L149">
        <v>-4038.14</v>
      </c>
      <c r="M149">
        <v>43965.1</v>
      </c>
      <c r="N149">
        <v>1085.0999999999999</v>
      </c>
      <c r="O149">
        <v>800</v>
      </c>
      <c r="P149">
        <v>0</v>
      </c>
      <c r="Q149">
        <v>0</v>
      </c>
      <c r="R149">
        <v>800</v>
      </c>
    </row>
    <row r="150" spans="10:18" x14ac:dyDescent="0.2">
      <c r="J150">
        <v>97000</v>
      </c>
      <c r="K150" s="3">
        <v>1462</v>
      </c>
      <c r="L150">
        <v>-4020.88</v>
      </c>
      <c r="M150" s="3">
        <v>44562.9</v>
      </c>
      <c r="N150" s="3">
        <v>273.93400000000003</v>
      </c>
      <c r="O150">
        <v>800</v>
      </c>
      <c r="P150">
        <v>0</v>
      </c>
      <c r="Q150">
        <v>0</v>
      </c>
      <c r="R150">
        <v>800</v>
      </c>
    </row>
    <row r="151" spans="10:18" x14ac:dyDescent="0.2">
      <c r="J151">
        <v>98000</v>
      </c>
      <c r="K151" s="3">
        <v>1534.51</v>
      </c>
      <c r="L151">
        <v>-4029.63</v>
      </c>
      <c r="M151" s="3">
        <v>44944.3</v>
      </c>
      <c r="N151" s="3">
        <v>34.884</v>
      </c>
      <c r="O151">
        <v>800</v>
      </c>
      <c r="P151">
        <v>0</v>
      </c>
      <c r="Q151">
        <v>0</v>
      </c>
      <c r="R151">
        <v>800</v>
      </c>
    </row>
    <row r="152" spans="10:18" x14ac:dyDescent="0.2">
      <c r="J152">
        <v>99000</v>
      </c>
      <c r="K152" s="3">
        <v>1513.47</v>
      </c>
      <c r="L152">
        <v>-4022.01</v>
      </c>
      <c r="M152" s="3">
        <v>45072.3</v>
      </c>
      <c r="N152" s="3">
        <v>-1706.84</v>
      </c>
      <c r="O152">
        <v>800</v>
      </c>
      <c r="P152">
        <v>0</v>
      </c>
      <c r="Q152">
        <v>0</v>
      </c>
      <c r="R152">
        <v>800</v>
      </c>
    </row>
    <row r="153" spans="10:18" x14ac:dyDescent="0.2">
      <c r="J153">
        <v>100000</v>
      </c>
      <c r="K153" s="3">
        <v>1490.5</v>
      </c>
      <c r="L153">
        <v>-4033.37</v>
      </c>
      <c r="M153" s="3">
        <v>44562.1</v>
      </c>
      <c r="N153" s="3">
        <v>-1169.73</v>
      </c>
      <c r="O153">
        <v>800</v>
      </c>
      <c r="P153">
        <v>0</v>
      </c>
      <c r="Q153">
        <v>0</v>
      </c>
      <c r="R153">
        <v>800</v>
      </c>
    </row>
    <row r="154" spans="10:18" x14ac:dyDescent="0.2">
      <c r="K154" s="3"/>
      <c r="M154" s="3"/>
      <c r="N154" s="3"/>
    </row>
    <row r="155" spans="10:18" x14ac:dyDescent="0.2">
      <c r="K155" s="3"/>
      <c r="M155" s="3"/>
      <c r="N155" s="3"/>
    </row>
    <row r="156" spans="10:18" x14ac:dyDescent="0.2">
      <c r="K156" s="3"/>
      <c r="M156" s="3"/>
      <c r="N156" s="3"/>
    </row>
    <row r="157" spans="10:18" x14ac:dyDescent="0.2">
      <c r="K157" s="3"/>
      <c r="M157" s="3"/>
      <c r="N157" s="3"/>
    </row>
    <row r="158" spans="10:18" x14ac:dyDescent="0.2">
      <c r="K158" s="3"/>
      <c r="M158" s="3"/>
      <c r="N158" s="3"/>
    </row>
    <row r="159" spans="10:18" x14ac:dyDescent="0.2">
      <c r="K159" s="3"/>
      <c r="M159" s="3"/>
      <c r="N159" s="3"/>
    </row>
    <row r="160" spans="10:18" x14ac:dyDescent="0.2">
      <c r="K160" s="3"/>
      <c r="M160" s="3"/>
      <c r="N160" s="3"/>
    </row>
    <row r="161" spans="11:14" x14ac:dyDescent="0.2">
      <c r="K161" s="3"/>
      <c r="M161" s="3"/>
      <c r="N161" s="3"/>
    </row>
    <row r="162" spans="11:14" x14ac:dyDescent="0.2">
      <c r="K162" s="3"/>
      <c r="M162" s="3"/>
      <c r="N162" s="3"/>
    </row>
    <row r="163" spans="11:14" x14ac:dyDescent="0.2">
      <c r="K163" s="3"/>
      <c r="M163" s="3"/>
      <c r="N163" s="3"/>
    </row>
    <row r="164" spans="11:14" x14ac:dyDescent="0.2">
      <c r="K164" s="3"/>
      <c r="M164" s="3"/>
      <c r="N164" s="3"/>
    </row>
    <row r="165" spans="11:14" x14ac:dyDescent="0.2">
      <c r="K165" s="3"/>
      <c r="M165" s="3"/>
      <c r="N165" s="3"/>
    </row>
    <row r="166" spans="11:14" x14ac:dyDescent="0.2">
      <c r="K166" s="3"/>
      <c r="M166" s="3"/>
      <c r="N166" s="3"/>
    </row>
    <row r="167" spans="11:14" x14ac:dyDescent="0.2">
      <c r="K167" s="3"/>
      <c r="M167" s="3"/>
      <c r="N167" s="3"/>
    </row>
    <row r="168" spans="11:14" x14ac:dyDescent="0.2">
      <c r="K168" s="3"/>
      <c r="M168" s="3"/>
      <c r="N168" s="3"/>
    </row>
    <row r="169" spans="11:14" x14ac:dyDescent="0.2">
      <c r="K169" s="3"/>
      <c r="M169" s="3"/>
      <c r="N169" s="3"/>
    </row>
    <row r="170" spans="11:14" x14ac:dyDescent="0.2">
      <c r="K170" s="3"/>
      <c r="M170" s="3"/>
      <c r="N170" s="3"/>
    </row>
    <row r="171" spans="11:14" x14ac:dyDescent="0.2">
      <c r="K171" s="3"/>
      <c r="M171" s="3"/>
      <c r="N171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abSelected="1" topLeftCell="BB1" workbookViewId="0">
      <selection activeCell="BK10" sqref="BK10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55</v>
      </c>
      <c r="BN2" t="s">
        <v>56</v>
      </c>
      <c r="BV2" t="s">
        <v>57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-8588900</v>
      </c>
      <c r="E7" s="3">
        <v>-17184700000</v>
      </c>
      <c r="J7">
        <f>3.5*0.1</f>
        <v>0.35000000000000003</v>
      </c>
      <c r="K7">
        <v>0</v>
      </c>
      <c r="L7" s="3">
        <v>25554500</v>
      </c>
      <c r="M7" s="3">
        <v>46843700000</v>
      </c>
      <c r="R7">
        <f>3.5*0.1</f>
        <v>0.35000000000000003</v>
      </c>
      <c r="S7">
        <v>0</v>
      </c>
      <c r="T7" s="3">
        <v>-97551800</v>
      </c>
      <c r="U7" s="3">
        <v>-181274000000</v>
      </c>
      <c r="Z7">
        <f>3.5*0.1</f>
        <v>0.35000000000000003</v>
      </c>
      <c r="AA7">
        <v>0</v>
      </c>
      <c r="AB7" s="3">
        <v>-1013690</v>
      </c>
      <c r="AC7" s="3">
        <v>-1525160000</v>
      </c>
      <c r="AH7">
        <f>3.5*0.1</f>
        <v>0.35000000000000003</v>
      </c>
      <c r="AI7">
        <v>0</v>
      </c>
      <c r="AJ7" s="3">
        <v>-569268000</v>
      </c>
      <c r="AK7" s="3">
        <v>-905123000000</v>
      </c>
      <c r="AP7">
        <f>3.5*0.1</f>
        <v>0.35000000000000003</v>
      </c>
      <c r="AQ7">
        <v>0</v>
      </c>
      <c r="AR7" s="3">
        <v>-32063000</v>
      </c>
      <c r="AS7" s="3">
        <v>-54916300000</v>
      </c>
      <c r="AX7">
        <f>3.5*0.1</f>
        <v>0.35000000000000003</v>
      </c>
      <c r="AY7">
        <v>0</v>
      </c>
      <c r="AZ7" s="3">
        <v>-34908100</v>
      </c>
      <c r="BA7" s="3">
        <v>-73349400000</v>
      </c>
      <c r="BF7">
        <f>3.5*0.1</f>
        <v>0.35000000000000003</v>
      </c>
      <c r="BG7">
        <v>0</v>
      </c>
      <c r="BH7" s="3">
        <v>-10951200000000</v>
      </c>
      <c r="BI7" s="3">
        <v>-1.69621E+16</v>
      </c>
      <c r="BN7">
        <f>3.5*0.1</f>
        <v>0.35000000000000003</v>
      </c>
      <c r="BO7">
        <v>0</v>
      </c>
      <c r="BP7" s="3">
        <v>-1039160000</v>
      </c>
      <c r="BQ7" s="3">
        <v>-1913460000000</v>
      </c>
      <c r="BV7">
        <f>3.5*0.1</f>
        <v>0.35000000000000003</v>
      </c>
      <c r="BW7">
        <v>0</v>
      </c>
      <c r="BX7" s="3">
        <v>-7955130</v>
      </c>
      <c r="BY7" s="3">
        <v>-14627800000</v>
      </c>
    </row>
    <row r="8" spans="2:80" x14ac:dyDescent="0.2">
      <c r="B8">
        <f>B7+0.05</f>
        <v>0.4</v>
      </c>
      <c r="C8">
        <v>1</v>
      </c>
      <c r="D8" s="3">
        <v>-8588900</v>
      </c>
      <c r="E8" s="3">
        <v>-17184700000</v>
      </c>
      <c r="J8">
        <f>J7+0.05</f>
        <v>0.4</v>
      </c>
      <c r="K8">
        <v>1</v>
      </c>
      <c r="L8" s="3">
        <v>25554500</v>
      </c>
      <c r="M8" s="3">
        <v>46843700000</v>
      </c>
      <c r="R8">
        <f>R7+0.05</f>
        <v>0.4</v>
      </c>
      <c r="S8">
        <v>1</v>
      </c>
      <c r="T8" s="3">
        <v>-97551800</v>
      </c>
      <c r="U8" s="3">
        <v>-181274000000</v>
      </c>
      <c r="Z8">
        <f>Z7+0.05</f>
        <v>0.4</v>
      </c>
      <c r="AA8">
        <v>1</v>
      </c>
      <c r="AB8" s="3">
        <v>-1013690</v>
      </c>
      <c r="AC8" s="3">
        <v>-1525160000</v>
      </c>
      <c r="AH8">
        <f>AH7+0.05</f>
        <v>0.4</v>
      </c>
      <c r="AI8">
        <v>1</v>
      </c>
      <c r="AJ8" s="3">
        <v>-569268000</v>
      </c>
      <c r="AK8" s="3">
        <v>-905123000000</v>
      </c>
      <c r="AP8">
        <f>AP7+0.05</f>
        <v>0.4</v>
      </c>
      <c r="AQ8">
        <v>1</v>
      </c>
      <c r="AR8" s="3">
        <v>-32063000</v>
      </c>
      <c r="AS8" s="3">
        <v>-54916300000</v>
      </c>
      <c r="AX8">
        <f>AX7+0.05</f>
        <v>0.4</v>
      </c>
      <c r="AY8">
        <v>1</v>
      </c>
      <c r="AZ8" s="3">
        <v>-34908100</v>
      </c>
      <c r="BA8" s="3">
        <v>-73349400000</v>
      </c>
      <c r="BF8">
        <f>BF7+0.05</f>
        <v>0.4</v>
      </c>
      <c r="BG8">
        <v>1</v>
      </c>
      <c r="BH8" s="3">
        <v>-10951200000000</v>
      </c>
      <c r="BI8" s="3">
        <v>-1.69621E+16</v>
      </c>
      <c r="BN8">
        <f>BN7+0.05</f>
        <v>0.4</v>
      </c>
      <c r="BO8">
        <v>1</v>
      </c>
      <c r="BP8" s="3">
        <v>-1039160000</v>
      </c>
      <c r="BQ8" s="3">
        <v>-1913460000000</v>
      </c>
      <c r="BV8">
        <f>BV7+0.05</f>
        <v>0.4</v>
      </c>
      <c r="BW8">
        <v>1</v>
      </c>
      <c r="BX8" s="3">
        <v>-7955130</v>
      </c>
      <c r="BY8" s="3">
        <v>-14627800000</v>
      </c>
    </row>
    <row r="9" spans="2:80" x14ac:dyDescent="0.2">
      <c r="B9">
        <f t="shared" ref="B9:B72" si="0">B8+0.05</f>
        <v>0.45</v>
      </c>
      <c r="C9">
        <v>2</v>
      </c>
      <c r="D9" s="3">
        <v>-4077470</v>
      </c>
      <c r="E9" s="3">
        <v>-9600030000</v>
      </c>
      <c r="J9">
        <f t="shared" ref="J9:J72" si="1">J8+0.05</f>
        <v>0.45</v>
      </c>
      <c r="K9">
        <v>2</v>
      </c>
      <c r="L9" s="3">
        <v>12948500</v>
      </c>
      <c r="M9" s="3">
        <v>27702400000</v>
      </c>
      <c r="R9">
        <f t="shared" ref="R9:R72" si="2">R8+0.05</f>
        <v>0.45</v>
      </c>
      <c r="S9">
        <v>2</v>
      </c>
      <c r="T9" s="3">
        <v>-48927600</v>
      </c>
      <c r="U9" s="3">
        <v>-106390000000</v>
      </c>
      <c r="Z9">
        <f t="shared" ref="Z9:Z72" si="3">Z8+0.05</f>
        <v>0.45</v>
      </c>
      <c r="AA9">
        <v>2</v>
      </c>
      <c r="AB9" s="3">
        <v>-580766</v>
      </c>
      <c r="AC9" s="3">
        <v>-1016180000</v>
      </c>
      <c r="AH9">
        <f t="shared" ref="AH9:AH72" si="4">AH8+0.05</f>
        <v>0.45</v>
      </c>
      <c r="AI9">
        <v>2</v>
      </c>
      <c r="AJ9" s="3">
        <v>-315534000</v>
      </c>
      <c r="AK9" s="3">
        <v>-586374000000</v>
      </c>
      <c r="AP9">
        <f t="shared" ref="AP9:AP72" si="5">AP8+0.05</f>
        <v>0.45</v>
      </c>
      <c r="AQ9">
        <v>2</v>
      </c>
      <c r="AR9" s="3">
        <v>-16996600</v>
      </c>
      <c r="AS9" s="3">
        <v>-33919500000</v>
      </c>
      <c r="AX9">
        <f t="shared" ref="AX9:AX72" si="6">AX8+0.05</f>
        <v>0.45</v>
      </c>
      <c r="AY9">
        <v>2</v>
      </c>
      <c r="AZ9" s="3">
        <v>-15935300</v>
      </c>
      <c r="BA9" s="3">
        <v>-39580600000</v>
      </c>
      <c r="BF9">
        <f t="shared" ref="BF9:BF72" si="7">BF8+0.05</f>
        <v>0.45</v>
      </c>
      <c r="BG9">
        <v>2</v>
      </c>
      <c r="BH9" s="3">
        <v>-6171350000000</v>
      </c>
      <c r="BI9" s="3">
        <v>-1.11214E+16</v>
      </c>
      <c r="BN9">
        <f t="shared" ref="BN9:BN72" si="8">BN8+0.05</f>
        <v>0.45</v>
      </c>
      <c r="BO9">
        <v>2</v>
      </c>
      <c r="BP9" s="3">
        <v>-524359000</v>
      </c>
      <c r="BQ9" s="3">
        <v>-1130540000000</v>
      </c>
      <c r="BV9">
        <f t="shared" ref="BV9:BV72" si="9">BV8+0.05</f>
        <v>0.45</v>
      </c>
      <c r="BW9">
        <v>2</v>
      </c>
      <c r="BX9" s="3">
        <v>-4016120</v>
      </c>
      <c r="BY9" s="3">
        <v>-8658110000</v>
      </c>
    </row>
    <row r="10" spans="2:80" x14ac:dyDescent="0.2">
      <c r="B10">
        <f t="shared" si="0"/>
        <v>0.5</v>
      </c>
      <c r="C10">
        <v>3</v>
      </c>
      <c r="D10" s="3">
        <v>-1891780</v>
      </c>
      <c r="E10" s="3">
        <v>-5171640000</v>
      </c>
      <c r="J10">
        <f t="shared" si="1"/>
        <v>0.5</v>
      </c>
      <c r="K10">
        <v>3</v>
      </c>
      <c r="L10" s="3">
        <v>6466010</v>
      </c>
      <c r="M10" s="3">
        <v>15900100000</v>
      </c>
      <c r="R10">
        <f t="shared" si="2"/>
        <v>0.5</v>
      </c>
      <c r="S10">
        <v>3</v>
      </c>
      <c r="T10" s="3">
        <v>-24131800</v>
      </c>
      <c r="U10" s="3">
        <v>-60491600000</v>
      </c>
      <c r="Z10">
        <f t="shared" si="3"/>
        <v>0.5</v>
      </c>
      <c r="AA10">
        <v>3</v>
      </c>
      <c r="AB10" s="3">
        <v>-329484</v>
      </c>
      <c r="AC10" s="3">
        <v>-660008000</v>
      </c>
      <c r="AH10">
        <f t="shared" si="4"/>
        <v>0.5</v>
      </c>
      <c r="AI10">
        <v>3</v>
      </c>
      <c r="AJ10" s="3">
        <v>-172530000</v>
      </c>
      <c r="AK10" s="3">
        <v>-369162000000</v>
      </c>
      <c r="AP10">
        <f t="shared" si="5"/>
        <v>0.5</v>
      </c>
      <c r="AQ10">
        <v>3</v>
      </c>
      <c r="AR10" s="3">
        <v>-8898340</v>
      </c>
      <c r="AS10" s="3">
        <v>-20371800000</v>
      </c>
      <c r="AX10">
        <f t="shared" si="6"/>
        <v>0.5</v>
      </c>
      <c r="AY10">
        <v>3</v>
      </c>
      <c r="AZ10" s="3">
        <v>-7075230</v>
      </c>
      <c r="BA10" s="3">
        <v>-20491800000</v>
      </c>
      <c r="BF10">
        <f t="shared" si="7"/>
        <v>0.5</v>
      </c>
      <c r="BG10">
        <v>3</v>
      </c>
      <c r="BH10" s="3">
        <v>-3441510000000</v>
      </c>
      <c r="BI10" s="3">
        <v>-7106070000000000</v>
      </c>
      <c r="BN10">
        <f t="shared" si="8"/>
        <v>0.5</v>
      </c>
      <c r="BO10">
        <v>3</v>
      </c>
      <c r="BP10" s="3">
        <v>-260117000</v>
      </c>
      <c r="BQ10" s="3">
        <v>-646894000000</v>
      </c>
      <c r="BV10">
        <f t="shared" si="9"/>
        <v>0.5</v>
      </c>
      <c r="BW10">
        <v>3</v>
      </c>
      <c r="BX10" s="3">
        <v>-1991660</v>
      </c>
      <c r="BY10" s="3">
        <v>-4957600000</v>
      </c>
    </row>
    <row r="11" spans="2:80" x14ac:dyDescent="0.2">
      <c r="B11">
        <f t="shared" si="0"/>
        <v>0.55000000000000004</v>
      </c>
      <c r="C11">
        <v>4</v>
      </c>
      <c r="D11" s="3">
        <v>-855311</v>
      </c>
      <c r="E11" s="3">
        <v>-2689840000</v>
      </c>
      <c r="J11">
        <f t="shared" si="1"/>
        <v>0.55000000000000004</v>
      </c>
      <c r="K11">
        <v>4</v>
      </c>
      <c r="L11" s="3">
        <v>3180140</v>
      </c>
      <c r="M11" s="3">
        <v>8881390000</v>
      </c>
      <c r="R11">
        <f t="shared" si="2"/>
        <v>0.55000000000000004</v>
      </c>
      <c r="S11">
        <v>4</v>
      </c>
      <c r="T11" s="3">
        <v>-11692200</v>
      </c>
      <c r="U11" s="3">
        <v>-33400500000</v>
      </c>
      <c r="Z11">
        <f t="shared" si="3"/>
        <v>0.55000000000000004</v>
      </c>
      <c r="AA11">
        <v>4</v>
      </c>
      <c r="AB11">
        <v>-185064</v>
      </c>
      <c r="AC11" s="3">
        <v>-419178000</v>
      </c>
      <c r="AH11">
        <f t="shared" si="4"/>
        <v>0.55000000000000004</v>
      </c>
      <c r="AI11">
        <v>4</v>
      </c>
      <c r="AJ11" s="3">
        <v>-92986600</v>
      </c>
      <c r="AK11" s="3">
        <v>-226441000000</v>
      </c>
      <c r="AP11">
        <f t="shared" si="5"/>
        <v>0.55000000000000004</v>
      </c>
      <c r="AQ11">
        <v>4</v>
      </c>
      <c r="AR11" s="3">
        <v>-4599340</v>
      </c>
      <c r="AS11" s="3">
        <v>-11931800000</v>
      </c>
      <c r="AX11">
        <f t="shared" si="6"/>
        <v>0.55000000000000004</v>
      </c>
      <c r="AY11">
        <v>4</v>
      </c>
      <c r="AZ11" s="3">
        <v>-3046700</v>
      </c>
      <c r="BA11" s="3">
        <v>-10186200000</v>
      </c>
      <c r="BF11">
        <f t="shared" si="7"/>
        <v>0.55000000000000004</v>
      </c>
      <c r="BG11">
        <v>4</v>
      </c>
      <c r="BH11" s="3">
        <v>-1898350000000</v>
      </c>
      <c r="BI11" s="3">
        <v>-4437660000000000</v>
      </c>
      <c r="BN11">
        <f t="shared" si="8"/>
        <v>0.55000000000000004</v>
      </c>
      <c r="BO11">
        <v>4</v>
      </c>
      <c r="BP11" s="3">
        <v>-126733000</v>
      </c>
      <c r="BQ11" s="3">
        <v>-359322000000</v>
      </c>
      <c r="BV11">
        <f t="shared" si="9"/>
        <v>0.55000000000000004</v>
      </c>
      <c r="BW11">
        <v>4</v>
      </c>
      <c r="BX11" s="3">
        <v>-969502</v>
      </c>
      <c r="BY11" s="3">
        <v>-2752890000</v>
      </c>
    </row>
    <row r="12" spans="2:80" x14ac:dyDescent="0.2">
      <c r="B12">
        <f t="shared" si="0"/>
        <v>0.60000000000000009</v>
      </c>
      <c r="C12">
        <v>5</v>
      </c>
      <c r="D12" s="3">
        <v>-375373</v>
      </c>
      <c r="E12" s="3">
        <v>-1350240000</v>
      </c>
      <c r="J12">
        <f t="shared" si="1"/>
        <v>0.60000000000000009</v>
      </c>
      <c r="K12">
        <v>5</v>
      </c>
      <c r="L12" s="3">
        <v>1539410</v>
      </c>
      <c r="M12" s="3">
        <v>4836220000</v>
      </c>
      <c r="R12">
        <f t="shared" si="2"/>
        <v>0.60000000000000009</v>
      </c>
      <c r="S12">
        <v>5</v>
      </c>
      <c r="T12" s="3">
        <v>-5558800</v>
      </c>
      <c r="U12" s="3">
        <v>-17932600000</v>
      </c>
      <c r="Z12">
        <f t="shared" si="3"/>
        <v>0.60000000000000009</v>
      </c>
      <c r="AA12">
        <v>5</v>
      </c>
      <c r="AB12">
        <v>-102893</v>
      </c>
      <c r="AC12" s="3">
        <v>-260890000</v>
      </c>
      <c r="AH12">
        <f t="shared" si="4"/>
        <v>0.60000000000000009</v>
      </c>
      <c r="AI12">
        <v>5</v>
      </c>
      <c r="AJ12" s="3">
        <v>-49355500</v>
      </c>
      <c r="AK12" s="3">
        <v>-135541000000</v>
      </c>
      <c r="AP12">
        <f t="shared" si="5"/>
        <v>0.60000000000000009</v>
      </c>
      <c r="AQ12">
        <v>5</v>
      </c>
      <c r="AR12" s="3">
        <v>-2346320</v>
      </c>
      <c r="AS12" s="3">
        <v>-6828700000</v>
      </c>
      <c r="AX12">
        <f t="shared" si="6"/>
        <v>0.60000000000000009</v>
      </c>
      <c r="AY12">
        <v>5</v>
      </c>
      <c r="AZ12" s="3">
        <v>-1268170</v>
      </c>
      <c r="BA12" s="3">
        <v>-4858400000</v>
      </c>
      <c r="BF12">
        <f t="shared" si="7"/>
        <v>0.60000000000000009</v>
      </c>
      <c r="BG12">
        <v>5</v>
      </c>
      <c r="BH12" s="3">
        <v>-1035270000000</v>
      </c>
      <c r="BI12" s="3">
        <v>-2713730000000000</v>
      </c>
      <c r="BN12">
        <f t="shared" si="8"/>
        <v>0.60000000000000009</v>
      </c>
      <c r="BO12">
        <v>5</v>
      </c>
      <c r="BP12" s="3">
        <v>-60584500</v>
      </c>
      <c r="BQ12" s="3">
        <v>-194009000000</v>
      </c>
      <c r="BV12">
        <f t="shared" si="9"/>
        <v>0.60000000000000009</v>
      </c>
      <c r="BW12">
        <v>5</v>
      </c>
      <c r="BX12">
        <v>-462934</v>
      </c>
      <c r="BY12" s="3">
        <v>-1484700000</v>
      </c>
    </row>
    <row r="13" spans="2:80" x14ac:dyDescent="0.2">
      <c r="B13">
        <f t="shared" si="0"/>
        <v>0.65000000000000013</v>
      </c>
      <c r="C13">
        <v>6</v>
      </c>
      <c r="D13" s="3">
        <v>-159030</v>
      </c>
      <c r="E13" s="3">
        <v>-652916000</v>
      </c>
      <c r="J13">
        <f t="shared" si="1"/>
        <v>0.65000000000000013</v>
      </c>
      <c r="K13">
        <v>6</v>
      </c>
      <c r="L13" s="3">
        <v>732897</v>
      </c>
      <c r="M13" s="3">
        <v>2570010000</v>
      </c>
      <c r="R13">
        <f t="shared" si="2"/>
        <v>0.65000000000000013</v>
      </c>
      <c r="S13">
        <v>6</v>
      </c>
      <c r="T13" s="3">
        <v>-2589980</v>
      </c>
      <c r="U13" s="3">
        <v>-9367320000</v>
      </c>
      <c r="Z13">
        <f t="shared" si="3"/>
        <v>0.65000000000000013</v>
      </c>
      <c r="AA13">
        <v>6</v>
      </c>
      <c r="AB13">
        <v>-56617.5</v>
      </c>
      <c r="AC13" s="3">
        <v>-159367000</v>
      </c>
      <c r="AH13">
        <f t="shared" si="4"/>
        <v>0.65000000000000013</v>
      </c>
      <c r="AI13">
        <v>6</v>
      </c>
      <c r="AJ13" s="3">
        <v>-25774400</v>
      </c>
      <c r="AK13" s="3">
        <v>-79237200000</v>
      </c>
      <c r="AP13">
        <f t="shared" si="5"/>
        <v>0.65000000000000013</v>
      </c>
      <c r="AQ13">
        <v>6</v>
      </c>
      <c r="AR13" s="3">
        <v>-1181070</v>
      </c>
      <c r="AS13" s="3">
        <v>-3824100000</v>
      </c>
      <c r="AX13">
        <f t="shared" si="6"/>
        <v>0.65000000000000013</v>
      </c>
      <c r="AY13">
        <v>6</v>
      </c>
      <c r="AZ13" s="3">
        <v>-508228</v>
      </c>
      <c r="BA13" s="3">
        <v>-2219310000</v>
      </c>
      <c r="BF13">
        <f t="shared" si="7"/>
        <v>0.65000000000000013</v>
      </c>
      <c r="BG13">
        <v>6</v>
      </c>
      <c r="BH13" s="3">
        <v>-557899000000</v>
      </c>
      <c r="BI13" s="3">
        <v>-1627110000000000</v>
      </c>
      <c r="BN13">
        <f t="shared" si="8"/>
        <v>0.65000000000000013</v>
      </c>
      <c r="BO13">
        <v>6</v>
      </c>
      <c r="BP13" s="3">
        <v>-28388500</v>
      </c>
      <c r="BQ13" s="3">
        <v>-101892000000</v>
      </c>
      <c r="BV13">
        <f t="shared" si="9"/>
        <v>0.65000000000000013</v>
      </c>
      <c r="BW13">
        <v>6</v>
      </c>
      <c r="BX13">
        <v>-216720</v>
      </c>
      <c r="BY13" s="3">
        <v>-778465000</v>
      </c>
    </row>
    <row r="14" spans="2:80" x14ac:dyDescent="0.2">
      <c r="B14">
        <f t="shared" si="0"/>
        <v>0.70000000000000018</v>
      </c>
      <c r="C14">
        <v>7</v>
      </c>
      <c r="D14" s="3">
        <v>-64490.9</v>
      </c>
      <c r="E14" s="3">
        <v>-302993000</v>
      </c>
      <c r="J14">
        <f t="shared" si="1"/>
        <v>0.70000000000000018</v>
      </c>
      <c r="K14">
        <v>7</v>
      </c>
      <c r="L14" s="3">
        <v>342900</v>
      </c>
      <c r="M14" s="3">
        <v>1333600000</v>
      </c>
      <c r="R14">
        <f t="shared" si="2"/>
        <v>0.70000000000000018</v>
      </c>
      <c r="S14">
        <v>7</v>
      </c>
      <c r="T14" s="3">
        <v>-1180930</v>
      </c>
      <c r="U14" s="3">
        <v>-4760800000</v>
      </c>
      <c r="Z14">
        <f t="shared" si="3"/>
        <v>0.70000000000000018</v>
      </c>
      <c r="AA14">
        <v>7</v>
      </c>
      <c r="AB14">
        <v>-30828.1</v>
      </c>
      <c r="AC14" s="3">
        <v>-95659600</v>
      </c>
      <c r="AH14">
        <f t="shared" si="4"/>
        <v>0.70000000000000018</v>
      </c>
      <c r="AI14">
        <v>7</v>
      </c>
      <c r="AJ14" s="3">
        <v>-13228500</v>
      </c>
      <c r="AK14" s="3">
        <v>-45256300000</v>
      </c>
      <c r="AP14">
        <f t="shared" si="5"/>
        <v>0.70000000000000018</v>
      </c>
      <c r="AQ14">
        <v>7</v>
      </c>
      <c r="AR14" s="3">
        <v>-586540</v>
      </c>
      <c r="AS14" s="3">
        <v>-2097590000</v>
      </c>
      <c r="AX14">
        <f t="shared" si="6"/>
        <v>0.70000000000000018</v>
      </c>
      <c r="AY14">
        <v>7</v>
      </c>
      <c r="AZ14" s="3">
        <v>-195175</v>
      </c>
      <c r="BA14" s="3">
        <v>-968056000</v>
      </c>
      <c r="BF14">
        <f t="shared" si="7"/>
        <v>0.70000000000000018</v>
      </c>
      <c r="BG14">
        <v>7</v>
      </c>
      <c r="BH14" s="3">
        <v>-296922000000</v>
      </c>
      <c r="BI14" s="3">
        <v>-957319000000000</v>
      </c>
      <c r="BN14">
        <f t="shared" si="8"/>
        <v>0.70000000000000018</v>
      </c>
      <c r="BO14">
        <v>7</v>
      </c>
      <c r="BP14" s="3">
        <v>-13026000</v>
      </c>
      <c r="BQ14" s="3">
        <v>-52062200000</v>
      </c>
      <c r="BV14">
        <f t="shared" si="9"/>
        <v>0.70000000000000018</v>
      </c>
      <c r="BW14">
        <v>7</v>
      </c>
      <c r="BX14">
        <v>-99437.8</v>
      </c>
      <c r="BY14" s="3">
        <v>-397099000</v>
      </c>
    </row>
    <row r="15" spans="2:80" x14ac:dyDescent="0.2">
      <c r="B15">
        <f t="shared" si="0"/>
        <v>0.75000000000000022</v>
      </c>
      <c r="C15">
        <v>8</v>
      </c>
      <c r="D15" s="3">
        <v>-24682.3</v>
      </c>
      <c r="E15" s="3">
        <v>-134054000</v>
      </c>
      <c r="J15">
        <f t="shared" si="1"/>
        <v>0.75000000000000022</v>
      </c>
      <c r="K15">
        <v>8</v>
      </c>
      <c r="L15" s="3">
        <v>157523</v>
      </c>
      <c r="M15" s="3">
        <v>675882000</v>
      </c>
      <c r="R15">
        <f t="shared" si="2"/>
        <v>0.75000000000000022</v>
      </c>
      <c r="S15">
        <v>8</v>
      </c>
      <c r="T15">
        <v>-526106</v>
      </c>
      <c r="U15" s="3">
        <v>-2353140000</v>
      </c>
      <c r="Z15">
        <f t="shared" si="3"/>
        <v>0.75000000000000022</v>
      </c>
      <c r="AA15">
        <v>8</v>
      </c>
      <c r="AB15">
        <v>-16607.599999999999</v>
      </c>
      <c r="AC15" s="3">
        <v>-56471600</v>
      </c>
      <c r="AH15">
        <f t="shared" si="4"/>
        <v>0.75000000000000022</v>
      </c>
      <c r="AI15">
        <v>8</v>
      </c>
      <c r="AJ15" s="3">
        <v>-6664680</v>
      </c>
      <c r="AK15" s="3">
        <v>-25251500000</v>
      </c>
      <c r="AP15">
        <f t="shared" si="5"/>
        <v>0.75000000000000022</v>
      </c>
      <c r="AQ15">
        <v>8</v>
      </c>
      <c r="AR15" s="3">
        <v>-287367</v>
      </c>
      <c r="AS15" s="3">
        <v>-1127890000</v>
      </c>
      <c r="AX15">
        <f t="shared" si="6"/>
        <v>0.75000000000000022</v>
      </c>
      <c r="AY15">
        <v>8</v>
      </c>
      <c r="AZ15" s="3">
        <v>-71414</v>
      </c>
      <c r="BA15" s="3">
        <v>-401568000</v>
      </c>
      <c r="BF15">
        <f t="shared" si="7"/>
        <v>0.75000000000000022</v>
      </c>
      <c r="BG15">
        <v>8</v>
      </c>
      <c r="BH15" s="3">
        <v>-155973000000</v>
      </c>
      <c r="BI15" s="3">
        <v>-552950000000000</v>
      </c>
      <c r="BN15">
        <f t="shared" si="8"/>
        <v>0.75000000000000022</v>
      </c>
      <c r="BO15">
        <v>8</v>
      </c>
      <c r="BP15" s="3">
        <v>-5847850</v>
      </c>
      <c r="BQ15" s="3">
        <v>-25878200000</v>
      </c>
      <c r="BV15">
        <f t="shared" si="9"/>
        <v>0.75000000000000022</v>
      </c>
      <c r="BW15">
        <v>8</v>
      </c>
      <c r="BX15">
        <v>-44714.7</v>
      </c>
      <c r="BY15" s="3">
        <v>-197198000</v>
      </c>
    </row>
    <row r="16" spans="2:80" x14ac:dyDescent="0.2">
      <c r="B16">
        <f t="shared" si="0"/>
        <v>0.80000000000000027</v>
      </c>
      <c r="C16">
        <v>9</v>
      </c>
      <c r="D16" s="3">
        <v>-8678.58</v>
      </c>
      <c r="E16" s="3">
        <v>-55898900</v>
      </c>
      <c r="J16">
        <f t="shared" si="1"/>
        <v>0.80000000000000027</v>
      </c>
      <c r="K16">
        <v>9</v>
      </c>
      <c r="L16" s="3">
        <v>70980.3</v>
      </c>
      <c r="M16" s="3">
        <v>334529000</v>
      </c>
      <c r="R16">
        <f t="shared" si="2"/>
        <v>0.80000000000000027</v>
      </c>
      <c r="S16">
        <v>9</v>
      </c>
      <c r="T16">
        <v>-228585</v>
      </c>
      <c r="U16" s="3">
        <v>-1130190000</v>
      </c>
      <c r="Z16">
        <f t="shared" si="3"/>
        <v>0.80000000000000027</v>
      </c>
      <c r="AA16">
        <v>9</v>
      </c>
      <c r="AB16">
        <v>-8850.06</v>
      </c>
      <c r="AC16" s="3">
        <v>-32810200</v>
      </c>
      <c r="AH16">
        <f t="shared" si="4"/>
        <v>0.80000000000000027</v>
      </c>
      <c r="AI16">
        <v>9</v>
      </c>
      <c r="AJ16" s="3">
        <v>-3291630</v>
      </c>
      <c r="AK16" s="3">
        <v>-13758600000</v>
      </c>
      <c r="AP16">
        <f t="shared" si="5"/>
        <v>0.80000000000000027</v>
      </c>
      <c r="AQ16">
        <v>9</v>
      </c>
      <c r="AR16" s="3">
        <v>-138918</v>
      </c>
      <c r="AS16" s="3">
        <v>-594934000</v>
      </c>
      <c r="AX16">
        <f t="shared" si="6"/>
        <v>0.80000000000000027</v>
      </c>
      <c r="AY16">
        <v>9</v>
      </c>
      <c r="AZ16">
        <v>-24715.8</v>
      </c>
      <c r="BA16" s="3">
        <v>-157575000</v>
      </c>
      <c r="BF16">
        <f t="shared" si="7"/>
        <v>0.80000000000000027</v>
      </c>
      <c r="BG16">
        <v>9</v>
      </c>
      <c r="BH16" s="3">
        <v>-80814700000</v>
      </c>
      <c r="BI16" s="3">
        <v>-313613000000000</v>
      </c>
      <c r="BN16">
        <f t="shared" si="8"/>
        <v>0.80000000000000027</v>
      </c>
      <c r="BO16">
        <v>9</v>
      </c>
      <c r="BP16" s="3">
        <v>-2566990</v>
      </c>
      <c r="BQ16" s="3">
        <v>-12510400000</v>
      </c>
      <c r="BV16">
        <f t="shared" si="9"/>
        <v>0.80000000000000027</v>
      </c>
      <c r="BW16">
        <v>9</v>
      </c>
      <c r="BX16">
        <v>-19709.400000000001</v>
      </c>
      <c r="BY16" s="3">
        <v>-95413700</v>
      </c>
    </row>
    <row r="17" spans="2:77" x14ac:dyDescent="0.2">
      <c r="B17">
        <f t="shared" si="0"/>
        <v>0.85000000000000031</v>
      </c>
      <c r="C17">
        <v>10</v>
      </c>
      <c r="D17" s="3">
        <v>-2632.07</v>
      </c>
      <c r="E17" s="3">
        <v>-21494600</v>
      </c>
      <c r="J17">
        <f t="shared" si="1"/>
        <v>0.85000000000000031</v>
      </c>
      <c r="K17">
        <v>10</v>
      </c>
      <c r="L17" s="3">
        <v>31337.9</v>
      </c>
      <c r="M17" s="3">
        <v>161637000</v>
      </c>
      <c r="R17">
        <f t="shared" si="2"/>
        <v>0.85000000000000031</v>
      </c>
      <c r="S17">
        <v>10</v>
      </c>
      <c r="T17">
        <v>-96655.5</v>
      </c>
      <c r="U17" s="3">
        <v>-526815000</v>
      </c>
      <c r="Z17">
        <f t="shared" si="3"/>
        <v>0.85000000000000031</v>
      </c>
      <c r="AA17">
        <v>10</v>
      </c>
      <c r="AB17">
        <v>-4663.95</v>
      </c>
      <c r="AC17" s="3">
        <v>-18771800</v>
      </c>
      <c r="AH17">
        <f t="shared" si="4"/>
        <v>0.85000000000000031</v>
      </c>
      <c r="AI17">
        <v>10</v>
      </c>
      <c r="AJ17" s="3">
        <v>-1591280</v>
      </c>
      <c r="AK17" s="3">
        <v>-7315040000</v>
      </c>
      <c r="AP17">
        <f t="shared" si="5"/>
        <v>0.85000000000000031</v>
      </c>
      <c r="AQ17">
        <v>10</v>
      </c>
      <c r="AR17" s="3">
        <v>-66286.7</v>
      </c>
      <c r="AS17" s="3">
        <v>-308068000</v>
      </c>
      <c r="AX17">
        <f t="shared" si="6"/>
        <v>0.85000000000000031</v>
      </c>
      <c r="AY17">
        <v>10</v>
      </c>
      <c r="AZ17">
        <v>-8007.65</v>
      </c>
      <c r="BA17" s="3">
        <v>-58105800</v>
      </c>
      <c r="BF17">
        <f t="shared" si="7"/>
        <v>0.85000000000000031</v>
      </c>
      <c r="BG17">
        <v>10</v>
      </c>
      <c r="BH17" s="3">
        <v>-41271700000</v>
      </c>
      <c r="BI17" s="3">
        <v>-174653000000000</v>
      </c>
      <c r="BN17">
        <f t="shared" si="8"/>
        <v>0.85000000000000031</v>
      </c>
      <c r="BO17">
        <v>10</v>
      </c>
      <c r="BP17" s="3">
        <v>-1101590</v>
      </c>
      <c r="BQ17" s="3">
        <v>-5881040000</v>
      </c>
      <c r="BV17">
        <f t="shared" si="9"/>
        <v>0.85000000000000031</v>
      </c>
      <c r="BW17">
        <v>10</v>
      </c>
      <c r="BX17">
        <v>-8517.2099999999991</v>
      </c>
      <c r="BY17" s="3">
        <v>-45035100</v>
      </c>
    </row>
    <row r="18" spans="2:77" x14ac:dyDescent="0.2">
      <c r="B18">
        <f t="shared" si="0"/>
        <v>0.90000000000000036</v>
      </c>
      <c r="C18">
        <v>11</v>
      </c>
      <c r="D18" s="3">
        <v>-549.93100000000004</v>
      </c>
      <c r="E18" s="3">
        <v>-7260820</v>
      </c>
      <c r="J18">
        <f t="shared" si="1"/>
        <v>0.90000000000000036</v>
      </c>
      <c r="K18">
        <v>11</v>
      </c>
      <c r="L18" s="3">
        <v>13540.8</v>
      </c>
      <c r="M18" s="3">
        <v>76185100</v>
      </c>
      <c r="R18">
        <f t="shared" si="2"/>
        <v>0.90000000000000036</v>
      </c>
      <c r="S18">
        <v>11</v>
      </c>
      <c r="T18">
        <v>-39674</v>
      </c>
      <c r="U18" s="3">
        <v>-237938000</v>
      </c>
      <c r="Z18">
        <f t="shared" si="3"/>
        <v>0.90000000000000036</v>
      </c>
      <c r="AA18">
        <v>11</v>
      </c>
      <c r="AB18">
        <v>-2429.66</v>
      </c>
      <c r="AC18" s="3">
        <v>-10580800</v>
      </c>
      <c r="AH18">
        <f t="shared" si="4"/>
        <v>0.90000000000000036</v>
      </c>
      <c r="AI18">
        <v>11</v>
      </c>
      <c r="AJ18" s="3">
        <v>-751694</v>
      </c>
      <c r="AK18" s="3">
        <v>-3791170000</v>
      </c>
      <c r="AP18">
        <f t="shared" si="5"/>
        <v>0.90000000000000036</v>
      </c>
      <c r="AQ18">
        <v>11</v>
      </c>
      <c r="AR18" s="3">
        <v>-31240.799999999999</v>
      </c>
      <c r="AS18" s="3">
        <v>-156733000</v>
      </c>
      <c r="AX18">
        <f t="shared" si="6"/>
        <v>0.90000000000000036</v>
      </c>
      <c r="AY18">
        <v>11</v>
      </c>
      <c r="AZ18">
        <v>-2382.4299999999998</v>
      </c>
      <c r="BA18" s="3">
        <v>-19973900</v>
      </c>
      <c r="BF18">
        <f t="shared" si="7"/>
        <v>0.90000000000000036</v>
      </c>
      <c r="BG18">
        <v>11</v>
      </c>
      <c r="BH18" s="3">
        <v>-20758200000</v>
      </c>
      <c r="BI18" s="3">
        <v>-95488100000000</v>
      </c>
      <c r="BN18">
        <f t="shared" si="8"/>
        <v>0.90000000000000036</v>
      </c>
      <c r="BO18">
        <v>11</v>
      </c>
      <c r="BP18">
        <v>-462406</v>
      </c>
      <c r="BQ18" s="3">
        <v>-2688600000</v>
      </c>
      <c r="BV18">
        <f t="shared" si="9"/>
        <v>0.90000000000000036</v>
      </c>
      <c r="BW18">
        <v>11</v>
      </c>
      <c r="BX18">
        <v>-3606.09</v>
      </c>
      <c r="BY18" s="3">
        <v>-20772100</v>
      </c>
    </row>
    <row r="19" spans="2:77" x14ac:dyDescent="0.2">
      <c r="B19">
        <f t="shared" si="0"/>
        <v>0.9500000000000004</v>
      </c>
      <c r="C19">
        <v>12</v>
      </c>
      <c r="D19" s="3">
        <v>56.210500000000003</v>
      </c>
      <c r="E19" s="3">
        <v>-1856250</v>
      </c>
      <c r="J19">
        <f t="shared" si="1"/>
        <v>0.9500000000000004</v>
      </c>
      <c r="K19">
        <v>12</v>
      </c>
      <c r="L19" s="3">
        <v>5721.12</v>
      </c>
      <c r="M19" s="3">
        <v>34987800</v>
      </c>
      <c r="R19">
        <f t="shared" si="2"/>
        <v>0.9500000000000004</v>
      </c>
      <c r="S19">
        <v>12</v>
      </c>
      <c r="T19">
        <v>-15757.4</v>
      </c>
      <c r="U19" s="3">
        <v>-103914000</v>
      </c>
      <c r="Z19">
        <f t="shared" si="3"/>
        <v>0.9500000000000004</v>
      </c>
      <c r="AA19">
        <v>12</v>
      </c>
      <c r="AB19">
        <v>-1250.26</v>
      </c>
      <c r="AC19" s="3">
        <v>-5877310</v>
      </c>
      <c r="AH19">
        <f t="shared" si="4"/>
        <v>0.9500000000000004</v>
      </c>
      <c r="AI19">
        <v>12</v>
      </c>
      <c r="AJ19">
        <v>-346286</v>
      </c>
      <c r="AK19" s="3">
        <v>-1912760000</v>
      </c>
      <c r="AP19">
        <f t="shared" si="5"/>
        <v>0.9500000000000004</v>
      </c>
      <c r="AQ19">
        <v>12</v>
      </c>
      <c r="AR19" s="3">
        <v>-14557</v>
      </c>
      <c r="AS19" s="3">
        <v>-78427300</v>
      </c>
      <c r="AX19">
        <f t="shared" si="6"/>
        <v>0.9500000000000004</v>
      </c>
      <c r="AY19">
        <v>12</v>
      </c>
      <c r="AZ19">
        <v>-616.61800000000005</v>
      </c>
      <c r="BA19" s="3">
        <v>-6334870</v>
      </c>
      <c r="BF19">
        <f t="shared" si="7"/>
        <v>0.9500000000000004</v>
      </c>
      <c r="BG19">
        <v>12</v>
      </c>
      <c r="BH19" s="3">
        <v>-10273600000</v>
      </c>
      <c r="BI19" s="3">
        <v>-51233500000000</v>
      </c>
      <c r="BN19">
        <f t="shared" si="8"/>
        <v>0.9500000000000004</v>
      </c>
      <c r="BO19">
        <v>12</v>
      </c>
      <c r="BP19">
        <v>-190183</v>
      </c>
      <c r="BQ19" s="3">
        <v>-1196240000</v>
      </c>
      <c r="BV19">
        <f t="shared" si="9"/>
        <v>0.9500000000000004</v>
      </c>
      <c r="BW19">
        <v>12</v>
      </c>
      <c r="BX19">
        <v>-1490.34</v>
      </c>
      <c r="BY19" s="3">
        <v>-9383430</v>
      </c>
    </row>
    <row r="20" spans="2:77" x14ac:dyDescent="0.2">
      <c r="B20">
        <f t="shared" si="0"/>
        <v>1.0000000000000004</v>
      </c>
      <c r="C20">
        <v>13</v>
      </c>
      <c r="D20" s="3">
        <v>166.48699999999999</v>
      </c>
      <c r="E20" s="3">
        <v>-71901.7</v>
      </c>
      <c r="J20">
        <f t="shared" si="1"/>
        <v>1.0000000000000004</v>
      </c>
      <c r="K20">
        <v>13</v>
      </c>
      <c r="L20" s="3">
        <v>2364.5300000000002</v>
      </c>
      <c r="M20" s="3">
        <v>15629000</v>
      </c>
      <c r="R20">
        <f t="shared" si="2"/>
        <v>1.0000000000000004</v>
      </c>
      <c r="S20">
        <v>13</v>
      </c>
      <c r="T20">
        <v>-6028.26</v>
      </c>
      <c r="U20" s="3">
        <v>-43767600</v>
      </c>
      <c r="Z20">
        <f t="shared" si="3"/>
        <v>1.0000000000000004</v>
      </c>
      <c r="AA20">
        <v>13</v>
      </c>
      <c r="AB20">
        <v>-634.65499999999997</v>
      </c>
      <c r="AC20" s="3">
        <v>-3217650</v>
      </c>
      <c r="AH20">
        <f t="shared" si="4"/>
        <v>1.0000000000000004</v>
      </c>
      <c r="AI20">
        <v>13</v>
      </c>
      <c r="AJ20">
        <v>-155213</v>
      </c>
      <c r="AK20" s="3">
        <v>-937905000</v>
      </c>
      <c r="AP20">
        <f t="shared" si="5"/>
        <v>1.0000000000000004</v>
      </c>
      <c r="AQ20">
        <v>13</v>
      </c>
      <c r="AR20" s="3">
        <v>-6715.06</v>
      </c>
      <c r="AS20" s="3">
        <v>-38650800</v>
      </c>
      <c r="AX20">
        <f t="shared" si="6"/>
        <v>1.0000000000000004</v>
      </c>
      <c r="AY20">
        <v>13</v>
      </c>
      <c r="AZ20">
        <v>-106.38500000000001</v>
      </c>
      <c r="BA20" s="3">
        <v>-1819640</v>
      </c>
      <c r="BF20">
        <f t="shared" si="7"/>
        <v>1.0000000000000004</v>
      </c>
      <c r="BG20">
        <v>13</v>
      </c>
      <c r="BH20" s="3">
        <v>-4998380000</v>
      </c>
      <c r="BI20" s="3">
        <v>-26962800000000</v>
      </c>
      <c r="BN20">
        <f t="shared" si="8"/>
        <v>1.0000000000000004</v>
      </c>
      <c r="BO20">
        <v>13</v>
      </c>
      <c r="BP20">
        <v>-76892.3</v>
      </c>
      <c r="BQ20" s="3">
        <v>-518985000</v>
      </c>
      <c r="BV20">
        <f t="shared" si="9"/>
        <v>1.0000000000000004</v>
      </c>
      <c r="BW20">
        <v>13</v>
      </c>
      <c r="BX20">
        <v>-593.81899999999996</v>
      </c>
      <c r="BY20" s="3">
        <v>-4160090</v>
      </c>
    </row>
    <row r="21" spans="2:77" x14ac:dyDescent="0.2">
      <c r="B21">
        <f t="shared" si="0"/>
        <v>1.0500000000000005</v>
      </c>
      <c r="C21">
        <v>14</v>
      </c>
      <c r="D21" s="3">
        <v>139.74799999999999</v>
      </c>
      <c r="E21" s="3">
        <v>358079</v>
      </c>
      <c r="J21">
        <f t="shared" si="1"/>
        <v>1.0500000000000005</v>
      </c>
      <c r="K21">
        <v>14</v>
      </c>
      <c r="L21" s="3">
        <v>960.22900000000004</v>
      </c>
      <c r="M21" s="3">
        <v>6774480</v>
      </c>
      <c r="R21">
        <f t="shared" si="2"/>
        <v>1.0500000000000005</v>
      </c>
      <c r="S21">
        <v>14</v>
      </c>
      <c r="T21">
        <v>-2204.84</v>
      </c>
      <c r="U21" s="3">
        <v>-17718600</v>
      </c>
      <c r="Z21">
        <f t="shared" si="3"/>
        <v>1.0500000000000005</v>
      </c>
      <c r="AA21">
        <v>14</v>
      </c>
      <c r="AB21">
        <v>-317.04399999999998</v>
      </c>
      <c r="AC21" s="3">
        <v>-1735820</v>
      </c>
      <c r="AH21">
        <f t="shared" si="4"/>
        <v>1.0500000000000005</v>
      </c>
      <c r="AI21">
        <v>14</v>
      </c>
      <c r="AJ21">
        <v>-67503.100000000006</v>
      </c>
      <c r="AK21" s="3">
        <v>-446049000</v>
      </c>
      <c r="AP21">
        <f t="shared" si="5"/>
        <v>1.0500000000000005</v>
      </c>
      <c r="AQ21">
        <v>14</v>
      </c>
      <c r="AR21" s="3">
        <v>-3071.34</v>
      </c>
      <c r="AS21" s="3">
        <v>-18793000</v>
      </c>
      <c r="AX21">
        <f t="shared" si="6"/>
        <v>1.0500000000000005</v>
      </c>
      <c r="AY21">
        <v>14</v>
      </c>
      <c r="AZ21">
        <v>25.275300000000001</v>
      </c>
      <c r="BA21" s="3">
        <v>-443270</v>
      </c>
      <c r="BF21">
        <f t="shared" si="7"/>
        <v>1.0500000000000005</v>
      </c>
      <c r="BG21">
        <v>14</v>
      </c>
      <c r="BH21" s="3">
        <v>-2388000000</v>
      </c>
      <c r="BI21" s="3">
        <v>-13908700000000</v>
      </c>
      <c r="BN21">
        <f t="shared" si="8"/>
        <v>1.0500000000000005</v>
      </c>
      <c r="BO21">
        <v>14</v>
      </c>
      <c r="BP21">
        <v>-30715.4</v>
      </c>
      <c r="BQ21" s="3">
        <v>-220368000</v>
      </c>
      <c r="BV21">
        <f t="shared" si="9"/>
        <v>1.0500000000000005</v>
      </c>
      <c r="BW21">
        <v>14</v>
      </c>
      <c r="BX21">
        <v>-219.75399999999999</v>
      </c>
      <c r="BY21" s="3">
        <v>-1810310</v>
      </c>
    </row>
    <row r="22" spans="2:77" x14ac:dyDescent="0.2">
      <c r="B22">
        <f t="shared" si="0"/>
        <v>1.1000000000000005</v>
      </c>
      <c r="C22">
        <v>15</v>
      </c>
      <c r="D22" s="3">
        <v>93.049199999999999</v>
      </c>
      <c r="E22" s="3">
        <v>353452</v>
      </c>
      <c r="J22">
        <f t="shared" si="1"/>
        <v>1.1000000000000005</v>
      </c>
      <c r="K22">
        <v>15</v>
      </c>
      <c r="L22">
        <v>389.28</v>
      </c>
      <c r="M22" s="3">
        <v>2840970</v>
      </c>
      <c r="R22">
        <f t="shared" si="2"/>
        <v>1.1000000000000005</v>
      </c>
      <c r="S22">
        <v>15</v>
      </c>
      <c r="T22">
        <v>-759.3</v>
      </c>
      <c r="U22" s="3">
        <v>-6861760</v>
      </c>
      <c r="Z22">
        <f t="shared" si="3"/>
        <v>1.1000000000000005</v>
      </c>
      <c r="AA22">
        <v>15</v>
      </c>
      <c r="AB22">
        <v>-155.19200000000001</v>
      </c>
      <c r="AC22">
        <v>-921949</v>
      </c>
      <c r="AH22">
        <f t="shared" si="4"/>
        <v>1.1000000000000005</v>
      </c>
      <c r="AI22">
        <v>15</v>
      </c>
      <c r="AJ22">
        <v>-28387</v>
      </c>
      <c r="AK22" s="3">
        <v>-205238000</v>
      </c>
      <c r="AP22">
        <f t="shared" si="5"/>
        <v>1.1000000000000005</v>
      </c>
      <c r="AQ22">
        <v>15</v>
      </c>
      <c r="AR22">
        <v>-1394.97</v>
      </c>
      <c r="AS22" s="3">
        <v>-9035130</v>
      </c>
      <c r="AX22">
        <f t="shared" si="6"/>
        <v>1.1000000000000005</v>
      </c>
      <c r="AY22">
        <v>15</v>
      </c>
      <c r="AZ22">
        <v>51.575200000000002</v>
      </c>
      <c r="BA22" s="3">
        <v>-55381.4</v>
      </c>
      <c r="BF22">
        <f t="shared" si="7"/>
        <v>1.1000000000000005</v>
      </c>
      <c r="BG22">
        <v>15</v>
      </c>
      <c r="BH22" s="3">
        <v>-1118940000</v>
      </c>
      <c r="BI22" s="3">
        <v>-7026760000000</v>
      </c>
      <c r="BN22">
        <f t="shared" si="8"/>
        <v>1.1000000000000005</v>
      </c>
      <c r="BO22">
        <v>15</v>
      </c>
      <c r="BP22">
        <v>-12201.5</v>
      </c>
      <c r="BQ22" s="3">
        <v>-92135300</v>
      </c>
      <c r="BV22">
        <f t="shared" si="9"/>
        <v>1.1000000000000005</v>
      </c>
      <c r="BW22">
        <v>15</v>
      </c>
      <c r="BX22">
        <v>-66.441199999999995</v>
      </c>
      <c r="BY22">
        <v>-768241</v>
      </c>
    </row>
    <row r="23" spans="2:77" x14ac:dyDescent="0.2">
      <c r="B23">
        <f t="shared" si="0"/>
        <v>1.1500000000000006</v>
      </c>
      <c r="C23">
        <v>16</v>
      </c>
      <c r="D23" s="3">
        <v>56.597999999999999</v>
      </c>
      <c r="E23" s="3">
        <v>252492</v>
      </c>
      <c r="J23">
        <f t="shared" si="1"/>
        <v>1.1500000000000006</v>
      </c>
      <c r="K23">
        <v>16</v>
      </c>
      <c r="L23">
        <v>164.4</v>
      </c>
      <c r="M23" s="3">
        <v>1149890</v>
      </c>
      <c r="R23">
        <f t="shared" si="2"/>
        <v>1.1500000000000006</v>
      </c>
      <c r="S23">
        <v>16</v>
      </c>
      <c r="T23">
        <v>-236.666</v>
      </c>
      <c r="U23" s="3">
        <v>-2522250</v>
      </c>
      <c r="Z23">
        <f t="shared" si="3"/>
        <v>1.1500000000000006</v>
      </c>
      <c r="AA23">
        <v>16</v>
      </c>
      <c r="AB23">
        <v>-73.854500000000002</v>
      </c>
      <c r="AC23">
        <v>-481130</v>
      </c>
      <c r="AH23">
        <f t="shared" si="4"/>
        <v>1.1500000000000006</v>
      </c>
      <c r="AI23">
        <v>16</v>
      </c>
      <c r="AJ23">
        <v>-11488.7</v>
      </c>
      <c r="AK23" s="3">
        <v>-91087800</v>
      </c>
      <c r="AP23">
        <f t="shared" si="5"/>
        <v>1.1500000000000006</v>
      </c>
      <c r="AQ23">
        <v>16</v>
      </c>
      <c r="AR23">
        <v>-629.71600000000001</v>
      </c>
      <c r="AS23" s="3">
        <v>-4305990</v>
      </c>
      <c r="AX23">
        <f t="shared" si="6"/>
        <v>1.1500000000000006</v>
      </c>
      <c r="AY23">
        <v>16</v>
      </c>
      <c r="AZ23">
        <v>50.775100000000002</v>
      </c>
      <c r="BA23" s="3">
        <v>46780.9</v>
      </c>
      <c r="BF23">
        <f t="shared" si="7"/>
        <v>1.1500000000000006</v>
      </c>
      <c r="BG23">
        <v>16</v>
      </c>
      <c r="BH23" s="3">
        <v>-513497000</v>
      </c>
      <c r="BI23" s="3">
        <v>-3473130000000</v>
      </c>
      <c r="BN23">
        <f t="shared" si="8"/>
        <v>1.1500000000000006</v>
      </c>
      <c r="BO23">
        <v>16</v>
      </c>
      <c r="BP23">
        <v>-4849.96</v>
      </c>
      <c r="BQ23" s="3">
        <v>-38248900</v>
      </c>
      <c r="BV23">
        <f t="shared" si="9"/>
        <v>1.1500000000000006</v>
      </c>
      <c r="BW23">
        <v>16</v>
      </c>
      <c r="BX23">
        <v>-5.5133099999999997</v>
      </c>
      <c r="BY23">
        <v>-310147</v>
      </c>
    </row>
    <row r="24" spans="2:77" x14ac:dyDescent="0.2">
      <c r="B24">
        <f t="shared" si="0"/>
        <v>1.2000000000000006</v>
      </c>
      <c r="C24">
        <v>17</v>
      </c>
      <c r="D24" s="3">
        <v>33.256900000000002</v>
      </c>
      <c r="E24" s="3">
        <v>160074</v>
      </c>
      <c r="J24">
        <f t="shared" si="1"/>
        <v>1.2000000000000006</v>
      </c>
      <c r="K24">
        <v>17</v>
      </c>
      <c r="L24">
        <v>78.684100000000001</v>
      </c>
      <c r="M24" s="3">
        <v>450512</v>
      </c>
      <c r="R24">
        <f t="shared" si="2"/>
        <v>1.2000000000000006</v>
      </c>
      <c r="S24">
        <v>17</v>
      </c>
      <c r="T24">
        <v>-57.8767</v>
      </c>
      <c r="U24" s="3">
        <v>-865926</v>
      </c>
      <c r="Z24">
        <f t="shared" si="3"/>
        <v>1.2000000000000006</v>
      </c>
      <c r="AA24">
        <v>17</v>
      </c>
      <c r="AB24">
        <v>-33.6706</v>
      </c>
      <c r="AC24">
        <v>-245630</v>
      </c>
      <c r="AH24">
        <f t="shared" si="4"/>
        <v>1.2000000000000006</v>
      </c>
      <c r="AI24">
        <v>17</v>
      </c>
      <c r="AJ24">
        <v>-4442.3100000000004</v>
      </c>
      <c r="AK24" s="3">
        <v>-38842900</v>
      </c>
      <c r="AP24">
        <f t="shared" si="5"/>
        <v>1.2000000000000006</v>
      </c>
      <c r="AQ24">
        <v>17</v>
      </c>
      <c r="AR24">
        <v>-282.26799999999997</v>
      </c>
      <c r="AS24" s="3">
        <v>-2039590</v>
      </c>
      <c r="AX24">
        <f t="shared" si="6"/>
        <v>1.2000000000000006</v>
      </c>
      <c r="AY24">
        <v>17</v>
      </c>
      <c r="AZ24">
        <v>43.763500000000001</v>
      </c>
      <c r="BA24" s="3">
        <v>69719.7</v>
      </c>
      <c r="BF24">
        <f t="shared" si="7"/>
        <v>1.2000000000000006</v>
      </c>
      <c r="BG24">
        <v>17</v>
      </c>
      <c r="BH24" s="3">
        <v>-230427000</v>
      </c>
      <c r="BI24" s="3">
        <v>-1677450000000</v>
      </c>
      <c r="BN24">
        <f t="shared" si="8"/>
        <v>1.2000000000000006</v>
      </c>
      <c r="BO24">
        <v>17</v>
      </c>
      <c r="BP24">
        <v>-1933.79</v>
      </c>
      <c r="BQ24" s="3">
        <v>-15909500</v>
      </c>
      <c r="BV24">
        <f t="shared" si="9"/>
        <v>1.2000000000000006</v>
      </c>
      <c r="BW24">
        <v>17</v>
      </c>
      <c r="BX24">
        <v>16.9832</v>
      </c>
      <c r="BY24">
        <v>-109764</v>
      </c>
    </row>
    <row r="25" spans="2:77" x14ac:dyDescent="0.2">
      <c r="B25">
        <f t="shared" si="0"/>
        <v>1.2500000000000007</v>
      </c>
      <c r="C25">
        <v>18</v>
      </c>
      <c r="D25" s="3">
        <v>19.447900000000001</v>
      </c>
      <c r="E25" s="3">
        <v>96892.5</v>
      </c>
      <c r="J25">
        <f t="shared" si="1"/>
        <v>1.2500000000000007</v>
      </c>
      <c r="K25">
        <v>18</v>
      </c>
      <c r="L25">
        <v>46.758699999999997</v>
      </c>
      <c r="M25" s="3">
        <v>175150</v>
      </c>
      <c r="R25">
        <f t="shared" si="2"/>
        <v>1.2500000000000007</v>
      </c>
      <c r="S25">
        <v>18</v>
      </c>
      <c r="T25">
        <v>-1.40744</v>
      </c>
      <c r="U25">
        <v>-265642</v>
      </c>
      <c r="Z25">
        <f t="shared" si="3"/>
        <v>1.2500000000000007</v>
      </c>
      <c r="AA25">
        <v>18</v>
      </c>
      <c r="AB25">
        <v>-14.276999999999999</v>
      </c>
      <c r="AC25">
        <v>-121566</v>
      </c>
      <c r="AH25">
        <f t="shared" si="4"/>
        <v>1.2500000000000007</v>
      </c>
      <c r="AI25">
        <v>18</v>
      </c>
      <c r="AJ25">
        <v>-1619.03</v>
      </c>
      <c r="AK25" s="3">
        <v>-15831900</v>
      </c>
      <c r="AP25">
        <f t="shared" si="5"/>
        <v>1.2500000000000007</v>
      </c>
      <c r="AQ25">
        <v>18</v>
      </c>
      <c r="AR25">
        <v>-125.01900000000001</v>
      </c>
      <c r="AS25" s="3">
        <v>-962117</v>
      </c>
      <c r="AX25">
        <f t="shared" si="6"/>
        <v>1.2500000000000007</v>
      </c>
      <c r="AY25">
        <v>18</v>
      </c>
      <c r="AZ25">
        <v>36.063600000000001</v>
      </c>
      <c r="BA25" s="3">
        <v>68986.100000000006</v>
      </c>
      <c r="BF25">
        <f t="shared" si="7"/>
        <v>1.2500000000000007</v>
      </c>
      <c r="BG25">
        <v>18</v>
      </c>
      <c r="BH25" s="3">
        <v>-100921000</v>
      </c>
      <c r="BI25" s="3">
        <v>-790491000000</v>
      </c>
      <c r="BN25">
        <f t="shared" si="8"/>
        <v>1.2500000000000007</v>
      </c>
      <c r="BO25">
        <v>18</v>
      </c>
      <c r="BP25">
        <v>-769.04499999999996</v>
      </c>
      <c r="BQ25" s="3">
        <v>-6668630</v>
      </c>
      <c r="BV25">
        <f t="shared" si="9"/>
        <v>1.2500000000000007</v>
      </c>
      <c r="BW25">
        <v>18</v>
      </c>
      <c r="BX25">
        <v>23.6004</v>
      </c>
      <c r="BY25">
        <v>-22736.1</v>
      </c>
    </row>
    <row r="26" spans="2:77" x14ac:dyDescent="0.2">
      <c r="B26">
        <f t="shared" si="0"/>
        <v>1.3000000000000007</v>
      </c>
      <c r="C26">
        <v>19</v>
      </c>
      <c r="D26" s="3">
        <v>11.460100000000001</v>
      </c>
      <c r="E26" s="3">
        <v>58607.9</v>
      </c>
      <c r="J26">
        <f t="shared" si="1"/>
        <v>1.3000000000000007</v>
      </c>
      <c r="K26">
        <v>19</v>
      </c>
      <c r="L26">
        <v>34.577500000000001</v>
      </c>
      <c r="M26" s="3">
        <v>73861.7</v>
      </c>
      <c r="R26">
        <f t="shared" si="2"/>
        <v>1.3000000000000007</v>
      </c>
      <c r="S26">
        <v>19</v>
      </c>
      <c r="T26">
        <v>13.831200000000001</v>
      </c>
      <c r="U26">
        <v>-60864.5</v>
      </c>
      <c r="Z26">
        <f t="shared" si="3"/>
        <v>1.3000000000000007</v>
      </c>
      <c r="AA26">
        <v>19</v>
      </c>
      <c r="AB26">
        <v>-5.2523600000000004</v>
      </c>
      <c r="AC26">
        <v>-57186.7</v>
      </c>
      <c r="AH26">
        <f t="shared" si="4"/>
        <v>1.3000000000000007</v>
      </c>
      <c r="AI26">
        <v>19</v>
      </c>
      <c r="AJ26">
        <v>-538.96799999999996</v>
      </c>
      <c r="AK26" s="3">
        <v>-6118370</v>
      </c>
      <c r="AP26">
        <f t="shared" si="5"/>
        <v>1.3000000000000007</v>
      </c>
      <c r="AQ26">
        <v>19</v>
      </c>
      <c r="AR26">
        <v>-53.9895</v>
      </c>
      <c r="AS26" s="3">
        <v>-452116</v>
      </c>
      <c r="AX26">
        <f t="shared" si="6"/>
        <v>1.3000000000000007</v>
      </c>
      <c r="AY26">
        <v>19</v>
      </c>
      <c r="AZ26">
        <v>29.249500000000001</v>
      </c>
      <c r="BA26">
        <v>60185.2</v>
      </c>
      <c r="BF26">
        <f t="shared" si="7"/>
        <v>1.3000000000000007</v>
      </c>
      <c r="BG26">
        <v>19</v>
      </c>
      <c r="BH26" s="3">
        <v>-43046400</v>
      </c>
      <c r="BI26" s="3">
        <v>-362823000000</v>
      </c>
      <c r="BN26">
        <f t="shared" si="8"/>
        <v>1.3000000000000007</v>
      </c>
      <c r="BO26">
        <v>19</v>
      </c>
      <c r="BP26">
        <v>-299.57100000000003</v>
      </c>
      <c r="BQ26" s="3">
        <v>-2807760</v>
      </c>
      <c r="BV26">
        <f t="shared" si="9"/>
        <v>1.3000000000000007</v>
      </c>
      <c r="BW26">
        <v>19</v>
      </c>
      <c r="BX26">
        <v>23.781700000000001</v>
      </c>
      <c r="BY26">
        <v>14154.8</v>
      </c>
    </row>
    <row r="27" spans="2:77" x14ac:dyDescent="0.2">
      <c r="B27">
        <f t="shared" si="0"/>
        <v>1.3500000000000008</v>
      </c>
      <c r="C27">
        <v>20</v>
      </c>
      <c r="D27" s="3">
        <v>6.7563399999999998</v>
      </c>
      <c r="E27" s="3">
        <v>36698.9</v>
      </c>
      <c r="J27">
        <f t="shared" si="1"/>
        <v>1.3500000000000008</v>
      </c>
      <c r="K27">
        <v>20</v>
      </c>
      <c r="L27">
        <v>29.141200000000001</v>
      </c>
      <c r="M27" s="3">
        <v>40318.5</v>
      </c>
      <c r="R27">
        <f t="shared" si="2"/>
        <v>1.3500000000000008</v>
      </c>
      <c r="S27">
        <v>20</v>
      </c>
      <c r="T27">
        <v>16.091000000000001</v>
      </c>
      <c r="U27">
        <v>3687.59</v>
      </c>
      <c r="Z27">
        <f t="shared" si="3"/>
        <v>1.3500000000000008</v>
      </c>
      <c r="AA27">
        <v>20</v>
      </c>
      <c r="AB27">
        <v>-1.3202799999999999</v>
      </c>
      <c r="AC27">
        <v>-24367.5</v>
      </c>
      <c r="AH27">
        <f t="shared" si="4"/>
        <v>1.3500000000000008</v>
      </c>
      <c r="AI27">
        <v>20</v>
      </c>
      <c r="AJ27">
        <v>-148.55099999999999</v>
      </c>
      <c r="AK27" s="3">
        <v>-2208610</v>
      </c>
      <c r="AP27">
        <f t="shared" si="5"/>
        <v>1.3500000000000008</v>
      </c>
      <c r="AQ27">
        <v>20</v>
      </c>
      <c r="AR27">
        <v>-22.009</v>
      </c>
      <c r="AS27" s="3">
        <v>-210913</v>
      </c>
      <c r="AX27">
        <f t="shared" si="6"/>
        <v>1.3500000000000008</v>
      </c>
      <c r="AY27">
        <v>20</v>
      </c>
      <c r="AZ27">
        <v>23.730499999999999</v>
      </c>
      <c r="BA27">
        <v>49236.2</v>
      </c>
      <c r="BF27">
        <f t="shared" si="7"/>
        <v>1.3500000000000008</v>
      </c>
      <c r="BG27">
        <v>20</v>
      </c>
      <c r="BH27" s="3">
        <v>-17834300</v>
      </c>
      <c r="BI27" s="3">
        <v>-161850000000</v>
      </c>
      <c r="BN27">
        <f t="shared" si="8"/>
        <v>1.3500000000000008</v>
      </c>
      <c r="BO27">
        <v>20</v>
      </c>
      <c r="BP27">
        <v>-110.324</v>
      </c>
      <c r="BQ27" s="3">
        <v>-1166980</v>
      </c>
      <c r="BV27">
        <f t="shared" si="9"/>
        <v>1.3500000000000008</v>
      </c>
      <c r="BW27">
        <v>20</v>
      </c>
      <c r="BX27">
        <v>21.510400000000001</v>
      </c>
      <c r="BY27">
        <v>28594.9</v>
      </c>
    </row>
    <row r="28" spans="2:77" x14ac:dyDescent="0.2">
      <c r="B28">
        <f t="shared" si="0"/>
        <v>1.4000000000000008</v>
      </c>
      <c r="C28">
        <v>21</v>
      </c>
      <c r="D28" s="3">
        <v>3.8490600000000001</v>
      </c>
      <c r="E28" s="3">
        <v>24360.9</v>
      </c>
      <c r="J28">
        <f t="shared" si="1"/>
        <v>1.4000000000000008</v>
      </c>
      <c r="K28">
        <v>21</v>
      </c>
      <c r="L28">
        <v>25.7805</v>
      </c>
      <c r="M28" s="3">
        <v>31119.8</v>
      </c>
      <c r="R28">
        <f t="shared" si="2"/>
        <v>1.4000000000000008</v>
      </c>
      <c r="S28">
        <v>21</v>
      </c>
      <c r="T28">
        <v>14.6806</v>
      </c>
      <c r="U28">
        <v>21432.799999999999</v>
      </c>
      <c r="Z28">
        <f t="shared" si="3"/>
        <v>1.4000000000000008</v>
      </c>
      <c r="AA28">
        <v>21</v>
      </c>
      <c r="AB28">
        <v>0.16178500000000001</v>
      </c>
      <c r="AC28">
        <v>-8029.9</v>
      </c>
      <c r="AH28">
        <f t="shared" si="4"/>
        <v>1.4000000000000008</v>
      </c>
      <c r="AI28">
        <v>21</v>
      </c>
      <c r="AJ28">
        <v>-18.0288</v>
      </c>
      <c r="AK28" s="3">
        <v>-718359</v>
      </c>
      <c r="AP28">
        <f t="shared" si="5"/>
        <v>1.4000000000000008</v>
      </c>
      <c r="AQ28">
        <v>21</v>
      </c>
      <c r="AR28">
        <v>-7.7479300000000002</v>
      </c>
      <c r="AS28" s="3">
        <v>-96622.6</v>
      </c>
      <c r="AX28">
        <f t="shared" si="6"/>
        <v>1.4000000000000008</v>
      </c>
      <c r="AY28">
        <v>21</v>
      </c>
      <c r="AZ28">
        <v>19.462199999999999</v>
      </c>
      <c r="BA28">
        <v>39005.5</v>
      </c>
      <c r="BF28">
        <f t="shared" si="7"/>
        <v>1.4000000000000008</v>
      </c>
      <c r="BG28">
        <v>21</v>
      </c>
      <c r="BH28" s="3">
        <v>-7154240</v>
      </c>
      <c r="BI28" s="3">
        <v>-69986700000</v>
      </c>
      <c r="BN28">
        <f t="shared" si="8"/>
        <v>1.4000000000000008</v>
      </c>
      <c r="BO28">
        <v>21</v>
      </c>
      <c r="BP28">
        <v>-35.912599999999998</v>
      </c>
      <c r="BQ28">
        <v>-461739</v>
      </c>
      <c r="BV28">
        <f t="shared" si="9"/>
        <v>1.4000000000000008</v>
      </c>
      <c r="BW28">
        <v>21</v>
      </c>
      <c r="BX28">
        <v>18.479900000000001</v>
      </c>
      <c r="BY28">
        <v>32833</v>
      </c>
    </row>
    <row r="29" spans="2:77" x14ac:dyDescent="0.2">
      <c r="B29">
        <f t="shared" si="0"/>
        <v>1.4500000000000008</v>
      </c>
      <c r="C29">
        <v>22</v>
      </c>
      <c r="D29" s="3">
        <v>1.9317299999999999</v>
      </c>
      <c r="E29" s="3">
        <v>17262.900000000001</v>
      </c>
      <c r="J29">
        <f t="shared" si="1"/>
        <v>1.4500000000000008</v>
      </c>
      <c r="K29">
        <v>22</v>
      </c>
      <c r="L29">
        <v>22.975300000000001</v>
      </c>
      <c r="M29" s="3">
        <v>29492.799999999999</v>
      </c>
      <c r="R29">
        <f t="shared" si="2"/>
        <v>1.4500000000000008</v>
      </c>
      <c r="S29">
        <v>22</v>
      </c>
      <c r="T29">
        <v>12.4764</v>
      </c>
      <c r="U29">
        <v>24549.8</v>
      </c>
      <c r="Z29">
        <f t="shared" si="3"/>
        <v>1.4500000000000008</v>
      </c>
      <c r="AA29">
        <v>22</v>
      </c>
      <c r="AB29">
        <v>0.50190000000000001</v>
      </c>
      <c r="AC29">
        <v>-189.53899999999999</v>
      </c>
      <c r="AH29">
        <f t="shared" si="4"/>
        <v>1.4500000000000008</v>
      </c>
      <c r="AI29">
        <v>22</v>
      </c>
      <c r="AJ29">
        <v>20.014299999999999</v>
      </c>
      <c r="AK29">
        <v>-186126</v>
      </c>
      <c r="AP29">
        <f t="shared" si="5"/>
        <v>1.4500000000000008</v>
      </c>
      <c r="AQ29">
        <v>22</v>
      </c>
      <c r="AR29">
        <v>-1.55263</v>
      </c>
      <c r="AS29" s="3">
        <v>-42342.6</v>
      </c>
      <c r="AX29">
        <f t="shared" si="6"/>
        <v>1.4500000000000008</v>
      </c>
      <c r="AY29">
        <v>22</v>
      </c>
      <c r="AZ29">
        <v>16.222100000000001</v>
      </c>
      <c r="BA29">
        <v>30646</v>
      </c>
      <c r="BF29">
        <f t="shared" si="7"/>
        <v>1.4500000000000008</v>
      </c>
      <c r="BG29">
        <v>22</v>
      </c>
      <c r="BH29" s="3">
        <v>-2767850</v>
      </c>
      <c r="BI29" s="3">
        <v>-29241200000</v>
      </c>
      <c r="BN29">
        <f t="shared" si="8"/>
        <v>1.4500000000000008</v>
      </c>
      <c r="BO29">
        <v>22</v>
      </c>
      <c r="BP29">
        <v>-8.6982700000000008</v>
      </c>
      <c r="BQ29">
        <v>-162244</v>
      </c>
      <c r="BV29">
        <f t="shared" si="9"/>
        <v>1.4500000000000008</v>
      </c>
      <c r="BW29">
        <v>22</v>
      </c>
      <c r="BX29">
        <v>15.409000000000001</v>
      </c>
      <c r="BY29">
        <v>32393.3</v>
      </c>
    </row>
    <row r="30" spans="2:77" x14ac:dyDescent="0.2">
      <c r="B30">
        <f t="shared" si="0"/>
        <v>1.5000000000000009</v>
      </c>
      <c r="C30">
        <v>23</v>
      </c>
      <c r="D30" s="3">
        <v>0.583928</v>
      </c>
      <c r="E30" s="3">
        <v>12940.7</v>
      </c>
      <c r="J30">
        <f t="shared" si="1"/>
        <v>1.5000000000000009</v>
      </c>
      <c r="K30">
        <v>23</v>
      </c>
      <c r="L30">
        <v>20.319600000000001</v>
      </c>
      <c r="M30" s="3">
        <v>29467.7</v>
      </c>
      <c r="R30">
        <f t="shared" si="2"/>
        <v>1.5000000000000009</v>
      </c>
      <c r="S30">
        <v>23</v>
      </c>
      <c r="T30">
        <v>10.2987</v>
      </c>
      <c r="U30">
        <v>23422.400000000001</v>
      </c>
      <c r="Z30">
        <f t="shared" si="3"/>
        <v>1.5000000000000009</v>
      </c>
      <c r="AA30">
        <v>23</v>
      </c>
      <c r="AB30">
        <v>0.33877400000000002</v>
      </c>
      <c r="AC30">
        <v>3332.76</v>
      </c>
      <c r="AH30">
        <f t="shared" si="4"/>
        <v>1.5000000000000009</v>
      </c>
      <c r="AI30">
        <v>23</v>
      </c>
      <c r="AJ30">
        <v>27.467600000000001</v>
      </c>
      <c r="AK30">
        <v>-11708.1</v>
      </c>
      <c r="AP30">
        <f t="shared" si="5"/>
        <v>1.5000000000000009</v>
      </c>
      <c r="AQ30">
        <v>23</v>
      </c>
      <c r="AR30">
        <v>0.96730899999999997</v>
      </c>
      <c r="AS30" s="3">
        <v>-16600.7</v>
      </c>
      <c r="AX30">
        <f t="shared" si="6"/>
        <v>1.5000000000000009</v>
      </c>
      <c r="AY30">
        <v>23</v>
      </c>
      <c r="AZ30">
        <v>13.7598</v>
      </c>
      <c r="BA30">
        <v>24243.7</v>
      </c>
      <c r="BF30">
        <f t="shared" si="7"/>
        <v>1.5000000000000009</v>
      </c>
      <c r="BG30">
        <v>23</v>
      </c>
      <c r="BH30" s="3">
        <v>-1027590</v>
      </c>
      <c r="BI30" s="3">
        <v>-11756400000</v>
      </c>
      <c r="BN30">
        <f t="shared" si="8"/>
        <v>1.5000000000000009</v>
      </c>
      <c r="BO30">
        <v>23</v>
      </c>
      <c r="BP30">
        <v>-0.31916499999999998</v>
      </c>
      <c r="BQ30">
        <v>-42046.400000000001</v>
      </c>
      <c r="BV30">
        <f t="shared" si="9"/>
        <v>1.5000000000000009</v>
      </c>
      <c r="BW30">
        <v>23</v>
      </c>
      <c r="BX30">
        <v>12.5931</v>
      </c>
      <c r="BY30">
        <v>29841.5</v>
      </c>
    </row>
    <row r="31" spans="2:77" x14ac:dyDescent="0.2">
      <c r="B31">
        <f t="shared" si="0"/>
        <v>1.5500000000000009</v>
      </c>
      <c r="C31">
        <v>24</v>
      </c>
      <c r="D31" s="3">
        <v>-0.41181699999999999</v>
      </c>
      <c r="E31" s="3">
        <v>10084.200000000001</v>
      </c>
      <c r="J31">
        <f t="shared" si="1"/>
        <v>1.5500000000000009</v>
      </c>
      <c r="K31">
        <v>24</v>
      </c>
      <c r="L31">
        <v>17.760100000000001</v>
      </c>
      <c r="M31">
        <v>29217.599999999999</v>
      </c>
      <c r="R31">
        <f t="shared" si="2"/>
        <v>1.5500000000000009</v>
      </c>
      <c r="S31">
        <v>24</v>
      </c>
      <c r="T31">
        <v>8.3519799999999993</v>
      </c>
      <c r="U31">
        <v>21193.5</v>
      </c>
      <c r="Z31">
        <f t="shared" si="3"/>
        <v>1.5500000000000009</v>
      </c>
      <c r="AA31">
        <v>24</v>
      </c>
      <c r="AB31">
        <v>-2.13718E-2</v>
      </c>
      <c r="AC31">
        <v>4701.1499999999996</v>
      </c>
      <c r="AH31">
        <f t="shared" si="4"/>
        <v>1.5500000000000009</v>
      </c>
      <c r="AI31">
        <v>24</v>
      </c>
      <c r="AJ31">
        <v>25.858699999999999</v>
      </c>
      <c r="AK31">
        <v>37780.199999999997</v>
      </c>
      <c r="AP31">
        <f t="shared" si="5"/>
        <v>1.5500000000000009</v>
      </c>
      <c r="AQ31">
        <v>24</v>
      </c>
      <c r="AR31">
        <v>1.8240799999999999</v>
      </c>
      <c r="AS31">
        <v>-4542.2</v>
      </c>
      <c r="AX31">
        <f t="shared" si="6"/>
        <v>1.5500000000000009</v>
      </c>
      <c r="AY31">
        <v>24</v>
      </c>
      <c r="AZ31">
        <v>11.867599999999999</v>
      </c>
      <c r="BA31">
        <v>19399.400000000001</v>
      </c>
      <c r="BF31">
        <f t="shared" si="7"/>
        <v>1.5500000000000009</v>
      </c>
      <c r="BG31">
        <v>24</v>
      </c>
      <c r="BH31">
        <v>-363698</v>
      </c>
      <c r="BI31" s="3">
        <v>-4524260000</v>
      </c>
      <c r="BN31">
        <f t="shared" si="8"/>
        <v>1.5500000000000009</v>
      </c>
      <c r="BO31">
        <v>24</v>
      </c>
      <c r="BP31">
        <v>1.17157</v>
      </c>
      <c r="BQ31">
        <v>-51.728400000000001</v>
      </c>
      <c r="BV31">
        <f t="shared" si="9"/>
        <v>1.5500000000000009</v>
      </c>
      <c r="BW31">
        <v>24</v>
      </c>
      <c r="BX31">
        <v>10.1387</v>
      </c>
      <c r="BY31">
        <v>26423.3</v>
      </c>
    </row>
    <row r="32" spans="2:77" x14ac:dyDescent="0.2">
      <c r="B32">
        <f t="shared" si="0"/>
        <v>1.600000000000001</v>
      </c>
      <c r="C32">
        <v>25</v>
      </c>
      <c r="D32" s="3">
        <v>-1.17092</v>
      </c>
      <c r="E32" s="3">
        <v>8025.87</v>
      </c>
      <c r="J32">
        <f t="shared" si="1"/>
        <v>1.600000000000001</v>
      </c>
      <c r="K32">
        <v>25</v>
      </c>
      <c r="L32">
        <v>15.3301</v>
      </c>
      <c r="M32">
        <v>28373.4</v>
      </c>
      <c r="R32">
        <f t="shared" si="2"/>
        <v>1.600000000000001</v>
      </c>
      <c r="S32">
        <v>25</v>
      </c>
      <c r="T32">
        <v>6.66805</v>
      </c>
      <c r="U32">
        <v>18773.3</v>
      </c>
      <c r="Z32">
        <f t="shared" si="3"/>
        <v>1.600000000000001</v>
      </c>
      <c r="AA32">
        <v>25</v>
      </c>
      <c r="AB32">
        <v>-0.43582599999999999</v>
      </c>
      <c r="AC32">
        <v>5025.18</v>
      </c>
      <c r="AH32">
        <f t="shared" si="4"/>
        <v>1.600000000000001</v>
      </c>
      <c r="AI32">
        <v>25</v>
      </c>
      <c r="AJ32">
        <v>22.145800000000001</v>
      </c>
      <c r="AK32">
        <v>47048.4</v>
      </c>
      <c r="AP32">
        <f t="shared" si="5"/>
        <v>1.600000000000001</v>
      </c>
      <c r="AQ32">
        <v>25</v>
      </c>
      <c r="AR32">
        <v>1.9471400000000001</v>
      </c>
      <c r="AS32">
        <v>906.18899999999996</v>
      </c>
      <c r="AX32">
        <f t="shared" si="6"/>
        <v>1.600000000000001</v>
      </c>
      <c r="AY32">
        <v>25</v>
      </c>
      <c r="AZ32">
        <v>10.397</v>
      </c>
      <c r="BA32">
        <v>15640</v>
      </c>
      <c r="BF32">
        <f t="shared" si="7"/>
        <v>1.600000000000001</v>
      </c>
      <c r="BG32">
        <v>25</v>
      </c>
      <c r="BH32">
        <v>-121634</v>
      </c>
      <c r="BI32" s="3">
        <v>-1654770000</v>
      </c>
      <c r="BN32">
        <f t="shared" si="8"/>
        <v>1.600000000000001</v>
      </c>
      <c r="BO32">
        <v>25</v>
      </c>
      <c r="BP32">
        <v>0.62421300000000002</v>
      </c>
      <c r="BQ32">
        <v>10035.1</v>
      </c>
      <c r="BV32">
        <f t="shared" si="9"/>
        <v>1.600000000000001</v>
      </c>
      <c r="BW32">
        <v>25</v>
      </c>
      <c r="BX32">
        <v>8.0652500000000007</v>
      </c>
      <c r="BY32">
        <v>22783.5</v>
      </c>
    </row>
    <row r="33" spans="2:77" x14ac:dyDescent="0.2">
      <c r="B33">
        <f t="shared" si="0"/>
        <v>1.650000000000001</v>
      </c>
      <c r="C33">
        <v>26</v>
      </c>
      <c r="D33" s="3">
        <v>-1.7584500000000001</v>
      </c>
      <c r="E33" s="3">
        <v>6432.95</v>
      </c>
      <c r="J33">
        <f t="shared" si="1"/>
        <v>1.650000000000001</v>
      </c>
      <c r="K33">
        <v>26</v>
      </c>
      <c r="L33">
        <v>13.068300000000001</v>
      </c>
      <c r="M33">
        <v>27005.3</v>
      </c>
      <c r="R33">
        <f t="shared" si="2"/>
        <v>1.650000000000001</v>
      </c>
      <c r="S33">
        <v>26</v>
      </c>
      <c r="T33">
        <v>5.2328599999999996</v>
      </c>
      <c r="U33">
        <v>16429.5</v>
      </c>
      <c r="Z33">
        <f t="shared" si="3"/>
        <v>1.650000000000001</v>
      </c>
      <c r="AA33">
        <v>26</v>
      </c>
      <c r="AB33">
        <v>-0.84139399999999998</v>
      </c>
      <c r="AC33">
        <v>4868.2700000000004</v>
      </c>
      <c r="AH33">
        <f t="shared" si="4"/>
        <v>1.650000000000001</v>
      </c>
      <c r="AI33">
        <v>26</v>
      </c>
      <c r="AJ33">
        <v>18.367100000000001</v>
      </c>
      <c r="AK33">
        <v>44719.8</v>
      </c>
      <c r="AP33">
        <f t="shared" si="5"/>
        <v>1.650000000000001</v>
      </c>
      <c r="AQ33">
        <v>26</v>
      </c>
      <c r="AR33">
        <v>1.7673099999999999</v>
      </c>
      <c r="AS33">
        <v>3156.94</v>
      </c>
      <c r="AX33">
        <f t="shared" si="6"/>
        <v>1.650000000000001</v>
      </c>
      <c r="AY33">
        <v>26</v>
      </c>
      <c r="AZ33">
        <v>9.2484099999999998</v>
      </c>
      <c r="BA33">
        <v>12610.1</v>
      </c>
      <c r="BF33">
        <f t="shared" si="7"/>
        <v>1.650000000000001</v>
      </c>
      <c r="BG33">
        <v>26</v>
      </c>
      <c r="BH33">
        <v>-37957.5</v>
      </c>
      <c r="BI33" s="3">
        <v>-569602000</v>
      </c>
      <c r="BN33">
        <f t="shared" si="8"/>
        <v>1.650000000000001</v>
      </c>
      <c r="BO33">
        <v>26</v>
      </c>
      <c r="BP33">
        <v>-0.190691</v>
      </c>
      <c r="BQ33">
        <v>9067.91</v>
      </c>
      <c r="BV33">
        <f t="shared" si="9"/>
        <v>1.650000000000001</v>
      </c>
      <c r="BW33">
        <v>26</v>
      </c>
      <c r="BX33">
        <v>6.3509099999999998</v>
      </c>
      <c r="BY33">
        <v>19278.099999999999</v>
      </c>
    </row>
    <row r="34" spans="2:77" x14ac:dyDescent="0.2">
      <c r="B34">
        <f t="shared" si="0"/>
        <v>1.7000000000000011</v>
      </c>
      <c r="C34">
        <v>27</v>
      </c>
      <c r="D34" s="3">
        <v>-2.2145100000000002</v>
      </c>
      <c r="E34" s="3">
        <v>5139.66</v>
      </c>
      <c r="J34">
        <f t="shared" si="1"/>
        <v>1.7000000000000011</v>
      </c>
      <c r="K34">
        <v>27</v>
      </c>
      <c r="L34">
        <v>10.9998</v>
      </c>
      <c r="M34">
        <v>25270.2</v>
      </c>
      <c r="R34">
        <f t="shared" si="2"/>
        <v>1.7000000000000011</v>
      </c>
      <c r="S34">
        <v>27</v>
      </c>
      <c r="T34">
        <v>4.0210100000000004</v>
      </c>
      <c r="U34">
        <v>14249.7</v>
      </c>
      <c r="Z34">
        <f t="shared" si="3"/>
        <v>1.7000000000000011</v>
      </c>
      <c r="AA34">
        <v>27</v>
      </c>
      <c r="AB34">
        <v>-1.21302</v>
      </c>
      <c r="AC34">
        <v>4513.59</v>
      </c>
      <c r="AH34">
        <f t="shared" si="4"/>
        <v>1.7000000000000011</v>
      </c>
      <c r="AI34">
        <v>27</v>
      </c>
      <c r="AJ34">
        <v>15.023999999999999</v>
      </c>
      <c r="AK34">
        <v>39686.300000000003</v>
      </c>
      <c r="AP34">
        <f t="shared" si="5"/>
        <v>1.7000000000000011</v>
      </c>
      <c r="AQ34">
        <v>27</v>
      </c>
      <c r="AR34">
        <v>1.4826299999999999</v>
      </c>
      <c r="AS34">
        <v>3880.77</v>
      </c>
      <c r="AX34">
        <f t="shared" si="6"/>
        <v>1.7000000000000011</v>
      </c>
      <c r="AY34">
        <v>27</v>
      </c>
      <c r="AZ34">
        <v>8.3531300000000002</v>
      </c>
      <c r="BA34">
        <v>10103.5</v>
      </c>
      <c r="BF34">
        <f t="shared" si="7"/>
        <v>1.7000000000000011</v>
      </c>
      <c r="BG34">
        <v>27</v>
      </c>
      <c r="BH34">
        <v>-10846.3</v>
      </c>
      <c r="BI34" s="3">
        <v>-181886000</v>
      </c>
      <c r="BN34">
        <f t="shared" si="8"/>
        <v>1.7000000000000011</v>
      </c>
      <c r="BO34">
        <v>27</v>
      </c>
      <c r="BP34">
        <v>-0.77762799999999999</v>
      </c>
      <c r="BQ34">
        <v>5728.1</v>
      </c>
      <c r="BV34">
        <f t="shared" si="9"/>
        <v>1.7000000000000011</v>
      </c>
      <c r="BW34">
        <v>27</v>
      </c>
      <c r="BX34">
        <v>4.95425</v>
      </c>
      <c r="BY34">
        <v>16107.3</v>
      </c>
    </row>
    <row r="35" spans="2:77" x14ac:dyDescent="0.2">
      <c r="B35">
        <f t="shared" si="0"/>
        <v>1.7500000000000011</v>
      </c>
      <c r="C35">
        <v>28</v>
      </c>
      <c r="D35" s="3">
        <v>-2.5663299999999998</v>
      </c>
      <c r="E35" s="3">
        <v>4060.82</v>
      </c>
      <c r="J35">
        <f t="shared" si="1"/>
        <v>1.7500000000000011</v>
      </c>
      <c r="K35">
        <v>28</v>
      </c>
      <c r="L35">
        <v>9.1355199999999996</v>
      </c>
      <c r="M35">
        <v>23309.599999999999</v>
      </c>
      <c r="R35">
        <f t="shared" si="2"/>
        <v>1.7500000000000011</v>
      </c>
      <c r="S35">
        <v>28</v>
      </c>
      <c r="T35">
        <v>3.0051899999999998</v>
      </c>
      <c r="U35">
        <v>12264.5</v>
      </c>
      <c r="Z35">
        <f t="shared" si="3"/>
        <v>1.7500000000000011</v>
      </c>
      <c r="AA35">
        <v>28</v>
      </c>
      <c r="AB35">
        <v>-1.54355</v>
      </c>
      <c r="AC35">
        <v>4101.5200000000004</v>
      </c>
      <c r="AH35">
        <f t="shared" si="4"/>
        <v>1.7500000000000011</v>
      </c>
      <c r="AI35">
        <v>28</v>
      </c>
      <c r="AJ35">
        <v>12.181800000000001</v>
      </c>
      <c r="AK35">
        <v>34454.1</v>
      </c>
      <c r="AP35">
        <f t="shared" si="5"/>
        <v>1.7500000000000011</v>
      </c>
      <c r="AQ35">
        <v>28</v>
      </c>
      <c r="AR35">
        <v>1.1812400000000001</v>
      </c>
      <c r="AS35">
        <v>3905.4</v>
      </c>
      <c r="AX35">
        <f t="shared" si="6"/>
        <v>1.7500000000000011</v>
      </c>
      <c r="AY35">
        <v>28</v>
      </c>
      <c r="AZ35">
        <v>7.6602800000000002</v>
      </c>
      <c r="BA35">
        <v>8020.18</v>
      </c>
      <c r="BF35">
        <f t="shared" si="7"/>
        <v>1.7500000000000011</v>
      </c>
      <c r="BG35">
        <v>28</v>
      </c>
      <c r="BH35">
        <v>-2752.07</v>
      </c>
      <c r="BI35" s="3">
        <v>-52681000</v>
      </c>
      <c r="BN35">
        <f t="shared" si="8"/>
        <v>1.7500000000000011</v>
      </c>
      <c r="BO35">
        <v>28</v>
      </c>
      <c r="BP35">
        <v>-1.1058399999999999</v>
      </c>
      <c r="BQ35">
        <v>3011.71</v>
      </c>
      <c r="BV35">
        <f t="shared" si="9"/>
        <v>1.7500000000000011</v>
      </c>
      <c r="BW35">
        <v>28</v>
      </c>
      <c r="BX35">
        <v>3.82626</v>
      </c>
      <c r="BY35">
        <v>13371.8</v>
      </c>
    </row>
    <row r="36" spans="2:77" x14ac:dyDescent="0.2">
      <c r="B36">
        <f t="shared" si="0"/>
        <v>1.8000000000000012</v>
      </c>
      <c r="C36">
        <v>29</v>
      </c>
      <c r="D36" s="3">
        <v>-2.8340200000000002</v>
      </c>
      <c r="E36" s="3">
        <v>3149.29</v>
      </c>
      <c r="J36">
        <f t="shared" si="1"/>
        <v>1.8000000000000012</v>
      </c>
      <c r="K36">
        <v>29</v>
      </c>
      <c r="L36">
        <v>7.4762000000000004</v>
      </c>
      <c r="M36">
        <v>21232.5</v>
      </c>
      <c r="R36">
        <f t="shared" si="2"/>
        <v>1.8000000000000012</v>
      </c>
      <c r="S36">
        <v>29</v>
      </c>
      <c r="T36">
        <v>2.1591900000000002</v>
      </c>
      <c r="U36">
        <v>10481.1</v>
      </c>
      <c r="Z36">
        <f t="shared" si="3"/>
        <v>1.8000000000000012</v>
      </c>
      <c r="AA36">
        <v>29</v>
      </c>
      <c r="AB36">
        <v>-1.8339099999999999</v>
      </c>
      <c r="AC36">
        <v>3699.9</v>
      </c>
      <c r="AH36">
        <f t="shared" si="4"/>
        <v>1.8000000000000012</v>
      </c>
      <c r="AI36">
        <v>29</v>
      </c>
      <c r="AJ36">
        <v>9.7974200000000007</v>
      </c>
      <c r="AK36">
        <v>29645</v>
      </c>
      <c r="AP36">
        <f t="shared" si="5"/>
        <v>1.8000000000000012</v>
      </c>
      <c r="AQ36">
        <v>29</v>
      </c>
      <c r="AR36">
        <v>0.89917100000000005</v>
      </c>
      <c r="AS36">
        <v>3641.94</v>
      </c>
      <c r="AX36">
        <f t="shared" si="6"/>
        <v>1.8000000000000012</v>
      </c>
      <c r="AY36">
        <v>29</v>
      </c>
      <c r="AZ36">
        <v>7.1285499999999997</v>
      </c>
      <c r="BA36">
        <v>6311.54</v>
      </c>
      <c r="BF36">
        <f t="shared" si="7"/>
        <v>1.8000000000000012</v>
      </c>
      <c r="BG36">
        <v>29</v>
      </c>
      <c r="BH36">
        <v>-585.50900000000001</v>
      </c>
      <c r="BI36" s="3">
        <v>-13312800</v>
      </c>
      <c r="BN36">
        <f t="shared" si="8"/>
        <v>1.8000000000000012</v>
      </c>
      <c r="BO36">
        <v>29</v>
      </c>
      <c r="BP36">
        <v>-1.2668600000000001</v>
      </c>
      <c r="BQ36">
        <v>1494.76</v>
      </c>
      <c r="BV36">
        <f t="shared" si="9"/>
        <v>1.8000000000000012</v>
      </c>
      <c r="BW36">
        <v>29</v>
      </c>
      <c r="BX36">
        <v>2.9174899999999999</v>
      </c>
      <c r="BY36">
        <v>11100.8</v>
      </c>
    </row>
    <row r="37" spans="2:77" x14ac:dyDescent="0.2">
      <c r="B37">
        <f t="shared" si="0"/>
        <v>1.8500000000000012</v>
      </c>
      <c r="C37">
        <v>30</v>
      </c>
      <c r="D37">
        <v>-3.0333199999999998</v>
      </c>
      <c r="E37" s="3">
        <v>2375.66</v>
      </c>
      <c r="J37">
        <f t="shared" si="1"/>
        <v>1.8500000000000012</v>
      </c>
      <c r="K37">
        <v>30</v>
      </c>
      <c r="L37">
        <v>6.0156200000000002</v>
      </c>
      <c r="M37">
        <v>19121.099999999999</v>
      </c>
      <c r="R37">
        <f t="shared" si="2"/>
        <v>1.8500000000000012</v>
      </c>
      <c r="S37">
        <v>30</v>
      </c>
      <c r="T37">
        <v>1.4589799999999999</v>
      </c>
      <c r="U37">
        <v>8893.86</v>
      </c>
      <c r="Z37">
        <f t="shared" si="3"/>
        <v>1.8500000000000012</v>
      </c>
      <c r="AA37">
        <v>30</v>
      </c>
      <c r="AB37">
        <v>-2.0884</v>
      </c>
      <c r="AC37">
        <v>3339.66</v>
      </c>
      <c r="AH37">
        <f t="shared" si="4"/>
        <v>1.8500000000000012</v>
      </c>
      <c r="AI37">
        <v>30</v>
      </c>
      <c r="AJ37">
        <v>7.8090700000000002</v>
      </c>
      <c r="AK37">
        <v>25374</v>
      </c>
      <c r="AP37">
        <f t="shared" si="5"/>
        <v>1.8500000000000012</v>
      </c>
      <c r="AQ37">
        <v>30</v>
      </c>
      <c r="AR37">
        <v>0.64807000000000003</v>
      </c>
      <c r="AS37">
        <v>3291.13</v>
      </c>
      <c r="AX37">
        <f t="shared" si="6"/>
        <v>1.8500000000000012</v>
      </c>
      <c r="AY37">
        <v>30</v>
      </c>
      <c r="AZ37">
        <v>6.7230299999999996</v>
      </c>
      <c r="BA37">
        <v>4942.12</v>
      </c>
      <c r="BF37">
        <f t="shared" si="7"/>
        <v>1.8500000000000012</v>
      </c>
      <c r="BG37">
        <v>30</v>
      </c>
      <c r="BH37">
        <v>-90.7376</v>
      </c>
      <c r="BI37" s="3">
        <v>-2713030</v>
      </c>
      <c r="BN37">
        <f t="shared" si="8"/>
        <v>1.8500000000000012</v>
      </c>
      <c r="BO37">
        <v>30</v>
      </c>
      <c r="BP37">
        <v>-1.34985</v>
      </c>
      <c r="BQ37">
        <v>917.91099999999994</v>
      </c>
      <c r="BV37">
        <f t="shared" si="9"/>
        <v>1.8500000000000012</v>
      </c>
      <c r="BW37">
        <v>30</v>
      </c>
      <c r="BX37">
        <v>2.1825000000000001</v>
      </c>
      <c r="BY37">
        <v>9271.8700000000008</v>
      </c>
    </row>
    <row r="38" spans="2:77" x14ac:dyDescent="0.2">
      <c r="B38">
        <f t="shared" si="0"/>
        <v>1.9000000000000012</v>
      </c>
      <c r="C38">
        <v>31</v>
      </c>
      <c r="D38">
        <v>-3.1768900000000002</v>
      </c>
      <c r="E38" s="3">
        <v>1718.78</v>
      </c>
      <c r="J38">
        <f t="shared" si="1"/>
        <v>1.9000000000000012</v>
      </c>
      <c r="K38">
        <v>31</v>
      </c>
      <c r="L38">
        <v>4.7430300000000001</v>
      </c>
      <c r="M38">
        <v>17037.7</v>
      </c>
      <c r="R38">
        <f t="shared" si="2"/>
        <v>1.9000000000000012</v>
      </c>
      <c r="S38">
        <v>31</v>
      </c>
      <c r="T38">
        <v>0.88315600000000005</v>
      </c>
      <c r="U38">
        <v>7490.61</v>
      </c>
      <c r="Z38">
        <f t="shared" si="3"/>
        <v>1.9000000000000012</v>
      </c>
      <c r="AA38">
        <v>31</v>
      </c>
      <c r="AB38">
        <v>-2.3123900000000002</v>
      </c>
      <c r="AC38">
        <v>3032.67</v>
      </c>
      <c r="AH38">
        <f t="shared" si="4"/>
        <v>1.9000000000000012</v>
      </c>
      <c r="AI38">
        <v>31</v>
      </c>
      <c r="AJ38">
        <v>6.1571400000000001</v>
      </c>
      <c r="AK38">
        <v>21632.1</v>
      </c>
      <c r="AP38">
        <f t="shared" si="5"/>
        <v>1.9000000000000012</v>
      </c>
      <c r="AQ38">
        <v>31</v>
      </c>
      <c r="AR38">
        <v>0.42869499999999999</v>
      </c>
      <c r="AS38">
        <v>2945.8</v>
      </c>
      <c r="AX38">
        <f t="shared" si="6"/>
        <v>1.9000000000000012</v>
      </c>
      <c r="AY38">
        <v>31</v>
      </c>
      <c r="AZ38">
        <v>6.4142799999999998</v>
      </c>
      <c r="BA38">
        <v>3871.96</v>
      </c>
      <c r="BF38">
        <f t="shared" si="7"/>
        <v>1.9000000000000012</v>
      </c>
      <c r="BG38">
        <v>31</v>
      </c>
      <c r="BH38">
        <v>-4.3295199999999996</v>
      </c>
      <c r="BI38">
        <v>-357170</v>
      </c>
      <c r="BN38">
        <f t="shared" si="8"/>
        <v>1.9000000000000012</v>
      </c>
      <c r="BO38">
        <v>31</v>
      </c>
      <c r="BP38">
        <v>-1.41092</v>
      </c>
      <c r="BQ38">
        <v>876.19100000000003</v>
      </c>
      <c r="BV38">
        <f t="shared" si="9"/>
        <v>1.9000000000000012</v>
      </c>
      <c r="BW38">
        <v>31</v>
      </c>
      <c r="BX38">
        <v>1.5824800000000001</v>
      </c>
      <c r="BY38">
        <v>7829.2</v>
      </c>
    </row>
    <row r="39" spans="2:77" x14ac:dyDescent="0.2">
      <c r="B39">
        <f t="shared" si="0"/>
        <v>1.9500000000000013</v>
      </c>
      <c r="C39">
        <v>32</v>
      </c>
      <c r="D39">
        <v>-3.2751199999999998</v>
      </c>
      <c r="E39" s="3">
        <v>1161.57</v>
      </c>
      <c r="J39">
        <f t="shared" si="1"/>
        <v>1.9500000000000013</v>
      </c>
      <c r="K39">
        <v>32</v>
      </c>
      <c r="L39">
        <v>3.6447600000000002</v>
      </c>
      <c r="M39">
        <v>15030.4</v>
      </c>
      <c r="R39">
        <f t="shared" si="2"/>
        <v>1.9500000000000013</v>
      </c>
      <c r="S39">
        <v>32</v>
      </c>
      <c r="T39">
        <v>0.41299200000000003</v>
      </c>
      <c r="U39">
        <v>6255.89</v>
      </c>
      <c r="Z39">
        <f t="shared" si="3"/>
        <v>1.9500000000000013</v>
      </c>
      <c r="AA39">
        <v>32</v>
      </c>
      <c r="AB39">
        <v>-2.5112700000000001</v>
      </c>
      <c r="AC39">
        <v>2780.83</v>
      </c>
      <c r="AH39">
        <f t="shared" si="4"/>
        <v>1.9500000000000013</v>
      </c>
      <c r="AI39">
        <v>32</v>
      </c>
      <c r="AJ39">
        <v>4.7886100000000003</v>
      </c>
      <c r="AK39">
        <v>18382.900000000001</v>
      </c>
      <c r="AP39">
        <f t="shared" si="5"/>
        <v>1.9500000000000013</v>
      </c>
      <c r="AQ39">
        <v>32</v>
      </c>
      <c r="AR39">
        <v>0.237482</v>
      </c>
      <c r="AS39">
        <v>2643.32</v>
      </c>
      <c r="AX39">
        <f t="shared" si="6"/>
        <v>1.9500000000000013</v>
      </c>
      <c r="AY39">
        <v>32</v>
      </c>
      <c r="AZ39">
        <v>6.1782000000000004</v>
      </c>
      <c r="BA39">
        <v>3054.04</v>
      </c>
      <c r="BF39">
        <f t="shared" si="7"/>
        <v>1.9500000000000013</v>
      </c>
      <c r="BG39">
        <v>32</v>
      </c>
      <c r="BH39">
        <v>3.48685</v>
      </c>
      <c r="BI39">
        <v>2997.13</v>
      </c>
      <c r="BN39">
        <f t="shared" si="8"/>
        <v>1.9500000000000013</v>
      </c>
      <c r="BO39">
        <v>32</v>
      </c>
      <c r="BP39">
        <v>-1.47651</v>
      </c>
      <c r="BQ39">
        <v>1057.73</v>
      </c>
      <c r="BV39">
        <f t="shared" si="9"/>
        <v>1.9500000000000013</v>
      </c>
      <c r="BW39">
        <v>32</v>
      </c>
      <c r="BX39">
        <v>1.0861400000000001</v>
      </c>
      <c r="BY39">
        <v>6701.28</v>
      </c>
    </row>
    <row r="40" spans="2:77" x14ac:dyDescent="0.2">
      <c r="B40">
        <f t="shared" si="0"/>
        <v>2.0000000000000013</v>
      </c>
      <c r="C40">
        <v>33</v>
      </c>
      <c r="D40">
        <v>-3.3365100000000001</v>
      </c>
      <c r="E40" s="3">
        <v>689.33199999999999</v>
      </c>
      <c r="J40">
        <f t="shared" si="1"/>
        <v>2.0000000000000013</v>
      </c>
      <c r="K40">
        <v>33</v>
      </c>
      <c r="L40">
        <v>2.7054299999999998</v>
      </c>
      <c r="M40">
        <v>13135</v>
      </c>
      <c r="R40">
        <f t="shared" si="2"/>
        <v>2.0000000000000013</v>
      </c>
      <c r="S40">
        <v>33</v>
      </c>
      <c r="T40">
        <v>3.2294200000000002E-2</v>
      </c>
      <c r="U40">
        <v>5173.3</v>
      </c>
      <c r="Z40">
        <f t="shared" si="3"/>
        <v>2.0000000000000013</v>
      </c>
      <c r="AA40">
        <v>33</v>
      </c>
      <c r="AB40">
        <v>-2.6899099999999998</v>
      </c>
      <c r="AC40">
        <v>2580.66</v>
      </c>
      <c r="AH40">
        <f t="shared" si="4"/>
        <v>2.0000000000000013</v>
      </c>
      <c r="AI40">
        <v>33</v>
      </c>
      <c r="AJ40">
        <v>3.6572200000000001</v>
      </c>
      <c r="AK40">
        <v>15585.9</v>
      </c>
      <c r="AP40">
        <f t="shared" si="5"/>
        <v>2.0000000000000013</v>
      </c>
      <c r="AQ40">
        <v>33</v>
      </c>
      <c r="AR40">
        <v>6.9686700000000004E-2</v>
      </c>
      <c r="AS40">
        <v>2393.3000000000002</v>
      </c>
      <c r="AX40">
        <f t="shared" si="6"/>
        <v>2.0000000000000013</v>
      </c>
      <c r="AY40">
        <v>33</v>
      </c>
      <c r="AZ40">
        <v>5.9958400000000003</v>
      </c>
      <c r="BA40">
        <v>2438.58</v>
      </c>
      <c r="BF40">
        <f t="shared" si="7"/>
        <v>2.0000000000000013</v>
      </c>
      <c r="BG40">
        <v>33</v>
      </c>
      <c r="BH40">
        <v>2.5421800000000001</v>
      </c>
      <c r="BI40">
        <v>11696.3</v>
      </c>
      <c r="BN40">
        <f t="shared" si="8"/>
        <v>2.0000000000000013</v>
      </c>
      <c r="BO40">
        <v>33</v>
      </c>
      <c r="BP40">
        <v>-1.55461</v>
      </c>
      <c r="BQ40">
        <v>1282.22</v>
      </c>
      <c r="BV40">
        <f t="shared" si="9"/>
        <v>2.0000000000000013</v>
      </c>
      <c r="BW40">
        <v>33</v>
      </c>
      <c r="BX40">
        <v>0.66955299999999995</v>
      </c>
      <c r="BY40">
        <v>5814.99</v>
      </c>
    </row>
    <row r="41" spans="2:77" x14ac:dyDescent="0.2">
      <c r="B41">
        <f t="shared" si="0"/>
        <v>2.0500000000000012</v>
      </c>
      <c r="C41">
        <v>34</v>
      </c>
      <c r="D41">
        <v>-3.36802</v>
      </c>
      <c r="E41" s="3">
        <v>289.07799999999997</v>
      </c>
      <c r="J41">
        <f t="shared" si="1"/>
        <v>2.0500000000000012</v>
      </c>
      <c r="K41">
        <v>34</v>
      </c>
      <c r="L41">
        <v>1.9088499999999999</v>
      </c>
      <c r="M41">
        <v>11376.5</v>
      </c>
      <c r="R41">
        <f t="shared" si="2"/>
        <v>2.0500000000000012</v>
      </c>
      <c r="S41">
        <v>34</v>
      </c>
      <c r="T41">
        <v>-0.272839</v>
      </c>
      <c r="U41">
        <v>4226.79</v>
      </c>
      <c r="Z41">
        <f t="shared" si="3"/>
        <v>2.0500000000000012</v>
      </c>
      <c r="AA41">
        <v>34</v>
      </c>
      <c r="AB41">
        <v>-2.8525299999999998</v>
      </c>
      <c r="AC41">
        <v>2425.86</v>
      </c>
      <c r="AH41">
        <f t="shared" si="4"/>
        <v>2.0500000000000012</v>
      </c>
      <c r="AI41">
        <v>34</v>
      </c>
      <c r="AJ41">
        <v>2.7228300000000001</v>
      </c>
      <c r="AK41">
        <v>13201.6</v>
      </c>
      <c r="AP41">
        <f t="shared" si="5"/>
        <v>2.0500000000000012</v>
      </c>
      <c r="AQ41">
        <v>34</v>
      </c>
      <c r="AR41">
        <v>-7.9226199999999997E-2</v>
      </c>
      <c r="AS41">
        <v>2192.44</v>
      </c>
      <c r="AX41">
        <f t="shared" si="6"/>
        <v>2.0500000000000012</v>
      </c>
      <c r="AY41">
        <v>34</v>
      </c>
      <c r="AZ41">
        <v>5.8528500000000001</v>
      </c>
      <c r="BA41">
        <v>1978.44</v>
      </c>
      <c r="BF41">
        <f t="shared" si="7"/>
        <v>2.0500000000000012</v>
      </c>
      <c r="BG41">
        <v>34</v>
      </c>
      <c r="BH41">
        <v>2.1583199999999998</v>
      </c>
      <c r="BI41">
        <v>2703.02</v>
      </c>
      <c r="BN41">
        <f t="shared" si="8"/>
        <v>2.0500000000000012</v>
      </c>
      <c r="BO41">
        <v>34</v>
      </c>
      <c r="BP41">
        <v>-1.64438</v>
      </c>
      <c r="BQ41">
        <v>1469.71</v>
      </c>
      <c r="BV41">
        <f t="shared" si="9"/>
        <v>2.0500000000000012</v>
      </c>
      <c r="BW41">
        <v>34</v>
      </c>
      <c r="BX41">
        <v>0.31511400000000001</v>
      </c>
      <c r="BY41">
        <v>5105.6499999999996</v>
      </c>
    </row>
    <row r="42" spans="2:77" x14ac:dyDescent="0.2">
      <c r="B42">
        <f t="shared" si="0"/>
        <v>2.100000000000001</v>
      </c>
      <c r="C42">
        <v>35</v>
      </c>
      <c r="D42">
        <v>-3.37534</v>
      </c>
      <c r="E42" s="3">
        <v>-50.5886</v>
      </c>
      <c r="J42">
        <f t="shared" si="1"/>
        <v>2.100000000000001</v>
      </c>
      <c r="K42">
        <v>35</v>
      </c>
      <c r="L42">
        <v>1.23875</v>
      </c>
      <c r="M42">
        <v>9770.1200000000008</v>
      </c>
      <c r="R42">
        <f t="shared" si="2"/>
        <v>2.100000000000001</v>
      </c>
      <c r="S42">
        <v>35</v>
      </c>
      <c r="T42">
        <v>-0.51429000000000002</v>
      </c>
      <c r="U42">
        <v>3401.31</v>
      </c>
      <c r="Z42">
        <f t="shared" si="3"/>
        <v>2.100000000000001</v>
      </c>
      <c r="AA42">
        <v>35</v>
      </c>
      <c r="AB42">
        <v>-3.0025300000000001</v>
      </c>
      <c r="AC42">
        <v>2308.7600000000002</v>
      </c>
      <c r="AH42">
        <f t="shared" si="4"/>
        <v>2.100000000000001</v>
      </c>
      <c r="AI42">
        <v>35</v>
      </c>
      <c r="AJ42">
        <v>1.95078</v>
      </c>
      <c r="AK42">
        <v>11190</v>
      </c>
      <c r="AP42">
        <f t="shared" si="5"/>
        <v>2.100000000000001</v>
      </c>
      <c r="AQ42">
        <v>35</v>
      </c>
      <c r="AR42">
        <v>-0.213062</v>
      </c>
      <c r="AS42">
        <v>2032.56</v>
      </c>
      <c r="AX42">
        <f t="shared" si="6"/>
        <v>2.100000000000001</v>
      </c>
      <c r="AY42">
        <v>35</v>
      </c>
      <c r="AZ42">
        <v>5.7387699999999997</v>
      </c>
      <c r="BA42">
        <v>1633.16</v>
      </c>
      <c r="BF42">
        <f t="shared" si="7"/>
        <v>2.100000000000001</v>
      </c>
      <c r="BG42">
        <v>35</v>
      </c>
      <c r="BH42">
        <v>1.89551</v>
      </c>
      <c r="BI42">
        <v>6845.69</v>
      </c>
      <c r="BN42">
        <f t="shared" si="8"/>
        <v>2.100000000000001</v>
      </c>
      <c r="BO42">
        <v>35</v>
      </c>
      <c r="BP42">
        <v>-1.7419899999999999</v>
      </c>
      <c r="BQ42">
        <v>1598.72</v>
      </c>
      <c r="BV42">
        <f t="shared" si="9"/>
        <v>2.100000000000001</v>
      </c>
      <c r="BW42">
        <v>35</v>
      </c>
      <c r="BX42">
        <v>1.02218E-2</v>
      </c>
      <c r="BY42">
        <v>4522.1400000000003</v>
      </c>
    </row>
    <row r="43" spans="2:77" x14ac:dyDescent="0.2">
      <c r="B43">
        <f t="shared" si="0"/>
        <v>2.1500000000000008</v>
      </c>
      <c r="C43">
        <v>36</v>
      </c>
      <c r="D43">
        <v>-3.3630599999999999</v>
      </c>
      <c r="E43" s="3">
        <v>-339.51499999999999</v>
      </c>
      <c r="J43">
        <f t="shared" si="1"/>
        <v>2.1500000000000008</v>
      </c>
      <c r="K43">
        <v>36</v>
      </c>
      <c r="L43">
        <v>0.67936700000000005</v>
      </c>
      <c r="M43">
        <v>8322.25</v>
      </c>
      <c r="R43">
        <f t="shared" si="2"/>
        <v>2.1500000000000008</v>
      </c>
      <c r="S43">
        <v>36</v>
      </c>
      <c r="T43">
        <v>-0.70219299999999996</v>
      </c>
      <c r="U43">
        <v>2683.12</v>
      </c>
      <c r="Z43">
        <f t="shared" si="3"/>
        <v>2.1500000000000008</v>
      </c>
      <c r="AA43">
        <v>36</v>
      </c>
      <c r="AB43">
        <v>-3.14263</v>
      </c>
      <c r="AC43">
        <v>2221.31</v>
      </c>
      <c r="AH43">
        <f t="shared" si="4"/>
        <v>2.1500000000000008</v>
      </c>
      <c r="AI43">
        <v>36</v>
      </c>
      <c r="AJ43">
        <v>1.31145</v>
      </c>
      <c r="AK43">
        <v>9509.5300000000007</v>
      </c>
      <c r="AP43">
        <f t="shared" si="5"/>
        <v>2.1500000000000008</v>
      </c>
      <c r="AQ43">
        <v>36</v>
      </c>
      <c r="AR43">
        <v>-0.33480700000000002</v>
      </c>
      <c r="AS43">
        <v>1904.75</v>
      </c>
      <c r="AX43">
        <f t="shared" si="6"/>
        <v>2.1500000000000008</v>
      </c>
      <c r="AY43">
        <v>36</v>
      </c>
      <c r="AZ43">
        <v>5.6461199999999998</v>
      </c>
      <c r="BA43">
        <v>1370.46</v>
      </c>
      <c r="BF43">
        <f t="shared" si="7"/>
        <v>2.1500000000000008</v>
      </c>
      <c r="BG43">
        <v>36</v>
      </c>
      <c r="BH43">
        <v>1.27538</v>
      </c>
      <c r="BI43">
        <v>12776.2</v>
      </c>
      <c r="BN43">
        <f t="shared" si="8"/>
        <v>2.1500000000000008</v>
      </c>
      <c r="BO43">
        <v>36</v>
      </c>
      <c r="BP43">
        <v>-1.84354</v>
      </c>
      <c r="BQ43">
        <v>1674.44</v>
      </c>
      <c r="BV43">
        <f t="shared" si="9"/>
        <v>2.1500000000000008</v>
      </c>
      <c r="BW43">
        <v>36</v>
      </c>
      <c r="BX43">
        <v>-0.254108</v>
      </c>
      <c r="BY43">
        <v>4028.1</v>
      </c>
    </row>
    <row r="44" spans="2:77" x14ac:dyDescent="0.2">
      <c r="B44">
        <f t="shared" si="0"/>
        <v>2.2000000000000006</v>
      </c>
      <c r="C44">
        <v>37</v>
      </c>
      <c r="D44">
        <v>-3.3349199999999999</v>
      </c>
      <c r="E44" s="3">
        <v>-586.03300000000002</v>
      </c>
      <c r="J44">
        <f t="shared" si="1"/>
        <v>2.2000000000000006</v>
      </c>
      <c r="K44">
        <v>37</v>
      </c>
      <c r="L44">
        <v>0.21591199999999999</v>
      </c>
      <c r="M44">
        <v>7032.12</v>
      </c>
      <c r="R44">
        <f t="shared" si="2"/>
        <v>2.2000000000000006</v>
      </c>
      <c r="S44">
        <v>37</v>
      </c>
      <c r="T44">
        <v>-0.84517299999999995</v>
      </c>
      <c r="U44">
        <v>2059.8000000000002</v>
      </c>
      <c r="Z44">
        <f t="shared" si="3"/>
        <v>2.2000000000000006</v>
      </c>
      <c r="AA44">
        <v>37</v>
      </c>
      <c r="AB44">
        <v>-3.2748499999999998</v>
      </c>
      <c r="AC44">
        <v>2155.6999999999998</v>
      </c>
      <c r="AH44">
        <f t="shared" si="4"/>
        <v>2.2000000000000006</v>
      </c>
      <c r="AI44">
        <v>37</v>
      </c>
      <c r="AJ44">
        <v>0.77986299999999997</v>
      </c>
      <c r="AK44">
        <v>8117.17</v>
      </c>
      <c r="AP44">
        <f t="shared" si="5"/>
        <v>2.2000000000000006</v>
      </c>
      <c r="AQ44">
        <v>37</v>
      </c>
      <c r="AR44">
        <v>-0.44672600000000001</v>
      </c>
      <c r="AS44">
        <v>1801.18</v>
      </c>
      <c r="AX44">
        <f t="shared" si="6"/>
        <v>2.2000000000000006</v>
      </c>
      <c r="AY44">
        <v>37</v>
      </c>
      <c r="AZ44">
        <v>5.5696700000000003</v>
      </c>
      <c r="BA44">
        <v>1166.1500000000001</v>
      </c>
      <c r="BF44">
        <f t="shared" si="7"/>
        <v>2.2000000000000006</v>
      </c>
      <c r="BG44">
        <v>37</v>
      </c>
      <c r="BH44">
        <v>0.41920299999999999</v>
      </c>
      <c r="BI44">
        <v>14844.7</v>
      </c>
      <c r="BN44">
        <f t="shared" si="8"/>
        <v>2.2000000000000006</v>
      </c>
      <c r="BO44">
        <v>37</v>
      </c>
      <c r="BP44">
        <v>-1.946</v>
      </c>
      <c r="BQ44">
        <v>1710</v>
      </c>
      <c r="BV44">
        <f t="shared" si="9"/>
        <v>2.2000000000000006</v>
      </c>
      <c r="BW44">
        <v>37</v>
      </c>
      <c r="BX44">
        <v>-0.48443199999999997</v>
      </c>
      <c r="BY44">
        <v>3600.17</v>
      </c>
    </row>
    <row r="45" spans="2:77" x14ac:dyDescent="0.2">
      <c r="B45">
        <f t="shared" si="0"/>
        <v>2.2500000000000004</v>
      </c>
      <c r="C45">
        <v>38</v>
      </c>
      <c r="D45">
        <v>-3.2939400000000001</v>
      </c>
      <c r="E45">
        <v>-797.04899999999998</v>
      </c>
      <c r="J45">
        <f t="shared" si="1"/>
        <v>2.2500000000000004</v>
      </c>
      <c r="K45">
        <v>38</v>
      </c>
      <c r="L45">
        <v>-0.165186</v>
      </c>
      <c r="M45">
        <v>5893.36</v>
      </c>
      <c r="R45">
        <f t="shared" si="2"/>
        <v>2.2500000000000004</v>
      </c>
      <c r="S45">
        <v>38</v>
      </c>
      <c r="T45">
        <v>-0.95056499999999999</v>
      </c>
      <c r="U45">
        <v>1520.18</v>
      </c>
      <c r="Z45">
        <f t="shared" si="3"/>
        <v>2.2500000000000004</v>
      </c>
      <c r="AA45">
        <v>38</v>
      </c>
      <c r="AB45">
        <v>-3.4006099999999999</v>
      </c>
      <c r="AC45">
        <v>2104.81</v>
      </c>
      <c r="AH45">
        <f t="shared" si="4"/>
        <v>2.2500000000000004</v>
      </c>
      <c r="AI45">
        <v>38</v>
      </c>
      <c r="AJ45">
        <v>0.33531499999999997</v>
      </c>
      <c r="AK45">
        <v>6969.85</v>
      </c>
      <c r="AP45">
        <f t="shared" si="5"/>
        <v>2.2500000000000004</v>
      </c>
      <c r="AQ45">
        <v>38</v>
      </c>
      <c r="AR45">
        <v>-0.55051399999999995</v>
      </c>
      <c r="AS45">
        <v>1715.74</v>
      </c>
      <c r="AX45">
        <f t="shared" si="6"/>
        <v>2.2500000000000004</v>
      </c>
      <c r="AY45">
        <v>38</v>
      </c>
      <c r="AZ45">
        <v>5.5057700000000001</v>
      </c>
      <c r="BA45">
        <v>1002.84</v>
      </c>
      <c r="BF45">
        <f t="shared" si="7"/>
        <v>2.2500000000000004</v>
      </c>
      <c r="BG45">
        <v>38</v>
      </c>
      <c r="BH45">
        <v>-0.42901099999999998</v>
      </c>
      <c r="BI45">
        <v>13464.9</v>
      </c>
      <c r="BN45">
        <f t="shared" si="8"/>
        <v>2.2500000000000004</v>
      </c>
      <c r="BO45">
        <v>38</v>
      </c>
      <c r="BP45">
        <v>-2.0473300000000001</v>
      </c>
      <c r="BQ45">
        <v>1717.68</v>
      </c>
      <c r="BV45">
        <f t="shared" si="9"/>
        <v>2.2500000000000004</v>
      </c>
      <c r="BW45">
        <v>38</v>
      </c>
      <c r="BX45">
        <v>-0.68577900000000003</v>
      </c>
      <c r="BY45">
        <v>3224.8</v>
      </c>
    </row>
    <row r="46" spans="2:77" x14ac:dyDescent="0.2">
      <c r="B46">
        <f t="shared" si="0"/>
        <v>2.3000000000000003</v>
      </c>
      <c r="C46">
        <v>39</v>
      </c>
      <c r="D46">
        <v>-3.2425799999999998</v>
      </c>
      <c r="E46">
        <v>-978.18299999999999</v>
      </c>
      <c r="J46">
        <f t="shared" si="1"/>
        <v>2.3000000000000003</v>
      </c>
      <c r="K46">
        <v>39</v>
      </c>
      <c r="L46">
        <v>-0.47608400000000001</v>
      </c>
      <c r="M46">
        <v>4895.63</v>
      </c>
      <c r="R46">
        <f t="shared" si="2"/>
        <v>2.3000000000000003</v>
      </c>
      <c r="S46">
        <v>39</v>
      </c>
      <c r="T46">
        <v>-1.0246</v>
      </c>
      <c r="U46">
        <v>1054.21</v>
      </c>
      <c r="Z46">
        <f t="shared" si="3"/>
        <v>2.3000000000000003</v>
      </c>
      <c r="AA46">
        <v>39</v>
      </c>
      <c r="AB46">
        <v>-3.52088</v>
      </c>
      <c r="AC46">
        <v>2062.5500000000002</v>
      </c>
      <c r="AH46">
        <f t="shared" si="4"/>
        <v>2.3000000000000003</v>
      </c>
      <c r="AI46">
        <v>39</v>
      </c>
      <c r="AJ46">
        <v>-3.9064500000000002E-2</v>
      </c>
      <c r="AK46">
        <v>6026.85</v>
      </c>
      <c r="AP46">
        <f t="shared" si="5"/>
        <v>2.3000000000000003</v>
      </c>
      <c r="AQ46">
        <v>39</v>
      </c>
      <c r="AR46">
        <v>-0.64744699999999999</v>
      </c>
      <c r="AS46">
        <v>1643.96</v>
      </c>
      <c r="AX46">
        <f t="shared" si="6"/>
        <v>2.3000000000000003</v>
      </c>
      <c r="AY46">
        <v>39</v>
      </c>
      <c r="AZ46">
        <v>5.4518599999999999</v>
      </c>
      <c r="BA46">
        <v>868.38</v>
      </c>
      <c r="BF46">
        <f t="shared" si="7"/>
        <v>2.3000000000000003</v>
      </c>
      <c r="BG46">
        <v>39</v>
      </c>
      <c r="BH46">
        <v>-1.1275500000000001</v>
      </c>
      <c r="BI46">
        <v>10631.1</v>
      </c>
      <c r="BN46">
        <f t="shared" si="8"/>
        <v>2.3000000000000003</v>
      </c>
      <c r="BO46">
        <v>39</v>
      </c>
      <c r="BP46">
        <v>-2.1462500000000002</v>
      </c>
      <c r="BQ46">
        <v>1706.14</v>
      </c>
      <c r="BV46">
        <f t="shared" si="9"/>
        <v>2.3000000000000003</v>
      </c>
      <c r="BW46">
        <v>39</v>
      </c>
      <c r="BX46">
        <v>-0.862259</v>
      </c>
      <c r="BY46">
        <v>2894.83</v>
      </c>
    </row>
    <row r="47" spans="2:77" x14ac:dyDescent="0.2">
      <c r="B47">
        <f t="shared" si="0"/>
        <v>2.35</v>
      </c>
      <c r="C47">
        <v>40</v>
      </c>
      <c r="D47">
        <v>-3.1828599999999998</v>
      </c>
      <c r="E47">
        <v>-1133.94</v>
      </c>
      <c r="J47">
        <f t="shared" si="1"/>
        <v>2.35</v>
      </c>
      <c r="K47">
        <v>40</v>
      </c>
      <c r="L47">
        <v>-0.72748299999999999</v>
      </c>
      <c r="M47">
        <v>4026.23</v>
      </c>
      <c r="R47">
        <f t="shared" si="2"/>
        <v>2.35</v>
      </c>
      <c r="S47">
        <v>40</v>
      </c>
      <c r="T47">
        <v>-1.0725499999999999</v>
      </c>
      <c r="U47">
        <v>652.86599999999999</v>
      </c>
      <c r="Z47">
        <f t="shared" si="3"/>
        <v>2.35</v>
      </c>
      <c r="AA47">
        <v>40</v>
      </c>
      <c r="AB47">
        <v>-3.63625</v>
      </c>
      <c r="AC47">
        <v>2023.95</v>
      </c>
      <c r="AH47">
        <f t="shared" si="4"/>
        <v>2.35</v>
      </c>
      <c r="AI47">
        <v>40</v>
      </c>
      <c r="AJ47">
        <v>-0.35685099999999997</v>
      </c>
      <c r="AK47">
        <v>5251.84</v>
      </c>
      <c r="AP47">
        <f t="shared" si="5"/>
        <v>2.35</v>
      </c>
      <c r="AQ47">
        <v>40</v>
      </c>
      <c r="AR47">
        <v>-0.73850400000000005</v>
      </c>
      <c r="AS47">
        <v>1582.68</v>
      </c>
      <c r="AX47">
        <f t="shared" si="6"/>
        <v>2.35</v>
      </c>
      <c r="AY47">
        <v>40</v>
      </c>
      <c r="AZ47">
        <v>5.40611</v>
      </c>
      <c r="BA47">
        <v>754.42100000000005</v>
      </c>
      <c r="BF47">
        <f t="shared" si="7"/>
        <v>2.35</v>
      </c>
      <c r="BG47">
        <v>40</v>
      </c>
      <c r="BH47">
        <v>-1.6463300000000001</v>
      </c>
      <c r="BI47">
        <v>7811.01</v>
      </c>
      <c r="BN47">
        <f t="shared" si="8"/>
        <v>2.35</v>
      </c>
      <c r="BO47">
        <v>40</v>
      </c>
      <c r="BP47">
        <v>-2.2419199999999999</v>
      </c>
      <c r="BQ47">
        <v>1680.59</v>
      </c>
      <c r="BV47">
        <f t="shared" si="9"/>
        <v>2.35</v>
      </c>
      <c r="BW47">
        <v>40</v>
      </c>
      <c r="BX47">
        <v>-1.0174099999999999</v>
      </c>
      <c r="BY47">
        <v>2606.42</v>
      </c>
    </row>
    <row r="48" spans="2:77" x14ac:dyDescent="0.2">
      <c r="B48">
        <f t="shared" si="0"/>
        <v>2.4</v>
      </c>
      <c r="C48">
        <v>41</v>
      </c>
      <c r="D48">
        <v>-3.1164299999999998</v>
      </c>
      <c r="E48">
        <v>-1267.8900000000001</v>
      </c>
      <c r="J48">
        <f t="shared" si="1"/>
        <v>2.4</v>
      </c>
      <c r="K48">
        <v>41</v>
      </c>
      <c r="L48">
        <v>-0.92865699999999995</v>
      </c>
      <c r="M48">
        <v>3271.35</v>
      </c>
      <c r="R48">
        <f t="shared" si="2"/>
        <v>2.4</v>
      </c>
      <c r="S48">
        <v>41</v>
      </c>
      <c r="T48">
        <v>-1.0988800000000001</v>
      </c>
      <c r="U48">
        <v>308.02699999999999</v>
      </c>
      <c r="Z48">
        <f t="shared" si="3"/>
        <v>2.4</v>
      </c>
      <c r="AA48">
        <v>41</v>
      </c>
      <c r="AB48">
        <v>-3.74701</v>
      </c>
      <c r="AC48">
        <v>1985.21</v>
      </c>
      <c r="AH48">
        <f t="shared" si="4"/>
        <v>2.4</v>
      </c>
      <c r="AI48">
        <v>41</v>
      </c>
      <c r="AJ48">
        <v>-0.62888999999999995</v>
      </c>
      <c r="AK48">
        <v>4614.16</v>
      </c>
      <c r="AP48">
        <f t="shared" si="5"/>
        <v>2.4</v>
      </c>
      <c r="AQ48">
        <v>41</v>
      </c>
      <c r="AR48">
        <v>-0.82445299999999999</v>
      </c>
      <c r="AS48">
        <v>1529.62</v>
      </c>
      <c r="AX48">
        <f t="shared" si="6"/>
        <v>2.4</v>
      </c>
      <c r="AY48">
        <v>41</v>
      </c>
      <c r="AZ48">
        <v>5.3672199999999997</v>
      </c>
      <c r="BA48">
        <v>655.31500000000005</v>
      </c>
      <c r="BF48">
        <f t="shared" si="7"/>
        <v>2.4</v>
      </c>
      <c r="BG48">
        <v>41</v>
      </c>
      <c r="BH48">
        <v>-2.0143900000000001</v>
      </c>
      <c r="BI48">
        <v>5628.24</v>
      </c>
      <c r="BN48">
        <f t="shared" si="8"/>
        <v>2.4</v>
      </c>
      <c r="BO48">
        <v>41</v>
      </c>
      <c r="BP48">
        <v>-2.3338100000000002</v>
      </c>
      <c r="BQ48">
        <v>1643.89</v>
      </c>
      <c r="BV48">
        <f t="shared" si="9"/>
        <v>2.4</v>
      </c>
      <c r="BW48">
        <v>41</v>
      </c>
      <c r="BX48">
        <v>-1.1543699999999999</v>
      </c>
      <c r="BY48">
        <v>2356.91</v>
      </c>
    </row>
    <row r="49" spans="2:77" x14ac:dyDescent="0.2">
      <c r="B49">
        <f t="shared" si="0"/>
        <v>2.4499999999999997</v>
      </c>
      <c r="C49">
        <v>42</v>
      </c>
      <c r="D49">
        <v>-3.0446800000000001</v>
      </c>
      <c r="E49">
        <v>-1382.85</v>
      </c>
      <c r="J49">
        <f t="shared" si="1"/>
        <v>2.4499999999999997</v>
      </c>
      <c r="K49">
        <v>42</v>
      </c>
      <c r="L49">
        <v>-1.08754</v>
      </c>
      <c r="M49">
        <v>2617.13</v>
      </c>
      <c r="R49">
        <f t="shared" si="2"/>
        <v>2.4499999999999997</v>
      </c>
      <c r="S49">
        <v>42</v>
      </c>
      <c r="T49">
        <v>-1.10737</v>
      </c>
      <c r="U49">
        <v>12.4419</v>
      </c>
      <c r="Z49">
        <f t="shared" si="3"/>
        <v>2.4499999999999997</v>
      </c>
      <c r="AA49">
        <v>42</v>
      </c>
      <c r="AB49">
        <v>-3.8532799999999998</v>
      </c>
      <c r="AC49">
        <v>1943.68</v>
      </c>
      <c r="AH49">
        <f t="shared" si="4"/>
        <v>2.4499999999999997</v>
      </c>
      <c r="AI49">
        <v>42</v>
      </c>
      <c r="AJ49">
        <v>-0.86384099999999997</v>
      </c>
      <c r="AK49">
        <v>4088.95</v>
      </c>
      <c r="AP49">
        <f t="shared" si="5"/>
        <v>2.4499999999999997</v>
      </c>
      <c r="AQ49">
        <v>42</v>
      </c>
      <c r="AR49">
        <v>-0.90590400000000004</v>
      </c>
      <c r="AS49">
        <v>1483.06</v>
      </c>
      <c r="AX49">
        <f t="shared" si="6"/>
        <v>2.4499999999999997</v>
      </c>
      <c r="AY49">
        <v>42</v>
      </c>
      <c r="AZ49">
        <v>5.3341900000000004</v>
      </c>
      <c r="BA49">
        <v>567.38599999999997</v>
      </c>
      <c r="BF49">
        <f t="shared" si="7"/>
        <v>2.4499999999999997</v>
      </c>
      <c r="BG49">
        <v>42</v>
      </c>
      <c r="BH49">
        <v>-2.2761800000000001</v>
      </c>
      <c r="BI49">
        <v>4155.67</v>
      </c>
      <c r="BN49">
        <f t="shared" si="8"/>
        <v>2.4499999999999997</v>
      </c>
      <c r="BO49">
        <v>42</v>
      </c>
      <c r="BP49">
        <v>-2.4215200000000001</v>
      </c>
      <c r="BQ49">
        <v>1597.78</v>
      </c>
      <c r="BV49">
        <f t="shared" si="9"/>
        <v>2.4499999999999997</v>
      </c>
      <c r="BW49">
        <v>42</v>
      </c>
      <c r="BX49">
        <v>-1.2759400000000001</v>
      </c>
      <c r="BY49">
        <v>2143.4899999999998</v>
      </c>
    </row>
    <row r="50" spans="2:77" x14ac:dyDescent="0.2">
      <c r="B50">
        <f t="shared" si="0"/>
        <v>2.4999999999999996</v>
      </c>
      <c r="C50">
        <v>43</v>
      </c>
      <c r="D50">
        <v>-2.9687600000000001</v>
      </c>
      <c r="E50">
        <v>-1481.03</v>
      </c>
      <c r="J50">
        <f t="shared" si="1"/>
        <v>2.4999999999999996</v>
      </c>
      <c r="K50">
        <v>43</v>
      </c>
      <c r="L50">
        <v>-1.21085</v>
      </c>
      <c r="M50">
        <v>2050.4</v>
      </c>
      <c r="R50">
        <f t="shared" si="2"/>
        <v>2.4999999999999996</v>
      </c>
      <c r="S50">
        <v>43</v>
      </c>
      <c r="T50">
        <v>-1.10118</v>
      </c>
      <c r="U50">
        <v>-240.32</v>
      </c>
      <c r="Z50">
        <f t="shared" si="3"/>
        <v>2.4999999999999996</v>
      </c>
      <c r="AA50">
        <v>43</v>
      </c>
      <c r="AB50">
        <v>-3.95505</v>
      </c>
      <c r="AC50">
        <v>1897.69</v>
      </c>
      <c r="AH50">
        <f t="shared" si="4"/>
        <v>2.4999999999999996</v>
      </c>
      <c r="AI50">
        <v>43</v>
      </c>
      <c r="AJ50">
        <v>-1.0686500000000001</v>
      </c>
      <c r="AK50">
        <v>3656.45</v>
      </c>
      <c r="AP50">
        <f t="shared" si="5"/>
        <v>2.4999999999999996</v>
      </c>
      <c r="AQ50">
        <v>43</v>
      </c>
      <c r="AR50">
        <v>-0.983348</v>
      </c>
      <c r="AS50">
        <v>1441.58</v>
      </c>
      <c r="AX50">
        <f t="shared" si="6"/>
        <v>2.4999999999999996</v>
      </c>
      <c r="AY50">
        <v>43</v>
      </c>
      <c r="AZ50">
        <v>5.3062500000000004</v>
      </c>
      <c r="BA50">
        <v>488.495</v>
      </c>
      <c r="BF50">
        <f t="shared" si="7"/>
        <v>2.4999999999999996</v>
      </c>
      <c r="BG50">
        <v>43</v>
      </c>
      <c r="BH50">
        <v>-2.4700500000000001</v>
      </c>
      <c r="BI50">
        <v>3236.09</v>
      </c>
      <c r="BN50">
        <f t="shared" si="8"/>
        <v>2.4999999999999996</v>
      </c>
      <c r="BO50">
        <v>43</v>
      </c>
      <c r="BP50">
        <v>-2.5047600000000001</v>
      </c>
      <c r="BQ50">
        <v>1543.74</v>
      </c>
      <c r="BV50">
        <f t="shared" si="9"/>
        <v>2.4999999999999996</v>
      </c>
      <c r="BW50">
        <v>43</v>
      </c>
      <c r="BX50">
        <v>-1.3845799999999999</v>
      </c>
      <c r="BY50">
        <v>1962.69</v>
      </c>
    </row>
    <row r="51" spans="2:77" x14ac:dyDescent="0.2">
      <c r="B51">
        <f t="shared" si="0"/>
        <v>2.5499999999999994</v>
      </c>
      <c r="C51">
        <v>44</v>
      </c>
      <c r="D51">
        <v>-2.8896899999999999</v>
      </c>
      <c r="E51">
        <v>-1564.18</v>
      </c>
      <c r="J51">
        <f t="shared" si="1"/>
        <v>2.5499999999999994</v>
      </c>
      <c r="K51">
        <v>44</v>
      </c>
      <c r="L51">
        <v>-1.30426</v>
      </c>
      <c r="M51">
        <v>1559.15</v>
      </c>
      <c r="R51">
        <f t="shared" si="2"/>
        <v>2.5499999999999994</v>
      </c>
      <c r="S51">
        <v>44</v>
      </c>
      <c r="T51">
        <v>-1.0829899999999999</v>
      </c>
      <c r="U51">
        <v>-455.9</v>
      </c>
      <c r="Z51">
        <f t="shared" si="3"/>
        <v>2.5499999999999994</v>
      </c>
      <c r="AA51">
        <v>44</v>
      </c>
      <c r="AB51">
        <v>-4.0522400000000003</v>
      </c>
      <c r="AC51">
        <v>1846.44</v>
      </c>
      <c r="AH51">
        <f t="shared" si="4"/>
        <v>2.5499999999999994</v>
      </c>
      <c r="AI51">
        <v>44</v>
      </c>
      <c r="AJ51">
        <v>-1.24892</v>
      </c>
      <c r="AK51">
        <v>3300.91</v>
      </c>
      <c r="AP51">
        <f t="shared" si="5"/>
        <v>2.5499999999999994</v>
      </c>
      <c r="AQ51">
        <v>44</v>
      </c>
      <c r="AR51">
        <v>-1.05718</v>
      </c>
      <c r="AS51">
        <v>1403.93</v>
      </c>
      <c r="AX51">
        <f t="shared" si="6"/>
        <v>2.5499999999999994</v>
      </c>
      <c r="AY51">
        <v>44</v>
      </c>
      <c r="AZ51">
        <v>5.2827599999999997</v>
      </c>
      <c r="BA51">
        <v>417.755</v>
      </c>
      <c r="BF51">
        <f t="shared" si="7"/>
        <v>2.5499999999999994</v>
      </c>
      <c r="BG51">
        <v>44</v>
      </c>
      <c r="BH51">
        <v>-2.6223100000000001</v>
      </c>
      <c r="BI51">
        <v>2674.63</v>
      </c>
      <c r="BN51">
        <f t="shared" si="8"/>
        <v>2.5499999999999994</v>
      </c>
      <c r="BO51">
        <v>44</v>
      </c>
      <c r="BP51">
        <v>-2.5833400000000002</v>
      </c>
      <c r="BQ51">
        <v>1483.51</v>
      </c>
      <c r="BV51">
        <f t="shared" si="9"/>
        <v>2.5499999999999994</v>
      </c>
      <c r="BW51">
        <v>44</v>
      </c>
      <c r="BX51">
        <v>-1.4823900000000001</v>
      </c>
      <c r="BY51">
        <v>1810.39</v>
      </c>
    </row>
    <row r="52" spans="2:77" x14ac:dyDescent="0.2">
      <c r="B52">
        <f t="shared" si="0"/>
        <v>2.5999999999999992</v>
      </c>
      <c r="C52">
        <v>45</v>
      </c>
      <c r="D52">
        <v>-2.80829</v>
      </c>
      <c r="E52">
        <v>-1633.69</v>
      </c>
      <c r="J52">
        <f t="shared" si="1"/>
        <v>2.5999999999999992</v>
      </c>
      <c r="K52">
        <v>45</v>
      </c>
      <c r="L52">
        <v>-1.37252</v>
      </c>
      <c r="M52">
        <v>1132.82</v>
      </c>
      <c r="R52">
        <f t="shared" si="2"/>
        <v>2.5999999999999992</v>
      </c>
      <c r="S52">
        <v>45</v>
      </c>
      <c r="T52">
        <v>-1.0550200000000001</v>
      </c>
      <c r="U52">
        <v>-639.18600000000004</v>
      </c>
      <c r="Z52">
        <f t="shared" si="3"/>
        <v>2.5999999999999992</v>
      </c>
      <c r="AA52">
        <v>45</v>
      </c>
      <c r="AB52">
        <v>-4.1447599999999998</v>
      </c>
      <c r="AC52">
        <v>1789.82</v>
      </c>
      <c r="AH52">
        <f t="shared" si="4"/>
        <v>2.5999999999999992</v>
      </c>
      <c r="AI52">
        <v>45</v>
      </c>
      <c r="AJ52">
        <v>-1.4092100000000001</v>
      </c>
      <c r="AK52">
        <v>3009.4</v>
      </c>
      <c r="AP52">
        <f t="shared" si="5"/>
        <v>2.5999999999999992</v>
      </c>
      <c r="AQ52">
        <v>45</v>
      </c>
      <c r="AR52">
        <v>-1.12771</v>
      </c>
      <c r="AS52">
        <v>1369</v>
      </c>
      <c r="AX52">
        <f t="shared" si="6"/>
        <v>2.5999999999999992</v>
      </c>
      <c r="AY52">
        <v>45</v>
      </c>
      <c r="AZ52">
        <v>5.2631300000000003</v>
      </c>
      <c r="BA52">
        <v>355.29199999999997</v>
      </c>
      <c r="BF52">
        <f t="shared" si="7"/>
        <v>2.5999999999999992</v>
      </c>
      <c r="BG52">
        <v>45</v>
      </c>
      <c r="BH52">
        <v>-2.74871</v>
      </c>
      <c r="BI52">
        <v>2317.9299999999998</v>
      </c>
      <c r="BN52">
        <f t="shared" si="8"/>
        <v>2.5999999999999992</v>
      </c>
      <c r="BO52">
        <v>45</v>
      </c>
      <c r="BP52">
        <v>-2.6572</v>
      </c>
      <c r="BQ52">
        <v>1419.23</v>
      </c>
      <c r="BV52">
        <f t="shared" si="9"/>
        <v>2.5999999999999992</v>
      </c>
      <c r="BW52">
        <v>45</v>
      </c>
      <c r="BX52">
        <v>-1.57115</v>
      </c>
      <c r="BY52">
        <v>1682.11</v>
      </c>
    </row>
    <row r="53" spans="2:77" x14ac:dyDescent="0.2">
      <c r="B53">
        <f t="shared" si="0"/>
        <v>2.649999999999999</v>
      </c>
      <c r="C53">
        <v>46</v>
      </c>
      <c r="D53">
        <v>-2.72533</v>
      </c>
      <c r="E53">
        <v>-1690.68</v>
      </c>
      <c r="J53">
        <f t="shared" si="1"/>
        <v>2.649999999999999</v>
      </c>
      <c r="K53">
        <v>46</v>
      </c>
      <c r="L53">
        <v>-1.4196</v>
      </c>
      <c r="M53">
        <v>762.34799999999996</v>
      </c>
      <c r="R53">
        <f t="shared" si="2"/>
        <v>2.649999999999999</v>
      </c>
      <c r="S53">
        <v>46</v>
      </c>
      <c r="T53">
        <v>-1.0191600000000001</v>
      </c>
      <c r="U53">
        <v>-794.37199999999996</v>
      </c>
      <c r="Z53">
        <f t="shared" si="3"/>
        <v>2.649999999999999</v>
      </c>
      <c r="AA53">
        <v>46</v>
      </c>
      <c r="AB53">
        <v>-4.2325299999999997</v>
      </c>
      <c r="AC53">
        <v>1728.2</v>
      </c>
      <c r="AH53">
        <f t="shared" si="4"/>
        <v>2.649999999999999</v>
      </c>
      <c r="AI53">
        <v>46</v>
      </c>
      <c r="AJ53">
        <v>-1.55321</v>
      </c>
      <c r="AK53">
        <v>2770.85</v>
      </c>
      <c r="AP53">
        <f t="shared" si="5"/>
        <v>2.649999999999999</v>
      </c>
      <c r="AQ53">
        <v>46</v>
      </c>
      <c r="AR53">
        <v>-1.1951700000000001</v>
      </c>
      <c r="AS53">
        <v>1335.77</v>
      </c>
      <c r="AX53">
        <f t="shared" si="6"/>
        <v>2.649999999999999</v>
      </c>
      <c r="AY53">
        <v>46</v>
      </c>
      <c r="AZ53">
        <v>5.2467699999999997</v>
      </c>
      <c r="BA53">
        <v>301.964</v>
      </c>
      <c r="BF53">
        <f t="shared" si="7"/>
        <v>2.649999999999999</v>
      </c>
      <c r="BG53">
        <v>46</v>
      </c>
      <c r="BH53">
        <v>-2.85785</v>
      </c>
      <c r="BI53">
        <v>2069.33</v>
      </c>
      <c r="BN53">
        <f t="shared" si="8"/>
        <v>2.649999999999999</v>
      </c>
      <c r="BO53">
        <v>46</v>
      </c>
      <c r="BP53">
        <v>-2.7263600000000001</v>
      </c>
      <c r="BQ53">
        <v>1353.3</v>
      </c>
      <c r="BV53">
        <f t="shared" si="9"/>
        <v>2.649999999999999</v>
      </c>
      <c r="BW53">
        <v>46</v>
      </c>
      <c r="BX53">
        <v>-1.65228</v>
      </c>
      <c r="BY53">
        <v>1573.37</v>
      </c>
    </row>
    <row r="54" spans="2:77" x14ac:dyDescent="0.2">
      <c r="B54">
        <f t="shared" si="0"/>
        <v>2.6999999999999988</v>
      </c>
      <c r="C54">
        <v>47</v>
      </c>
      <c r="D54">
        <v>-2.6414399999999998</v>
      </c>
      <c r="E54">
        <v>-1736.11</v>
      </c>
      <c r="J54">
        <f t="shared" si="1"/>
        <v>2.6999999999999988</v>
      </c>
      <c r="K54">
        <v>47</v>
      </c>
      <c r="L54">
        <v>-1.4488700000000001</v>
      </c>
      <c r="M54">
        <v>440.19499999999999</v>
      </c>
      <c r="R54">
        <f t="shared" si="2"/>
        <v>2.6999999999999988</v>
      </c>
      <c r="S54">
        <v>47</v>
      </c>
      <c r="T54">
        <v>-0.97701199999999999</v>
      </c>
      <c r="U54">
        <v>-925.02700000000004</v>
      </c>
      <c r="Z54">
        <f t="shared" si="3"/>
        <v>2.6999999999999988</v>
      </c>
      <c r="AA54">
        <v>47</v>
      </c>
      <c r="AB54">
        <v>-4.3155099999999997</v>
      </c>
      <c r="AC54">
        <v>1662.32</v>
      </c>
      <c r="AH54">
        <f t="shared" si="4"/>
        <v>2.6999999999999988</v>
      </c>
      <c r="AI54">
        <v>47</v>
      </c>
      <c r="AJ54">
        <v>-1.68388</v>
      </c>
      <c r="AK54">
        <v>2575.44</v>
      </c>
      <c r="AP54">
        <f t="shared" si="5"/>
        <v>2.6999999999999988</v>
      </c>
      <c r="AQ54">
        <v>47</v>
      </c>
      <c r="AR54">
        <v>-1.2597400000000001</v>
      </c>
      <c r="AS54">
        <v>1303.3800000000001</v>
      </c>
      <c r="AX54">
        <f t="shared" si="6"/>
        <v>2.6999999999999988</v>
      </c>
      <c r="AY54">
        <v>47</v>
      </c>
      <c r="AZ54">
        <v>5.2330899999999998</v>
      </c>
      <c r="BA54">
        <v>259.02600000000001</v>
      </c>
      <c r="BF54">
        <f t="shared" si="7"/>
        <v>2.6999999999999988</v>
      </c>
      <c r="BG54">
        <v>47</v>
      </c>
      <c r="BH54">
        <v>-2.9542700000000002</v>
      </c>
      <c r="BI54">
        <v>1877.87</v>
      </c>
      <c r="BN54">
        <f t="shared" si="8"/>
        <v>2.6999999999999988</v>
      </c>
      <c r="BO54">
        <v>47</v>
      </c>
      <c r="BP54">
        <v>-2.7909899999999999</v>
      </c>
      <c r="BQ54">
        <v>1288.2</v>
      </c>
      <c r="BV54">
        <f t="shared" si="9"/>
        <v>2.6999999999999988</v>
      </c>
      <c r="BW54">
        <v>47</v>
      </c>
      <c r="BX54">
        <v>-1.72695</v>
      </c>
      <c r="BY54">
        <v>1480.1</v>
      </c>
    </row>
    <row r="55" spans="2:77" x14ac:dyDescent="0.2">
      <c r="B55">
        <f t="shared" si="0"/>
        <v>2.7499999999999987</v>
      </c>
      <c r="C55">
        <v>48</v>
      </c>
      <c r="D55">
        <v>-2.5571999999999999</v>
      </c>
      <c r="E55">
        <v>-1770.78</v>
      </c>
      <c r="J55">
        <f t="shared" si="1"/>
        <v>2.7499999999999987</v>
      </c>
      <c r="K55">
        <v>48</v>
      </c>
      <c r="L55">
        <v>-1.46315</v>
      </c>
      <c r="M55">
        <v>160.148</v>
      </c>
      <c r="R55">
        <f t="shared" si="2"/>
        <v>2.7499999999999987</v>
      </c>
      <c r="S55">
        <v>48</v>
      </c>
      <c r="T55">
        <v>-0.92989900000000003</v>
      </c>
      <c r="U55">
        <v>-1034.18</v>
      </c>
      <c r="Z55">
        <f t="shared" si="3"/>
        <v>2.7499999999999987</v>
      </c>
      <c r="AA55">
        <v>48</v>
      </c>
      <c r="AB55">
        <v>-4.3936900000000003</v>
      </c>
      <c r="AC55">
        <v>1593.12</v>
      </c>
      <c r="AH55">
        <f t="shared" si="4"/>
        <v>2.7499999999999987</v>
      </c>
      <c r="AI55">
        <v>48</v>
      </c>
      <c r="AJ55">
        <v>-1.8035699999999999</v>
      </c>
      <c r="AK55">
        <v>2414.3000000000002</v>
      </c>
      <c r="AP55">
        <f t="shared" si="5"/>
        <v>2.7499999999999987</v>
      </c>
      <c r="AQ55">
        <v>48</v>
      </c>
      <c r="AR55">
        <v>-1.3215600000000001</v>
      </c>
      <c r="AS55">
        <v>1271.0999999999999</v>
      </c>
      <c r="AX55">
        <f t="shared" si="6"/>
        <v>2.7499999999999987</v>
      </c>
      <c r="AY55">
        <v>48</v>
      </c>
      <c r="AZ55">
        <v>5.2214499999999999</v>
      </c>
      <c r="BA55">
        <v>227.75200000000001</v>
      </c>
      <c r="BF55">
        <f t="shared" si="7"/>
        <v>2.7499999999999987</v>
      </c>
      <c r="BG55">
        <v>48</v>
      </c>
      <c r="BH55">
        <v>-3.0405799999999998</v>
      </c>
      <c r="BI55">
        <v>1721.68</v>
      </c>
      <c r="BN55">
        <f t="shared" si="8"/>
        <v>2.7499999999999987</v>
      </c>
      <c r="BO55">
        <v>48</v>
      </c>
      <c r="BP55">
        <v>-2.8513500000000001</v>
      </c>
      <c r="BQ55">
        <v>1226.19</v>
      </c>
      <c r="BV55">
        <f t="shared" si="9"/>
        <v>2.7499999999999987</v>
      </c>
      <c r="BW55">
        <v>48</v>
      </c>
      <c r="BX55">
        <v>-1.79603</v>
      </c>
      <c r="BY55">
        <v>1398.88</v>
      </c>
    </row>
    <row r="56" spans="2:77" x14ac:dyDescent="0.2">
      <c r="B56">
        <f t="shared" si="0"/>
        <v>2.7999999999999985</v>
      </c>
      <c r="C56">
        <v>49</v>
      </c>
      <c r="D56">
        <v>-2.4731100000000001</v>
      </c>
      <c r="E56">
        <v>-1795.45</v>
      </c>
      <c r="J56">
        <f t="shared" si="1"/>
        <v>2.7999999999999985</v>
      </c>
      <c r="K56">
        <v>49</v>
      </c>
      <c r="L56">
        <v>-1.46485</v>
      </c>
      <c r="M56">
        <v>-82.847399999999993</v>
      </c>
      <c r="R56">
        <f t="shared" si="2"/>
        <v>2.7999999999999985</v>
      </c>
      <c r="S56">
        <v>49</v>
      </c>
      <c r="T56">
        <v>-0.87895900000000005</v>
      </c>
      <c r="U56">
        <v>-1124.3900000000001</v>
      </c>
      <c r="Z56">
        <f t="shared" si="3"/>
        <v>2.7999999999999985</v>
      </c>
      <c r="AA56">
        <v>49</v>
      </c>
      <c r="AB56">
        <v>-4.4671200000000004</v>
      </c>
      <c r="AC56">
        <v>1521.65</v>
      </c>
      <c r="AH56">
        <f t="shared" si="4"/>
        <v>2.7999999999999985</v>
      </c>
      <c r="AI56">
        <v>49</v>
      </c>
      <c r="AJ56">
        <v>-1.91412</v>
      </c>
      <c r="AK56">
        <v>2279.48</v>
      </c>
      <c r="AP56">
        <f t="shared" si="5"/>
        <v>2.7999999999999985</v>
      </c>
      <c r="AQ56">
        <v>49</v>
      </c>
      <c r="AR56">
        <v>-1.3807100000000001</v>
      </c>
      <c r="AS56">
        <v>1238.3800000000001</v>
      </c>
      <c r="AX56">
        <f t="shared" si="6"/>
        <v>2.7999999999999985</v>
      </c>
      <c r="AY56">
        <v>49</v>
      </c>
      <c r="AZ56">
        <v>5.2111999999999998</v>
      </c>
      <c r="BA56">
        <v>209.07400000000001</v>
      </c>
      <c r="BF56">
        <f t="shared" si="7"/>
        <v>2.7999999999999985</v>
      </c>
      <c r="BG56">
        <v>49</v>
      </c>
      <c r="BH56">
        <v>-3.11863</v>
      </c>
      <c r="BI56">
        <v>1593.84</v>
      </c>
      <c r="BN56">
        <f t="shared" si="8"/>
        <v>2.7999999999999985</v>
      </c>
      <c r="BO56">
        <v>49</v>
      </c>
      <c r="BP56">
        <v>-2.9077799999999998</v>
      </c>
      <c r="BQ56">
        <v>1169.07</v>
      </c>
      <c r="BV56">
        <f t="shared" si="9"/>
        <v>2.7999999999999985</v>
      </c>
      <c r="BW56">
        <v>49</v>
      </c>
      <c r="BX56">
        <v>-1.86026</v>
      </c>
      <c r="BY56">
        <v>1327.05</v>
      </c>
    </row>
    <row r="57" spans="2:77" x14ac:dyDescent="0.2">
      <c r="B57">
        <f t="shared" si="0"/>
        <v>2.8499999999999983</v>
      </c>
      <c r="C57">
        <v>50</v>
      </c>
      <c r="D57">
        <v>-2.3896099999999998</v>
      </c>
      <c r="E57">
        <v>-1810.84</v>
      </c>
      <c r="J57">
        <f t="shared" si="1"/>
        <v>2.8499999999999983</v>
      </c>
      <c r="K57">
        <v>50</v>
      </c>
      <c r="L57">
        <v>-1.4560500000000001</v>
      </c>
      <c r="M57">
        <v>-292.91500000000002</v>
      </c>
      <c r="R57">
        <f t="shared" si="2"/>
        <v>2.8499999999999983</v>
      </c>
      <c r="S57">
        <v>50</v>
      </c>
      <c r="T57">
        <v>-0.82515499999999997</v>
      </c>
      <c r="U57">
        <v>-1197.9000000000001</v>
      </c>
      <c r="Z57">
        <f t="shared" si="3"/>
        <v>2.8499999999999983</v>
      </c>
      <c r="AA57">
        <v>50</v>
      </c>
      <c r="AB57">
        <v>-4.5358799999999997</v>
      </c>
      <c r="AC57">
        <v>1448.95</v>
      </c>
      <c r="AH57">
        <f t="shared" si="4"/>
        <v>2.8499999999999983</v>
      </c>
      <c r="AI57">
        <v>50</v>
      </c>
      <c r="AJ57">
        <v>-2.0169100000000002</v>
      </c>
      <c r="AK57">
        <v>2164</v>
      </c>
      <c r="AP57">
        <f t="shared" si="5"/>
        <v>2.8499999999999983</v>
      </c>
      <c r="AQ57">
        <v>50</v>
      </c>
      <c r="AR57">
        <v>-1.43727</v>
      </c>
      <c r="AS57">
        <v>1204.8699999999999</v>
      </c>
      <c r="AX57">
        <f t="shared" si="6"/>
        <v>2.8499999999999983</v>
      </c>
      <c r="AY57">
        <v>50</v>
      </c>
      <c r="AZ57">
        <v>5.2017100000000003</v>
      </c>
      <c r="BA57">
        <v>203.297</v>
      </c>
      <c r="BF57">
        <f t="shared" si="7"/>
        <v>2.8499999999999983</v>
      </c>
      <c r="BG57">
        <v>50</v>
      </c>
      <c r="BH57">
        <v>-3.1899799999999998</v>
      </c>
      <c r="BI57">
        <v>1493.15</v>
      </c>
      <c r="BN57">
        <f t="shared" si="8"/>
        <v>2.8499999999999983</v>
      </c>
      <c r="BO57">
        <v>50</v>
      </c>
      <c r="BP57">
        <v>-2.9607000000000001</v>
      </c>
      <c r="BQ57">
        <v>1118.06</v>
      </c>
      <c r="BV57">
        <f t="shared" si="9"/>
        <v>2.8499999999999983</v>
      </c>
      <c r="BW57">
        <v>50</v>
      </c>
      <c r="BX57">
        <v>-1.9201699999999999</v>
      </c>
      <c r="BY57">
        <v>1262.73</v>
      </c>
    </row>
    <row r="58" spans="2:77" x14ac:dyDescent="0.2">
      <c r="B58">
        <f t="shared" si="0"/>
        <v>2.8999999999999981</v>
      </c>
      <c r="C58">
        <v>51</v>
      </c>
      <c r="D58">
        <v>-2.3070900000000001</v>
      </c>
      <c r="E58">
        <v>-1817.67</v>
      </c>
      <c r="J58">
        <f t="shared" si="1"/>
        <v>2.8999999999999981</v>
      </c>
      <c r="K58">
        <v>51</v>
      </c>
      <c r="L58">
        <v>-1.4385300000000001</v>
      </c>
      <c r="M58">
        <v>-473.476</v>
      </c>
      <c r="R58">
        <f t="shared" si="2"/>
        <v>2.8999999999999981</v>
      </c>
      <c r="S58">
        <v>51</v>
      </c>
      <c r="T58">
        <v>-0.76930200000000004</v>
      </c>
      <c r="U58">
        <v>-1256.6300000000001</v>
      </c>
      <c r="Z58">
        <f t="shared" si="3"/>
        <v>2.8999999999999981</v>
      </c>
      <c r="AA58">
        <v>51</v>
      </c>
      <c r="AB58">
        <v>-4.6001099999999999</v>
      </c>
      <c r="AC58">
        <v>1376</v>
      </c>
      <c r="AH58">
        <f t="shared" si="4"/>
        <v>2.8999999999999981</v>
      </c>
      <c r="AI58">
        <v>51</v>
      </c>
      <c r="AJ58">
        <v>-2.1129600000000002</v>
      </c>
      <c r="AK58">
        <v>2062.0100000000002</v>
      </c>
      <c r="AP58">
        <f t="shared" si="5"/>
        <v>2.8999999999999981</v>
      </c>
      <c r="AQ58">
        <v>51</v>
      </c>
      <c r="AR58">
        <v>-1.4912700000000001</v>
      </c>
      <c r="AS58">
        <v>1170.3499999999999</v>
      </c>
      <c r="AX58">
        <f t="shared" si="6"/>
        <v>2.8999999999999981</v>
      </c>
      <c r="AY58">
        <v>51</v>
      </c>
      <c r="AZ58">
        <v>5.1923599999999999</v>
      </c>
      <c r="BA58">
        <v>209.928</v>
      </c>
      <c r="BF58">
        <f t="shared" si="7"/>
        <v>2.8999999999999981</v>
      </c>
      <c r="BG58">
        <v>51</v>
      </c>
      <c r="BH58">
        <v>-3.2561</v>
      </c>
      <c r="BI58">
        <v>1419.02</v>
      </c>
      <c r="BN58">
        <f t="shared" si="8"/>
        <v>2.8999999999999981</v>
      </c>
      <c r="BO58">
        <v>51</v>
      </c>
      <c r="BP58">
        <v>-3.0105</v>
      </c>
      <c r="BQ58">
        <v>1073.6400000000001</v>
      </c>
      <c r="BV58">
        <f t="shared" si="9"/>
        <v>2.8999999999999981</v>
      </c>
      <c r="BW58">
        <v>51</v>
      </c>
      <c r="BX58">
        <v>-1.9762500000000001</v>
      </c>
      <c r="BY58">
        <v>1204.7</v>
      </c>
    </row>
    <row r="59" spans="2:77" x14ac:dyDescent="0.2">
      <c r="B59">
        <f t="shared" si="0"/>
        <v>2.949999999999998</v>
      </c>
      <c r="C59">
        <v>52</v>
      </c>
      <c r="D59">
        <v>-2.22587</v>
      </c>
      <c r="E59">
        <v>-1816.72</v>
      </c>
      <c r="J59">
        <f t="shared" si="1"/>
        <v>2.949999999999998</v>
      </c>
      <c r="K59">
        <v>52</v>
      </c>
      <c r="L59">
        <v>-1.4138500000000001</v>
      </c>
      <c r="M59">
        <v>-627.452</v>
      </c>
      <c r="R59">
        <f t="shared" si="2"/>
        <v>2.949999999999998</v>
      </c>
      <c r="S59">
        <v>52</v>
      </c>
      <c r="T59">
        <v>-0.71209299999999998</v>
      </c>
      <c r="U59">
        <v>-1302.3599999999999</v>
      </c>
      <c r="Z59">
        <f t="shared" si="3"/>
        <v>2.949999999999998</v>
      </c>
      <c r="AA59">
        <v>52</v>
      </c>
      <c r="AB59">
        <v>-4.6599700000000004</v>
      </c>
      <c r="AC59">
        <v>1303.69</v>
      </c>
      <c r="AH59">
        <f t="shared" si="4"/>
        <v>2.949999999999998</v>
      </c>
      <c r="AI59">
        <v>52</v>
      </c>
      <c r="AJ59">
        <v>-2.2029899999999998</v>
      </c>
      <c r="AK59">
        <v>1968.86</v>
      </c>
      <c r="AP59">
        <f t="shared" si="5"/>
        <v>2.949999999999998</v>
      </c>
      <c r="AQ59">
        <v>52</v>
      </c>
      <c r="AR59">
        <v>-1.54278</v>
      </c>
      <c r="AS59">
        <v>1134.75</v>
      </c>
      <c r="AX59">
        <f t="shared" si="6"/>
        <v>2.949999999999998</v>
      </c>
      <c r="AY59">
        <v>52</v>
      </c>
      <c r="AZ59">
        <v>5.18262</v>
      </c>
      <c r="BA59">
        <v>227.65199999999999</v>
      </c>
      <c r="BF59">
        <f t="shared" si="7"/>
        <v>2.949999999999998</v>
      </c>
      <c r="BG59">
        <v>52</v>
      </c>
      <c r="BH59">
        <v>-3.3183099999999999</v>
      </c>
      <c r="BI59">
        <v>1369.41</v>
      </c>
      <c r="BN59">
        <f t="shared" si="8"/>
        <v>2.949999999999998</v>
      </c>
      <c r="BO59">
        <v>52</v>
      </c>
      <c r="BP59">
        <v>-3.0575999999999999</v>
      </c>
      <c r="BQ59">
        <v>1035.6600000000001</v>
      </c>
      <c r="BV59">
        <f t="shared" si="9"/>
        <v>2.949999999999998</v>
      </c>
      <c r="BW59">
        <v>52</v>
      </c>
      <c r="BX59">
        <v>-2.0288900000000001</v>
      </c>
      <c r="BY59">
        <v>1152.3</v>
      </c>
    </row>
    <row r="60" spans="2:77" x14ac:dyDescent="0.2">
      <c r="B60">
        <f t="shared" si="0"/>
        <v>2.9999999999999978</v>
      </c>
      <c r="C60">
        <v>53</v>
      </c>
      <c r="D60">
        <v>-2.1462400000000001</v>
      </c>
      <c r="E60">
        <v>-1808.8</v>
      </c>
      <c r="J60">
        <f t="shared" si="1"/>
        <v>2.9999999999999978</v>
      </c>
      <c r="K60">
        <v>53</v>
      </c>
      <c r="L60">
        <v>-1.38337</v>
      </c>
      <c r="M60">
        <v>-757.44799999999998</v>
      </c>
      <c r="R60">
        <f t="shared" si="2"/>
        <v>2.9999999999999978</v>
      </c>
      <c r="S60">
        <v>53</v>
      </c>
      <c r="T60">
        <v>-0.65410800000000002</v>
      </c>
      <c r="U60">
        <v>-1336.7</v>
      </c>
      <c r="Z60">
        <f t="shared" si="3"/>
        <v>2.9999999999999978</v>
      </c>
      <c r="AA60">
        <v>53</v>
      </c>
      <c r="AB60">
        <v>-4.7156700000000003</v>
      </c>
      <c r="AC60">
        <v>1232.77</v>
      </c>
      <c r="AH60">
        <f t="shared" si="4"/>
        <v>2.9999999999999978</v>
      </c>
      <c r="AI60">
        <v>53</v>
      </c>
      <c r="AJ60">
        <v>-2.2875100000000002</v>
      </c>
      <c r="AK60">
        <v>1881.12</v>
      </c>
      <c r="AP60">
        <f t="shared" si="5"/>
        <v>2.9999999999999978</v>
      </c>
      <c r="AQ60">
        <v>53</v>
      </c>
      <c r="AR60">
        <v>-1.5918099999999999</v>
      </c>
      <c r="AS60">
        <v>1098.1500000000001</v>
      </c>
      <c r="AX60">
        <f t="shared" si="6"/>
        <v>2.9999999999999978</v>
      </c>
      <c r="AY60">
        <v>53</v>
      </c>
      <c r="AZ60">
        <v>5.1720699999999997</v>
      </c>
      <c r="BA60">
        <v>254.441</v>
      </c>
      <c r="BF60">
        <f t="shared" si="7"/>
        <v>2.9999999999999978</v>
      </c>
      <c r="BG60">
        <v>53</v>
      </c>
      <c r="BH60">
        <v>-3.3777499999999998</v>
      </c>
      <c r="BI60">
        <v>1340.52</v>
      </c>
      <c r="BN60">
        <f t="shared" si="8"/>
        <v>2.9999999999999978</v>
      </c>
      <c r="BO60">
        <v>53</v>
      </c>
      <c r="BP60">
        <v>-3.10236</v>
      </c>
      <c r="BQ60">
        <v>1003.38</v>
      </c>
      <c r="BV60">
        <f t="shared" si="9"/>
        <v>2.9999999999999978</v>
      </c>
      <c r="BW60">
        <v>53</v>
      </c>
      <c r="BX60">
        <v>-2.0784400000000001</v>
      </c>
      <c r="BY60">
        <v>1105.2</v>
      </c>
    </row>
    <row r="61" spans="2:77" x14ac:dyDescent="0.2">
      <c r="B61">
        <f t="shared" si="0"/>
        <v>3.0499999999999976</v>
      </c>
      <c r="C61">
        <v>54</v>
      </c>
      <c r="D61">
        <v>-2.0684200000000001</v>
      </c>
      <c r="E61">
        <v>-1794.75</v>
      </c>
      <c r="J61">
        <f t="shared" si="1"/>
        <v>3.0499999999999976</v>
      </c>
      <c r="K61">
        <v>54</v>
      </c>
      <c r="L61">
        <v>-1.3482499999999999</v>
      </c>
      <c r="M61">
        <v>-865.88199999999995</v>
      </c>
      <c r="R61">
        <f t="shared" si="2"/>
        <v>3.0499999999999976</v>
      </c>
      <c r="S61">
        <v>54</v>
      </c>
      <c r="T61">
        <v>-0.59583200000000003</v>
      </c>
      <c r="U61">
        <v>-1361.19</v>
      </c>
      <c r="Z61">
        <f t="shared" si="3"/>
        <v>3.0499999999999976</v>
      </c>
      <c r="AA61">
        <v>54</v>
      </c>
      <c r="AB61">
        <v>-4.7674000000000003</v>
      </c>
      <c r="AC61">
        <v>1163.8399999999999</v>
      </c>
      <c r="AH61">
        <f t="shared" si="4"/>
        <v>3.0499999999999976</v>
      </c>
      <c r="AI61">
        <v>54</v>
      </c>
      <c r="AJ61">
        <v>-2.3669099999999998</v>
      </c>
      <c r="AK61">
        <v>1796.53</v>
      </c>
      <c r="AP61">
        <f t="shared" si="5"/>
        <v>3.0499999999999976</v>
      </c>
      <c r="AQ61">
        <v>54</v>
      </c>
      <c r="AR61">
        <v>-1.63842</v>
      </c>
      <c r="AS61">
        <v>1060.7</v>
      </c>
      <c r="AX61">
        <f t="shared" si="6"/>
        <v>3.0499999999999976</v>
      </c>
      <c r="AY61">
        <v>54</v>
      </c>
      <c r="AZ61">
        <v>5.16038</v>
      </c>
      <c r="BA61">
        <v>287.77</v>
      </c>
      <c r="BF61">
        <f t="shared" si="7"/>
        <v>3.0499999999999976</v>
      </c>
      <c r="BG61">
        <v>54</v>
      </c>
      <c r="BH61">
        <v>-3.4352999999999998</v>
      </c>
      <c r="BI61">
        <v>1327.34</v>
      </c>
      <c r="BN61">
        <f t="shared" si="8"/>
        <v>3.0499999999999976</v>
      </c>
      <c r="BO61">
        <v>54</v>
      </c>
      <c r="BP61">
        <v>-3.14507</v>
      </c>
      <c r="BQ61">
        <v>975.71</v>
      </c>
      <c r="BV61">
        <f t="shared" si="9"/>
        <v>3.0499999999999976</v>
      </c>
      <c r="BW61">
        <v>54</v>
      </c>
      <c r="BX61">
        <v>-2.1252399999999998</v>
      </c>
      <c r="BY61">
        <v>1063.29</v>
      </c>
    </row>
    <row r="62" spans="2:77" x14ac:dyDescent="0.2">
      <c r="B62">
        <f t="shared" si="0"/>
        <v>3.0999999999999974</v>
      </c>
      <c r="C62">
        <v>55</v>
      </c>
      <c r="D62">
        <v>-1.9925999999999999</v>
      </c>
      <c r="E62">
        <v>-1775.49</v>
      </c>
      <c r="J62">
        <f t="shared" si="1"/>
        <v>3.0999999999999974</v>
      </c>
      <c r="K62">
        <v>55</v>
      </c>
      <c r="L62">
        <v>-1.3095300000000001</v>
      </c>
      <c r="M62">
        <v>-955.08600000000001</v>
      </c>
      <c r="R62">
        <f t="shared" si="2"/>
        <v>3.0999999999999974</v>
      </c>
      <c r="S62">
        <v>55</v>
      </c>
      <c r="T62">
        <v>-0.537663</v>
      </c>
      <c r="U62">
        <v>-1377.26</v>
      </c>
      <c r="Z62">
        <f t="shared" si="3"/>
        <v>3.0999999999999974</v>
      </c>
      <c r="AA62">
        <v>55</v>
      </c>
      <c r="AB62">
        <v>-4.81541</v>
      </c>
      <c r="AC62">
        <v>1097.3599999999999</v>
      </c>
      <c r="AH62">
        <f t="shared" si="4"/>
        <v>3.0999999999999974</v>
      </c>
      <c r="AI62">
        <v>55</v>
      </c>
      <c r="AJ62">
        <v>-2.4414400000000001</v>
      </c>
      <c r="AK62">
        <v>1713.84</v>
      </c>
      <c r="AP62">
        <f t="shared" si="5"/>
        <v>3.0999999999999974</v>
      </c>
      <c r="AQ62">
        <v>55</v>
      </c>
      <c r="AR62">
        <v>-1.68266</v>
      </c>
      <c r="AS62">
        <v>1022.64</v>
      </c>
      <c r="AX62">
        <f t="shared" si="6"/>
        <v>3.0999999999999974</v>
      </c>
      <c r="AY62">
        <v>55</v>
      </c>
      <c r="AZ62">
        <v>5.1473800000000001</v>
      </c>
      <c r="BA62">
        <v>324.89299999999997</v>
      </c>
      <c r="BF62">
        <f t="shared" si="7"/>
        <v>3.0999999999999974</v>
      </c>
      <c r="BG62">
        <v>55</v>
      </c>
      <c r="BH62">
        <v>-3.4915699999999998</v>
      </c>
      <c r="BI62">
        <v>1324.36</v>
      </c>
      <c r="BN62">
        <f t="shared" si="8"/>
        <v>3.0999999999999974</v>
      </c>
      <c r="BO62">
        <v>55</v>
      </c>
      <c r="BP62">
        <v>-3.1859799999999998</v>
      </c>
      <c r="BQ62">
        <v>951.32100000000003</v>
      </c>
      <c r="BV62">
        <f t="shared" si="9"/>
        <v>3.0999999999999974</v>
      </c>
      <c r="BW62">
        <v>55</v>
      </c>
      <c r="BX62">
        <v>-2.1696</v>
      </c>
      <c r="BY62">
        <v>1026.49</v>
      </c>
    </row>
    <row r="63" spans="2:77" x14ac:dyDescent="0.2">
      <c r="B63">
        <f t="shared" si="0"/>
        <v>3.1499999999999972</v>
      </c>
      <c r="C63">
        <v>56</v>
      </c>
      <c r="D63">
        <v>-1.9189099999999999</v>
      </c>
      <c r="E63">
        <v>-1751.94</v>
      </c>
      <c r="J63">
        <f t="shared" si="1"/>
        <v>3.1499999999999972</v>
      </c>
      <c r="K63">
        <v>56</v>
      </c>
      <c r="L63">
        <v>-1.26807</v>
      </c>
      <c r="M63">
        <v>-1027.3599999999999</v>
      </c>
      <c r="R63">
        <f t="shared" si="2"/>
        <v>3.1499999999999972</v>
      </c>
      <c r="S63">
        <v>56</v>
      </c>
      <c r="T63">
        <v>-0.47991899999999998</v>
      </c>
      <c r="U63">
        <v>-1386.33</v>
      </c>
      <c r="Z63">
        <f t="shared" si="3"/>
        <v>3.1499999999999972</v>
      </c>
      <c r="AA63">
        <v>56</v>
      </c>
      <c r="AB63">
        <v>-4.8599100000000002</v>
      </c>
      <c r="AC63">
        <v>1033.6400000000001</v>
      </c>
      <c r="AH63">
        <f t="shared" si="4"/>
        <v>3.1499999999999972</v>
      </c>
      <c r="AI63">
        <v>56</v>
      </c>
      <c r="AJ63">
        <v>-2.5113400000000001</v>
      </c>
      <c r="AK63">
        <v>1632.7</v>
      </c>
      <c r="AP63">
        <f t="shared" si="5"/>
        <v>3.1499999999999972</v>
      </c>
      <c r="AQ63">
        <v>56</v>
      </c>
      <c r="AR63">
        <v>-1.72458</v>
      </c>
      <c r="AS63">
        <v>984.274</v>
      </c>
      <c r="AX63">
        <f t="shared" si="6"/>
        <v>3.1499999999999972</v>
      </c>
      <c r="AY63">
        <v>56</v>
      </c>
      <c r="AZ63">
        <v>5.1330200000000001</v>
      </c>
      <c r="BA63">
        <v>363.13600000000002</v>
      </c>
      <c r="BF63">
        <f t="shared" si="7"/>
        <v>3.1499999999999972</v>
      </c>
      <c r="BG63">
        <v>56</v>
      </c>
      <c r="BH63">
        <v>-3.5469200000000001</v>
      </c>
      <c r="BI63">
        <v>1326.29</v>
      </c>
      <c r="BN63">
        <f t="shared" si="8"/>
        <v>3.1499999999999972</v>
      </c>
      <c r="BO63">
        <v>56</v>
      </c>
      <c r="BP63">
        <v>-3.22525</v>
      </c>
      <c r="BQ63">
        <v>928.89099999999996</v>
      </c>
      <c r="BV63">
        <f t="shared" si="9"/>
        <v>3.1499999999999972</v>
      </c>
      <c r="BW63">
        <v>56</v>
      </c>
      <c r="BX63">
        <v>-2.2118000000000002</v>
      </c>
      <c r="BY63">
        <v>994.68</v>
      </c>
    </row>
    <row r="64" spans="2:77" x14ac:dyDescent="0.2">
      <c r="B64">
        <f t="shared" si="0"/>
        <v>3.1999999999999971</v>
      </c>
      <c r="C64">
        <v>57</v>
      </c>
      <c r="D64">
        <v>-1.8474299999999999</v>
      </c>
      <c r="E64">
        <v>-1725.02</v>
      </c>
      <c r="J64">
        <f t="shared" si="1"/>
        <v>3.1999999999999971</v>
      </c>
      <c r="K64">
        <v>57</v>
      </c>
      <c r="L64">
        <v>-1.22462</v>
      </c>
      <c r="M64">
        <v>-1084.98</v>
      </c>
      <c r="R64">
        <f t="shared" si="2"/>
        <v>3.1999999999999971</v>
      </c>
      <c r="S64">
        <v>57</v>
      </c>
      <c r="T64">
        <v>-0.42284699999999997</v>
      </c>
      <c r="U64">
        <v>-1389.72</v>
      </c>
      <c r="Z64">
        <f t="shared" si="3"/>
        <v>3.1999999999999971</v>
      </c>
      <c r="AA64">
        <v>57</v>
      </c>
      <c r="AB64">
        <v>-4.9011399999999998</v>
      </c>
      <c r="AC64">
        <v>972.86500000000001</v>
      </c>
      <c r="AH64">
        <f t="shared" si="4"/>
        <v>3.1999999999999971</v>
      </c>
      <c r="AI64">
        <v>57</v>
      </c>
      <c r="AJ64">
        <v>-2.57681</v>
      </c>
      <c r="AK64">
        <v>1553.41</v>
      </c>
      <c r="AP64">
        <f t="shared" si="5"/>
        <v>3.1999999999999971</v>
      </c>
      <c r="AQ64">
        <v>57</v>
      </c>
      <c r="AR64">
        <v>-1.7642500000000001</v>
      </c>
      <c r="AS64">
        <v>945.95100000000002</v>
      </c>
      <c r="AX64">
        <f t="shared" si="6"/>
        <v>3.1999999999999971</v>
      </c>
      <c r="AY64">
        <v>57</v>
      </c>
      <c r="AZ64">
        <v>5.1173200000000003</v>
      </c>
      <c r="BA64">
        <v>400.15</v>
      </c>
      <c r="BF64">
        <f t="shared" si="7"/>
        <v>3.1999999999999971</v>
      </c>
      <c r="BG64">
        <v>57</v>
      </c>
      <c r="BH64">
        <v>-3.6014900000000001</v>
      </c>
      <c r="BI64">
        <v>1328.48</v>
      </c>
      <c r="BN64">
        <f t="shared" si="8"/>
        <v>3.1999999999999971</v>
      </c>
      <c r="BO64">
        <v>57</v>
      </c>
      <c r="BP64">
        <v>-3.2629899999999998</v>
      </c>
      <c r="BQ64">
        <v>907.23699999999997</v>
      </c>
      <c r="BV64">
        <f t="shared" si="9"/>
        <v>3.1999999999999971</v>
      </c>
      <c r="BW64">
        <v>57</v>
      </c>
      <c r="BX64">
        <v>-2.2521100000000001</v>
      </c>
      <c r="BY64">
        <v>967.62</v>
      </c>
    </row>
    <row r="65" spans="2:77" x14ac:dyDescent="0.2">
      <c r="B65">
        <f t="shared" si="0"/>
        <v>3.2499999999999969</v>
      </c>
      <c r="C65">
        <v>58</v>
      </c>
      <c r="D65">
        <v>-1.77823</v>
      </c>
      <c r="E65">
        <v>-1695.65</v>
      </c>
      <c r="J65">
        <f t="shared" si="1"/>
        <v>3.2499999999999969</v>
      </c>
      <c r="K65">
        <v>58</v>
      </c>
      <c r="L65">
        <v>-1.17977</v>
      </c>
      <c r="M65">
        <v>-1130.23</v>
      </c>
      <c r="R65">
        <f t="shared" si="2"/>
        <v>3.2499999999999969</v>
      </c>
      <c r="S65">
        <v>58</v>
      </c>
      <c r="T65">
        <v>-0.36663099999999998</v>
      </c>
      <c r="U65">
        <v>-1388.67</v>
      </c>
      <c r="Z65">
        <f t="shared" si="3"/>
        <v>3.2499999999999969</v>
      </c>
      <c r="AA65">
        <v>58</v>
      </c>
      <c r="AB65">
        <v>-4.9393200000000004</v>
      </c>
      <c r="AC65">
        <v>915.11900000000003</v>
      </c>
      <c r="AH65">
        <f t="shared" si="4"/>
        <v>3.2499999999999969</v>
      </c>
      <c r="AI65">
        <v>58</v>
      </c>
      <c r="AJ65">
        <v>-2.6381000000000001</v>
      </c>
      <c r="AK65">
        <v>1476.74</v>
      </c>
      <c r="AP65">
        <f t="shared" si="5"/>
        <v>3.2499999999999969</v>
      </c>
      <c r="AQ65">
        <v>58</v>
      </c>
      <c r="AR65">
        <v>-1.80176</v>
      </c>
      <c r="AS65">
        <v>908.04</v>
      </c>
      <c r="AX65">
        <f t="shared" si="6"/>
        <v>3.2499999999999969</v>
      </c>
      <c r="AY65">
        <v>58</v>
      </c>
      <c r="AZ65">
        <v>5.1004399999999999</v>
      </c>
      <c r="BA65">
        <v>434.10700000000003</v>
      </c>
      <c r="BF65">
        <f t="shared" si="7"/>
        <v>3.2499999999999969</v>
      </c>
      <c r="BG65">
        <v>58</v>
      </c>
      <c r="BH65">
        <v>-3.65523</v>
      </c>
      <c r="BI65">
        <v>1327.13</v>
      </c>
      <c r="BN65">
        <f t="shared" si="8"/>
        <v>3.2499999999999969</v>
      </c>
      <c r="BO65">
        <v>58</v>
      </c>
      <c r="BP65">
        <v>-3.2992499999999998</v>
      </c>
      <c r="BQ65">
        <v>885.42200000000003</v>
      </c>
      <c r="BV65">
        <f t="shared" si="9"/>
        <v>3.2499999999999969</v>
      </c>
      <c r="BW65">
        <v>58</v>
      </c>
      <c r="BX65">
        <v>-2.2907899999999999</v>
      </c>
      <c r="BY65">
        <v>944.94299999999998</v>
      </c>
    </row>
    <row r="66" spans="2:77" x14ac:dyDescent="0.2">
      <c r="B66">
        <f t="shared" si="0"/>
        <v>3.2999999999999967</v>
      </c>
      <c r="C66">
        <v>59</v>
      </c>
      <c r="D66">
        <v>-1.7113</v>
      </c>
      <c r="E66">
        <v>-1664.64</v>
      </c>
      <c r="J66">
        <f t="shared" si="1"/>
        <v>3.2999999999999967</v>
      </c>
      <c r="K66">
        <v>59</v>
      </c>
      <c r="L66">
        <v>-1.1340300000000001</v>
      </c>
      <c r="M66">
        <v>-1165.32</v>
      </c>
      <c r="R66">
        <f t="shared" si="2"/>
        <v>3.2999999999999967</v>
      </c>
      <c r="S66">
        <v>59</v>
      </c>
      <c r="T66">
        <v>-0.31139699999999998</v>
      </c>
      <c r="U66">
        <v>-1384.33</v>
      </c>
      <c r="Z66">
        <f t="shared" si="3"/>
        <v>3.2999999999999967</v>
      </c>
      <c r="AA66">
        <v>59</v>
      </c>
      <c r="AB66">
        <v>-4.9746800000000002</v>
      </c>
      <c r="AC66">
        <v>860.37800000000004</v>
      </c>
      <c r="AH66">
        <f t="shared" si="4"/>
        <v>3.2999999999999967</v>
      </c>
      <c r="AI66">
        <v>59</v>
      </c>
      <c r="AJ66">
        <v>-2.6954600000000002</v>
      </c>
      <c r="AK66">
        <v>1403.7</v>
      </c>
      <c r="AP66">
        <f t="shared" si="5"/>
        <v>3.2999999999999967</v>
      </c>
      <c r="AQ66">
        <v>59</v>
      </c>
      <c r="AR66">
        <v>-1.83718</v>
      </c>
      <c r="AS66">
        <v>870.92399999999998</v>
      </c>
      <c r="AX66">
        <f t="shared" si="6"/>
        <v>3.2999999999999967</v>
      </c>
      <c r="AY66">
        <v>59</v>
      </c>
      <c r="AZ66">
        <v>5.0825399999999998</v>
      </c>
      <c r="BA66">
        <v>463.81</v>
      </c>
      <c r="BF66">
        <f t="shared" si="7"/>
        <v>3.2999999999999967</v>
      </c>
      <c r="BG66">
        <v>59</v>
      </c>
      <c r="BH66">
        <v>-3.7079599999999999</v>
      </c>
      <c r="BI66">
        <v>1319.41</v>
      </c>
      <c r="BN66">
        <f t="shared" si="8"/>
        <v>3.2999999999999967</v>
      </c>
      <c r="BO66">
        <v>59</v>
      </c>
      <c r="BP66">
        <v>-3.3340700000000001</v>
      </c>
      <c r="BQ66">
        <v>862.81100000000004</v>
      </c>
      <c r="BV66">
        <f t="shared" si="9"/>
        <v>3.2999999999999967</v>
      </c>
      <c r="BW66">
        <v>59</v>
      </c>
      <c r="BX66">
        <v>-2.3280400000000001</v>
      </c>
      <c r="BY66">
        <v>926.15800000000002</v>
      </c>
    </row>
    <row r="67" spans="2:77" x14ac:dyDescent="0.2">
      <c r="B67">
        <f t="shared" si="0"/>
        <v>3.3499999999999965</v>
      </c>
      <c r="C67">
        <v>60</v>
      </c>
      <c r="D67">
        <v>-1.64663</v>
      </c>
      <c r="E67">
        <v>-1632.77</v>
      </c>
      <c r="J67">
        <f t="shared" si="1"/>
        <v>3.3499999999999965</v>
      </c>
      <c r="K67">
        <v>60</v>
      </c>
      <c r="L67">
        <v>-1.0877699999999999</v>
      </c>
      <c r="M67">
        <v>-1192.4100000000001</v>
      </c>
      <c r="R67">
        <f t="shared" si="2"/>
        <v>3.3499999999999965</v>
      </c>
      <c r="S67">
        <v>60</v>
      </c>
      <c r="T67">
        <v>-0.25722400000000001</v>
      </c>
      <c r="U67">
        <v>-1377.72</v>
      </c>
      <c r="Z67">
        <f t="shared" si="3"/>
        <v>3.3499999999999965</v>
      </c>
      <c r="AA67">
        <v>60</v>
      </c>
      <c r="AB67">
        <v>-5.0073999999999996</v>
      </c>
      <c r="AC67">
        <v>808.54899999999998</v>
      </c>
      <c r="AH67">
        <f t="shared" si="4"/>
        <v>3.3499999999999965</v>
      </c>
      <c r="AI67">
        <v>60</v>
      </c>
      <c r="AJ67">
        <v>-2.7491599999999998</v>
      </c>
      <c r="AK67">
        <v>1335.4</v>
      </c>
      <c r="AP67">
        <f t="shared" si="5"/>
        <v>3.3499999999999965</v>
      </c>
      <c r="AQ67">
        <v>60</v>
      </c>
      <c r="AR67">
        <v>-1.8706400000000001</v>
      </c>
      <c r="AS67">
        <v>834.98500000000001</v>
      </c>
      <c r="AX67">
        <f t="shared" si="6"/>
        <v>3.3499999999999965</v>
      </c>
      <c r="AY67">
        <v>60</v>
      </c>
      <c r="AZ67">
        <v>5.0638399999999999</v>
      </c>
      <c r="BA67">
        <v>488.72199999999998</v>
      </c>
      <c r="BF67">
        <f t="shared" si="7"/>
        <v>3.3499999999999965</v>
      </c>
      <c r="BG67">
        <v>60</v>
      </c>
      <c r="BH67">
        <v>-3.75943</v>
      </c>
      <c r="BI67">
        <v>1303.4000000000001</v>
      </c>
      <c r="BN67">
        <f t="shared" si="8"/>
        <v>3.3499999999999965</v>
      </c>
      <c r="BO67">
        <v>60</v>
      </c>
      <c r="BP67">
        <v>-3.3674499999999998</v>
      </c>
      <c r="BQ67">
        <v>839.07399999999996</v>
      </c>
      <c r="BV67">
        <f t="shared" si="9"/>
        <v>3.3499999999999965</v>
      </c>
      <c r="BW67">
        <v>60</v>
      </c>
      <c r="BX67">
        <v>-2.3640599999999998</v>
      </c>
      <c r="BY67">
        <v>910.68700000000001</v>
      </c>
    </row>
    <row r="68" spans="2:77" x14ac:dyDescent="0.2">
      <c r="B68">
        <f t="shared" si="0"/>
        <v>3.3999999999999964</v>
      </c>
      <c r="C68">
        <v>61</v>
      </c>
      <c r="D68">
        <v>-1.5841700000000001</v>
      </c>
      <c r="E68">
        <v>-1600.64</v>
      </c>
      <c r="J68">
        <f t="shared" si="1"/>
        <v>3.3999999999999964</v>
      </c>
      <c r="K68">
        <v>61</v>
      </c>
      <c r="L68">
        <v>-1.04128</v>
      </c>
      <c r="M68">
        <v>-1213.54</v>
      </c>
      <c r="R68">
        <f t="shared" si="2"/>
        <v>3.3999999999999964</v>
      </c>
      <c r="S68">
        <v>61</v>
      </c>
      <c r="T68">
        <v>-0.20415</v>
      </c>
      <c r="U68">
        <v>-1369.73</v>
      </c>
      <c r="Z68">
        <f t="shared" si="3"/>
        <v>3.3999999999999964</v>
      </c>
      <c r="AA68">
        <v>61</v>
      </c>
      <c r="AB68">
        <v>-5.0376799999999999</v>
      </c>
      <c r="AC68">
        <v>759.48699999999997</v>
      </c>
      <c r="AH68">
        <f t="shared" si="4"/>
        <v>3.3999999999999964</v>
      </c>
      <c r="AI68">
        <v>61</v>
      </c>
      <c r="AJ68">
        <v>-2.7995299999999999</v>
      </c>
      <c r="AK68">
        <v>1272.9100000000001</v>
      </c>
      <c r="AP68">
        <f t="shared" si="5"/>
        <v>3.3999999999999964</v>
      </c>
      <c r="AQ68">
        <v>61</v>
      </c>
      <c r="AR68">
        <v>-1.90222</v>
      </c>
      <c r="AS68">
        <v>800.58299999999997</v>
      </c>
      <c r="AX68">
        <f t="shared" si="6"/>
        <v>3.3999999999999964</v>
      </c>
      <c r="AY68">
        <v>61</v>
      </c>
      <c r="AZ68">
        <v>5.0445599999999997</v>
      </c>
      <c r="BA68">
        <v>508.91500000000002</v>
      </c>
      <c r="BF68">
        <f t="shared" si="7"/>
        <v>3.3999999999999964</v>
      </c>
      <c r="BG68">
        <v>61</v>
      </c>
      <c r="BH68">
        <v>-3.80932</v>
      </c>
      <c r="BI68">
        <v>1278.0999999999999</v>
      </c>
      <c r="BN68">
        <f t="shared" si="8"/>
        <v>3.3999999999999964</v>
      </c>
      <c r="BO68">
        <v>61</v>
      </c>
      <c r="BP68">
        <v>-3.3993899999999999</v>
      </c>
      <c r="BQ68">
        <v>814.14599999999996</v>
      </c>
      <c r="BV68">
        <f t="shared" si="9"/>
        <v>3.3999999999999964</v>
      </c>
      <c r="BW68">
        <v>61</v>
      </c>
      <c r="BX68">
        <v>-2.3989799999999999</v>
      </c>
      <c r="BY68">
        <v>897.91200000000003</v>
      </c>
    </row>
    <row r="69" spans="2:77" x14ac:dyDescent="0.2">
      <c r="B69">
        <f t="shared" si="0"/>
        <v>3.4499999999999962</v>
      </c>
      <c r="C69">
        <v>62</v>
      </c>
      <c r="D69">
        <v>-1.52386</v>
      </c>
      <c r="E69">
        <v>-1568.74</v>
      </c>
      <c r="J69">
        <f t="shared" si="1"/>
        <v>3.4499999999999962</v>
      </c>
      <c r="K69">
        <v>62</v>
      </c>
      <c r="L69">
        <v>-0.99475599999999997</v>
      </c>
      <c r="M69">
        <v>-1230.5899999999999</v>
      </c>
      <c r="R69">
        <f t="shared" si="2"/>
        <v>3.4499999999999962</v>
      </c>
      <c r="S69">
        <v>62</v>
      </c>
      <c r="T69">
        <v>-0.15218100000000001</v>
      </c>
      <c r="U69">
        <v>-1361.11</v>
      </c>
      <c r="Z69">
        <f t="shared" si="3"/>
        <v>3.4499999999999962</v>
      </c>
      <c r="AA69">
        <v>62</v>
      </c>
      <c r="AB69">
        <v>-5.0656999999999996</v>
      </c>
      <c r="AC69">
        <v>713.01700000000005</v>
      </c>
      <c r="AH69">
        <f t="shared" si="4"/>
        <v>3.4499999999999962</v>
      </c>
      <c r="AI69">
        <v>62</v>
      </c>
      <c r="AJ69">
        <v>-2.8468900000000001</v>
      </c>
      <c r="AK69">
        <v>1217.0999999999999</v>
      </c>
      <c r="AP69">
        <f t="shared" si="5"/>
        <v>3.4499999999999962</v>
      </c>
      <c r="AQ69">
        <v>62</v>
      </c>
      <c r="AR69">
        <v>-1.93207</v>
      </c>
      <c r="AS69">
        <v>768.04</v>
      </c>
      <c r="AX69">
        <f t="shared" si="6"/>
        <v>3.4499999999999962</v>
      </c>
      <c r="AY69">
        <v>62</v>
      </c>
      <c r="AZ69">
        <v>5.0248699999999999</v>
      </c>
      <c r="BA69">
        <v>524.96199999999999</v>
      </c>
      <c r="BF69">
        <f t="shared" si="7"/>
        <v>3.4499999999999962</v>
      </c>
      <c r="BG69">
        <v>62</v>
      </c>
      <c r="BH69">
        <v>-3.8573400000000002</v>
      </c>
      <c r="BI69">
        <v>1243.3599999999999</v>
      </c>
      <c r="BN69">
        <f t="shared" si="8"/>
        <v>3.4499999999999962</v>
      </c>
      <c r="BO69">
        <v>62</v>
      </c>
      <c r="BP69">
        <v>-3.4298899999999999</v>
      </c>
      <c r="BQ69">
        <v>788.16899999999998</v>
      </c>
      <c r="BV69">
        <f t="shared" si="9"/>
        <v>3.4499999999999962</v>
      </c>
      <c r="BW69">
        <v>62</v>
      </c>
      <c r="BX69">
        <v>-2.4329499999999999</v>
      </c>
      <c r="BY69">
        <v>887.21299999999997</v>
      </c>
    </row>
    <row r="70" spans="2:77" x14ac:dyDescent="0.2">
      <c r="B70">
        <f t="shared" si="0"/>
        <v>3.499999999999996</v>
      </c>
      <c r="C70">
        <v>63</v>
      </c>
      <c r="D70">
        <v>-1.4656199999999999</v>
      </c>
      <c r="E70">
        <v>-1537.37</v>
      </c>
      <c r="J70">
        <f t="shared" si="1"/>
        <v>3.499999999999996</v>
      </c>
      <c r="K70">
        <v>63</v>
      </c>
      <c r="L70">
        <v>-0.94832399999999994</v>
      </c>
      <c r="M70">
        <v>-1245.25</v>
      </c>
      <c r="R70">
        <f t="shared" si="2"/>
        <v>3.499999999999996</v>
      </c>
      <c r="S70">
        <v>63</v>
      </c>
      <c r="T70">
        <v>-0.101296</v>
      </c>
      <c r="U70">
        <v>-1352.41</v>
      </c>
      <c r="Z70">
        <f t="shared" si="3"/>
        <v>3.499999999999996</v>
      </c>
      <c r="AA70">
        <v>63</v>
      </c>
      <c r="AB70">
        <v>-5.0916100000000002</v>
      </c>
      <c r="AC70">
        <v>668.95</v>
      </c>
      <c r="AH70">
        <f t="shared" si="4"/>
        <v>3.499999999999996</v>
      </c>
      <c r="AI70">
        <v>63</v>
      </c>
      <c r="AJ70">
        <v>-2.89161</v>
      </c>
      <c r="AK70">
        <v>1168.55</v>
      </c>
      <c r="AP70">
        <f t="shared" si="5"/>
        <v>3.499999999999996</v>
      </c>
      <c r="AQ70">
        <v>63</v>
      </c>
      <c r="AR70">
        <v>-1.9602999999999999</v>
      </c>
      <c r="AS70">
        <v>737.61699999999996</v>
      </c>
      <c r="AX70">
        <f t="shared" si="6"/>
        <v>3.499999999999996</v>
      </c>
      <c r="AY70">
        <v>63</v>
      </c>
      <c r="AZ70">
        <v>5.0049400000000004</v>
      </c>
      <c r="BA70">
        <v>537.79</v>
      </c>
      <c r="BF70">
        <f t="shared" si="7"/>
        <v>3.499999999999996</v>
      </c>
      <c r="BG70">
        <v>63</v>
      </c>
      <c r="BH70">
        <v>-3.9031799999999999</v>
      </c>
      <c r="BI70">
        <v>1199.83</v>
      </c>
      <c r="BN70">
        <f t="shared" si="8"/>
        <v>3.499999999999996</v>
      </c>
      <c r="BO70">
        <v>63</v>
      </c>
      <c r="BP70">
        <v>-3.4589500000000002</v>
      </c>
      <c r="BQ70">
        <v>761.41600000000005</v>
      </c>
      <c r="BV70">
        <f t="shared" si="9"/>
        <v>3.499999999999996</v>
      </c>
      <c r="BW70">
        <v>63</v>
      </c>
      <c r="BX70">
        <v>-2.4660500000000001</v>
      </c>
      <c r="BY70">
        <v>878.01300000000003</v>
      </c>
    </row>
    <row r="71" spans="2:77" x14ac:dyDescent="0.2">
      <c r="B71">
        <f t="shared" si="0"/>
        <v>3.5499999999999958</v>
      </c>
      <c r="C71">
        <v>64</v>
      </c>
      <c r="D71">
        <v>-1.4093599999999999</v>
      </c>
      <c r="E71">
        <v>-1506.65</v>
      </c>
      <c r="J71">
        <f t="shared" si="1"/>
        <v>3.5499999999999958</v>
      </c>
      <c r="K71">
        <v>64</v>
      </c>
      <c r="L71">
        <v>-0.90203999999999995</v>
      </c>
      <c r="M71">
        <v>-1258.98</v>
      </c>
      <c r="R71">
        <f t="shared" si="2"/>
        <v>3.5499999999999958</v>
      </c>
      <c r="S71">
        <v>64</v>
      </c>
      <c r="T71">
        <v>-5.1460400000000003E-2</v>
      </c>
      <c r="U71">
        <v>-1344.05</v>
      </c>
      <c r="Z71">
        <f t="shared" si="3"/>
        <v>3.5499999999999958</v>
      </c>
      <c r="AA71">
        <v>64</v>
      </c>
      <c r="AB71">
        <v>-5.1155600000000003</v>
      </c>
      <c r="AC71">
        <v>627.10199999999998</v>
      </c>
      <c r="AH71">
        <f t="shared" si="4"/>
        <v>3.5499999999999958</v>
      </c>
      <c r="AI71">
        <v>64</v>
      </c>
      <c r="AJ71">
        <v>-2.9340199999999999</v>
      </c>
      <c r="AK71">
        <v>1127.56</v>
      </c>
      <c r="AP71">
        <f t="shared" si="5"/>
        <v>3.5499999999999958</v>
      </c>
      <c r="AQ71">
        <v>64</v>
      </c>
      <c r="AR71">
        <v>-1.9870399999999999</v>
      </c>
      <c r="AS71">
        <v>709.50400000000002</v>
      </c>
      <c r="AX71">
        <f t="shared" si="6"/>
        <v>3.5499999999999958</v>
      </c>
      <c r="AY71">
        <v>64</v>
      </c>
      <c r="AZ71">
        <v>4.9848600000000003</v>
      </c>
      <c r="BA71">
        <v>548.51499999999999</v>
      </c>
      <c r="BF71">
        <f t="shared" si="7"/>
        <v>3.5499999999999958</v>
      </c>
      <c r="BG71">
        <v>64</v>
      </c>
      <c r="BH71">
        <v>-3.9466100000000002</v>
      </c>
      <c r="BI71">
        <v>1148.8399999999999</v>
      </c>
      <c r="BN71">
        <f t="shared" si="8"/>
        <v>3.5499999999999958</v>
      </c>
      <c r="BO71">
        <v>64</v>
      </c>
      <c r="BP71">
        <v>-3.4866000000000001</v>
      </c>
      <c r="BQ71">
        <v>734.22</v>
      </c>
      <c r="BV71">
        <f t="shared" si="9"/>
        <v>3.5499999999999958</v>
      </c>
      <c r="BW71">
        <v>64</v>
      </c>
      <c r="BX71">
        <v>-2.4983499999999998</v>
      </c>
      <c r="BY71">
        <v>869.79100000000005</v>
      </c>
    </row>
    <row r="72" spans="2:77" x14ac:dyDescent="0.2">
      <c r="B72">
        <f t="shared" si="0"/>
        <v>3.5999999999999956</v>
      </c>
      <c r="C72">
        <v>65</v>
      </c>
      <c r="D72">
        <v>-1.355</v>
      </c>
      <c r="E72">
        <v>-1476.51</v>
      </c>
      <c r="J72">
        <f t="shared" si="1"/>
        <v>3.5999999999999956</v>
      </c>
      <c r="K72">
        <v>65</v>
      </c>
      <c r="L72">
        <v>-0.85590999999999995</v>
      </c>
      <c r="M72">
        <v>-1272.96</v>
      </c>
      <c r="R72">
        <f t="shared" si="2"/>
        <v>3.5999999999999956</v>
      </c>
      <c r="S72">
        <v>65</v>
      </c>
      <c r="T72">
        <v>-2.6267299999999999E-3</v>
      </c>
      <c r="U72">
        <v>-1336.22</v>
      </c>
      <c r="Z72">
        <f t="shared" si="3"/>
        <v>3.5999999999999956</v>
      </c>
      <c r="AA72">
        <v>65</v>
      </c>
      <c r="AB72">
        <v>-5.1376799999999996</v>
      </c>
      <c r="AC72">
        <v>587.30999999999995</v>
      </c>
      <c r="AH72">
        <f t="shared" si="4"/>
        <v>3.5999999999999956</v>
      </c>
      <c r="AI72">
        <v>65</v>
      </c>
      <c r="AJ72">
        <v>-2.9744799999999998</v>
      </c>
      <c r="AK72">
        <v>1094.03</v>
      </c>
      <c r="AP72">
        <f t="shared" si="5"/>
        <v>3.5999999999999956</v>
      </c>
      <c r="AQ72">
        <v>65</v>
      </c>
      <c r="AR72">
        <v>-2.0124200000000001</v>
      </c>
      <c r="AS72">
        <v>683.79700000000003</v>
      </c>
      <c r="AX72">
        <f t="shared" si="6"/>
        <v>3.5999999999999956</v>
      </c>
      <c r="AY72">
        <v>65</v>
      </c>
      <c r="AZ72">
        <v>4.96469</v>
      </c>
      <c r="BA72">
        <v>558.28399999999999</v>
      </c>
      <c r="BF72">
        <f t="shared" si="7"/>
        <v>3.5999999999999956</v>
      </c>
      <c r="BG72">
        <v>65</v>
      </c>
      <c r="BH72">
        <v>-3.98746</v>
      </c>
      <c r="BI72">
        <v>1092.27</v>
      </c>
      <c r="BN72">
        <f t="shared" si="8"/>
        <v>3.5999999999999956</v>
      </c>
      <c r="BO72">
        <v>65</v>
      </c>
      <c r="BP72">
        <v>-3.5128499999999998</v>
      </c>
      <c r="BQ72">
        <v>706.91499999999996</v>
      </c>
      <c r="BV72">
        <f t="shared" si="9"/>
        <v>3.5999999999999956</v>
      </c>
      <c r="BW72">
        <v>65</v>
      </c>
      <c r="BX72">
        <v>-2.5299</v>
      </c>
      <c r="BY72">
        <v>862.09500000000003</v>
      </c>
    </row>
    <row r="73" spans="2:77" x14ac:dyDescent="0.2">
      <c r="B73">
        <f t="shared" ref="B73:B107" si="10">B72+0.05</f>
        <v>3.6499999999999955</v>
      </c>
      <c r="C73">
        <v>66</v>
      </c>
      <c r="D73">
        <v>-1.3024800000000001</v>
      </c>
      <c r="E73">
        <v>-1446.7</v>
      </c>
      <c r="J73">
        <f t="shared" ref="J73:J107" si="11">J72+0.05</f>
        <v>3.6499999999999955</v>
      </c>
      <c r="K73">
        <v>66</v>
      </c>
      <c r="L73">
        <v>-0.80990499999999999</v>
      </c>
      <c r="M73">
        <v>-1288.05</v>
      </c>
      <c r="R73">
        <f t="shared" ref="R73:R107" si="12">R72+0.05</f>
        <v>3.6499999999999955</v>
      </c>
      <c r="S73">
        <v>66</v>
      </c>
      <c r="T73">
        <v>4.5253099999999997E-2</v>
      </c>
      <c r="U73">
        <v>-1328.97</v>
      </c>
      <c r="Z73">
        <f t="shared" ref="Z73:Z107" si="13">Z72+0.05</f>
        <v>3.6499999999999955</v>
      </c>
      <c r="AA73">
        <v>66</v>
      </c>
      <c r="AB73">
        <v>-5.1581000000000001</v>
      </c>
      <c r="AC73">
        <v>549.44500000000005</v>
      </c>
      <c r="AH73">
        <f t="shared" ref="AH73:AH107" si="14">AH72+0.05</f>
        <v>3.6499999999999955</v>
      </c>
      <c r="AI73">
        <v>66</v>
      </c>
      <c r="AJ73">
        <v>-3.01329</v>
      </c>
      <c r="AK73">
        <v>1067.54</v>
      </c>
      <c r="AP73">
        <f t="shared" ref="AP73:AP107" si="15">AP72+0.05</f>
        <v>3.6499999999999955</v>
      </c>
      <c r="AQ73">
        <v>66</v>
      </c>
      <c r="AR73">
        <v>-2.0365600000000001</v>
      </c>
      <c r="AS73">
        <v>660.48400000000004</v>
      </c>
      <c r="AX73">
        <f t="shared" ref="AX73:AX107" si="16">AX72+0.05</f>
        <v>3.6499999999999955</v>
      </c>
      <c r="AY73">
        <v>66</v>
      </c>
      <c r="AZ73">
        <v>4.9444600000000003</v>
      </c>
      <c r="BA73">
        <v>568.12300000000005</v>
      </c>
      <c r="BF73">
        <f t="shared" ref="BF73:BF107" si="17">BF72+0.05</f>
        <v>3.6499999999999955</v>
      </c>
      <c r="BG73">
        <v>66</v>
      </c>
      <c r="BH73">
        <v>-4.0256400000000001</v>
      </c>
      <c r="BI73">
        <v>1032.3800000000001</v>
      </c>
      <c r="BN73">
        <f t="shared" ref="BN73:BN107" si="18">BN72+0.05</f>
        <v>3.6499999999999955</v>
      </c>
      <c r="BO73">
        <v>66</v>
      </c>
      <c r="BP73">
        <v>-3.5377700000000001</v>
      </c>
      <c r="BQ73">
        <v>679.78599999999994</v>
      </c>
      <c r="BV73">
        <f t="shared" ref="BV73:BV107" si="19">BV72+0.05</f>
        <v>3.6499999999999955</v>
      </c>
      <c r="BW73">
        <v>66</v>
      </c>
      <c r="BX73">
        <v>-2.56074</v>
      </c>
      <c r="BY73">
        <v>854.524</v>
      </c>
    </row>
    <row r="74" spans="2:77" x14ac:dyDescent="0.2">
      <c r="B74">
        <f t="shared" si="10"/>
        <v>3.6999999999999953</v>
      </c>
      <c r="C74">
        <v>67</v>
      </c>
      <c r="D74">
        <v>-1.2517499999999999</v>
      </c>
      <c r="E74">
        <v>-1416.8</v>
      </c>
      <c r="J74">
        <f t="shared" si="11"/>
        <v>3.6999999999999953</v>
      </c>
      <c r="K74">
        <v>67</v>
      </c>
      <c r="L74">
        <v>-0.76397300000000001</v>
      </c>
      <c r="M74">
        <v>-1304.76</v>
      </c>
      <c r="R74">
        <f t="shared" si="12"/>
        <v>3.6999999999999953</v>
      </c>
      <c r="S74">
        <v>67</v>
      </c>
      <c r="T74">
        <v>9.2223299999999994E-2</v>
      </c>
      <c r="U74">
        <v>-1322.12</v>
      </c>
      <c r="Z74">
        <f t="shared" si="13"/>
        <v>3.6999999999999953</v>
      </c>
      <c r="AA74">
        <v>67</v>
      </c>
      <c r="AB74">
        <v>-5.1769299999999996</v>
      </c>
      <c r="AC74">
        <v>513.41700000000003</v>
      </c>
      <c r="AH74">
        <f t="shared" si="14"/>
        <v>3.6999999999999953</v>
      </c>
      <c r="AI74">
        <v>67</v>
      </c>
      <c r="AJ74">
        <v>-3.0507499999999999</v>
      </c>
      <c r="AK74">
        <v>1047.3</v>
      </c>
      <c r="AP74">
        <f t="shared" si="15"/>
        <v>3.6999999999999953</v>
      </c>
      <c r="AQ74">
        <v>67</v>
      </c>
      <c r="AR74">
        <v>-2.05959</v>
      </c>
      <c r="AS74">
        <v>639.447</v>
      </c>
      <c r="AX74">
        <f t="shared" si="16"/>
        <v>3.6999999999999953</v>
      </c>
      <c r="AY74">
        <v>67</v>
      </c>
      <c r="AZ74">
        <v>4.9241400000000004</v>
      </c>
      <c r="BA74">
        <v>578.82600000000002</v>
      </c>
      <c r="BF74">
        <f t="shared" si="17"/>
        <v>3.6999999999999953</v>
      </c>
      <c r="BG74">
        <v>67</v>
      </c>
      <c r="BH74">
        <v>-4.0611499999999996</v>
      </c>
      <c r="BI74">
        <v>971.56200000000001</v>
      </c>
      <c r="BN74">
        <f t="shared" si="18"/>
        <v>3.6999999999999953</v>
      </c>
      <c r="BO74">
        <v>67</v>
      </c>
      <c r="BP74">
        <v>-3.5613800000000002</v>
      </c>
      <c r="BQ74">
        <v>653.04499999999996</v>
      </c>
      <c r="BV74">
        <f t="shared" si="19"/>
        <v>3.6999999999999953</v>
      </c>
      <c r="BW74">
        <v>67</v>
      </c>
      <c r="BX74">
        <v>-2.5908899999999999</v>
      </c>
      <c r="BY74">
        <v>846.71199999999999</v>
      </c>
    </row>
    <row r="75" spans="2:77" x14ac:dyDescent="0.2">
      <c r="B75">
        <f t="shared" si="10"/>
        <v>3.7499999999999951</v>
      </c>
      <c r="C75">
        <v>68</v>
      </c>
      <c r="D75">
        <v>-1.2027600000000001</v>
      </c>
      <c r="E75">
        <v>-1386.26</v>
      </c>
      <c r="J75">
        <f t="shared" si="11"/>
        <v>3.7499999999999951</v>
      </c>
      <c r="K75">
        <v>68</v>
      </c>
      <c r="L75">
        <v>-0.71805099999999999</v>
      </c>
      <c r="M75">
        <v>-1323.18</v>
      </c>
      <c r="R75">
        <f t="shared" si="12"/>
        <v>3.7499999999999951</v>
      </c>
      <c r="S75">
        <v>68</v>
      </c>
      <c r="T75">
        <v>0.138318</v>
      </c>
      <c r="U75">
        <v>-1315.36</v>
      </c>
      <c r="Z75">
        <f t="shared" si="13"/>
        <v>3.7499999999999951</v>
      </c>
      <c r="AA75">
        <v>68</v>
      </c>
      <c r="AB75">
        <v>-5.1942700000000004</v>
      </c>
      <c r="AC75">
        <v>479.18299999999999</v>
      </c>
      <c r="AH75">
        <f t="shared" si="14"/>
        <v>3.7499999999999951</v>
      </c>
      <c r="AI75">
        <v>68</v>
      </c>
      <c r="AJ75">
        <v>-3.0870799999999998</v>
      </c>
      <c r="AK75">
        <v>1032.25</v>
      </c>
      <c r="AP75">
        <f t="shared" si="15"/>
        <v>3.7499999999999951</v>
      </c>
      <c r="AQ75">
        <v>68</v>
      </c>
      <c r="AR75">
        <v>-2.0815999999999999</v>
      </c>
      <c r="AS75">
        <v>620.45000000000005</v>
      </c>
      <c r="AX75">
        <f t="shared" si="16"/>
        <v>3.7499999999999951</v>
      </c>
      <c r="AY75">
        <v>68</v>
      </c>
      <c r="AZ75">
        <v>4.9036999999999997</v>
      </c>
      <c r="BA75">
        <v>590.87400000000002</v>
      </c>
      <c r="BF75">
        <f t="shared" si="17"/>
        <v>3.7499999999999951</v>
      </c>
      <c r="BG75">
        <v>68</v>
      </c>
      <c r="BH75">
        <v>-4.0940599999999998</v>
      </c>
      <c r="BI75">
        <v>912.16300000000001</v>
      </c>
      <c r="BN75">
        <f t="shared" si="18"/>
        <v>3.7499999999999951</v>
      </c>
      <c r="BO75">
        <v>68</v>
      </c>
      <c r="BP75">
        <v>-3.5837500000000002</v>
      </c>
      <c r="BQ75">
        <v>626.81399999999996</v>
      </c>
      <c r="BV75">
        <f t="shared" si="19"/>
        <v>3.7499999999999951</v>
      </c>
      <c r="BW75">
        <v>68</v>
      </c>
      <c r="BX75">
        <v>-2.6203400000000001</v>
      </c>
      <c r="BY75">
        <v>838.29700000000003</v>
      </c>
    </row>
    <row r="76" spans="2:77" x14ac:dyDescent="0.2">
      <c r="B76">
        <f t="shared" si="10"/>
        <v>3.7999999999999949</v>
      </c>
      <c r="C76">
        <v>69</v>
      </c>
      <c r="D76">
        <v>-1.1555</v>
      </c>
      <c r="E76">
        <v>-1354.44</v>
      </c>
      <c r="J76">
        <f t="shared" si="11"/>
        <v>3.7999999999999949</v>
      </c>
      <c r="K76">
        <v>69</v>
      </c>
      <c r="L76">
        <v>-0.67208500000000004</v>
      </c>
      <c r="M76">
        <v>-1343.03</v>
      </c>
      <c r="R76">
        <f t="shared" si="12"/>
        <v>3.7999999999999949</v>
      </c>
      <c r="S76">
        <v>69</v>
      </c>
      <c r="T76">
        <v>0.183555</v>
      </c>
      <c r="U76">
        <v>-1308.2</v>
      </c>
      <c r="Z76">
        <f t="shared" si="13"/>
        <v>3.7999999999999949</v>
      </c>
      <c r="AA76">
        <v>69</v>
      </c>
      <c r="AB76">
        <v>-5.2102300000000001</v>
      </c>
      <c r="AC76">
        <v>446.74700000000001</v>
      </c>
      <c r="AH76">
        <f t="shared" si="14"/>
        <v>3.7999999999999949</v>
      </c>
      <c r="AI76">
        <v>69</v>
      </c>
      <c r="AJ76">
        <v>-3.1224699999999999</v>
      </c>
      <c r="AK76">
        <v>1021.06</v>
      </c>
      <c r="AP76">
        <f t="shared" si="15"/>
        <v>3.7999999999999949</v>
      </c>
      <c r="AQ76">
        <v>69</v>
      </c>
      <c r="AR76">
        <v>-2.1027</v>
      </c>
      <c r="AS76">
        <v>603.15300000000002</v>
      </c>
      <c r="AX76">
        <f t="shared" si="16"/>
        <v>3.7999999999999949</v>
      </c>
      <c r="AY76">
        <v>69</v>
      </c>
      <c r="AZ76">
        <v>4.8830999999999998</v>
      </c>
      <c r="BA76">
        <v>604.39</v>
      </c>
      <c r="BF76">
        <f t="shared" si="17"/>
        <v>3.7999999999999949</v>
      </c>
      <c r="BG76">
        <v>69</v>
      </c>
      <c r="BH76">
        <v>-4.1245399999999997</v>
      </c>
      <c r="BI76">
        <v>856.23199999999997</v>
      </c>
      <c r="BN76">
        <f t="shared" si="18"/>
        <v>3.7999999999999949</v>
      </c>
      <c r="BO76">
        <v>69</v>
      </c>
      <c r="BP76">
        <v>-3.6049199999999999</v>
      </c>
      <c r="BQ76">
        <v>601.12</v>
      </c>
      <c r="BV76">
        <f t="shared" si="19"/>
        <v>3.7999999999999949</v>
      </c>
      <c r="BW76">
        <v>69</v>
      </c>
      <c r="BX76">
        <v>-2.6490900000000002</v>
      </c>
      <c r="BY76">
        <v>828.90099999999995</v>
      </c>
    </row>
    <row r="77" spans="2:77" x14ac:dyDescent="0.2">
      <c r="B77">
        <f t="shared" si="10"/>
        <v>3.8499999999999948</v>
      </c>
      <c r="C77">
        <v>70</v>
      </c>
      <c r="D77">
        <v>-1.10998</v>
      </c>
      <c r="E77">
        <v>-1320.62</v>
      </c>
      <c r="J77">
        <f t="shared" si="11"/>
        <v>3.8499999999999948</v>
      </c>
      <c r="K77">
        <v>70</v>
      </c>
      <c r="L77">
        <v>-0.62603699999999995</v>
      </c>
      <c r="M77">
        <v>-1363.57</v>
      </c>
      <c r="R77">
        <f t="shared" si="12"/>
        <v>3.8499999999999948</v>
      </c>
      <c r="S77">
        <v>70</v>
      </c>
      <c r="T77">
        <v>0.227935</v>
      </c>
      <c r="U77">
        <v>-1300.06</v>
      </c>
      <c r="Z77">
        <f t="shared" si="13"/>
        <v>3.8499999999999948</v>
      </c>
      <c r="AA77">
        <v>70</v>
      </c>
      <c r="AB77">
        <v>-5.2249100000000004</v>
      </c>
      <c r="AC77">
        <v>416.15199999999999</v>
      </c>
      <c r="AH77">
        <f t="shared" si="14"/>
        <v>3.8499999999999948</v>
      </c>
      <c r="AI77">
        <v>70</v>
      </c>
      <c r="AJ77">
        <v>-3.15706</v>
      </c>
      <c r="AK77">
        <v>1012.29</v>
      </c>
      <c r="AP77">
        <f t="shared" si="15"/>
        <v>3.8499999999999948</v>
      </c>
      <c r="AQ77">
        <v>70</v>
      </c>
      <c r="AR77">
        <v>-2.1229499999999999</v>
      </c>
      <c r="AS77">
        <v>587.12599999999998</v>
      </c>
      <c r="AX77">
        <f t="shared" si="16"/>
        <v>3.8499999999999948</v>
      </c>
      <c r="AY77">
        <v>70</v>
      </c>
      <c r="AZ77">
        <v>4.8622800000000002</v>
      </c>
      <c r="BA77">
        <v>619.14</v>
      </c>
      <c r="BF77">
        <f t="shared" si="17"/>
        <v>3.8499999999999948</v>
      </c>
      <c r="BG77">
        <v>70</v>
      </c>
      <c r="BH77">
        <v>-4.1528</v>
      </c>
      <c r="BI77">
        <v>805.36900000000003</v>
      </c>
      <c r="BN77">
        <f t="shared" si="18"/>
        <v>3.8499999999999948</v>
      </c>
      <c r="BO77">
        <v>70</v>
      </c>
      <c r="BP77">
        <v>-3.6249400000000001</v>
      </c>
      <c r="BQ77">
        <v>575.91</v>
      </c>
      <c r="BV77">
        <f t="shared" si="19"/>
        <v>3.8499999999999948</v>
      </c>
      <c r="BW77">
        <v>70</v>
      </c>
      <c r="BX77">
        <v>-2.6771099999999999</v>
      </c>
      <c r="BY77">
        <v>818.10699999999997</v>
      </c>
    </row>
    <row r="78" spans="2:77" x14ac:dyDescent="0.2">
      <c r="B78">
        <f t="shared" si="10"/>
        <v>3.8999999999999946</v>
      </c>
      <c r="C78">
        <v>71</v>
      </c>
      <c r="D78">
        <v>-1.06623</v>
      </c>
      <c r="E78">
        <v>-1284.1500000000001</v>
      </c>
      <c r="J78">
        <f t="shared" si="11"/>
        <v>3.8999999999999946</v>
      </c>
      <c r="K78">
        <v>71</v>
      </c>
      <c r="L78">
        <v>-0.579905</v>
      </c>
      <c r="M78">
        <v>-1383.7</v>
      </c>
      <c r="R78">
        <f t="shared" si="12"/>
        <v>3.8999999999999946</v>
      </c>
      <c r="S78">
        <v>71</v>
      </c>
      <c r="T78">
        <v>0.27143499999999998</v>
      </c>
      <c r="U78">
        <v>-1290.27</v>
      </c>
      <c r="Z78">
        <f t="shared" si="13"/>
        <v>3.8999999999999946</v>
      </c>
      <c r="AA78">
        <v>71</v>
      </c>
      <c r="AB78">
        <v>-5.2384000000000004</v>
      </c>
      <c r="AC78">
        <v>387.47500000000002</v>
      </c>
      <c r="AH78">
        <f t="shared" si="14"/>
        <v>3.8999999999999946</v>
      </c>
      <c r="AI78">
        <v>71</v>
      </c>
      <c r="AJ78">
        <v>-3.1909299999999998</v>
      </c>
      <c r="AK78">
        <v>1004.38</v>
      </c>
      <c r="AP78">
        <f t="shared" si="15"/>
        <v>3.8999999999999946</v>
      </c>
      <c r="AQ78">
        <v>71</v>
      </c>
      <c r="AR78">
        <v>-2.1424099999999999</v>
      </c>
      <c r="AS78">
        <v>571.86900000000003</v>
      </c>
      <c r="AX78">
        <f t="shared" si="16"/>
        <v>3.8999999999999946</v>
      </c>
      <c r="AY78">
        <v>71</v>
      </c>
      <c r="AZ78">
        <v>4.8412300000000004</v>
      </c>
      <c r="BA78">
        <v>634.56700000000001</v>
      </c>
      <c r="BF78">
        <f t="shared" si="17"/>
        <v>3.8999999999999946</v>
      </c>
      <c r="BG78">
        <v>71</v>
      </c>
      <c r="BH78">
        <v>-4.1790799999999999</v>
      </c>
      <c r="BI78">
        <v>760.60299999999995</v>
      </c>
      <c r="BN78">
        <f t="shared" si="18"/>
        <v>3.8999999999999946</v>
      </c>
      <c r="BO78">
        <v>71</v>
      </c>
      <c r="BP78">
        <v>-3.6438700000000002</v>
      </c>
      <c r="BQ78">
        <v>551.05200000000002</v>
      </c>
      <c r="BV78">
        <f t="shared" si="19"/>
        <v>3.8999999999999946</v>
      </c>
      <c r="BW78">
        <v>71</v>
      </c>
      <c r="BX78">
        <v>-2.70438</v>
      </c>
      <c r="BY78">
        <v>805.46500000000003</v>
      </c>
    </row>
    <row r="79" spans="2:77" x14ac:dyDescent="0.2">
      <c r="B79">
        <f t="shared" si="10"/>
        <v>3.9499999999999944</v>
      </c>
      <c r="C79">
        <v>72</v>
      </c>
      <c r="D79">
        <v>-1.0243100000000001</v>
      </c>
      <c r="E79">
        <v>-1244.43</v>
      </c>
      <c r="J79">
        <f t="shared" si="11"/>
        <v>3.9499999999999944</v>
      </c>
      <c r="K79">
        <v>72</v>
      </c>
      <c r="L79">
        <v>-0.53372699999999995</v>
      </c>
      <c r="M79">
        <v>-1402</v>
      </c>
      <c r="R79">
        <f t="shared" si="12"/>
        <v>3.9499999999999944</v>
      </c>
      <c r="S79">
        <v>72</v>
      </c>
      <c r="T79">
        <v>0.31401299999999999</v>
      </c>
      <c r="U79">
        <v>-1278.19</v>
      </c>
      <c r="Z79">
        <f t="shared" si="13"/>
        <v>3.9499999999999944</v>
      </c>
      <c r="AA79">
        <v>72</v>
      </c>
      <c r="AB79">
        <v>-5.2507900000000003</v>
      </c>
      <c r="AC79">
        <v>360.81200000000001</v>
      </c>
      <c r="AH79">
        <f t="shared" si="14"/>
        <v>3.9499999999999944</v>
      </c>
      <c r="AI79">
        <v>72</v>
      </c>
      <c r="AJ79">
        <v>-3.2240799999999998</v>
      </c>
      <c r="AK79">
        <v>995.83299999999997</v>
      </c>
      <c r="AP79">
        <f t="shared" si="15"/>
        <v>3.9499999999999944</v>
      </c>
      <c r="AQ79">
        <v>72</v>
      </c>
      <c r="AR79">
        <v>-2.1611099999999999</v>
      </c>
      <c r="AS79">
        <v>556.84799999999996</v>
      </c>
      <c r="AX79">
        <f t="shared" si="16"/>
        <v>3.9499999999999944</v>
      </c>
      <c r="AY79">
        <v>72</v>
      </c>
      <c r="AZ79">
        <v>4.8199399999999999</v>
      </c>
      <c r="BA79">
        <v>649.86300000000006</v>
      </c>
      <c r="BF79">
        <f t="shared" si="17"/>
        <v>3.9499999999999944</v>
      </c>
      <c r="BG79">
        <v>72</v>
      </c>
      <c r="BH79">
        <v>-4.20364</v>
      </c>
      <c r="BI79">
        <v>722.34299999999996</v>
      </c>
      <c r="BN79">
        <f t="shared" si="18"/>
        <v>3.9499999999999944</v>
      </c>
      <c r="BO79">
        <v>72</v>
      </c>
      <c r="BP79">
        <v>-3.6617299999999999</v>
      </c>
      <c r="BQ79">
        <v>526.35500000000002</v>
      </c>
      <c r="BV79">
        <f t="shared" si="19"/>
        <v>3.9499999999999944</v>
      </c>
      <c r="BW79">
        <v>72</v>
      </c>
      <c r="BX79">
        <v>-2.7308400000000002</v>
      </c>
      <c r="BY79">
        <v>790.49800000000005</v>
      </c>
    </row>
    <row r="80" spans="2:77" x14ac:dyDescent="0.2">
      <c r="B80">
        <f t="shared" si="10"/>
        <v>3.9999999999999942</v>
      </c>
      <c r="C80">
        <v>73</v>
      </c>
      <c r="D80">
        <v>-0.98428000000000004</v>
      </c>
      <c r="E80">
        <v>-1201.06</v>
      </c>
      <c r="J80">
        <f t="shared" si="11"/>
        <v>3.9999999999999942</v>
      </c>
      <c r="K80">
        <v>73</v>
      </c>
      <c r="L80">
        <v>-0.48759000000000002</v>
      </c>
      <c r="M80">
        <v>-1416.86</v>
      </c>
      <c r="R80">
        <f t="shared" si="12"/>
        <v>3.9999999999999942</v>
      </c>
      <c r="S80">
        <v>73</v>
      </c>
      <c r="T80">
        <v>0.35560799999999998</v>
      </c>
      <c r="U80">
        <v>-1263.21</v>
      </c>
      <c r="Z80">
        <f t="shared" si="13"/>
        <v>3.9999999999999942</v>
      </c>
      <c r="AA80">
        <v>73</v>
      </c>
      <c r="AB80">
        <v>-5.2621900000000004</v>
      </c>
      <c r="AC80">
        <v>336.25900000000001</v>
      </c>
      <c r="AH80">
        <f t="shared" si="14"/>
        <v>3.9999999999999942</v>
      </c>
      <c r="AI80">
        <v>73</v>
      </c>
      <c r="AJ80">
        <v>-3.25651</v>
      </c>
      <c r="AK80">
        <v>985.26900000000001</v>
      </c>
      <c r="AP80">
        <f t="shared" si="15"/>
        <v>3.9999999999999942</v>
      </c>
      <c r="AQ80">
        <v>73</v>
      </c>
      <c r="AR80">
        <v>-2.17909</v>
      </c>
      <c r="AS80">
        <v>541.53200000000004</v>
      </c>
      <c r="AX80">
        <f t="shared" si="16"/>
        <v>3.9999999999999942</v>
      </c>
      <c r="AY80">
        <v>73</v>
      </c>
      <c r="AZ80">
        <v>4.7984400000000003</v>
      </c>
      <c r="BA80">
        <v>664.06399999999996</v>
      </c>
      <c r="BF80">
        <f t="shared" si="17"/>
        <v>3.9999999999999942</v>
      </c>
      <c r="BG80">
        <v>73</v>
      </c>
      <c r="BH80">
        <v>-4.2267400000000004</v>
      </c>
      <c r="BI80">
        <v>690.38900000000001</v>
      </c>
      <c r="BN80">
        <f t="shared" si="18"/>
        <v>3.9999999999999942</v>
      </c>
      <c r="BO80">
        <v>73</v>
      </c>
      <c r="BP80">
        <v>-3.67855</v>
      </c>
      <c r="BQ80">
        <v>501.589</v>
      </c>
      <c r="BV80">
        <f t="shared" si="19"/>
        <v>3.9999999999999942</v>
      </c>
      <c r="BW80">
        <v>73</v>
      </c>
      <c r="BX80">
        <v>-2.7564299999999999</v>
      </c>
      <c r="BY80">
        <v>772.745</v>
      </c>
    </row>
    <row r="81" spans="2:77" x14ac:dyDescent="0.2">
      <c r="B81">
        <f t="shared" si="10"/>
        <v>4.0499999999999945</v>
      </c>
      <c r="C81">
        <v>74</v>
      </c>
      <c r="D81">
        <v>-0.946218</v>
      </c>
      <c r="E81">
        <v>-1153.8699999999999</v>
      </c>
      <c r="J81">
        <f t="shared" si="11"/>
        <v>4.0499999999999945</v>
      </c>
      <c r="K81">
        <v>74</v>
      </c>
      <c r="L81">
        <v>-0.441631</v>
      </c>
      <c r="M81">
        <v>-1426.68</v>
      </c>
      <c r="R81">
        <f t="shared" si="12"/>
        <v>4.0499999999999945</v>
      </c>
      <c r="S81">
        <v>74</v>
      </c>
      <c r="T81">
        <v>0.39614300000000002</v>
      </c>
      <c r="U81">
        <v>-1244.92</v>
      </c>
      <c r="Z81">
        <f t="shared" si="13"/>
        <v>4.0499999999999945</v>
      </c>
      <c r="AA81">
        <v>74</v>
      </c>
      <c r="AB81">
        <v>-5.2726899999999999</v>
      </c>
      <c r="AC81">
        <v>313.89299999999997</v>
      </c>
      <c r="AH81">
        <f t="shared" si="14"/>
        <v>4.0499999999999945</v>
      </c>
      <c r="AI81">
        <v>74</v>
      </c>
      <c r="AJ81">
        <v>-3.2881300000000002</v>
      </c>
      <c r="AK81">
        <v>971.548</v>
      </c>
      <c r="AP81">
        <f t="shared" si="15"/>
        <v>4.0499999999999945</v>
      </c>
      <c r="AQ81">
        <v>74</v>
      </c>
      <c r="AR81">
        <v>-2.1963300000000001</v>
      </c>
      <c r="AS81">
        <v>525.43700000000001</v>
      </c>
      <c r="AX81">
        <f t="shared" si="16"/>
        <v>4.0499999999999945</v>
      </c>
      <c r="AY81">
        <v>74</v>
      </c>
      <c r="AZ81">
        <v>4.7767799999999996</v>
      </c>
      <c r="BA81">
        <v>676.17100000000005</v>
      </c>
      <c r="BF81">
        <f t="shared" si="17"/>
        <v>4.0499999999999945</v>
      </c>
      <c r="BG81">
        <v>74</v>
      </c>
      <c r="BH81">
        <v>-4.2486100000000002</v>
      </c>
      <c r="BI81">
        <v>663.99900000000002</v>
      </c>
      <c r="BN81">
        <f t="shared" si="18"/>
        <v>4.0499999999999945</v>
      </c>
      <c r="BO81">
        <v>74</v>
      </c>
      <c r="BP81">
        <v>-3.69435</v>
      </c>
      <c r="BQ81">
        <v>476.49900000000002</v>
      </c>
      <c r="BV81">
        <f t="shared" si="19"/>
        <v>4.0499999999999945</v>
      </c>
      <c r="BW81">
        <v>74</v>
      </c>
      <c r="BX81">
        <v>-2.7810700000000002</v>
      </c>
      <c r="BY81">
        <v>751.79899999999998</v>
      </c>
    </row>
    <row r="82" spans="2:77" x14ac:dyDescent="0.2">
      <c r="B82">
        <f t="shared" si="10"/>
        <v>4.0999999999999943</v>
      </c>
      <c r="C82">
        <v>75</v>
      </c>
      <c r="D82">
        <v>-0.91019499999999998</v>
      </c>
      <c r="E82">
        <v>-1103.02</v>
      </c>
      <c r="J82">
        <f t="shared" si="11"/>
        <v>4.0999999999999943</v>
      </c>
      <c r="K82">
        <v>75</v>
      </c>
      <c r="L82">
        <v>-0.39602799999999999</v>
      </c>
      <c r="M82">
        <v>-1430.04</v>
      </c>
      <c r="R82">
        <f t="shared" si="12"/>
        <v>4.0999999999999943</v>
      </c>
      <c r="S82">
        <v>75</v>
      </c>
      <c r="T82">
        <v>0.43553500000000001</v>
      </c>
      <c r="U82">
        <v>-1223.1199999999999</v>
      </c>
      <c r="Z82">
        <f t="shared" si="13"/>
        <v>4.0999999999999943</v>
      </c>
      <c r="AA82">
        <v>75</v>
      </c>
      <c r="AB82">
        <v>-5.2823799999999999</v>
      </c>
      <c r="AC82">
        <v>293.74599999999998</v>
      </c>
      <c r="AH82">
        <f t="shared" si="14"/>
        <v>4.0999999999999943</v>
      </c>
      <c r="AI82">
        <v>75</v>
      </c>
      <c r="AJ82">
        <v>-3.31887</v>
      </c>
      <c r="AK82">
        <v>953.86099999999999</v>
      </c>
      <c r="AP82">
        <f t="shared" si="15"/>
        <v>4.0999999999999943</v>
      </c>
      <c r="AQ82">
        <v>75</v>
      </c>
      <c r="AR82">
        <v>-2.2128299999999999</v>
      </c>
      <c r="AS82">
        <v>508.17599999999999</v>
      </c>
      <c r="AX82">
        <f t="shared" si="16"/>
        <v>4.0999999999999943</v>
      </c>
      <c r="AY82">
        <v>75</v>
      </c>
      <c r="AZ82">
        <v>4.7550499999999998</v>
      </c>
      <c r="BA82">
        <v>685.28499999999997</v>
      </c>
      <c r="BF82">
        <f t="shared" si="17"/>
        <v>4.0999999999999943</v>
      </c>
      <c r="BG82">
        <v>75</v>
      </c>
      <c r="BH82">
        <v>-4.2694400000000003</v>
      </c>
      <c r="BI82">
        <v>641.99199999999996</v>
      </c>
      <c r="BN82">
        <f t="shared" si="18"/>
        <v>4.0999999999999943</v>
      </c>
      <c r="BO82">
        <v>75</v>
      </c>
      <c r="BP82">
        <v>-3.7091500000000002</v>
      </c>
      <c r="BQ82">
        <v>450.83699999999999</v>
      </c>
      <c r="BV82">
        <f t="shared" si="19"/>
        <v>4.0999999999999943</v>
      </c>
      <c r="BW82">
        <v>75</v>
      </c>
      <c r="BX82">
        <v>-2.8046899999999999</v>
      </c>
      <c r="BY82">
        <v>727.37699999999995</v>
      </c>
    </row>
    <row r="83" spans="2:77" x14ac:dyDescent="0.2">
      <c r="B83">
        <f t="shared" si="10"/>
        <v>4.1499999999999941</v>
      </c>
      <c r="C83">
        <v>76</v>
      </c>
      <c r="D83">
        <v>-0.87626700000000002</v>
      </c>
      <c r="E83">
        <v>-1049.0899999999999</v>
      </c>
      <c r="J83">
        <f t="shared" si="11"/>
        <v>4.1499999999999941</v>
      </c>
      <c r="K83">
        <v>76</v>
      </c>
      <c r="L83">
        <v>-0.35099399999999997</v>
      </c>
      <c r="M83">
        <v>-1425.96</v>
      </c>
      <c r="R83">
        <f t="shared" si="12"/>
        <v>4.1499999999999941</v>
      </c>
      <c r="S83">
        <v>76</v>
      </c>
      <c r="T83">
        <v>0.47370299999999999</v>
      </c>
      <c r="U83">
        <v>-1197.96</v>
      </c>
      <c r="Z83">
        <f t="shared" si="13"/>
        <v>4.1499999999999941</v>
      </c>
      <c r="AA83">
        <v>76</v>
      </c>
      <c r="AB83">
        <v>-5.2913600000000001</v>
      </c>
      <c r="AC83">
        <v>275.78199999999998</v>
      </c>
      <c r="AH83">
        <f t="shared" si="14"/>
        <v>4.1499999999999941</v>
      </c>
      <c r="AI83">
        <v>76</v>
      </c>
      <c r="AJ83">
        <v>-3.3485999999999998</v>
      </c>
      <c r="AK83">
        <v>931.81899999999996</v>
      </c>
      <c r="AP83">
        <f t="shared" si="15"/>
        <v>4.1499999999999941</v>
      </c>
      <c r="AQ83">
        <v>76</v>
      </c>
      <c r="AR83">
        <v>-2.2285599999999999</v>
      </c>
      <c r="AS83">
        <v>489.512</v>
      </c>
      <c r="AX83">
        <f t="shared" si="16"/>
        <v>4.1499999999999941</v>
      </c>
      <c r="AY83">
        <v>76</v>
      </c>
      <c r="AZ83">
        <v>4.7333499999999997</v>
      </c>
      <c r="BA83">
        <v>690.74099999999999</v>
      </c>
      <c r="BF83">
        <f t="shared" si="17"/>
        <v>4.1499999999999941</v>
      </c>
      <c r="BG83">
        <v>76</v>
      </c>
      <c r="BH83">
        <v>-4.2893699999999999</v>
      </c>
      <c r="BI83">
        <v>622.87300000000005</v>
      </c>
      <c r="BN83">
        <f t="shared" si="18"/>
        <v>4.1499999999999941</v>
      </c>
      <c r="BO83">
        <v>76</v>
      </c>
      <c r="BP83">
        <v>-3.72295</v>
      </c>
      <c r="BQ83">
        <v>424.38600000000002</v>
      </c>
      <c r="BV83">
        <f t="shared" si="19"/>
        <v>4.1499999999999941</v>
      </c>
      <c r="BW83">
        <v>76</v>
      </c>
      <c r="BX83">
        <v>-2.8271799999999998</v>
      </c>
      <c r="BY83">
        <v>699.37699999999995</v>
      </c>
    </row>
    <row r="84" spans="2:77" x14ac:dyDescent="0.2">
      <c r="B84">
        <f t="shared" si="10"/>
        <v>4.199999999999994</v>
      </c>
      <c r="C84">
        <v>77</v>
      </c>
      <c r="D84">
        <v>-0.84446500000000002</v>
      </c>
      <c r="E84">
        <v>-993.06899999999996</v>
      </c>
      <c r="J84">
        <f t="shared" si="11"/>
        <v>4.199999999999994</v>
      </c>
      <c r="K84">
        <v>77</v>
      </c>
      <c r="L84">
        <v>-0.306753</v>
      </c>
      <c r="M84">
        <v>-1414.18</v>
      </c>
      <c r="R84">
        <f t="shared" si="12"/>
        <v>4.199999999999994</v>
      </c>
      <c r="S84">
        <v>77</v>
      </c>
      <c r="T84">
        <v>0.51057799999999998</v>
      </c>
      <c r="U84">
        <v>-1169.94</v>
      </c>
      <c r="Z84">
        <f t="shared" si="13"/>
        <v>4.199999999999994</v>
      </c>
      <c r="AA84">
        <v>77</v>
      </c>
      <c r="AB84">
        <v>-5.29969</v>
      </c>
      <c r="AC84">
        <v>259.86900000000003</v>
      </c>
      <c r="AH84">
        <f t="shared" si="14"/>
        <v>4.199999999999994</v>
      </c>
      <c r="AI84">
        <v>77</v>
      </c>
      <c r="AJ84">
        <v>-3.3772199999999999</v>
      </c>
      <c r="AK84">
        <v>905.51300000000003</v>
      </c>
      <c r="AP84">
        <f t="shared" si="15"/>
        <v>4.199999999999994</v>
      </c>
      <c r="AQ84">
        <v>77</v>
      </c>
      <c r="AR84">
        <v>-2.24349</v>
      </c>
      <c r="AS84">
        <v>469.40300000000002</v>
      </c>
      <c r="AX84">
        <f t="shared" si="16"/>
        <v>4.199999999999994</v>
      </c>
      <c r="AY84">
        <v>77</v>
      </c>
      <c r="AZ84">
        <v>4.7118000000000002</v>
      </c>
      <c r="BA84">
        <v>692.24099999999999</v>
      </c>
      <c r="BF84">
        <f t="shared" si="17"/>
        <v>4.199999999999994</v>
      </c>
      <c r="BG84">
        <v>77</v>
      </c>
      <c r="BH84">
        <v>-4.3084899999999999</v>
      </c>
      <c r="BI84">
        <v>604.96100000000001</v>
      </c>
      <c r="BN84">
        <f t="shared" si="18"/>
        <v>4.199999999999994</v>
      </c>
      <c r="BO84">
        <v>77</v>
      </c>
      <c r="BP84">
        <v>-3.7357399999999998</v>
      </c>
      <c r="BQ84">
        <v>396.99599999999998</v>
      </c>
      <c r="BV84">
        <f t="shared" si="19"/>
        <v>4.199999999999994</v>
      </c>
      <c r="BW84">
        <v>77</v>
      </c>
      <c r="BX84">
        <v>-2.8484799999999999</v>
      </c>
      <c r="BY84">
        <v>667.94600000000003</v>
      </c>
    </row>
    <row r="85" spans="2:77" x14ac:dyDescent="0.2">
      <c r="B85">
        <f t="shared" si="10"/>
        <v>4.2499999999999938</v>
      </c>
      <c r="C85">
        <v>78</v>
      </c>
      <c r="D85">
        <v>-0.81478099999999998</v>
      </c>
      <c r="E85">
        <v>-936.428</v>
      </c>
      <c r="J85">
        <f t="shared" si="11"/>
        <v>4.2499999999999938</v>
      </c>
      <c r="K85">
        <v>78</v>
      </c>
      <c r="L85">
        <v>-0.263517</v>
      </c>
      <c r="M85">
        <v>-1395.28</v>
      </c>
      <c r="R85">
        <f t="shared" si="12"/>
        <v>4.2499999999999938</v>
      </c>
      <c r="S85">
        <v>78</v>
      </c>
      <c r="T85">
        <v>0.54611799999999999</v>
      </c>
      <c r="U85">
        <v>-1140.02</v>
      </c>
      <c r="Z85">
        <f t="shared" si="13"/>
        <v>4.2499999999999938</v>
      </c>
      <c r="AA85">
        <v>78</v>
      </c>
      <c r="AB85">
        <v>-5.3074700000000004</v>
      </c>
      <c r="AC85">
        <v>245.76400000000001</v>
      </c>
      <c r="AH85">
        <f t="shared" si="14"/>
        <v>4.2499999999999938</v>
      </c>
      <c r="AI85">
        <v>78</v>
      </c>
      <c r="AJ85">
        <v>-3.40463</v>
      </c>
      <c r="AK85">
        <v>875.55399999999997</v>
      </c>
      <c r="AP85">
        <f t="shared" si="15"/>
        <v>4.2499999999999938</v>
      </c>
      <c r="AQ85">
        <v>78</v>
      </c>
      <c r="AR85">
        <v>-2.2576100000000001</v>
      </c>
      <c r="AS85">
        <v>448.04599999999999</v>
      </c>
      <c r="AX85">
        <f t="shared" si="16"/>
        <v>4.2499999999999938</v>
      </c>
      <c r="AY85">
        <v>78</v>
      </c>
      <c r="AZ85">
        <v>4.6905299999999999</v>
      </c>
      <c r="BA85">
        <v>689.96500000000003</v>
      </c>
      <c r="BF85">
        <f t="shared" si="17"/>
        <v>4.2499999999999938</v>
      </c>
      <c r="BG85">
        <v>78</v>
      </c>
      <c r="BH85">
        <v>-4.3268199999999997</v>
      </c>
      <c r="BI85">
        <v>586.52700000000004</v>
      </c>
      <c r="BN85">
        <f t="shared" si="18"/>
        <v>4.2499999999999938</v>
      </c>
      <c r="BO85">
        <v>78</v>
      </c>
      <c r="BP85">
        <v>-3.7475200000000002</v>
      </c>
      <c r="BQ85">
        <v>368.613</v>
      </c>
      <c r="BV85">
        <f t="shared" si="19"/>
        <v>4.2499999999999938</v>
      </c>
      <c r="BW85">
        <v>78</v>
      </c>
      <c r="BX85">
        <v>-2.8685100000000001</v>
      </c>
      <c r="BY85">
        <v>633.53300000000002</v>
      </c>
    </row>
    <row r="86" spans="2:77" x14ac:dyDescent="0.2">
      <c r="B86">
        <f t="shared" si="10"/>
        <v>4.2999999999999936</v>
      </c>
      <c r="C86">
        <v>79</v>
      </c>
      <c r="D86" s="3">
        <v>-0.787157</v>
      </c>
      <c r="E86">
        <v>-881.08399999999995</v>
      </c>
      <c r="J86">
        <f t="shared" si="11"/>
        <v>4.2999999999999936</v>
      </c>
      <c r="K86">
        <v>79</v>
      </c>
      <c r="L86">
        <v>-0.22145500000000001</v>
      </c>
      <c r="M86">
        <v>-1370.93</v>
      </c>
      <c r="R86">
        <f t="shared" si="12"/>
        <v>4.2999999999999936</v>
      </c>
      <c r="S86">
        <v>79</v>
      </c>
      <c r="T86">
        <v>0.580314</v>
      </c>
      <c r="U86">
        <v>-1109.56</v>
      </c>
      <c r="Z86">
        <f t="shared" si="13"/>
        <v>4.2999999999999936</v>
      </c>
      <c r="AA86">
        <v>79</v>
      </c>
      <c r="AB86">
        <v>-5.3147399999999996</v>
      </c>
      <c r="AC86">
        <v>233.08799999999999</v>
      </c>
      <c r="AH86">
        <f t="shared" si="14"/>
        <v>4.2999999999999936</v>
      </c>
      <c r="AI86">
        <v>79</v>
      </c>
      <c r="AJ86">
        <v>-3.4307599999999998</v>
      </c>
      <c r="AK86">
        <v>843.072</v>
      </c>
      <c r="AP86">
        <f t="shared" si="15"/>
        <v>4.2999999999999936</v>
      </c>
      <c r="AQ86">
        <v>79</v>
      </c>
      <c r="AR86">
        <v>-2.2709000000000001</v>
      </c>
      <c r="AS86">
        <v>425.904</v>
      </c>
      <c r="AX86">
        <f t="shared" si="16"/>
        <v>4.2999999999999936</v>
      </c>
      <c r="AY86">
        <v>79</v>
      </c>
      <c r="AZ86">
        <v>4.6696299999999997</v>
      </c>
      <c r="BA86">
        <v>684.64800000000002</v>
      </c>
      <c r="BF86">
        <f t="shared" si="17"/>
        <v>4.2999999999999936</v>
      </c>
      <c r="BG86">
        <v>79</v>
      </c>
      <c r="BH86">
        <v>-4.3443500000000004</v>
      </c>
      <c r="BI86">
        <v>565.93299999999999</v>
      </c>
      <c r="BN86">
        <f t="shared" si="18"/>
        <v>4.2999999999999936</v>
      </c>
      <c r="BO86">
        <v>79</v>
      </c>
      <c r="BP86">
        <v>-3.7582900000000001</v>
      </c>
      <c r="BQ86">
        <v>339.31400000000002</v>
      </c>
      <c r="BV86">
        <f t="shared" si="19"/>
        <v>4.2999999999999936</v>
      </c>
      <c r="BW86">
        <v>79</v>
      </c>
      <c r="BX86">
        <v>-2.8872200000000001</v>
      </c>
      <c r="BY86">
        <v>596.92999999999995</v>
      </c>
    </row>
    <row r="87" spans="2:77" x14ac:dyDescent="0.2">
      <c r="B87">
        <f t="shared" si="10"/>
        <v>4.3499999999999934</v>
      </c>
      <c r="C87">
        <v>80</v>
      </c>
      <c r="D87">
        <v>-0.76147100000000001</v>
      </c>
      <c r="E87">
        <v>-829.34</v>
      </c>
      <c r="J87">
        <f t="shared" si="11"/>
        <v>4.3499999999999934</v>
      </c>
      <c r="K87">
        <v>80</v>
      </c>
      <c r="L87">
        <v>-0.18066599999999999</v>
      </c>
      <c r="M87">
        <v>-1343.87</v>
      </c>
      <c r="R87">
        <f t="shared" si="12"/>
        <v>4.3499999999999934</v>
      </c>
      <c r="S87">
        <v>80</v>
      </c>
      <c r="T87">
        <v>0.61321000000000003</v>
      </c>
      <c r="U87">
        <v>-1080.33</v>
      </c>
      <c r="Z87">
        <f t="shared" si="13"/>
        <v>4.3499999999999934</v>
      </c>
      <c r="AA87">
        <v>80</v>
      </c>
      <c r="AB87">
        <v>-5.3215700000000004</v>
      </c>
      <c r="AC87">
        <v>221.32599999999999</v>
      </c>
      <c r="AH87">
        <f t="shared" si="14"/>
        <v>4.3499999999999934</v>
      </c>
      <c r="AI87">
        <v>80</v>
      </c>
      <c r="AJ87">
        <v>-3.4555899999999999</v>
      </c>
      <c r="AK87">
        <v>809.67399999999998</v>
      </c>
      <c r="AP87">
        <f t="shared" si="15"/>
        <v>4.3499999999999934</v>
      </c>
      <c r="AQ87">
        <v>80</v>
      </c>
      <c r="AR87">
        <v>-2.2833600000000001</v>
      </c>
      <c r="AS87">
        <v>403.71800000000002</v>
      </c>
      <c r="AX87">
        <f t="shared" si="16"/>
        <v>4.3499999999999934</v>
      </c>
      <c r="AY87">
        <v>80</v>
      </c>
      <c r="AZ87">
        <v>4.6491600000000002</v>
      </c>
      <c r="BA87">
        <v>677.61400000000003</v>
      </c>
      <c r="BF87">
        <f t="shared" si="17"/>
        <v>4.3499999999999934</v>
      </c>
      <c r="BG87">
        <v>80</v>
      </c>
      <c r="BH87">
        <v>-4.3609999999999998</v>
      </c>
      <c r="BI87">
        <v>541.779</v>
      </c>
      <c r="BN87">
        <f t="shared" si="18"/>
        <v>4.3499999999999934</v>
      </c>
      <c r="BO87">
        <v>80</v>
      </c>
      <c r="BP87">
        <v>-3.7680400000000001</v>
      </c>
      <c r="BQ87">
        <v>309.33</v>
      </c>
      <c r="BV87">
        <f t="shared" si="19"/>
        <v>4.3499999999999934</v>
      </c>
      <c r="BW87">
        <v>80</v>
      </c>
      <c r="BX87">
        <v>-2.9045899999999998</v>
      </c>
      <c r="BY87">
        <v>559.28099999999995</v>
      </c>
    </row>
    <row r="88" spans="2:77" x14ac:dyDescent="0.2">
      <c r="B88">
        <f t="shared" si="10"/>
        <v>4.3999999999999932</v>
      </c>
      <c r="C88">
        <v>81</v>
      </c>
      <c r="D88">
        <v>-0.73753400000000002</v>
      </c>
      <c r="E88">
        <v>-783.76700000000005</v>
      </c>
      <c r="J88">
        <f t="shared" si="11"/>
        <v>4.3999999999999932</v>
      </c>
      <c r="K88">
        <v>81</v>
      </c>
      <c r="L88">
        <v>-0.14114699999999999</v>
      </c>
      <c r="M88">
        <v>-1317.85</v>
      </c>
      <c r="R88">
        <f t="shared" si="12"/>
        <v>4.3999999999999932</v>
      </c>
      <c r="S88">
        <v>81</v>
      </c>
      <c r="T88">
        <v>0.64490000000000003</v>
      </c>
      <c r="U88">
        <v>-1054.3499999999999</v>
      </c>
      <c r="Z88">
        <f t="shared" si="13"/>
        <v>4.3999999999999932</v>
      </c>
      <c r="AA88">
        <v>81</v>
      </c>
      <c r="AB88">
        <v>-5.3279699999999997</v>
      </c>
      <c r="AC88">
        <v>209.82499999999999</v>
      </c>
      <c r="AH88">
        <f t="shared" si="14"/>
        <v>4.3999999999999932</v>
      </c>
      <c r="AI88">
        <v>81</v>
      </c>
      <c r="AJ88">
        <v>-3.4791500000000002</v>
      </c>
      <c r="AK88">
        <v>777.35</v>
      </c>
      <c r="AP88">
        <f t="shared" si="15"/>
        <v>4.3999999999999932</v>
      </c>
      <c r="AQ88">
        <v>81</v>
      </c>
      <c r="AR88">
        <v>-2.2950300000000001</v>
      </c>
      <c r="AS88">
        <v>382.48700000000002</v>
      </c>
      <c r="AX88">
        <f t="shared" si="16"/>
        <v>4.3999999999999932</v>
      </c>
      <c r="AY88">
        <v>81</v>
      </c>
      <c r="AZ88">
        <v>4.6291399999999996</v>
      </c>
      <c r="BA88">
        <v>670.74400000000003</v>
      </c>
      <c r="BF88">
        <f t="shared" si="17"/>
        <v>4.3999999999999932</v>
      </c>
      <c r="BG88">
        <v>81</v>
      </c>
      <c r="BH88">
        <v>-4.3766800000000003</v>
      </c>
      <c r="BI88">
        <v>513.06600000000003</v>
      </c>
      <c r="BN88">
        <f t="shared" si="18"/>
        <v>4.3999999999999932</v>
      </c>
      <c r="BO88">
        <v>81</v>
      </c>
      <c r="BP88">
        <v>-3.77677</v>
      </c>
      <c r="BQ88">
        <v>279.05599999999998</v>
      </c>
      <c r="BV88">
        <f t="shared" si="19"/>
        <v>4.3999999999999932</v>
      </c>
      <c r="BW88">
        <v>81</v>
      </c>
      <c r="BX88">
        <v>-2.9206500000000002</v>
      </c>
      <c r="BY88">
        <v>522.06299999999999</v>
      </c>
    </row>
    <row r="89" spans="2:77" x14ac:dyDescent="0.2">
      <c r="B89">
        <f t="shared" si="10"/>
        <v>4.4499999999999931</v>
      </c>
      <c r="C89">
        <v>82</v>
      </c>
      <c r="D89">
        <v>-0.71508499999999997</v>
      </c>
      <c r="E89">
        <v>-747.01800000000003</v>
      </c>
      <c r="J89">
        <f t="shared" si="11"/>
        <v>4.4499999999999931</v>
      </c>
      <c r="K89">
        <v>82</v>
      </c>
      <c r="L89">
        <v>-0.102773</v>
      </c>
      <c r="M89">
        <v>-1297.45</v>
      </c>
      <c r="R89">
        <f t="shared" si="12"/>
        <v>4.4499999999999931</v>
      </c>
      <c r="S89">
        <v>82</v>
      </c>
      <c r="T89">
        <v>0.675539</v>
      </c>
      <c r="U89">
        <v>-1033.82</v>
      </c>
      <c r="Z89">
        <f t="shared" si="13"/>
        <v>4.4499999999999931</v>
      </c>
      <c r="AA89">
        <v>82</v>
      </c>
      <c r="AB89">
        <v>-5.3339600000000003</v>
      </c>
      <c r="AC89">
        <v>197.81399999999999</v>
      </c>
      <c r="AH89">
        <f t="shared" si="14"/>
        <v>4.4499999999999931</v>
      </c>
      <c r="AI89">
        <v>82</v>
      </c>
      <c r="AJ89">
        <v>-3.5015399999999999</v>
      </c>
      <c r="AK89">
        <v>748.31600000000003</v>
      </c>
      <c r="AP89">
        <f t="shared" si="15"/>
        <v>4.4499999999999931</v>
      </c>
      <c r="AQ89">
        <v>82</v>
      </c>
      <c r="AR89">
        <v>-2.3059799999999999</v>
      </c>
      <c r="AS89">
        <v>363.41399999999999</v>
      </c>
      <c r="AX89">
        <f t="shared" si="16"/>
        <v>4.4499999999999931</v>
      </c>
      <c r="AY89">
        <v>82</v>
      </c>
      <c r="AZ89">
        <v>4.6095199999999998</v>
      </c>
      <c r="BA89">
        <v>666.35599999999999</v>
      </c>
      <c r="BF89">
        <f t="shared" si="17"/>
        <v>4.4499999999999931</v>
      </c>
      <c r="BG89">
        <v>82</v>
      </c>
      <c r="BH89">
        <v>-4.3912599999999999</v>
      </c>
      <c r="BI89">
        <v>479.36399999999998</v>
      </c>
      <c r="BN89">
        <f t="shared" si="18"/>
        <v>4.4499999999999931</v>
      </c>
      <c r="BO89">
        <v>82</v>
      </c>
      <c r="BP89">
        <v>-3.7845300000000002</v>
      </c>
      <c r="BQ89">
        <v>249.048</v>
      </c>
      <c r="BV89">
        <f t="shared" si="19"/>
        <v>4.4499999999999931</v>
      </c>
      <c r="BW89">
        <v>82</v>
      </c>
      <c r="BX89">
        <v>-2.93546</v>
      </c>
      <c r="BY89">
        <v>487.024</v>
      </c>
    </row>
    <row r="90" spans="2:77" x14ac:dyDescent="0.2">
      <c r="B90">
        <f t="shared" si="10"/>
        <v>4.4999999999999929</v>
      </c>
      <c r="C90">
        <v>83</v>
      </c>
      <c r="D90">
        <v>-0.69379900000000005</v>
      </c>
      <c r="E90">
        <v>-721.56100000000004</v>
      </c>
      <c r="J90">
        <f t="shared" si="11"/>
        <v>4.4999999999999929</v>
      </c>
      <c r="K90">
        <v>83</v>
      </c>
      <c r="L90">
        <v>-6.52837E-2</v>
      </c>
      <c r="M90">
        <v>-1287.6400000000001</v>
      </c>
      <c r="R90">
        <f t="shared" si="12"/>
        <v>4.4999999999999929</v>
      </c>
      <c r="S90">
        <v>83</v>
      </c>
      <c r="T90">
        <v>0.70533999999999997</v>
      </c>
      <c r="U90">
        <v>-1020.77</v>
      </c>
      <c r="Z90">
        <f t="shared" si="13"/>
        <v>4.4999999999999929</v>
      </c>
      <c r="AA90">
        <v>83</v>
      </c>
      <c r="AB90">
        <v>-5.3395099999999998</v>
      </c>
      <c r="AC90">
        <v>184.441</v>
      </c>
      <c r="AH90">
        <f t="shared" si="14"/>
        <v>4.4999999999999929</v>
      </c>
      <c r="AI90">
        <v>83</v>
      </c>
      <c r="AJ90">
        <v>-3.52291</v>
      </c>
      <c r="AK90">
        <v>724.79399999999998</v>
      </c>
      <c r="AP90">
        <f t="shared" si="15"/>
        <v>4.4999999999999929</v>
      </c>
      <c r="AQ90">
        <v>83</v>
      </c>
      <c r="AR90">
        <v>-2.31629</v>
      </c>
      <c r="AS90">
        <v>347.81</v>
      </c>
      <c r="AX90">
        <f t="shared" si="16"/>
        <v>4.4999999999999929</v>
      </c>
      <c r="AY90">
        <v>83</v>
      </c>
      <c r="AZ90">
        <v>4.5901800000000001</v>
      </c>
      <c r="BA90">
        <v>666.98900000000003</v>
      </c>
      <c r="BF90">
        <f t="shared" si="17"/>
        <v>4.4999999999999929</v>
      </c>
      <c r="BG90">
        <v>83</v>
      </c>
      <c r="BH90">
        <v>-4.40463</v>
      </c>
      <c r="BI90">
        <v>440.96300000000002</v>
      </c>
      <c r="BN90">
        <f t="shared" si="18"/>
        <v>4.4999999999999929</v>
      </c>
      <c r="BO90">
        <v>83</v>
      </c>
      <c r="BP90">
        <v>-3.7913299999999999</v>
      </c>
      <c r="BQ90">
        <v>219.99299999999999</v>
      </c>
      <c r="BV90">
        <f t="shared" si="19"/>
        <v>4.4999999999999929</v>
      </c>
      <c r="BW90">
        <v>83</v>
      </c>
      <c r="BX90">
        <v>-2.9491299999999998</v>
      </c>
      <c r="BY90">
        <v>456.06799999999998</v>
      </c>
    </row>
    <row r="91" spans="2:77" x14ac:dyDescent="0.2">
      <c r="B91">
        <f t="shared" si="10"/>
        <v>4.5499999999999927</v>
      </c>
      <c r="C91">
        <v>84</v>
      </c>
      <c r="D91">
        <v>-0.67329600000000001</v>
      </c>
      <c r="E91">
        <v>-709.33100000000002</v>
      </c>
      <c r="J91">
        <f t="shared" si="11"/>
        <v>4.5499999999999927</v>
      </c>
      <c r="K91">
        <v>84</v>
      </c>
      <c r="L91">
        <v>-2.8284299999999998E-2</v>
      </c>
      <c r="M91">
        <v>-1293.29</v>
      </c>
      <c r="R91">
        <f t="shared" si="12"/>
        <v>4.5499999999999927</v>
      </c>
      <c r="S91">
        <v>84</v>
      </c>
      <c r="T91">
        <v>0.73456100000000002</v>
      </c>
      <c r="U91">
        <v>-1016.84</v>
      </c>
      <c r="Z91">
        <f t="shared" si="13"/>
        <v>4.5499999999999927</v>
      </c>
      <c r="AA91">
        <v>84</v>
      </c>
      <c r="AB91">
        <v>-5.3445900000000002</v>
      </c>
      <c r="AC91">
        <v>168.83699999999999</v>
      </c>
      <c r="AH91">
        <f t="shared" si="14"/>
        <v>4.5499999999999927</v>
      </c>
      <c r="AI91">
        <v>84</v>
      </c>
      <c r="AJ91">
        <v>-3.5434600000000001</v>
      </c>
      <c r="AK91">
        <v>708.70100000000002</v>
      </c>
      <c r="AP91">
        <f t="shared" si="15"/>
        <v>4.5499999999999927</v>
      </c>
      <c r="AQ91">
        <v>84</v>
      </c>
      <c r="AR91">
        <v>-2.3260999999999998</v>
      </c>
      <c r="AS91">
        <v>336.93799999999999</v>
      </c>
      <c r="AX91">
        <f t="shared" si="16"/>
        <v>4.5499999999999927</v>
      </c>
      <c r="AY91">
        <v>84</v>
      </c>
      <c r="AZ91">
        <v>4.5709400000000002</v>
      </c>
      <c r="BA91">
        <v>675.06100000000004</v>
      </c>
      <c r="BF91">
        <f t="shared" si="17"/>
        <v>4.5499999999999927</v>
      </c>
      <c r="BG91">
        <v>84</v>
      </c>
      <c r="BH91">
        <v>-4.4166999999999996</v>
      </c>
      <c r="BI91">
        <v>398.97399999999999</v>
      </c>
      <c r="BN91">
        <f t="shared" si="18"/>
        <v>4.5499999999999927</v>
      </c>
      <c r="BO91">
        <v>84</v>
      </c>
      <c r="BP91">
        <v>-3.79725</v>
      </c>
      <c r="BQ91">
        <v>192.66399999999999</v>
      </c>
      <c r="BV91">
        <f t="shared" si="19"/>
        <v>4.5499999999999927</v>
      </c>
      <c r="BW91">
        <v>84</v>
      </c>
      <c r="BX91">
        <v>-2.9618500000000001</v>
      </c>
      <c r="BY91">
        <v>431.07499999999999</v>
      </c>
    </row>
    <row r="92" spans="2:77" x14ac:dyDescent="0.2">
      <c r="B92">
        <f t="shared" si="10"/>
        <v>4.5999999999999925</v>
      </c>
      <c r="C92">
        <v>85</v>
      </c>
      <c r="D92">
        <v>-0.65316600000000002</v>
      </c>
      <c r="E92">
        <v>-711.27</v>
      </c>
      <c r="J92">
        <f t="shared" si="11"/>
        <v>4.5999999999999925</v>
      </c>
      <c r="K92">
        <v>85</v>
      </c>
      <c r="L92">
        <v>8.73408E-3</v>
      </c>
      <c r="M92">
        <v>-1318.34</v>
      </c>
      <c r="R92">
        <f t="shared" si="12"/>
        <v>4.5999999999999925</v>
      </c>
      <c r="S92">
        <v>85</v>
      </c>
      <c r="T92">
        <v>0.76348700000000003</v>
      </c>
      <c r="U92">
        <v>-1022.77</v>
      </c>
      <c r="Z92">
        <f t="shared" si="13"/>
        <v>4.5999999999999925</v>
      </c>
      <c r="AA92">
        <v>85</v>
      </c>
      <c r="AB92">
        <v>-5.3491299999999997</v>
      </c>
      <c r="AC92">
        <v>150.20099999999999</v>
      </c>
      <c r="AH92">
        <f t="shared" si="14"/>
        <v>4.5999999999999925</v>
      </c>
      <c r="AI92">
        <v>85</v>
      </c>
      <c r="AJ92">
        <v>-3.56345</v>
      </c>
      <c r="AK92">
        <v>701.255</v>
      </c>
      <c r="AP92">
        <f t="shared" si="15"/>
        <v>4.5999999999999925</v>
      </c>
      <c r="AQ92">
        <v>85</v>
      </c>
      <c r="AR92">
        <v>-2.3355800000000002</v>
      </c>
      <c r="AS92">
        <v>331.79199999999997</v>
      </c>
      <c r="AX92">
        <f t="shared" si="16"/>
        <v>4.5999999999999925</v>
      </c>
      <c r="AY92">
        <v>85</v>
      </c>
      <c r="AZ92">
        <v>4.5515600000000003</v>
      </c>
      <c r="BA92">
        <v>692.375</v>
      </c>
      <c r="BF92">
        <f t="shared" si="17"/>
        <v>4.5999999999999925</v>
      </c>
      <c r="BG92">
        <v>85</v>
      </c>
      <c r="BH92">
        <v>-4.4273999999999996</v>
      </c>
      <c r="BI92">
        <v>355.31900000000002</v>
      </c>
      <c r="BN92">
        <f t="shared" si="18"/>
        <v>4.5999999999999925</v>
      </c>
      <c r="BO92">
        <v>85</v>
      </c>
      <c r="BP92">
        <v>-3.8023600000000002</v>
      </c>
      <c r="BQ92">
        <v>167.85300000000001</v>
      </c>
      <c r="BV92">
        <f t="shared" si="19"/>
        <v>4.5999999999999925</v>
      </c>
      <c r="BW92">
        <v>85</v>
      </c>
      <c r="BX92">
        <v>-2.9738199999999999</v>
      </c>
      <c r="BY92">
        <v>413.63200000000001</v>
      </c>
    </row>
    <row r="93" spans="2:77" x14ac:dyDescent="0.2">
      <c r="B93">
        <f t="shared" si="10"/>
        <v>4.6499999999999924</v>
      </c>
      <c r="C93">
        <v>86</v>
      </c>
      <c r="D93">
        <v>-0.63300800000000002</v>
      </c>
      <c r="E93">
        <v>-726.75199999999995</v>
      </c>
      <c r="J93">
        <f t="shared" si="11"/>
        <v>4.6499999999999924</v>
      </c>
      <c r="K93">
        <v>86</v>
      </c>
      <c r="L93">
        <v>4.6349099999999997E-2</v>
      </c>
      <c r="M93">
        <v>-1364.73</v>
      </c>
      <c r="R93">
        <f t="shared" si="12"/>
        <v>4.6499999999999924</v>
      </c>
      <c r="S93">
        <v>86</v>
      </c>
      <c r="T93">
        <v>0.79239499999999996</v>
      </c>
      <c r="U93">
        <v>-1037.79</v>
      </c>
      <c r="Z93">
        <f t="shared" si="13"/>
        <v>4.6499999999999924</v>
      </c>
      <c r="AA93">
        <v>86</v>
      </c>
      <c r="AB93">
        <v>-5.35304</v>
      </c>
      <c r="AC93">
        <v>127.928</v>
      </c>
      <c r="AH93">
        <f t="shared" si="14"/>
        <v>4.6499999999999924</v>
      </c>
      <c r="AI93">
        <v>86</v>
      </c>
      <c r="AJ93">
        <v>-3.5831400000000002</v>
      </c>
      <c r="AK93">
        <v>702.47199999999998</v>
      </c>
      <c r="AP93">
        <f t="shared" si="15"/>
        <v>4.6499999999999924</v>
      </c>
      <c r="AQ93">
        <v>86</v>
      </c>
      <c r="AR93">
        <v>-2.3449</v>
      </c>
      <c r="AS93">
        <v>332.80399999999997</v>
      </c>
      <c r="AX93">
        <f t="shared" si="16"/>
        <v>4.6499999999999924</v>
      </c>
      <c r="AY93">
        <v>86</v>
      </c>
      <c r="AZ93">
        <v>4.5317600000000002</v>
      </c>
      <c r="BA93">
        <v>719.44899999999996</v>
      </c>
      <c r="BF93">
        <f t="shared" si="17"/>
        <v>4.6499999999999924</v>
      </c>
      <c r="BG93">
        <v>86</v>
      </c>
      <c r="BH93">
        <v>-4.4367799999999997</v>
      </c>
      <c r="BI93">
        <v>312.55700000000002</v>
      </c>
      <c r="BN93">
        <f t="shared" si="18"/>
        <v>4.6499999999999924</v>
      </c>
      <c r="BO93">
        <v>86</v>
      </c>
      <c r="BP93">
        <v>-3.8067600000000001</v>
      </c>
      <c r="BQ93">
        <v>146.27099999999999</v>
      </c>
      <c r="BV93">
        <f t="shared" si="19"/>
        <v>4.6499999999999924</v>
      </c>
      <c r="BW93">
        <v>86</v>
      </c>
      <c r="BX93">
        <v>-2.98529</v>
      </c>
      <c r="BY93">
        <v>404.67500000000001</v>
      </c>
    </row>
    <row r="94" spans="2:77" x14ac:dyDescent="0.2">
      <c r="B94">
        <f t="shared" si="10"/>
        <v>4.6999999999999922</v>
      </c>
      <c r="C94">
        <v>87</v>
      </c>
      <c r="D94">
        <v>-0.61248100000000005</v>
      </c>
      <c r="E94">
        <v>-752.87</v>
      </c>
      <c r="J94">
        <f t="shared" si="11"/>
        <v>4.6999999999999922</v>
      </c>
      <c r="K94">
        <v>87</v>
      </c>
      <c r="L94">
        <v>8.5127999999999995E-2</v>
      </c>
      <c r="M94">
        <v>-1430.78</v>
      </c>
      <c r="R94">
        <f t="shared" si="12"/>
        <v>4.6999999999999922</v>
      </c>
      <c r="S94">
        <v>87</v>
      </c>
      <c r="T94">
        <v>0.82150100000000004</v>
      </c>
      <c r="U94">
        <v>-1058.8499999999999</v>
      </c>
      <c r="Z94">
        <f t="shared" si="13"/>
        <v>4.6999999999999922</v>
      </c>
      <c r="AA94">
        <v>87</v>
      </c>
      <c r="AB94">
        <v>-5.3562399999999997</v>
      </c>
      <c r="AC94">
        <v>101.774</v>
      </c>
      <c r="AH94">
        <f t="shared" si="14"/>
        <v>4.6999999999999922</v>
      </c>
      <c r="AI94">
        <v>87</v>
      </c>
      <c r="AJ94">
        <v>-3.6027499999999999</v>
      </c>
      <c r="AK94">
        <v>710.54100000000005</v>
      </c>
      <c r="AP94">
        <f t="shared" si="15"/>
        <v>4.6999999999999922</v>
      </c>
      <c r="AQ94">
        <v>87</v>
      </c>
      <c r="AR94">
        <v>-2.3542200000000002</v>
      </c>
      <c r="AS94">
        <v>339.45</v>
      </c>
      <c r="AX94">
        <f t="shared" si="16"/>
        <v>4.6999999999999922</v>
      </c>
      <c r="AY94">
        <v>87</v>
      </c>
      <c r="AZ94">
        <v>4.5113099999999999</v>
      </c>
      <c r="BA94">
        <v>754.64300000000003</v>
      </c>
      <c r="BF94">
        <f t="shared" si="17"/>
        <v>4.6999999999999922</v>
      </c>
      <c r="BG94">
        <v>87</v>
      </c>
      <c r="BH94">
        <v>-4.4448999999999996</v>
      </c>
      <c r="BI94">
        <v>273.50599999999997</v>
      </c>
      <c r="BN94">
        <f t="shared" si="18"/>
        <v>4.6999999999999922</v>
      </c>
      <c r="BO94">
        <v>87</v>
      </c>
      <c r="BP94">
        <v>-3.8105699999999998</v>
      </c>
      <c r="BQ94">
        <v>128.43299999999999</v>
      </c>
      <c r="BV94">
        <f t="shared" si="19"/>
        <v>4.6999999999999922</v>
      </c>
      <c r="BW94">
        <v>87</v>
      </c>
      <c r="BX94">
        <v>-2.9965000000000002</v>
      </c>
      <c r="BY94">
        <v>403.99900000000002</v>
      </c>
    </row>
    <row r="95" spans="2:77" x14ac:dyDescent="0.2">
      <c r="B95">
        <f t="shared" si="10"/>
        <v>4.749999999999992</v>
      </c>
      <c r="C95">
        <v>88</v>
      </c>
      <c r="D95">
        <v>-0.59137499999999998</v>
      </c>
      <c r="E95">
        <v>-783.54499999999996</v>
      </c>
      <c r="J95">
        <f t="shared" si="11"/>
        <v>4.749999999999992</v>
      </c>
      <c r="K95">
        <v>88</v>
      </c>
      <c r="L95">
        <v>0.125498</v>
      </c>
      <c r="M95">
        <v>-1508.88</v>
      </c>
      <c r="R95">
        <f t="shared" si="12"/>
        <v>4.749999999999992</v>
      </c>
      <c r="S95">
        <v>88</v>
      </c>
      <c r="T95">
        <v>0.85088900000000001</v>
      </c>
      <c r="U95">
        <v>-1079.53</v>
      </c>
      <c r="Z95">
        <f t="shared" si="13"/>
        <v>4.749999999999992</v>
      </c>
      <c r="AA95">
        <v>88</v>
      </c>
      <c r="AB95">
        <v>-5.3586299999999998</v>
      </c>
      <c r="AC95">
        <v>72.078999999999994</v>
      </c>
      <c r="AH95">
        <f t="shared" si="14"/>
        <v>4.749999999999992</v>
      </c>
      <c r="AI95">
        <v>88</v>
      </c>
      <c r="AJ95">
        <v>-3.62242</v>
      </c>
      <c r="AK95">
        <v>721.06600000000003</v>
      </c>
      <c r="AP95">
        <f t="shared" si="15"/>
        <v>4.749999999999992</v>
      </c>
      <c r="AQ95">
        <v>88</v>
      </c>
      <c r="AR95">
        <v>-2.36368</v>
      </c>
      <c r="AS95">
        <v>349.75200000000001</v>
      </c>
      <c r="AX95">
        <f t="shared" si="16"/>
        <v>4.749999999999992</v>
      </c>
      <c r="AY95">
        <v>88</v>
      </c>
      <c r="AZ95">
        <v>4.4900399999999996</v>
      </c>
      <c r="BA95">
        <v>793.05399999999997</v>
      </c>
      <c r="BF95">
        <f t="shared" si="17"/>
        <v>4.749999999999992</v>
      </c>
      <c r="BG95">
        <v>88</v>
      </c>
      <c r="BH95">
        <v>-4.4519500000000001</v>
      </c>
      <c r="BI95">
        <v>240.613</v>
      </c>
      <c r="BN95">
        <f t="shared" si="18"/>
        <v>4.749999999999992</v>
      </c>
      <c r="BO95">
        <v>88</v>
      </c>
      <c r="BP95">
        <v>-3.8138999999999998</v>
      </c>
      <c r="BQ95">
        <v>114.495</v>
      </c>
      <c r="BV95">
        <f t="shared" si="19"/>
        <v>4.749999999999992</v>
      </c>
      <c r="BW95">
        <v>88</v>
      </c>
      <c r="BX95">
        <v>-3.0076700000000001</v>
      </c>
      <c r="BY95">
        <v>409.62599999999998</v>
      </c>
    </row>
    <row r="96" spans="2:77" x14ac:dyDescent="0.2">
      <c r="B96">
        <f t="shared" si="10"/>
        <v>4.7999999999999918</v>
      </c>
      <c r="C96">
        <v>89</v>
      </c>
      <c r="D96">
        <v>-0.56970799999999999</v>
      </c>
      <c r="E96">
        <v>-808.43700000000001</v>
      </c>
      <c r="J96">
        <f t="shared" si="11"/>
        <v>4.7999999999999918</v>
      </c>
      <c r="K96">
        <v>89</v>
      </c>
      <c r="L96">
        <v>0.16755200000000001</v>
      </c>
      <c r="M96">
        <v>-1582.17</v>
      </c>
      <c r="R96">
        <f t="shared" si="12"/>
        <v>4.7999999999999918</v>
      </c>
      <c r="S96">
        <v>89</v>
      </c>
      <c r="T96">
        <v>0.88040300000000005</v>
      </c>
      <c r="U96">
        <v>-1088.5999999999999</v>
      </c>
      <c r="Z96">
        <f t="shared" si="13"/>
        <v>4.7999999999999918</v>
      </c>
      <c r="AA96">
        <v>89</v>
      </c>
      <c r="AB96">
        <v>-5.3601599999999996</v>
      </c>
      <c r="AC96">
        <v>40.041400000000003</v>
      </c>
      <c r="AH96">
        <f t="shared" si="14"/>
        <v>4.7999999999999918</v>
      </c>
      <c r="AI96">
        <v>89</v>
      </c>
      <c r="AJ96">
        <v>-3.6421100000000002</v>
      </c>
      <c r="AK96">
        <v>726.15300000000002</v>
      </c>
      <c r="AP96">
        <f t="shared" si="15"/>
        <v>4.7999999999999918</v>
      </c>
      <c r="AQ96">
        <v>89</v>
      </c>
      <c r="AR96">
        <v>-2.3733300000000002</v>
      </c>
      <c r="AS96">
        <v>359.63400000000001</v>
      </c>
      <c r="AX96">
        <f t="shared" si="16"/>
        <v>4.7999999999999918</v>
      </c>
      <c r="AY96">
        <v>89</v>
      </c>
      <c r="AZ96">
        <v>4.4680200000000001</v>
      </c>
      <c r="BA96">
        <v>825.14700000000005</v>
      </c>
      <c r="BF96">
        <f t="shared" si="17"/>
        <v>4.7999999999999918</v>
      </c>
      <c r="BG96">
        <v>89</v>
      </c>
      <c r="BH96">
        <v>-4.4581299999999997</v>
      </c>
      <c r="BI96">
        <v>215.102</v>
      </c>
      <c r="BN96">
        <f t="shared" si="18"/>
        <v>4.7999999999999918</v>
      </c>
      <c r="BO96">
        <v>89</v>
      </c>
      <c r="BP96">
        <v>-3.8168600000000001</v>
      </c>
      <c r="BQ96">
        <v>104.04300000000001</v>
      </c>
      <c r="BV96">
        <f t="shared" si="19"/>
        <v>4.7999999999999918</v>
      </c>
      <c r="BW96">
        <v>89</v>
      </c>
      <c r="BX96">
        <v>-3.01891</v>
      </c>
      <c r="BY96">
        <v>416.99799999999999</v>
      </c>
    </row>
    <row r="97" spans="2:77" x14ac:dyDescent="0.2">
      <c r="B97">
        <f t="shared" si="10"/>
        <v>4.8499999999999917</v>
      </c>
      <c r="C97">
        <v>90</v>
      </c>
      <c r="D97">
        <v>-0.54784600000000006</v>
      </c>
      <c r="E97">
        <v>-811.625</v>
      </c>
      <c r="J97">
        <f t="shared" si="11"/>
        <v>4.8499999999999917</v>
      </c>
      <c r="K97">
        <v>90</v>
      </c>
      <c r="L97">
        <v>0.21074699999999999</v>
      </c>
      <c r="M97">
        <v>-1619.87</v>
      </c>
      <c r="R97">
        <f t="shared" si="12"/>
        <v>4.8499999999999917</v>
      </c>
      <c r="S97">
        <v>90</v>
      </c>
      <c r="T97">
        <v>0.90950699999999995</v>
      </c>
      <c r="U97">
        <v>-1068.3599999999999</v>
      </c>
      <c r="Z97">
        <f t="shared" si="13"/>
        <v>4.8499999999999917</v>
      </c>
      <c r="AA97">
        <v>90</v>
      </c>
      <c r="AB97">
        <v>-5.3608099999999999</v>
      </c>
      <c r="AC97">
        <v>8.0813500000000005</v>
      </c>
      <c r="AH97">
        <f t="shared" si="14"/>
        <v>4.8499999999999917</v>
      </c>
      <c r="AI97">
        <v>90</v>
      </c>
      <c r="AJ97">
        <v>-3.66153</v>
      </c>
      <c r="AK97">
        <v>713.33799999999997</v>
      </c>
      <c r="AP97">
        <f t="shared" si="15"/>
        <v>4.8499999999999917</v>
      </c>
      <c r="AQ97">
        <v>90</v>
      </c>
      <c r="AR97">
        <v>-2.38307</v>
      </c>
      <c r="AS97">
        <v>362.13499999999999</v>
      </c>
      <c r="AX97">
        <f t="shared" si="16"/>
        <v>4.8499999999999917</v>
      </c>
      <c r="AY97">
        <v>90</v>
      </c>
      <c r="AZ97">
        <v>4.4456199999999999</v>
      </c>
      <c r="BA97">
        <v>835.11500000000001</v>
      </c>
      <c r="BF97">
        <f t="shared" si="17"/>
        <v>4.8499999999999917</v>
      </c>
      <c r="BG97">
        <v>90</v>
      </c>
      <c r="BH97">
        <v>-4.4636500000000003</v>
      </c>
      <c r="BI97">
        <v>195.90700000000001</v>
      </c>
      <c r="BN97">
        <f t="shared" si="18"/>
        <v>4.8499999999999917</v>
      </c>
      <c r="BO97">
        <v>90</v>
      </c>
      <c r="BP97">
        <v>-3.81955</v>
      </c>
      <c r="BQ97">
        <v>95.784599999999998</v>
      </c>
      <c r="BV97">
        <f t="shared" si="19"/>
        <v>4.8499999999999917</v>
      </c>
      <c r="BW97">
        <v>90</v>
      </c>
      <c r="BX97">
        <v>-3.03016</v>
      </c>
      <c r="BY97">
        <v>417.99</v>
      </c>
    </row>
    <row r="98" spans="2:77" x14ac:dyDescent="0.2">
      <c r="B98">
        <f t="shared" si="10"/>
        <v>4.8999999999999915</v>
      </c>
      <c r="C98">
        <v>91</v>
      </c>
      <c r="D98">
        <v>-0.52666100000000005</v>
      </c>
      <c r="E98">
        <v>-770.03399999999999</v>
      </c>
      <c r="J98">
        <f t="shared" si="11"/>
        <v>4.8999999999999915</v>
      </c>
      <c r="K98">
        <v>91</v>
      </c>
      <c r="L98">
        <v>0.25349100000000002</v>
      </c>
      <c r="M98">
        <v>-1571.43</v>
      </c>
      <c r="R98">
        <f t="shared" si="12"/>
        <v>4.8999999999999915</v>
      </c>
      <c r="S98">
        <v>91</v>
      </c>
      <c r="T98">
        <v>0.93710099999999996</v>
      </c>
      <c r="U98">
        <v>-992.56299999999999</v>
      </c>
      <c r="Z98">
        <f t="shared" si="13"/>
        <v>4.8999999999999915</v>
      </c>
      <c r="AA98">
        <v>91</v>
      </c>
      <c r="AB98">
        <v>-5.3606400000000001</v>
      </c>
      <c r="AC98">
        <v>-19.713799999999999</v>
      </c>
      <c r="AH98">
        <f t="shared" si="14"/>
        <v>4.8999999999999915</v>
      </c>
      <c r="AI98">
        <v>91</v>
      </c>
      <c r="AJ98">
        <v>-3.67998</v>
      </c>
      <c r="AK98">
        <v>664.346</v>
      </c>
      <c r="AP98">
        <f t="shared" si="15"/>
        <v>4.8999999999999915</v>
      </c>
      <c r="AQ98">
        <v>91</v>
      </c>
      <c r="AR98">
        <v>-2.39256</v>
      </c>
      <c r="AS98">
        <v>346.43200000000002</v>
      </c>
      <c r="AX98">
        <f t="shared" si="16"/>
        <v>4.8999999999999915</v>
      </c>
      <c r="AY98">
        <v>91</v>
      </c>
      <c r="AZ98">
        <v>4.4237299999999999</v>
      </c>
      <c r="BA98">
        <v>798.93200000000002</v>
      </c>
      <c r="BF98">
        <f t="shared" si="17"/>
        <v>4.8999999999999915</v>
      </c>
      <c r="BG98">
        <v>91</v>
      </c>
      <c r="BH98">
        <v>-4.4686300000000001</v>
      </c>
      <c r="BI98">
        <v>178.41</v>
      </c>
      <c r="BN98">
        <f t="shared" si="18"/>
        <v>4.8999999999999915</v>
      </c>
      <c r="BO98">
        <v>91</v>
      </c>
      <c r="BP98">
        <v>-3.82199</v>
      </c>
      <c r="BQ98">
        <v>87.123099999999994</v>
      </c>
      <c r="BV98">
        <f t="shared" si="19"/>
        <v>4.8999999999999915</v>
      </c>
      <c r="BW98">
        <v>91</v>
      </c>
      <c r="BX98">
        <v>-3.0411100000000002</v>
      </c>
      <c r="BY98">
        <v>399.73</v>
      </c>
    </row>
    <row r="99" spans="2:77" x14ac:dyDescent="0.2">
      <c r="B99">
        <f t="shared" si="10"/>
        <v>4.9499999999999913</v>
      </c>
      <c r="C99">
        <v>92</v>
      </c>
      <c r="D99">
        <v>-0.507718</v>
      </c>
      <c r="E99">
        <v>-651.63099999999997</v>
      </c>
      <c r="J99">
        <f t="shared" si="11"/>
        <v>4.9499999999999913</v>
      </c>
      <c r="K99">
        <v>92</v>
      </c>
      <c r="L99">
        <v>0.29258299999999998</v>
      </c>
      <c r="M99">
        <v>-1360.35</v>
      </c>
      <c r="R99">
        <f t="shared" si="12"/>
        <v>4.9499999999999913</v>
      </c>
      <c r="S99">
        <v>92</v>
      </c>
      <c r="T99">
        <v>0.96129299999999995</v>
      </c>
      <c r="U99">
        <v>-824.27800000000002</v>
      </c>
      <c r="Z99">
        <f t="shared" si="13"/>
        <v>4.9499999999999913</v>
      </c>
      <c r="AA99">
        <v>92</v>
      </c>
      <c r="AB99">
        <v>-5.3598600000000003</v>
      </c>
      <c r="AC99">
        <v>-37.040700000000001</v>
      </c>
      <c r="AH99">
        <f t="shared" si="14"/>
        <v>4.9499999999999913</v>
      </c>
      <c r="AI99">
        <v>92</v>
      </c>
      <c r="AJ99">
        <v>-3.6962000000000002</v>
      </c>
      <c r="AK99">
        <v>553.68799999999999</v>
      </c>
      <c r="AP99">
        <f t="shared" si="15"/>
        <v>4.9499999999999913</v>
      </c>
      <c r="AQ99">
        <v>92</v>
      </c>
      <c r="AR99">
        <v>-2.4011300000000002</v>
      </c>
      <c r="AS99">
        <v>296.71499999999997</v>
      </c>
      <c r="AX99">
        <f t="shared" si="16"/>
        <v>4.9499999999999913</v>
      </c>
      <c r="AY99">
        <v>92</v>
      </c>
      <c r="AZ99">
        <v>4.4039900000000003</v>
      </c>
      <c r="BA99">
        <v>682.09500000000003</v>
      </c>
      <c r="BF99">
        <f t="shared" si="17"/>
        <v>4.9499999999999913</v>
      </c>
      <c r="BG99">
        <v>92</v>
      </c>
      <c r="BH99">
        <v>-4.4730299999999996</v>
      </c>
      <c r="BI99">
        <v>152.91200000000001</v>
      </c>
      <c r="BN99">
        <f t="shared" si="18"/>
        <v>4.9499999999999913</v>
      </c>
      <c r="BO99">
        <v>92</v>
      </c>
      <c r="BP99">
        <v>-3.8241200000000002</v>
      </c>
      <c r="BQ99">
        <v>73.571700000000007</v>
      </c>
      <c r="BV99">
        <f t="shared" si="19"/>
        <v>4.9499999999999913</v>
      </c>
      <c r="BW99">
        <v>92</v>
      </c>
      <c r="BX99">
        <v>-3.0510100000000002</v>
      </c>
      <c r="BY99">
        <v>343.23099999999999</v>
      </c>
    </row>
    <row r="100" spans="2:77" x14ac:dyDescent="0.2">
      <c r="B100">
        <f t="shared" si="10"/>
        <v>4.9999999999999911</v>
      </c>
      <c r="C100">
        <v>93</v>
      </c>
      <c r="D100">
        <v>-0.49350699999999997</v>
      </c>
      <c r="E100">
        <v>-413.49400000000003</v>
      </c>
      <c r="J100">
        <f t="shared" si="11"/>
        <v>4.9999999999999911</v>
      </c>
      <c r="K100">
        <v>93</v>
      </c>
      <c r="L100">
        <v>0.32253300000000001</v>
      </c>
      <c r="M100">
        <v>-880.33199999999999</v>
      </c>
      <c r="R100">
        <f t="shared" si="12"/>
        <v>4.9999999999999911</v>
      </c>
      <c r="S100">
        <v>93</v>
      </c>
      <c r="T100">
        <v>0.97912500000000002</v>
      </c>
      <c r="U100">
        <v>-514.16200000000003</v>
      </c>
      <c r="Z100">
        <f t="shared" si="13"/>
        <v>4.9999999999999911</v>
      </c>
      <c r="AA100">
        <v>93</v>
      </c>
      <c r="AB100">
        <v>-5.3588699999999996</v>
      </c>
      <c r="AC100">
        <v>-34.727600000000002</v>
      </c>
      <c r="AH100">
        <f t="shared" si="14"/>
        <v>4.9999999999999911</v>
      </c>
      <c r="AI100">
        <v>93</v>
      </c>
      <c r="AJ100">
        <v>-3.7082000000000002</v>
      </c>
      <c r="AK100">
        <v>347.11500000000001</v>
      </c>
      <c r="AP100">
        <f t="shared" si="15"/>
        <v>4.9999999999999911</v>
      </c>
      <c r="AQ100">
        <v>93</v>
      </c>
      <c r="AR100">
        <v>-2.4076399999999998</v>
      </c>
      <c r="AS100">
        <v>190.98099999999999</v>
      </c>
      <c r="AX100">
        <f t="shared" si="16"/>
        <v>4.9999999999999911</v>
      </c>
      <c r="AY100">
        <v>93</v>
      </c>
      <c r="AZ100">
        <v>4.3890500000000001</v>
      </c>
      <c r="BA100">
        <v>437.012</v>
      </c>
      <c r="BF100">
        <f t="shared" si="17"/>
        <v>4.9999999999999911</v>
      </c>
      <c r="BG100">
        <v>93</v>
      </c>
      <c r="BH100">
        <v>-4.4764400000000002</v>
      </c>
      <c r="BI100">
        <v>102.541</v>
      </c>
      <c r="BN100">
        <f t="shared" si="18"/>
        <v>4.9999999999999911</v>
      </c>
      <c r="BO100">
        <v>93</v>
      </c>
      <c r="BP100">
        <v>-3.8257400000000001</v>
      </c>
      <c r="BQ100">
        <v>48.026800000000001</v>
      </c>
      <c r="BV100">
        <f t="shared" si="19"/>
        <v>4.9999999999999911</v>
      </c>
      <c r="BW100">
        <v>93</v>
      </c>
      <c r="BX100">
        <v>-3.0585599999999999</v>
      </c>
      <c r="BY100">
        <v>221.90199999999999</v>
      </c>
    </row>
    <row r="101" spans="2:77" x14ac:dyDescent="0.2">
      <c r="B101">
        <f t="shared" si="10"/>
        <v>5.0499999999999909</v>
      </c>
      <c r="C101">
        <v>94</v>
      </c>
      <c r="D101">
        <v>-0.48771300000000001</v>
      </c>
      <c r="E101" s="3">
        <v>-1.6727600000000001E-10</v>
      </c>
      <c r="J101">
        <f t="shared" si="11"/>
        <v>5.0499999999999909</v>
      </c>
      <c r="K101">
        <v>94</v>
      </c>
      <c r="L101">
        <v>0.334928</v>
      </c>
      <c r="M101" s="3">
        <v>-3.6024900000000001E-10</v>
      </c>
      <c r="R101">
        <f t="shared" si="12"/>
        <v>5.0499999999999909</v>
      </c>
      <c r="S101">
        <v>94</v>
      </c>
      <c r="T101">
        <v>0.98628800000000005</v>
      </c>
      <c r="U101" s="3">
        <v>-2.0457199999999999E-10</v>
      </c>
      <c r="Z101">
        <f t="shared" si="13"/>
        <v>5.0499999999999909</v>
      </c>
      <c r="AA101">
        <v>94</v>
      </c>
      <c r="AB101">
        <v>-5.3583299999999996</v>
      </c>
      <c r="AC101" s="3">
        <v>-1.7984499999999999E-11</v>
      </c>
      <c r="AH101">
        <f t="shared" si="14"/>
        <v>5.0499999999999909</v>
      </c>
      <c r="AI101">
        <v>94</v>
      </c>
      <c r="AJ101">
        <v>-3.71305</v>
      </c>
      <c r="AK101" s="3">
        <v>1.39146E-10</v>
      </c>
      <c r="AP101">
        <f t="shared" si="15"/>
        <v>5.0499999999999909</v>
      </c>
      <c r="AQ101">
        <v>94</v>
      </c>
      <c r="AR101">
        <v>-2.4103300000000001</v>
      </c>
      <c r="AS101" s="3">
        <v>7.8423799999999995E-11</v>
      </c>
      <c r="AX101">
        <f t="shared" si="16"/>
        <v>5.0499999999999909</v>
      </c>
      <c r="AY101">
        <v>94</v>
      </c>
      <c r="AZ101">
        <v>4.3829099999999999</v>
      </c>
      <c r="BA101" s="3">
        <v>1.7870299999999999E-10</v>
      </c>
      <c r="BF101">
        <f t="shared" si="17"/>
        <v>5.0499999999999909</v>
      </c>
      <c r="BG101">
        <v>94</v>
      </c>
      <c r="BH101">
        <v>-4.4779200000000001</v>
      </c>
      <c r="BI101" s="3">
        <v>4.5184499999999999E-11</v>
      </c>
      <c r="BN101">
        <f t="shared" si="18"/>
        <v>5.0499999999999909</v>
      </c>
      <c r="BO101">
        <v>94</v>
      </c>
      <c r="BP101">
        <v>-3.8264300000000002</v>
      </c>
      <c r="BQ101" s="3">
        <v>2.03789E-11</v>
      </c>
      <c r="BV101">
        <f t="shared" si="19"/>
        <v>5.0499999999999909</v>
      </c>
      <c r="BW101">
        <v>94</v>
      </c>
      <c r="BX101">
        <v>-3.06169</v>
      </c>
      <c r="BY101" s="3">
        <v>9.1665300000000006E-11</v>
      </c>
    </row>
    <row r="102" spans="2:77" x14ac:dyDescent="0.2">
      <c r="B102">
        <f t="shared" si="10"/>
        <v>5.0999999999999908</v>
      </c>
      <c r="C102">
        <v>95</v>
      </c>
      <c r="D102">
        <v>-0.48771300000000001</v>
      </c>
      <c r="E102">
        <v>0</v>
      </c>
      <c r="J102">
        <f t="shared" si="11"/>
        <v>5.0999999999999908</v>
      </c>
      <c r="K102">
        <v>95</v>
      </c>
      <c r="L102">
        <v>0.334928</v>
      </c>
      <c r="M102">
        <v>0</v>
      </c>
      <c r="R102">
        <f t="shared" si="12"/>
        <v>5.0999999999999908</v>
      </c>
      <c r="S102">
        <v>95</v>
      </c>
      <c r="T102">
        <v>0.98628800000000005</v>
      </c>
      <c r="U102">
        <v>0</v>
      </c>
      <c r="Z102">
        <f t="shared" si="13"/>
        <v>5.0999999999999908</v>
      </c>
      <c r="AA102">
        <v>95</v>
      </c>
      <c r="AB102">
        <v>-5.3583299999999996</v>
      </c>
      <c r="AC102">
        <v>0</v>
      </c>
      <c r="AH102">
        <f t="shared" si="14"/>
        <v>5.0999999999999908</v>
      </c>
      <c r="AI102">
        <v>95</v>
      </c>
      <c r="AJ102">
        <v>-3.71305</v>
      </c>
      <c r="AK102">
        <v>0</v>
      </c>
      <c r="AP102">
        <f t="shared" si="15"/>
        <v>5.0999999999999908</v>
      </c>
      <c r="AQ102">
        <v>95</v>
      </c>
      <c r="AR102">
        <v>-2.4103300000000001</v>
      </c>
      <c r="AS102">
        <v>0</v>
      </c>
      <c r="AX102">
        <f t="shared" si="16"/>
        <v>5.0999999999999908</v>
      </c>
      <c r="AY102">
        <v>95</v>
      </c>
      <c r="AZ102">
        <v>4.3829099999999999</v>
      </c>
      <c r="BA102">
        <v>0</v>
      </c>
      <c r="BF102">
        <f t="shared" si="17"/>
        <v>5.0999999999999908</v>
      </c>
      <c r="BG102">
        <v>95</v>
      </c>
      <c r="BH102">
        <v>-4.4779200000000001</v>
      </c>
      <c r="BI102">
        <v>0</v>
      </c>
      <c r="BN102">
        <f t="shared" si="18"/>
        <v>5.0999999999999908</v>
      </c>
      <c r="BO102">
        <v>95</v>
      </c>
      <c r="BP102">
        <v>-3.8264300000000002</v>
      </c>
      <c r="BQ102">
        <v>0</v>
      </c>
      <c r="BV102">
        <f t="shared" si="19"/>
        <v>5.0999999999999908</v>
      </c>
      <c r="BW102">
        <v>95</v>
      </c>
      <c r="BX102">
        <v>-3.06169</v>
      </c>
      <c r="BY102">
        <v>0</v>
      </c>
    </row>
    <row r="103" spans="2:77" x14ac:dyDescent="0.2">
      <c r="B103">
        <f t="shared" si="10"/>
        <v>5.1499999999999906</v>
      </c>
      <c r="C103">
        <v>96</v>
      </c>
      <c r="D103">
        <v>-0.48771300000000001</v>
      </c>
      <c r="E103">
        <v>0</v>
      </c>
      <c r="J103">
        <f t="shared" si="11"/>
        <v>5.1499999999999906</v>
      </c>
      <c r="K103">
        <v>96</v>
      </c>
      <c r="L103">
        <v>0.334928</v>
      </c>
      <c r="M103">
        <v>0</v>
      </c>
      <c r="R103">
        <f t="shared" si="12"/>
        <v>5.1499999999999906</v>
      </c>
      <c r="S103">
        <v>96</v>
      </c>
      <c r="T103">
        <v>0.98628800000000005</v>
      </c>
      <c r="U103">
        <v>0</v>
      </c>
      <c r="Z103">
        <f t="shared" si="13"/>
        <v>5.1499999999999906</v>
      </c>
      <c r="AA103">
        <v>96</v>
      </c>
      <c r="AB103">
        <v>-5.3583299999999996</v>
      </c>
      <c r="AC103">
        <v>0</v>
      </c>
      <c r="AH103">
        <f t="shared" si="14"/>
        <v>5.1499999999999906</v>
      </c>
      <c r="AI103">
        <v>96</v>
      </c>
      <c r="AJ103">
        <v>-3.71305</v>
      </c>
      <c r="AK103">
        <v>0</v>
      </c>
      <c r="AP103">
        <f t="shared" si="15"/>
        <v>5.1499999999999906</v>
      </c>
      <c r="AQ103">
        <v>96</v>
      </c>
      <c r="AR103">
        <v>-2.4103300000000001</v>
      </c>
      <c r="AS103">
        <v>0</v>
      </c>
      <c r="AX103">
        <f t="shared" si="16"/>
        <v>5.1499999999999906</v>
      </c>
      <c r="AY103">
        <v>96</v>
      </c>
      <c r="AZ103">
        <v>4.3829099999999999</v>
      </c>
      <c r="BA103">
        <v>0</v>
      </c>
      <c r="BF103">
        <f t="shared" si="17"/>
        <v>5.1499999999999906</v>
      </c>
      <c r="BG103">
        <v>96</v>
      </c>
      <c r="BH103">
        <v>-4.4779200000000001</v>
      </c>
      <c r="BI103">
        <v>0</v>
      </c>
      <c r="BN103">
        <f t="shared" si="18"/>
        <v>5.1499999999999906</v>
      </c>
      <c r="BO103">
        <v>96</v>
      </c>
      <c r="BP103">
        <v>-3.8264300000000002</v>
      </c>
      <c r="BQ103">
        <v>0</v>
      </c>
      <c r="BV103">
        <f t="shared" si="19"/>
        <v>5.1499999999999906</v>
      </c>
      <c r="BW103">
        <v>96</v>
      </c>
      <c r="BX103">
        <v>-3.06169</v>
      </c>
      <c r="BY103">
        <v>0</v>
      </c>
    </row>
    <row r="104" spans="2:77" x14ac:dyDescent="0.2">
      <c r="B104">
        <f t="shared" si="10"/>
        <v>5.1999999999999904</v>
      </c>
      <c r="C104">
        <v>97</v>
      </c>
      <c r="D104">
        <v>-0.48771300000000001</v>
      </c>
      <c r="E104">
        <v>0</v>
      </c>
      <c r="J104">
        <f t="shared" si="11"/>
        <v>5.1999999999999904</v>
      </c>
      <c r="K104">
        <v>97</v>
      </c>
      <c r="L104">
        <v>0.334928</v>
      </c>
      <c r="M104">
        <v>0</v>
      </c>
      <c r="R104">
        <f t="shared" si="12"/>
        <v>5.1999999999999904</v>
      </c>
      <c r="S104">
        <v>97</v>
      </c>
      <c r="T104">
        <v>0.98628800000000005</v>
      </c>
      <c r="U104">
        <v>0</v>
      </c>
      <c r="Z104">
        <f t="shared" si="13"/>
        <v>5.1999999999999904</v>
      </c>
      <c r="AA104">
        <v>97</v>
      </c>
      <c r="AB104">
        <v>-5.3583299999999996</v>
      </c>
      <c r="AC104">
        <v>0</v>
      </c>
      <c r="AH104">
        <f t="shared" si="14"/>
        <v>5.1999999999999904</v>
      </c>
      <c r="AI104">
        <v>97</v>
      </c>
      <c r="AJ104">
        <v>-3.71305</v>
      </c>
      <c r="AK104">
        <v>0</v>
      </c>
      <c r="AP104">
        <f t="shared" si="15"/>
        <v>5.1999999999999904</v>
      </c>
      <c r="AQ104">
        <v>97</v>
      </c>
      <c r="AR104">
        <v>-2.4103300000000001</v>
      </c>
      <c r="AS104">
        <v>0</v>
      </c>
      <c r="AX104">
        <f t="shared" si="16"/>
        <v>5.1999999999999904</v>
      </c>
      <c r="AY104">
        <v>97</v>
      </c>
      <c r="AZ104">
        <v>4.3829099999999999</v>
      </c>
      <c r="BA104">
        <v>0</v>
      </c>
      <c r="BF104">
        <f t="shared" si="17"/>
        <v>5.1999999999999904</v>
      </c>
      <c r="BG104">
        <v>97</v>
      </c>
      <c r="BH104">
        <v>-4.4779200000000001</v>
      </c>
      <c r="BI104">
        <v>0</v>
      </c>
      <c r="BN104">
        <f t="shared" si="18"/>
        <v>5.1999999999999904</v>
      </c>
      <c r="BO104">
        <v>97</v>
      </c>
      <c r="BP104">
        <v>-3.8264300000000002</v>
      </c>
      <c r="BQ104">
        <v>0</v>
      </c>
      <c r="BV104">
        <f t="shared" si="19"/>
        <v>5.1999999999999904</v>
      </c>
      <c r="BW104">
        <v>97</v>
      </c>
      <c r="BX104">
        <v>-3.06169</v>
      </c>
      <c r="BY104">
        <v>0</v>
      </c>
    </row>
    <row r="105" spans="2:77" x14ac:dyDescent="0.2">
      <c r="B105">
        <f t="shared" si="10"/>
        <v>5.2499999999999902</v>
      </c>
      <c r="C105">
        <v>98</v>
      </c>
      <c r="D105">
        <v>-0.48771300000000001</v>
      </c>
      <c r="E105">
        <v>0</v>
      </c>
      <c r="J105">
        <f t="shared" si="11"/>
        <v>5.2499999999999902</v>
      </c>
      <c r="K105">
        <v>98</v>
      </c>
      <c r="L105">
        <v>0.334928</v>
      </c>
      <c r="M105">
        <v>0</v>
      </c>
      <c r="R105">
        <f t="shared" si="12"/>
        <v>5.2499999999999902</v>
      </c>
      <c r="S105">
        <v>98</v>
      </c>
      <c r="T105">
        <v>0.98628800000000005</v>
      </c>
      <c r="U105">
        <v>0</v>
      </c>
      <c r="Z105">
        <f t="shared" si="13"/>
        <v>5.2499999999999902</v>
      </c>
      <c r="AA105">
        <v>98</v>
      </c>
      <c r="AB105">
        <v>-5.3583299999999996</v>
      </c>
      <c r="AC105">
        <v>0</v>
      </c>
      <c r="AH105">
        <f t="shared" si="14"/>
        <v>5.2499999999999902</v>
      </c>
      <c r="AI105">
        <v>98</v>
      </c>
      <c r="AJ105">
        <v>-3.71305</v>
      </c>
      <c r="AK105">
        <v>0</v>
      </c>
      <c r="AP105">
        <f t="shared" si="15"/>
        <v>5.2499999999999902</v>
      </c>
      <c r="AQ105">
        <v>98</v>
      </c>
      <c r="AR105">
        <v>-2.4103300000000001</v>
      </c>
      <c r="AS105">
        <v>0</v>
      </c>
      <c r="AX105">
        <f t="shared" si="16"/>
        <v>5.2499999999999902</v>
      </c>
      <c r="AY105">
        <v>98</v>
      </c>
      <c r="AZ105">
        <v>4.3829099999999999</v>
      </c>
      <c r="BA105">
        <v>0</v>
      </c>
      <c r="BF105">
        <f t="shared" si="17"/>
        <v>5.2499999999999902</v>
      </c>
      <c r="BG105">
        <v>98</v>
      </c>
      <c r="BH105">
        <v>-4.4779200000000001</v>
      </c>
      <c r="BI105">
        <v>0</v>
      </c>
      <c r="BN105">
        <f t="shared" si="18"/>
        <v>5.2499999999999902</v>
      </c>
      <c r="BO105">
        <v>98</v>
      </c>
      <c r="BP105">
        <v>-3.8264300000000002</v>
      </c>
      <c r="BQ105">
        <v>0</v>
      </c>
      <c r="BV105">
        <f t="shared" si="19"/>
        <v>5.2499999999999902</v>
      </c>
      <c r="BW105">
        <v>98</v>
      </c>
      <c r="BX105">
        <v>-3.06169</v>
      </c>
      <c r="BY105">
        <v>0</v>
      </c>
    </row>
    <row r="106" spans="2:77" x14ac:dyDescent="0.2">
      <c r="B106">
        <f t="shared" si="10"/>
        <v>5.2999999999999901</v>
      </c>
      <c r="C106">
        <v>99</v>
      </c>
      <c r="D106">
        <v>-0.48771300000000001</v>
      </c>
      <c r="E106">
        <v>0</v>
      </c>
      <c r="J106">
        <f t="shared" si="11"/>
        <v>5.2999999999999901</v>
      </c>
      <c r="K106">
        <v>99</v>
      </c>
      <c r="L106">
        <v>0.334928</v>
      </c>
      <c r="M106">
        <v>0</v>
      </c>
      <c r="R106">
        <f t="shared" si="12"/>
        <v>5.2999999999999901</v>
      </c>
      <c r="S106">
        <v>99</v>
      </c>
      <c r="T106">
        <v>0.98628800000000005</v>
      </c>
      <c r="U106">
        <v>0</v>
      </c>
      <c r="Z106">
        <f t="shared" si="13"/>
        <v>5.2999999999999901</v>
      </c>
      <c r="AA106">
        <v>99</v>
      </c>
      <c r="AB106">
        <v>-5.3583299999999996</v>
      </c>
      <c r="AC106">
        <v>0</v>
      </c>
      <c r="AH106">
        <f t="shared" si="14"/>
        <v>5.2999999999999901</v>
      </c>
      <c r="AI106">
        <v>99</v>
      </c>
      <c r="AJ106">
        <v>-3.71305</v>
      </c>
      <c r="AK106">
        <v>0</v>
      </c>
      <c r="AP106">
        <f t="shared" si="15"/>
        <v>5.2999999999999901</v>
      </c>
      <c r="AQ106">
        <v>99</v>
      </c>
      <c r="AR106">
        <v>-2.4103300000000001</v>
      </c>
      <c r="AS106">
        <v>0</v>
      </c>
      <c r="AX106">
        <f t="shared" si="16"/>
        <v>5.2999999999999901</v>
      </c>
      <c r="AY106">
        <v>99</v>
      </c>
      <c r="AZ106">
        <v>4.3829099999999999</v>
      </c>
      <c r="BA106">
        <v>0</v>
      </c>
      <c r="BF106">
        <f t="shared" si="17"/>
        <v>5.2999999999999901</v>
      </c>
      <c r="BG106">
        <v>99</v>
      </c>
      <c r="BH106">
        <v>-4.4779200000000001</v>
      </c>
      <c r="BI106">
        <v>0</v>
      </c>
      <c r="BN106">
        <f t="shared" si="18"/>
        <v>5.2999999999999901</v>
      </c>
      <c r="BO106">
        <v>99</v>
      </c>
      <c r="BP106">
        <v>-3.8264300000000002</v>
      </c>
      <c r="BQ106">
        <v>0</v>
      </c>
      <c r="BV106">
        <f t="shared" si="19"/>
        <v>5.2999999999999901</v>
      </c>
      <c r="BW106">
        <v>99</v>
      </c>
      <c r="BX106">
        <v>-3.06169</v>
      </c>
      <c r="BY106">
        <v>0</v>
      </c>
    </row>
    <row r="107" spans="2:77" x14ac:dyDescent="0.2">
      <c r="B107">
        <f t="shared" si="10"/>
        <v>5.3499999999999899</v>
      </c>
      <c r="C107">
        <v>100</v>
      </c>
      <c r="D107">
        <v>-0.48771300000000001</v>
      </c>
      <c r="E107">
        <v>0</v>
      </c>
      <c r="J107">
        <f t="shared" si="11"/>
        <v>5.3499999999999899</v>
      </c>
      <c r="K107">
        <v>100</v>
      </c>
      <c r="L107">
        <v>0.334928</v>
      </c>
      <c r="M107">
        <v>0</v>
      </c>
      <c r="R107">
        <f t="shared" si="12"/>
        <v>5.3499999999999899</v>
      </c>
      <c r="S107">
        <v>100</v>
      </c>
      <c r="T107">
        <v>0.98628800000000005</v>
      </c>
      <c r="U107">
        <v>0</v>
      </c>
      <c r="Z107">
        <f t="shared" si="13"/>
        <v>5.3499999999999899</v>
      </c>
      <c r="AA107">
        <v>100</v>
      </c>
      <c r="AB107">
        <v>-5.3583299999999996</v>
      </c>
      <c r="AC107">
        <v>0</v>
      </c>
      <c r="AH107">
        <f t="shared" si="14"/>
        <v>5.3499999999999899</v>
      </c>
      <c r="AI107">
        <v>100</v>
      </c>
      <c r="AJ107">
        <v>-3.71305</v>
      </c>
      <c r="AK107">
        <v>0</v>
      </c>
      <c r="AP107">
        <f t="shared" si="15"/>
        <v>5.3499999999999899</v>
      </c>
      <c r="AQ107">
        <v>100</v>
      </c>
      <c r="AR107">
        <v>-2.4103300000000001</v>
      </c>
      <c r="AS107">
        <v>0</v>
      </c>
      <c r="AX107">
        <f t="shared" si="16"/>
        <v>5.3499999999999899</v>
      </c>
      <c r="AY107">
        <v>100</v>
      </c>
      <c r="AZ107">
        <v>4.3829099999999999</v>
      </c>
      <c r="BA107">
        <v>0</v>
      </c>
      <c r="BF107">
        <f t="shared" si="17"/>
        <v>5.3499999999999899</v>
      </c>
      <c r="BG107">
        <v>100</v>
      </c>
      <c r="BH107">
        <v>-4.4779200000000001</v>
      </c>
      <c r="BI107">
        <v>0</v>
      </c>
      <c r="BN107">
        <f t="shared" si="18"/>
        <v>5.3499999999999899</v>
      </c>
      <c r="BO107">
        <v>100</v>
      </c>
      <c r="BP107">
        <v>-3.8264300000000002</v>
      </c>
      <c r="BQ107">
        <v>0</v>
      </c>
      <c r="BV107">
        <f t="shared" si="19"/>
        <v>5.3499999999999899</v>
      </c>
      <c r="BW107">
        <v>100</v>
      </c>
      <c r="BX107">
        <v>-3.06169</v>
      </c>
      <c r="BY10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LiKNaCl MTP 14B</vt:lpstr>
      <vt:lpstr>LiCl-KCl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2025-10-01T16:07:13Z</dcterms:created>
  <dcterms:modified xsi:type="dcterms:W3CDTF">2025-12-01T22:23:29Z</dcterms:modified>
</cp:coreProperties>
</file>