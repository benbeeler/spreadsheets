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spreadsheets/SALT/"/>
    </mc:Choice>
  </mc:AlternateContent>
  <xr:revisionPtr revIDLastSave="0" documentId="8_{A7B57AE1-8065-4145-9C73-AC3F67FCE310}" xr6:coauthVersionLast="47" xr6:coauthVersionMax="47" xr10:uidLastSave="{00000000-0000-0000-0000-000000000000}"/>
  <bookViews>
    <workbookView xWindow="3920" yWindow="11000" windowWidth="27640" windowHeight="16020" xr2:uid="{263A2D24-7DC2-114A-B34B-DF7FAD104BF4}"/>
  </bookViews>
  <sheets>
    <sheet name="LiKNaCl MTP 14B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8" i="2"/>
  <c r="B7" i="2"/>
  <c r="L12" i="1"/>
  <c r="L11" i="1" a="1"/>
  <c r="L11" i="1" s="1"/>
  <c r="M7" i="1"/>
  <c r="M8" i="1"/>
  <c r="M9" i="1"/>
  <c r="M6" i="1"/>
  <c r="G12" i="1"/>
  <c r="G11" i="1" a="1"/>
  <c r="G11" i="1" s="1"/>
  <c r="K9" i="1"/>
  <c r="L9" i="1"/>
  <c r="K8" i="1"/>
  <c r="L8" i="1"/>
  <c r="K6" i="1"/>
  <c r="L6" i="1"/>
  <c r="K7" i="1"/>
  <c r="L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<sst xmlns="http://schemas.openxmlformats.org/spreadsheetml/2006/main" count="33" uniqueCount="31">
  <si>
    <t>LiCl</t>
  </si>
  <si>
    <t>TimeStep</t>
  </si>
  <si>
    <t>v_T</t>
  </si>
  <si>
    <t>v_E</t>
  </si>
  <si>
    <t>v_V</t>
  </si>
  <si>
    <t>v_P</t>
  </si>
  <si>
    <t>c_nat[1]</t>
  </si>
  <si>
    <t>c_nat[2]</t>
  </si>
  <si>
    <t>c_nat[3]</t>
  </si>
  <si>
    <t>c_nat[4]</t>
  </si>
  <si>
    <t>Li</t>
  </si>
  <si>
    <t>K</t>
  </si>
  <si>
    <t>Na</t>
  </si>
  <si>
    <t>Cl</t>
  </si>
  <si>
    <t>mass</t>
  </si>
  <si>
    <t>total mass</t>
  </si>
  <si>
    <t>density</t>
  </si>
  <si>
    <t>KCl</t>
  </si>
  <si>
    <t>DFT</t>
  </si>
  <si>
    <t>EXPT</t>
  </si>
  <si>
    <t>CTE</t>
  </si>
  <si>
    <t>TE</t>
  </si>
  <si>
    <t>Cp</t>
  </si>
  <si>
    <t>LiCl EvsR</t>
  </si>
  <si>
    <t>#</t>
  </si>
  <si>
    <t>Time-averaged</t>
  </si>
  <si>
    <t>data</t>
  </si>
  <si>
    <t>for</t>
  </si>
  <si>
    <t>fix</t>
  </si>
  <si>
    <t>c_PE</t>
  </si>
  <si>
    <t>c_P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</si>
</sst>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9" formatCode="0.000E+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9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14B'!$Q$6:$Q$9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14B'!$S$6:$S$9</c:f>
              <c:numCache>
                <c:formatCode>0.000</c:formatCode>
                <c:ptCount val="4"/>
                <c:pt idx="0">
                  <c:v>1.2304999999999999</c:v>
                </c:pt>
                <c:pt idx="1">
                  <c:v>1.2738</c:v>
                </c:pt>
                <c:pt idx="2">
                  <c:v>1.3170999999999999</c:v>
                </c:pt>
                <c:pt idx="3">
                  <c:v>1.3603999999999998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5E-E24B-8C5A-6213D80BF17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14B'!$Q$6:$Q$9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14B'!$R$6:$R$9</c:f>
              <c:numCache>
                <c:formatCode>0.000</c:formatCode>
                <c:ptCount val="4"/>
                <c:pt idx="0">
                  <c:v>1.2958796517248168</c:v>
                </c:pt>
                <c:pt idx="1">
                  <c:v>1.3370693256097848</c:v>
                </c:pt>
                <c:pt idx="2">
                  <c:v>1.3854045245553943</c:v>
                </c:pt>
                <c:pt idx="3">
                  <c:v>1.4003834985078594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5E-E24B-8C5A-6213D80BF174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14B'!$C$6:$C$9</c:f>
              <c:numCache>
                <c:formatCode>General</c:formatCode>
                <c:ptCount val="4"/>
                <c:pt idx="0">
                  <c:v>1499.96</c:v>
                </c:pt>
                <c:pt idx="1">
                  <c:v>1401.88</c:v>
                </c:pt>
                <c:pt idx="2">
                  <c:v>1300.93</c:v>
                </c:pt>
                <c:pt idx="3">
                  <c:v>1199.06</c:v>
                </c:pt>
              </c:numCache>
            </c:numRef>
          </c:xVal>
          <c:yVal>
            <c:numRef>
              <c:f>'LiKNaCl MTP 14B'!$L$6:$L$9</c:f>
              <c:numCache>
                <c:formatCode>General</c:formatCode>
                <c:ptCount val="4"/>
                <c:pt idx="0">
                  <c:v>1.1371082448503391</c:v>
                </c:pt>
                <c:pt idx="1">
                  <c:v>1.1947526516474281</c:v>
                </c:pt>
                <c:pt idx="2">
                  <c:v>1.2491134641874948</c:v>
                </c:pt>
                <c:pt idx="3">
                  <c:v>1.3035490456220225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5E-E24B-8C5A-6213D80BF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45680"/>
        <c:axId val="1328327520"/>
      </c:scatterChart>
      <c:valAx>
        <c:axId val="178845680"/>
        <c:scaling>
          <c:orientation val="minMax"/>
          <c:min val="1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327520"/>
        <c:crosses val="autoZero"/>
        <c:crossBetween val="midCat"/>
      </c:valAx>
      <c:valAx>
        <c:axId val="132832752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845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Sheet2!$B$7:$B$107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Sheet2!$D$7:$D$107</c:f>
              <c:numCache>
                <c:formatCode>0.00E+00</c:formatCode>
                <c:ptCount val="101"/>
                <c:pt idx="0">
                  <c:v>-720433000000000</c:v>
                </c:pt>
                <c:pt idx="1">
                  <c:v>-720433000000000</c:v>
                </c:pt>
                <c:pt idx="2">
                  <c:v>-423148000000000</c:v>
                </c:pt>
                <c:pt idx="3">
                  <c:v>-246462000000000</c:v>
                </c:pt>
                <c:pt idx="4">
                  <c:v>-142313000000000</c:v>
                </c:pt>
                <c:pt idx="5">
                  <c:v>-81441000000000</c:v>
                </c:pt>
                <c:pt idx="6">
                  <c:v>-46175500000000</c:v>
                </c:pt>
                <c:pt idx="7">
                  <c:v>-25930100000000</c:v>
                </c:pt>
                <c:pt idx="8">
                  <c:v>-14416700000000</c:v>
                </c:pt>
                <c:pt idx="9">
                  <c:v>-7932970000000</c:v>
                </c:pt>
                <c:pt idx="10">
                  <c:v>-4318560000000</c:v>
                </c:pt>
                <c:pt idx="11">
                  <c:v>-2324840000000</c:v>
                </c:pt>
                <c:pt idx="12">
                  <c:v>-1237080000000</c:v>
                </c:pt>
                <c:pt idx="13">
                  <c:v>-650348000000</c:v>
                </c:pt>
                <c:pt idx="14">
                  <c:v>-337606000000</c:v>
                </c:pt>
                <c:pt idx="15">
                  <c:v>-172961000000</c:v>
                </c:pt>
                <c:pt idx="16">
                  <c:v>-87397800000</c:v>
                </c:pt>
                <c:pt idx="17">
                  <c:v>-43529300000</c:v>
                </c:pt>
                <c:pt idx="18">
                  <c:v>-21354400000</c:v>
                </c:pt>
                <c:pt idx="19">
                  <c:v>-10310500000</c:v>
                </c:pt>
                <c:pt idx="20">
                  <c:v>-4895480000</c:v>
                </c:pt>
                <c:pt idx="21">
                  <c:v>-2283650000</c:v>
                </c:pt>
                <c:pt idx="22">
                  <c:v>-1045520000</c:v>
                </c:pt>
                <c:pt idx="23">
                  <c:v>-469253000</c:v>
                </c:pt>
                <c:pt idx="24">
                  <c:v>-206199000</c:v>
                </c:pt>
                <c:pt idx="25">
                  <c:v>-88579300</c:v>
                </c:pt>
                <c:pt idx="26">
                  <c:v>-37136700</c:v>
                </c:pt>
                <c:pt idx="27">
                  <c:v>-15164800</c:v>
                </c:pt>
                <c:pt idx="28">
                  <c:v>-6017390</c:v>
                </c:pt>
                <c:pt idx="29">
                  <c:v>-2313520</c:v>
                </c:pt>
                <c:pt idx="30" formatCode="General">
                  <c:v>-858801</c:v>
                </c:pt>
                <c:pt idx="31" formatCode="General">
                  <c:v>-306405</c:v>
                </c:pt>
                <c:pt idx="32" formatCode="General">
                  <c:v>-104443</c:v>
                </c:pt>
                <c:pt idx="33" formatCode="General">
                  <c:v>-33732.9</c:v>
                </c:pt>
                <c:pt idx="34" formatCode="General">
                  <c:v>-10199.6</c:v>
                </c:pt>
                <c:pt idx="35" formatCode="General">
                  <c:v>-2833.24</c:v>
                </c:pt>
                <c:pt idx="36" formatCode="General">
                  <c:v>-699.99699999999996</c:v>
                </c:pt>
                <c:pt idx="37" formatCode="General">
                  <c:v>-144.23699999999999</c:v>
                </c:pt>
                <c:pt idx="38" formatCode="General">
                  <c:v>-20.9956</c:v>
                </c:pt>
                <c:pt idx="39" formatCode="General">
                  <c:v>-0.81340599999999996</c:v>
                </c:pt>
                <c:pt idx="40" formatCode="General">
                  <c:v>0.31990499999999999</c:v>
                </c:pt>
                <c:pt idx="41" formatCode="General">
                  <c:v>-0.123334</c:v>
                </c:pt>
                <c:pt idx="42" formatCode="General">
                  <c:v>2.85318E-2</c:v>
                </c:pt>
                <c:pt idx="43" formatCode="General">
                  <c:v>0.45806799999999998</c:v>
                </c:pt>
                <c:pt idx="44" formatCode="General">
                  <c:v>0.85571200000000003</c:v>
                </c:pt>
                <c:pt idx="45" formatCode="General">
                  <c:v>1.12663</c:v>
                </c:pt>
                <c:pt idx="46" formatCode="General">
                  <c:v>1.27712</c:v>
                </c:pt>
                <c:pt idx="47" formatCode="General">
                  <c:v>1.33823</c:v>
                </c:pt>
                <c:pt idx="48" formatCode="General">
                  <c:v>1.3388100000000001</c:v>
                </c:pt>
                <c:pt idx="49" formatCode="General">
                  <c:v>1.3004800000000001</c:v>
                </c:pt>
                <c:pt idx="50" formatCode="General">
                  <c:v>1.2386900000000001</c:v>
                </c:pt>
                <c:pt idx="51" formatCode="General">
                  <c:v>1.1644399999999999</c:v>
                </c:pt>
                <c:pt idx="52" formatCode="General">
                  <c:v>1.08541</c:v>
                </c:pt>
                <c:pt idx="53" formatCode="General">
                  <c:v>1.0067299999999999</c:v>
                </c:pt>
                <c:pt idx="54" formatCode="General">
                  <c:v>0.93150100000000002</c:v>
                </c:pt>
                <c:pt idx="55" formatCode="General">
                  <c:v>0.86133000000000004</c:v>
                </c:pt>
                <c:pt idx="56" formatCode="General">
                  <c:v>0.79671999999999998</c:v>
                </c:pt>
                <c:pt idx="57" formatCode="General">
                  <c:v>0.73746800000000001</c:v>
                </c:pt>
                <c:pt idx="58" formatCode="General">
                  <c:v>0.68296999999999997</c:v>
                </c:pt>
                <c:pt idx="59" formatCode="General">
                  <c:v>0.63246899999999995</c:v>
                </c:pt>
                <c:pt idx="60" formatCode="General">
                  <c:v>0.58521299999999998</c:v>
                </c:pt>
                <c:pt idx="61" formatCode="General">
                  <c:v>0.54056499999999996</c:v>
                </c:pt>
                <c:pt idx="62" formatCode="General">
                  <c:v>0.49804799999999999</c:v>
                </c:pt>
                <c:pt idx="63" formatCode="General">
                  <c:v>0.45735599999999998</c:v>
                </c:pt>
                <c:pt idx="64" formatCode="General">
                  <c:v>0.41832999999999998</c:v>
                </c:pt>
                <c:pt idx="65" formatCode="General">
                  <c:v>0.38091799999999998</c:v>
                </c:pt>
                <c:pt idx="66" formatCode="General">
                  <c:v>0.34513700000000003</c:v>
                </c:pt>
                <c:pt idx="67" formatCode="General">
                  <c:v>0.31102200000000002</c:v>
                </c:pt>
                <c:pt idx="68" formatCode="General">
                  <c:v>0.27859499999999998</c:v>
                </c:pt>
                <c:pt idx="69" formatCode="General">
                  <c:v>0.247833</c:v>
                </c:pt>
                <c:pt idx="70" formatCode="General">
                  <c:v>0.21865999999999999</c:v>
                </c:pt>
                <c:pt idx="71" formatCode="General">
                  <c:v>0.190942</c:v>
                </c:pt>
                <c:pt idx="72" formatCode="General">
                  <c:v>0.164495</c:v>
                </c:pt>
                <c:pt idx="73" formatCode="General">
                  <c:v>0.13911200000000001</c:v>
                </c:pt>
                <c:pt idx="74" formatCode="General">
                  <c:v>0.114579</c:v>
                </c:pt>
                <c:pt idx="75" formatCode="General">
                  <c:v>9.07081E-2</c:v>
                </c:pt>
                <c:pt idx="76" formatCode="General">
                  <c:v>6.7357200000000006E-2</c:v>
                </c:pt>
                <c:pt idx="77" formatCode="General">
                  <c:v>4.4452800000000001E-2</c:v>
                </c:pt>
                <c:pt idx="78" formatCode="General">
                  <c:v>2.1997099999999999E-2</c:v>
                </c:pt>
                <c:pt idx="79">
                  <c:v>6.5309799999999996E-5</c:v>
                </c:pt>
                <c:pt idx="80" formatCode="General">
                  <c:v>-2.1210199999999998E-2</c:v>
                </c:pt>
                <c:pt idx="81" formatCode="General">
                  <c:v>-4.1668900000000002E-2</c:v>
                </c:pt>
                <c:pt idx="82" formatCode="General">
                  <c:v>-6.11627E-2</c:v>
                </c:pt>
                <c:pt idx="83" formatCode="General">
                  <c:v>-7.9603099999999996E-2</c:v>
                </c:pt>
                <c:pt idx="84" formatCode="General">
                  <c:v>-9.7009700000000004E-2</c:v>
                </c:pt>
                <c:pt idx="85" formatCode="General">
                  <c:v>-0.113552</c:v>
                </c:pt>
                <c:pt idx="86" formatCode="General">
                  <c:v>-0.12957099999999999</c:v>
                </c:pt>
                <c:pt idx="87" formatCode="General">
                  <c:v>-0.14557</c:v>
                </c:pt>
                <c:pt idx="88" formatCode="General">
                  <c:v>-0.16215399999999999</c:v>
                </c:pt>
                <c:pt idx="89" formatCode="General">
                  <c:v>-0.179895</c:v>
                </c:pt>
                <c:pt idx="90" formatCode="General">
                  <c:v>-0.199103</c:v>
                </c:pt>
                <c:pt idx="91" formatCode="General">
                  <c:v>-0.21948500000000001</c:v>
                </c:pt>
                <c:pt idx="92" formatCode="General">
                  <c:v>-0.23964199999999999</c:v>
                </c:pt>
                <c:pt idx="93" formatCode="General">
                  <c:v>-0.25640200000000002</c:v>
                </c:pt>
                <c:pt idx="94" formatCode="General">
                  <c:v>-0.26390000000000002</c:v>
                </c:pt>
                <c:pt idx="95" formatCode="General">
                  <c:v>-0.26390000000000002</c:v>
                </c:pt>
                <c:pt idx="96" formatCode="General">
                  <c:v>-0.26390000000000002</c:v>
                </c:pt>
                <c:pt idx="97" formatCode="General">
                  <c:v>-0.26390000000000002</c:v>
                </c:pt>
                <c:pt idx="98" formatCode="General">
                  <c:v>-0.26390000000000002</c:v>
                </c:pt>
                <c:pt idx="99" formatCode="General">
                  <c:v>-0.26390000000000002</c:v>
                </c:pt>
                <c:pt idx="100" formatCode="General">
                  <c:v>-0.26390000000000002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A-C346-9B92-6EE394852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781050</xdr:colOff>
      <xdr:row>12</xdr:row>
      <xdr:rowOff>88900</xdr:rowOff>
    </xdr:from>
    <xdr:to>
      <xdr:col>19</xdr:col>
      <xdr:colOff>400050</xdr:colOff>
      <xdr:row>25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9B413F-60F2-23BD-A8A9-CA38A841EA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565150</xdr:colOff>
      <xdr:row>10</xdr:row>
      <xdr:rowOff>177800</xdr:rowOff>
    </xdr:from>
    <xdr:to>
      <xdr:col>13</xdr:col>
      <xdr:colOff>184150</xdr:colOff>
      <xdr:row>24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B5F075-F306-B007-DA79-99DD130B5D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13538-0D67-F040-8F33-8819D732EBA5}">
  <dimension ref="B2:S15"/>
  <sheetViews>
    <sheetView tabSelected="1" workbookViewId="0">
      <selection activeCell="D18" sqref="D18"/>
    </sheetView>
  </sheetViews>
  <sheetFormatPr baseColWidth="10" defaultRowHeight="16" x14ac:dyDescent="0.2"/>
  <sheetData>
    <row r="2" spans="2:19" x14ac:dyDescent="0.2">
      <c r="F2" t="s">
        <v>14</v>
      </c>
      <c r="G2">
        <v>6.94</v>
      </c>
      <c r="H2">
        <v>39.097999999999999</v>
      </c>
      <c r="I2">
        <v>22.99</v>
      </c>
      <c r="J2">
        <v>35.450000000000003</v>
      </c>
    </row>
    <row r="3" spans="2:19" x14ac:dyDescent="0.2">
      <c r="B3" t="s">
        <v>0</v>
      </c>
      <c r="G3" t="s">
        <v>10</v>
      </c>
      <c r="H3" t="s">
        <v>11</v>
      </c>
      <c r="I3" t="s">
        <v>12</v>
      </c>
      <c r="J3" t="s">
        <v>13</v>
      </c>
    </row>
    <row r="4" spans="2:19" x14ac:dyDescent="0.2">
      <c r="R4" t="s">
        <v>18</v>
      </c>
      <c r="S4" t="s">
        <v>19</v>
      </c>
    </row>
    <row r="5" spans="2:19" x14ac:dyDescent="0.2">
      <c r="B5" t="s">
        <v>1</v>
      </c>
      <c r="C5" t="s">
        <v>2</v>
      </c>
      <c r="D5" t="s">
        <v>3</v>
      </c>
      <c r="E5" t="s">
        <v>4</v>
      </c>
      <c r="F5" t="s">
        <v>5</v>
      </c>
      <c r="G5" t="s">
        <v>6</v>
      </c>
      <c r="H5" t="s">
        <v>7</v>
      </c>
      <c r="I5" t="s">
        <v>8</v>
      </c>
      <c r="J5" t="s">
        <v>9</v>
      </c>
      <c r="K5" t="s">
        <v>15</v>
      </c>
      <c r="L5" t="s">
        <v>16</v>
      </c>
      <c r="M5" t="s">
        <v>21</v>
      </c>
    </row>
    <row r="6" spans="2:19" x14ac:dyDescent="0.2">
      <c r="B6">
        <v>100000</v>
      </c>
      <c r="C6">
        <v>1499.96</v>
      </c>
      <c r="D6">
        <v>-4325.8100000000004</v>
      </c>
      <c r="E6">
        <v>53484.1</v>
      </c>
      <c r="F6">
        <v>-11.609</v>
      </c>
      <c r="G6">
        <v>864</v>
      </c>
      <c r="H6">
        <v>0</v>
      </c>
      <c r="I6">
        <v>0</v>
      </c>
      <c r="J6">
        <v>864</v>
      </c>
      <c r="K6">
        <f>G6*G$2+H6*H$2+I6*I$2+J6*J$2</f>
        <v>36624.960000000006</v>
      </c>
      <c r="L6">
        <f>K6*(1.66054E-24)/(E6)/(1E-24)</f>
        <v>1.1371082448503391</v>
      </c>
      <c r="M6">
        <f>D6+SUM(G6:J6)*1.5*(0.000086173)*C6</f>
        <v>-3990.7783104166406</v>
      </c>
      <c r="Q6">
        <v>1500</v>
      </c>
      <c r="R6" s="1">
        <v>1.2958796517248168</v>
      </c>
      <c r="S6" s="1">
        <v>1.2304999999999999</v>
      </c>
    </row>
    <row r="7" spans="2:19" x14ac:dyDescent="0.2">
      <c r="B7">
        <v>100000</v>
      </c>
      <c r="C7">
        <v>1401.88</v>
      </c>
      <c r="D7">
        <v>-4363.37</v>
      </c>
      <c r="E7">
        <v>50903.6</v>
      </c>
      <c r="F7">
        <v>3.5820699999999999</v>
      </c>
      <c r="G7">
        <v>864</v>
      </c>
      <c r="H7">
        <v>0</v>
      </c>
      <c r="I7">
        <v>0</v>
      </c>
      <c r="J7">
        <v>864</v>
      </c>
      <c r="K7">
        <f>G7*G$2+H7*H$2+I7*I$2+J7*J$2</f>
        <v>36624.960000000006</v>
      </c>
      <c r="L7">
        <f>K7*(1.66054E-24)/(E7)/(1E-24)</f>
        <v>1.1947526516474281</v>
      </c>
      <c r="M7">
        <f t="shared" ref="M7:M9" si="0">D7+SUM(G7:J7)*1.5*(0.000086173)*C7</f>
        <v>-4050.2455000179198</v>
      </c>
      <c r="Q7">
        <v>1400</v>
      </c>
      <c r="R7" s="1">
        <v>1.3370693256097848</v>
      </c>
      <c r="S7" s="1">
        <v>1.2738</v>
      </c>
    </row>
    <row r="8" spans="2:19" x14ac:dyDescent="0.2">
      <c r="B8">
        <v>100000</v>
      </c>
      <c r="C8">
        <v>1300.93</v>
      </c>
      <c r="D8">
        <v>-4400.88</v>
      </c>
      <c r="E8">
        <v>48688.3</v>
      </c>
      <c r="F8">
        <v>2.2111800000000001</v>
      </c>
      <c r="G8">
        <v>864</v>
      </c>
      <c r="H8">
        <v>0</v>
      </c>
      <c r="I8">
        <v>0</v>
      </c>
      <c r="J8">
        <v>864</v>
      </c>
      <c r="K8">
        <f>G8*G$2+H8*H$2+I8*I$2+J8*J$2</f>
        <v>36624.960000000006</v>
      </c>
      <c r="L8">
        <f>K8*(1.66054E-24)/(E8)/(1E-24)</f>
        <v>1.2491134641874948</v>
      </c>
      <c r="M8">
        <f t="shared" si="0"/>
        <v>-4110.3037340131204</v>
      </c>
      <c r="Q8">
        <v>1300</v>
      </c>
      <c r="R8" s="1">
        <v>1.3854045245553943</v>
      </c>
      <c r="S8" s="1">
        <v>1.3170999999999999</v>
      </c>
    </row>
    <row r="9" spans="2:19" x14ac:dyDescent="0.2">
      <c r="B9">
        <v>100000</v>
      </c>
      <c r="C9">
        <v>1199.06</v>
      </c>
      <c r="D9">
        <v>-4438.58</v>
      </c>
      <c r="E9">
        <v>46655.1</v>
      </c>
      <c r="F9">
        <v>-1.0062899999999999</v>
      </c>
      <c r="G9">
        <v>864</v>
      </c>
      <c r="H9">
        <v>0</v>
      </c>
      <c r="I9">
        <v>0</v>
      </c>
      <c r="J9">
        <v>864</v>
      </c>
      <c r="K9">
        <f>G9*G$2+H9*H$2+I9*I$2+J9*J$2</f>
        <v>36624.960000000006</v>
      </c>
      <c r="L9">
        <f>K9*(1.66054E-24)/(E9)/(1E-24)</f>
        <v>1.3035490456220225</v>
      </c>
      <c r="M9">
        <f t="shared" si="0"/>
        <v>-4170.7574595910401</v>
      </c>
      <c r="Q9">
        <v>1200</v>
      </c>
      <c r="R9" s="1">
        <v>1.4003834985078594</v>
      </c>
      <c r="S9" s="1">
        <v>1.3603999999999998</v>
      </c>
    </row>
    <row r="11" spans="2:19" x14ac:dyDescent="0.2">
      <c r="F11" t="s">
        <v>20</v>
      </c>
      <c r="G11" cm="1">
        <f t="array" ref="G11:H11">LINEST(E6:E9,C6:C9)</f>
        <v>22.607390240614855</v>
      </c>
      <c r="H11">
        <v>19402.455294134867</v>
      </c>
      <c r="K11" t="s">
        <v>22</v>
      </c>
      <c r="L11" cm="1">
        <f t="array" ref="L11:M11">LINEST(M6:M9,C6:C9)</f>
        <v>0.59778772104927791</v>
      </c>
      <c r="M11">
        <v>-4887.8081623085864</v>
      </c>
    </row>
    <row r="12" spans="2:19" x14ac:dyDescent="0.2">
      <c r="G12" s="2">
        <f>G11/E9</f>
        <v>4.8456417927761071E-4</v>
      </c>
      <c r="L12">
        <f>L11/SUM(G6:I6)*(1.602E-19)*(6.022E+23)</f>
        <v>66.747731541276849</v>
      </c>
    </row>
    <row r="15" spans="2:19" x14ac:dyDescent="0.2">
      <c r="B15" t="s">
        <v>17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1D781-84FE-EE4A-B7BB-D978DB04106A}">
  <dimension ref="B2:H107"/>
  <sheetViews>
    <sheetView workbookViewId="0">
      <selection activeCell="I6" sqref="I6"/>
    </sheetView>
  </sheetViews>
  <sheetFormatPr baseColWidth="10" defaultRowHeight="16" x14ac:dyDescent="0.2"/>
  <sheetData>
    <row r="2" spans="2:8" x14ac:dyDescent="0.2">
      <c r="B2" t="s">
        <v>23</v>
      </c>
    </row>
    <row r="5" spans="2:8" x14ac:dyDescent="0.2">
      <c r="C5" t="s">
        <v>24</v>
      </c>
      <c r="D5" t="s">
        <v>25</v>
      </c>
      <c r="E5" t="s">
        <v>26</v>
      </c>
      <c r="F5" t="s">
        <v>27</v>
      </c>
      <c r="G5" t="s">
        <v>28</v>
      </c>
      <c r="H5">
        <v>1</v>
      </c>
    </row>
    <row r="6" spans="2:8" x14ac:dyDescent="0.2">
      <c r="C6" t="s">
        <v>24</v>
      </c>
      <c r="D6" t="s">
        <v>1</v>
      </c>
      <c r="E6" t="s">
        <v>29</v>
      </c>
      <c r="F6" t="s">
        <v>30</v>
      </c>
    </row>
    <row r="7" spans="2:8" x14ac:dyDescent="0.2">
      <c r="B7">
        <f>3.5*0.1</f>
        <v>0.35000000000000003</v>
      </c>
      <c r="C7">
        <v>0</v>
      </c>
      <c r="D7" s="3">
        <v>-720433000000000</v>
      </c>
      <c r="E7" s="3">
        <v>-5.18267E+17</v>
      </c>
    </row>
    <row r="8" spans="2:8" x14ac:dyDescent="0.2">
      <c r="B8">
        <f>B7+0.05</f>
        <v>0.4</v>
      </c>
      <c r="C8">
        <v>1</v>
      </c>
      <c r="D8" s="3">
        <v>-720433000000000</v>
      </c>
      <c r="E8" s="3">
        <v>-5.18267E+17</v>
      </c>
    </row>
    <row r="9" spans="2:8" x14ac:dyDescent="0.2">
      <c r="B9">
        <f t="shared" ref="B9:B72" si="0">B8+0.05</f>
        <v>0.45</v>
      </c>
      <c r="C9">
        <v>2</v>
      </c>
      <c r="D9" s="3">
        <v>-423148000000000</v>
      </c>
      <c r="E9" s="3">
        <v>-3.53326E+17</v>
      </c>
    </row>
    <row r="10" spans="2:8" x14ac:dyDescent="0.2">
      <c r="B10">
        <f t="shared" si="0"/>
        <v>0.5</v>
      </c>
      <c r="C10">
        <v>3</v>
      </c>
      <c r="D10" s="3">
        <v>-246462000000000</v>
      </c>
      <c r="E10" s="3">
        <v>-2.35198E+17</v>
      </c>
    </row>
    <row r="11" spans="2:8" x14ac:dyDescent="0.2">
      <c r="B11">
        <f t="shared" si="0"/>
        <v>0.55000000000000004</v>
      </c>
      <c r="C11">
        <v>4</v>
      </c>
      <c r="D11" s="3">
        <v>-142313000000000</v>
      </c>
      <c r="E11" s="3">
        <v>-1.5334E+17</v>
      </c>
    </row>
    <row r="12" spans="2:8" x14ac:dyDescent="0.2">
      <c r="B12">
        <f t="shared" si="0"/>
        <v>0.60000000000000009</v>
      </c>
      <c r="C12">
        <v>5</v>
      </c>
      <c r="D12" s="3">
        <v>-81441000000000</v>
      </c>
      <c r="E12" s="3">
        <v>-9.81171E+16</v>
      </c>
    </row>
    <row r="13" spans="2:8" x14ac:dyDescent="0.2">
      <c r="B13">
        <f t="shared" si="0"/>
        <v>0.65000000000000013</v>
      </c>
      <c r="C13">
        <v>6</v>
      </c>
      <c r="D13" s="3">
        <v>-46175500000000</v>
      </c>
      <c r="E13" s="3">
        <v>-6.17065E+16</v>
      </c>
    </row>
    <row r="14" spans="2:8" x14ac:dyDescent="0.2">
      <c r="B14">
        <f t="shared" si="0"/>
        <v>0.70000000000000018</v>
      </c>
      <c r="C14">
        <v>7</v>
      </c>
      <c r="D14" s="3">
        <v>-25930100000000</v>
      </c>
      <c r="E14" s="3">
        <v>-3.81815E+16</v>
      </c>
    </row>
    <row r="15" spans="2:8" x14ac:dyDescent="0.2">
      <c r="B15">
        <f t="shared" si="0"/>
        <v>0.75000000000000022</v>
      </c>
      <c r="C15">
        <v>8</v>
      </c>
      <c r="D15" s="3">
        <v>-14416700000000</v>
      </c>
      <c r="E15" s="3">
        <v>-2.32601E+16</v>
      </c>
    </row>
    <row r="16" spans="2:8" x14ac:dyDescent="0.2">
      <c r="B16">
        <f t="shared" si="0"/>
        <v>0.80000000000000027</v>
      </c>
      <c r="C16">
        <v>9</v>
      </c>
      <c r="D16" s="3">
        <v>-7932970000000</v>
      </c>
      <c r="E16" s="3">
        <v>-1.39575E+16</v>
      </c>
    </row>
    <row r="17" spans="2:5" x14ac:dyDescent="0.2">
      <c r="B17">
        <f t="shared" si="0"/>
        <v>0.85000000000000031</v>
      </c>
      <c r="C17">
        <v>10</v>
      </c>
      <c r="D17" s="3">
        <v>-4318560000000</v>
      </c>
      <c r="E17" s="3">
        <v>-8252030000000000</v>
      </c>
    </row>
    <row r="18" spans="2:5" x14ac:dyDescent="0.2">
      <c r="B18">
        <f t="shared" si="0"/>
        <v>0.90000000000000036</v>
      </c>
      <c r="C18">
        <v>11</v>
      </c>
      <c r="D18" s="3">
        <v>-2324840000000</v>
      </c>
      <c r="E18" s="3">
        <v>-4807630000000000</v>
      </c>
    </row>
    <row r="19" spans="2:5" x14ac:dyDescent="0.2">
      <c r="B19">
        <f t="shared" si="0"/>
        <v>0.9500000000000004</v>
      </c>
      <c r="C19">
        <v>12</v>
      </c>
      <c r="D19" s="3">
        <v>-1237080000000</v>
      </c>
      <c r="E19" s="3">
        <v>-2760090000000000</v>
      </c>
    </row>
    <row r="20" spans="2:5" x14ac:dyDescent="0.2">
      <c r="B20">
        <f t="shared" si="0"/>
        <v>1.0000000000000004</v>
      </c>
      <c r="C20">
        <v>13</v>
      </c>
      <c r="D20" s="3">
        <v>-650348000000</v>
      </c>
      <c r="E20" s="3">
        <v>-1561350000000000</v>
      </c>
    </row>
    <row r="21" spans="2:5" x14ac:dyDescent="0.2">
      <c r="B21">
        <f t="shared" si="0"/>
        <v>1.0500000000000005</v>
      </c>
      <c r="C21">
        <v>14</v>
      </c>
      <c r="D21" s="3">
        <v>-337606000000</v>
      </c>
      <c r="E21" s="3">
        <v>-870130000000000</v>
      </c>
    </row>
    <row r="22" spans="2:5" x14ac:dyDescent="0.2">
      <c r="B22">
        <f t="shared" si="0"/>
        <v>1.1000000000000005</v>
      </c>
      <c r="C22">
        <v>15</v>
      </c>
      <c r="D22" s="3">
        <v>-172961000000</v>
      </c>
      <c r="E22" s="3">
        <v>-477599000000000</v>
      </c>
    </row>
    <row r="23" spans="2:5" x14ac:dyDescent="0.2">
      <c r="B23">
        <f t="shared" si="0"/>
        <v>1.1500000000000006</v>
      </c>
      <c r="C23">
        <v>16</v>
      </c>
      <c r="D23" s="3">
        <v>-87397800000</v>
      </c>
      <c r="E23" s="3">
        <v>-258102000000000</v>
      </c>
    </row>
    <row r="24" spans="2:5" x14ac:dyDescent="0.2">
      <c r="B24">
        <f t="shared" si="0"/>
        <v>1.2000000000000006</v>
      </c>
      <c r="C24">
        <v>17</v>
      </c>
      <c r="D24" s="3">
        <v>-43529300000</v>
      </c>
      <c r="E24" s="3">
        <v>-137273000000000</v>
      </c>
    </row>
    <row r="25" spans="2:5" x14ac:dyDescent="0.2">
      <c r="B25">
        <f t="shared" si="0"/>
        <v>1.2500000000000007</v>
      </c>
      <c r="C25">
        <v>18</v>
      </c>
      <c r="D25" s="3">
        <v>-21354400000</v>
      </c>
      <c r="E25" s="3">
        <v>-71818500000000</v>
      </c>
    </row>
    <row r="26" spans="2:5" x14ac:dyDescent="0.2">
      <c r="B26">
        <f t="shared" si="0"/>
        <v>1.3000000000000007</v>
      </c>
      <c r="C26">
        <v>19</v>
      </c>
      <c r="D26" s="3">
        <v>-10310500000</v>
      </c>
      <c r="E26" s="3">
        <v>-36939800000000</v>
      </c>
    </row>
    <row r="27" spans="2:5" x14ac:dyDescent="0.2">
      <c r="B27">
        <f t="shared" si="0"/>
        <v>1.3500000000000008</v>
      </c>
      <c r="C27">
        <v>20</v>
      </c>
      <c r="D27" s="3">
        <v>-4895480000</v>
      </c>
      <c r="E27" s="3">
        <v>-18667000000000</v>
      </c>
    </row>
    <row r="28" spans="2:5" x14ac:dyDescent="0.2">
      <c r="B28">
        <f t="shared" si="0"/>
        <v>1.4000000000000008</v>
      </c>
      <c r="C28">
        <v>21</v>
      </c>
      <c r="D28" s="3">
        <v>-2283650000</v>
      </c>
      <c r="E28" s="3">
        <v>-9260960000000</v>
      </c>
    </row>
    <row r="29" spans="2:5" x14ac:dyDescent="0.2">
      <c r="B29">
        <f t="shared" si="0"/>
        <v>1.4500000000000008</v>
      </c>
      <c r="C29">
        <v>22</v>
      </c>
      <c r="D29" s="3">
        <v>-1045520000</v>
      </c>
      <c r="E29" s="3">
        <v>-4506790000000</v>
      </c>
    </row>
    <row r="30" spans="2:5" x14ac:dyDescent="0.2">
      <c r="B30">
        <f t="shared" si="0"/>
        <v>1.5000000000000009</v>
      </c>
      <c r="C30">
        <v>23</v>
      </c>
      <c r="D30" s="3">
        <v>-469253000</v>
      </c>
      <c r="E30" s="3">
        <v>-2149260000000</v>
      </c>
    </row>
    <row r="31" spans="2:5" x14ac:dyDescent="0.2">
      <c r="B31">
        <f t="shared" si="0"/>
        <v>1.5500000000000009</v>
      </c>
      <c r="C31">
        <v>24</v>
      </c>
      <c r="D31" s="3">
        <v>-206199000</v>
      </c>
      <c r="E31" s="3">
        <v>-1003330000000</v>
      </c>
    </row>
    <row r="32" spans="2:5" x14ac:dyDescent="0.2">
      <c r="B32">
        <f t="shared" si="0"/>
        <v>1.600000000000001</v>
      </c>
      <c r="C32">
        <v>25</v>
      </c>
      <c r="D32" s="3">
        <v>-88579300</v>
      </c>
      <c r="E32" s="3">
        <v>-457915000000</v>
      </c>
    </row>
    <row r="33" spans="2:5" x14ac:dyDescent="0.2">
      <c r="B33">
        <f t="shared" si="0"/>
        <v>1.650000000000001</v>
      </c>
      <c r="C33">
        <v>26</v>
      </c>
      <c r="D33" s="3">
        <v>-37136700</v>
      </c>
      <c r="E33" s="3">
        <v>-204022000000</v>
      </c>
    </row>
    <row r="34" spans="2:5" x14ac:dyDescent="0.2">
      <c r="B34">
        <f t="shared" si="0"/>
        <v>1.7000000000000011</v>
      </c>
      <c r="C34">
        <v>27</v>
      </c>
      <c r="D34" s="3">
        <v>-15164800</v>
      </c>
      <c r="E34" s="3">
        <v>-88589100000</v>
      </c>
    </row>
    <row r="35" spans="2:5" x14ac:dyDescent="0.2">
      <c r="B35">
        <f t="shared" si="0"/>
        <v>1.7500000000000011</v>
      </c>
      <c r="C35">
        <v>28</v>
      </c>
      <c r="D35" s="3">
        <v>-6017390</v>
      </c>
      <c r="E35" s="3">
        <v>-37413100000</v>
      </c>
    </row>
    <row r="36" spans="2:5" x14ac:dyDescent="0.2">
      <c r="B36">
        <f t="shared" si="0"/>
        <v>1.8000000000000012</v>
      </c>
      <c r="C36">
        <v>29</v>
      </c>
      <c r="D36" s="3">
        <v>-2313520</v>
      </c>
      <c r="E36" s="3">
        <v>-15330600000</v>
      </c>
    </row>
    <row r="37" spans="2:5" x14ac:dyDescent="0.2">
      <c r="B37">
        <f t="shared" si="0"/>
        <v>1.8500000000000012</v>
      </c>
      <c r="C37">
        <v>30</v>
      </c>
      <c r="D37">
        <v>-858801</v>
      </c>
      <c r="E37" s="3">
        <v>-6077160000</v>
      </c>
    </row>
    <row r="38" spans="2:5" x14ac:dyDescent="0.2">
      <c r="B38">
        <f t="shared" si="0"/>
        <v>1.9000000000000012</v>
      </c>
      <c r="C38">
        <v>31</v>
      </c>
      <c r="D38">
        <v>-306405</v>
      </c>
      <c r="E38" s="3">
        <v>-2321880000</v>
      </c>
    </row>
    <row r="39" spans="2:5" x14ac:dyDescent="0.2">
      <c r="B39">
        <f t="shared" si="0"/>
        <v>1.9500000000000013</v>
      </c>
      <c r="C39">
        <v>32</v>
      </c>
      <c r="D39">
        <v>-104443</v>
      </c>
      <c r="E39" s="3">
        <v>-850921000</v>
      </c>
    </row>
    <row r="40" spans="2:5" x14ac:dyDescent="0.2">
      <c r="B40">
        <f t="shared" si="0"/>
        <v>2.0000000000000013</v>
      </c>
      <c r="C40">
        <v>33</v>
      </c>
      <c r="D40">
        <v>-33732.9</v>
      </c>
      <c r="E40" s="3">
        <v>-297200000</v>
      </c>
    </row>
    <row r="41" spans="2:5" x14ac:dyDescent="0.2">
      <c r="B41">
        <f t="shared" si="0"/>
        <v>2.0500000000000012</v>
      </c>
      <c r="C41">
        <v>34</v>
      </c>
      <c r="D41">
        <v>-10199.6</v>
      </c>
      <c r="E41" s="3">
        <v>-98031900</v>
      </c>
    </row>
    <row r="42" spans="2:5" x14ac:dyDescent="0.2">
      <c r="B42">
        <f t="shared" si="0"/>
        <v>2.100000000000001</v>
      </c>
      <c r="C42">
        <v>35</v>
      </c>
      <c r="D42">
        <v>-2833.24</v>
      </c>
      <c r="E42" s="3">
        <v>-30123700</v>
      </c>
    </row>
    <row r="43" spans="2:5" x14ac:dyDescent="0.2">
      <c r="B43">
        <f t="shared" si="0"/>
        <v>2.1500000000000008</v>
      </c>
      <c r="C43">
        <v>36</v>
      </c>
      <c r="D43">
        <v>-699.99699999999996</v>
      </c>
      <c r="E43" s="3">
        <v>-8432610</v>
      </c>
    </row>
    <row r="44" spans="2:5" x14ac:dyDescent="0.2">
      <c r="B44">
        <f t="shared" si="0"/>
        <v>2.2000000000000006</v>
      </c>
      <c r="C44">
        <v>37</v>
      </c>
      <c r="D44">
        <v>-144.23699999999999</v>
      </c>
      <c r="E44" s="3">
        <v>-2063090</v>
      </c>
    </row>
    <row r="45" spans="2:5" x14ac:dyDescent="0.2">
      <c r="B45">
        <f t="shared" si="0"/>
        <v>2.2500000000000004</v>
      </c>
      <c r="C45">
        <v>38</v>
      </c>
      <c r="D45">
        <v>-20.9956</v>
      </c>
      <c r="E45">
        <v>-401346</v>
      </c>
    </row>
    <row r="46" spans="2:5" x14ac:dyDescent="0.2">
      <c r="B46">
        <f t="shared" si="0"/>
        <v>2.3000000000000003</v>
      </c>
      <c r="C46">
        <v>39</v>
      </c>
      <c r="D46">
        <v>-0.81340599999999996</v>
      </c>
      <c r="E46">
        <v>-44178.9</v>
      </c>
    </row>
    <row r="47" spans="2:5" x14ac:dyDescent="0.2">
      <c r="B47">
        <f t="shared" si="0"/>
        <v>2.35</v>
      </c>
      <c r="C47">
        <v>40</v>
      </c>
      <c r="D47">
        <v>0.31990499999999999</v>
      </c>
      <c r="E47">
        <v>4878.8599999999997</v>
      </c>
    </row>
    <row r="48" spans="2:5" x14ac:dyDescent="0.2">
      <c r="B48">
        <f t="shared" si="0"/>
        <v>2.4</v>
      </c>
      <c r="C48">
        <v>41</v>
      </c>
      <c r="D48">
        <v>-0.123334</v>
      </c>
      <c r="E48">
        <v>1277.8699999999999</v>
      </c>
    </row>
    <row r="49" spans="2:5" x14ac:dyDescent="0.2">
      <c r="B49">
        <f t="shared" si="0"/>
        <v>2.4499999999999997</v>
      </c>
      <c r="C49">
        <v>42</v>
      </c>
      <c r="D49">
        <v>2.85318E-2</v>
      </c>
      <c r="E49">
        <v>-3395.89</v>
      </c>
    </row>
    <row r="50" spans="2:5" x14ac:dyDescent="0.2">
      <c r="B50">
        <f t="shared" si="0"/>
        <v>2.4999999999999996</v>
      </c>
      <c r="C50">
        <v>43</v>
      </c>
      <c r="D50">
        <v>0.45806799999999998</v>
      </c>
      <c r="E50">
        <v>-4232.76</v>
      </c>
    </row>
    <row r="51" spans="2:5" x14ac:dyDescent="0.2">
      <c r="B51">
        <f t="shared" si="0"/>
        <v>2.5499999999999994</v>
      </c>
      <c r="C51">
        <v>44</v>
      </c>
      <c r="D51">
        <v>0.85571200000000003</v>
      </c>
      <c r="E51">
        <v>-3289.37</v>
      </c>
    </row>
    <row r="52" spans="2:5" x14ac:dyDescent="0.2">
      <c r="B52">
        <f t="shared" si="0"/>
        <v>2.5999999999999992</v>
      </c>
      <c r="C52">
        <v>45</v>
      </c>
      <c r="D52">
        <v>1.12663</v>
      </c>
      <c r="E52">
        <v>-2045.61</v>
      </c>
    </row>
    <row r="53" spans="2:5" x14ac:dyDescent="0.2">
      <c r="B53">
        <f t="shared" si="0"/>
        <v>2.649999999999999</v>
      </c>
      <c r="C53">
        <v>46</v>
      </c>
      <c r="D53">
        <v>1.27712</v>
      </c>
      <c r="E53">
        <v>-1016.54</v>
      </c>
    </row>
    <row r="54" spans="2:5" x14ac:dyDescent="0.2">
      <c r="B54">
        <f t="shared" si="0"/>
        <v>2.6999999999999988</v>
      </c>
      <c r="C54">
        <v>47</v>
      </c>
      <c r="D54">
        <v>1.33823</v>
      </c>
      <c r="E54">
        <v>-274.82</v>
      </c>
    </row>
    <row r="55" spans="2:5" x14ac:dyDescent="0.2">
      <c r="B55">
        <f t="shared" si="0"/>
        <v>2.7499999999999987</v>
      </c>
      <c r="C55">
        <v>48</v>
      </c>
      <c r="D55">
        <v>1.3388100000000001</v>
      </c>
      <c r="E55">
        <v>230.22399999999999</v>
      </c>
    </row>
    <row r="56" spans="2:5" x14ac:dyDescent="0.2">
      <c r="B56">
        <f t="shared" si="0"/>
        <v>2.7999999999999985</v>
      </c>
      <c r="C56">
        <v>49</v>
      </c>
      <c r="D56">
        <v>1.3004800000000001</v>
      </c>
      <c r="E56">
        <v>558.98199999999997</v>
      </c>
    </row>
    <row r="57" spans="2:5" x14ac:dyDescent="0.2">
      <c r="B57">
        <f t="shared" si="0"/>
        <v>2.8499999999999983</v>
      </c>
      <c r="C57">
        <v>50</v>
      </c>
      <c r="D57">
        <v>1.2386900000000001</v>
      </c>
      <c r="E57">
        <v>757.97799999999995</v>
      </c>
    </row>
    <row r="58" spans="2:5" x14ac:dyDescent="0.2">
      <c r="B58">
        <f t="shared" si="0"/>
        <v>2.8999999999999981</v>
      </c>
      <c r="C58">
        <v>51</v>
      </c>
      <c r="D58">
        <v>1.1644399999999999</v>
      </c>
      <c r="E58">
        <v>861.81100000000004</v>
      </c>
    </row>
    <row r="59" spans="2:5" x14ac:dyDescent="0.2">
      <c r="B59">
        <f t="shared" si="0"/>
        <v>2.949999999999998</v>
      </c>
      <c r="C59">
        <v>52</v>
      </c>
      <c r="D59">
        <v>1.08541</v>
      </c>
      <c r="E59">
        <v>897.72199999999998</v>
      </c>
    </row>
    <row r="60" spans="2:5" x14ac:dyDescent="0.2">
      <c r="B60">
        <f t="shared" si="0"/>
        <v>2.9999999999999978</v>
      </c>
      <c r="C60">
        <v>53</v>
      </c>
      <c r="D60">
        <v>1.0067299999999999</v>
      </c>
      <c r="E60">
        <v>888.02099999999996</v>
      </c>
    </row>
    <row r="61" spans="2:5" x14ac:dyDescent="0.2">
      <c r="B61">
        <f t="shared" si="0"/>
        <v>3.0499999999999976</v>
      </c>
      <c r="C61">
        <v>54</v>
      </c>
      <c r="D61">
        <v>0.93150100000000002</v>
      </c>
      <c r="E61">
        <v>850.83500000000004</v>
      </c>
    </row>
    <row r="62" spans="2:5" x14ac:dyDescent="0.2">
      <c r="B62">
        <f t="shared" si="0"/>
        <v>3.0999999999999974</v>
      </c>
      <c r="C62">
        <v>55</v>
      </c>
      <c r="D62">
        <v>0.86133000000000004</v>
      </c>
      <c r="E62">
        <v>800.24</v>
      </c>
    </row>
    <row r="63" spans="2:5" x14ac:dyDescent="0.2">
      <c r="B63">
        <f t="shared" si="0"/>
        <v>3.1499999999999972</v>
      </c>
      <c r="C63">
        <v>56</v>
      </c>
      <c r="D63">
        <v>0.79671999999999998</v>
      </c>
      <c r="E63">
        <v>746.39700000000005</v>
      </c>
    </row>
    <row r="64" spans="2:5" x14ac:dyDescent="0.2">
      <c r="B64">
        <f t="shared" si="0"/>
        <v>3.1999999999999971</v>
      </c>
      <c r="C64">
        <v>57</v>
      </c>
      <c r="D64">
        <v>0.73746800000000001</v>
      </c>
      <c r="E64">
        <v>695.9</v>
      </c>
    </row>
    <row r="65" spans="2:5" x14ac:dyDescent="0.2">
      <c r="B65">
        <f t="shared" si="0"/>
        <v>3.2499999999999969</v>
      </c>
      <c r="C65">
        <v>58</v>
      </c>
      <c r="D65">
        <v>0.68296999999999997</v>
      </c>
      <c r="E65">
        <v>652.31899999999996</v>
      </c>
    </row>
    <row r="66" spans="2:5" x14ac:dyDescent="0.2">
      <c r="B66">
        <f t="shared" si="0"/>
        <v>3.2999999999999967</v>
      </c>
      <c r="C66">
        <v>59</v>
      </c>
      <c r="D66">
        <v>0.63246899999999995</v>
      </c>
      <c r="E66">
        <v>616.86300000000006</v>
      </c>
    </row>
    <row r="67" spans="2:5" x14ac:dyDescent="0.2">
      <c r="B67">
        <f t="shared" si="0"/>
        <v>3.3499999999999965</v>
      </c>
      <c r="C67">
        <v>60</v>
      </c>
      <c r="D67">
        <v>0.58521299999999998</v>
      </c>
      <c r="E67">
        <v>589.072</v>
      </c>
    </row>
    <row r="68" spans="2:5" x14ac:dyDescent="0.2">
      <c r="B68">
        <f t="shared" si="0"/>
        <v>3.3999999999999964</v>
      </c>
      <c r="C68">
        <v>61</v>
      </c>
      <c r="D68">
        <v>0.54056499999999996</v>
      </c>
      <c r="E68">
        <v>567.46900000000005</v>
      </c>
    </row>
    <row r="69" spans="2:5" x14ac:dyDescent="0.2">
      <c r="B69">
        <f t="shared" si="0"/>
        <v>3.4499999999999962</v>
      </c>
      <c r="C69">
        <v>62</v>
      </c>
      <c r="D69">
        <v>0.49804799999999999</v>
      </c>
      <c r="E69">
        <v>550.11699999999996</v>
      </c>
    </row>
    <row r="70" spans="2:5" x14ac:dyDescent="0.2">
      <c r="B70">
        <f t="shared" si="0"/>
        <v>3.499999999999996</v>
      </c>
      <c r="C70">
        <v>63</v>
      </c>
      <c r="D70">
        <v>0.45735599999999998</v>
      </c>
      <c r="E70">
        <v>535.06899999999996</v>
      </c>
    </row>
    <row r="71" spans="2:5" x14ac:dyDescent="0.2">
      <c r="B71">
        <f t="shared" si="0"/>
        <v>3.5499999999999958</v>
      </c>
      <c r="C71">
        <v>64</v>
      </c>
      <c r="D71">
        <v>0.41832999999999998</v>
      </c>
      <c r="E71">
        <v>520.678</v>
      </c>
    </row>
    <row r="72" spans="2:5" x14ac:dyDescent="0.2">
      <c r="B72">
        <f t="shared" si="0"/>
        <v>3.5999999999999956</v>
      </c>
      <c r="C72">
        <v>65</v>
      </c>
      <c r="D72">
        <v>0.38091799999999998</v>
      </c>
      <c r="E72">
        <v>505.78800000000001</v>
      </c>
    </row>
    <row r="73" spans="2:5" x14ac:dyDescent="0.2">
      <c r="B73">
        <f t="shared" ref="B73:B107" si="1">B72+0.05</f>
        <v>3.6499999999999955</v>
      </c>
      <c r="C73">
        <v>66</v>
      </c>
      <c r="D73">
        <v>0.34513700000000003</v>
      </c>
      <c r="E73">
        <v>489.81299999999999</v>
      </c>
    </row>
    <row r="74" spans="2:5" x14ac:dyDescent="0.2">
      <c r="B74">
        <f t="shared" si="1"/>
        <v>3.6999999999999953</v>
      </c>
      <c r="C74">
        <v>67</v>
      </c>
      <c r="D74">
        <v>0.31102200000000002</v>
      </c>
      <c r="E74">
        <v>472.71699999999998</v>
      </c>
    </row>
    <row r="75" spans="2:5" x14ac:dyDescent="0.2">
      <c r="B75">
        <f t="shared" si="1"/>
        <v>3.7499999999999951</v>
      </c>
      <c r="C75">
        <v>68</v>
      </c>
      <c r="D75">
        <v>0.27859499999999998</v>
      </c>
      <c r="E75">
        <v>454.923</v>
      </c>
    </row>
    <row r="76" spans="2:5" x14ac:dyDescent="0.2">
      <c r="B76">
        <f t="shared" si="1"/>
        <v>3.7999999999999949</v>
      </c>
      <c r="C76">
        <v>69</v>
      </c>
      <c r="D76">
        <v>0.247833</v>
      </c>
      <c r="E76">
        <v>437.17500000000001</v>
      </c>
    </row>
    <row r="77" spans="2:5" x14ac:dyDescent="0.2">
      <c r="B77">
        <f t="shared" si="1"/>
        <v>3.8499999999999948</v>
      </c>
      <c r="C77">
        <v>70</v>
      </c>
      <c r="D77">
        <v>0.21865999999999999</v>
      </c>
      <c r="E77">
        <v>420.36700000000002</v>
      </c>
    </row>
    <row r="78" spans="2:5" x14ac:dyDescent="0.2">
      <c r="B78">
        <f t="shared" si="1"/>
        <v>3.8999999999999946</v>
      </c>
      <c r="C78">
        <v>71</v>
      </c>
      <c r="D78">
        <v>0.190942</v>
      </c>
      <c r="E78">
        <v>405.36900000000003</v>
      </c>
    </row>
    <row r="79" spans="2:5" x14ac:dyDescent="0.2">
      <c r="B79">
        <f t="shared" si="1"/>
        <v>3.9499999999999944</v>
      </c>
      <c r="C79">
        <v>72</v>
      </c>
      <c r="D79">
        <v>0.164495</v>
      </c>
      <c r="E79">
        <v>392.863</v>
      </c>
    </row>
    <row r="80" spans="2:5" x14ac:dyDescent="0.2">
      <c r="B80">
        <f t="shared" si="1"/>
        <v>3.9999999999999942</v>
      </c>
      <c r="C80">
        <v>73</v>
      </c>
      <c r="D80">
        <v>0.13911200000000001</v>
      </c>
      <c r="E80">
        <v>383.21499999999997</v>
      </c>
    </row>
    <row r="81" spans="2:5" x14ac:dyDescent="0.2">
      <c r="B81">
        <f t="shared" si="1"/>
        <v>4.0499999999999945</v>
      </c>
      <c r="C81">
        <v>74</v>
      </c>
      <c r="D81">
        <v>0.114579</v>
      </c>
      <c r="E81">
        <v>376.392</v>
      </c>
    </row>
    <row r="82" spans="2:5" x14ac:dyDescent="0.2">
      <c r="B82">
        <f t="shared" si="1"/>
        <v>4.0999999999999943</v>
      </c>
      <c r="C82">
        <v>75</v>
      </c>
      <c r="D82">
        <v>9.07081E-2</v>
      </c>
      <c r="E82">
        <v>371.93599999999998</v>
      </c>
    </row>
    <row r="83" spans="2:5" x14ac:dyDescent="0.2">
      <c r="B83">
        <f t="shared" si="1"/>
        <v>4.1499999999999941</v>
      </c>
      <c r="C83">
        <v>76</v>
      </c>
      <c r="D83">
        <v>6.7357200000000006E-2</v>
      </c>
      <c r="E83">
        <v>369.00700000000001</v>
      </c>
    </row>
    <row r="84" spans="2:5" x14ac:dyDescent="0.2">
      <c r="B84">
        <f t="shared" si="1"/>
        <v>4.199999999999994</v>
      </c>
      <c r="C84">
        <v>77</v>
      </c>
      <c r="D84">
        <v>4.4452800000000001E-2</v>
      </c>
      <c r="E84">
        <v>366.48500000000001</v>
      </c>
    </row>
    <row r="85" spans="2:5" x14ac:dyDescent="0.2">
      <c r="B85">
        <f t="shared" si="1"/>
        <v>4.2499999999999938</v>
      </c>
      <c r="C85">
        <v>78</v>
      </c>
      <c r="D85">
        <v>2.1997099999999999E-2</v>
      </c>
      <c r="E85">
        <v>363.13499999999999</v>
      </c>
    </row>
    <row r="86" spans="2:5" x14ac:dyDescent="0.2">
      <c r="B86">
        <f t="shared" si="1"/>
        <v>4.2999999999999936</v>
      </c>
      <c r="C86">
        <v>79</v>
      </c>
      <c r="D86" s="3">
        <v>6.5309799999999996E-5</v>
      </c>
      <c r="E86">
        <v>357.82</v>
      </c>
    </row>
    <row r="87" spans="2:5" x14ac:dyDescent="0.2">
      <c r="B87">
        <f t="shared" si="1"/>
        <v>4.3499999999999934</v>
      </c>
      <c r="C87">
        <v>80</v>
      </c>
      <c r="D87">
        <v>-2.1210199999999998E-2</v>
      </c>
      <c r="E87">
        <v>349.72899999999998</v>
      </c>
    </row>
    <row r="88" spans="2:5" x14ac:dyDescent="0.2">
      <c r="B88">
        <f t="shared" si="1"/>
        <v>4.3999999999999932</v>
      </c>
      <c r="C88">
        <v>81</v>
      </c>
      <c r="D88">
        <v>-4.1668900000000002E-2</v>
      </c>
      <c r="E88">
        <v>338.613</v>
      </c>
    </row>
    <row r="89" spans="2:5" x14ac:dyDescent="0.2">
      <c r="B89">
        <f t="shared" si="1"/>
        <v>4.4499999999999931</v>
      </c>
      <c r="C89">
        <v>82</v>
      </c>
      <c r="D89">
        <v>-6.11627E-2</v>
      </c>
      <c r="E89">
        <v>324.97899999999998</v>
      </c>
    </row>
    <row r="90" spans="2:5" x14ac:dyDescent="0.2">
      <c r="B90">
        <f t="shared" si="1"/>
        <v>4.4999999999999929</v>
      </c>
      <c r="C90">
        <v>83</v>
      </c>
      <c r="D90">
        <v>-7.9603099999999996E-2</v>
      </c>
      <c r="E90">
        <v>310.21600000000001</v>
      </c>
    </row>
    <row r="91" spans="2:5" x14ac:dyDescent="0.2">
      <c r="B91">
        <f t="shared" si="1"/>
        <v>4.5499999999999927</v>
      </c>
      <c r="C91">
        <v>84</v>
      </c>
      <c r="D91">
        <v>-9.7009700000000004E-2</v>
      </c>
      <c r="E91">
        <v>296.59100000000001</v>
      </c>
    </row>
    <row r="92" spans="2:5" x14ac:dyDescent="0.2">
      <c r="B92">
        <f t="shared" si="1"/>
        <v>4.5999999999999925</v>
      </c>
      <c r="C92">
        <v>85</v>
      </c>
      <c r="D92">
        <v>-0.113552</v>
      </c>
      <c r="E92">
        <v>287.08199999999999</v>
      </c>
    </row>
    <row r="93" spans="2:5" x14ac:dyDescent="0.2">
      <c r="B93">
        <f t="shared" si="1"/>
        <v>4.6499999999999924</v>
      </c>
      <c r="C93">
        <v>86</v>
      </c>
      <c r="D93">
        <v>-0.12957099999999999</v>
      </c>
      <c r="E93">
        <v>284.95100000000002</v>
      </c>
    </row>
    <row r="94" spans="2:5" x14ac:dyDescent="0.2">
      <c r="B94">
        <f t="shared" si="1"/>
        <v>4.6999999999999922</v>
      </c>
      <c r="C94">
        <v>87</v>
      </c>
      <c r="D94">
        <v>-0.14557</v>
      </c>
      <c r="E94">
        <v>293.00700000000001</v>
      </c>
    </row>
    <row r="95" spans="2:5" x14ac:dyDescent="0.2">
      <c r="B95">
        <f t="shared" si="1"/>
        <v>4.749999999999992</v>
      </c>
      <c r="C95">
        <v>88</v>
      </c>
      <c r="D95">
        <v>-0.16215399999999999</v>
      </c>
      <c r="E95">
        <v>312.46199999999999</v>
      </c>
    </row>
    <row r="96" spans="2:5" x14ac:dyDescent="0.2">
      <c r="B96">
        <f t="shared" si="1"/>
        <v>4.7999999999999918</v>
      </c>
      <c r="C96">
        <v>89</v>
      </c>
      <c r="D96">
        <v>-0.179895</v>
      </c>
      <c r="E96">
        <v>341.30500000000001</v>
      </c>
    </row>
    <row r="97" spans="2:5" x14ac:dyDescent="0.2">
      <c r="B97">
        <f t="shared" si="1"/>
        <v>4.8499999999999917</v>
      </c>
      <c r="C97">
        <v>90</v>
      </c>
      <c r="D97">
        <v>-0.199103</v>
      </c>
      <c r="E97">
        <v>372.13299999999998</v>
      </c>
    </row>
    <row r="98" spans="2:5" x14ac:dyDescent="0.2">
      <c r="B98">
        <f t="shared" si="1"/>
        <v>4.8999999999999915</v>
      </c>
      <c r="C98">
        <v>91</v>
      </c>
      <c r="D98">
        <v>-0.21948500000000001</v>
      </c>
      <c r="E98">
        <v>389.36599999999999</v>
      </c>
    </row>
    <row r="99" spans="2:5" x14ac:dyDescent="0.2">
      <c r="B99">
        <f t="shared" si="1"/>
        <v>4.9499999999999913</v>
      </c>
      <c r="C99">
        <v>92</v>
      </c>
      <c r="D99">
        <v>-0.23964199999999999</v>
      </c>
      <c r="E99">
        <v>365.76499999999999</v>
      </c>
    </row>
    <row r="100" spans="2:5" x14ac:dyDescent="0.2">
      <c r="B100">
        <f t="shared" si="1"/>
        <v>4.9999999999999911</v>
      </c>
      <c r="C100">
        <v>93</v>
      </c>
      <c r="D100">
        <v>-0.25640200000000002</v>
      </c>
      <c r="E100">
        <v>257.93200000000002</v>
      </c>
    </row>
    <row r="101" spans="2:5" x14ac:dyDescent="0.2">
      <c r="B101">
        <f t="shared" si="1"/>
        <v>5.0499999999999909</v>
      </c>
      <c r="C101">
        <v>94</v>
      </c>
      <c r="D101">
        <v>-0.26390000000000002</v>
      </c>
      <c r="E101" s="3">
        <v>1.1587E-10</v>
      </c>
    </row>
    <row r="102" spans="2:5" x14ac:dyDescent="0.2">
      <c r="B102">
        <f t="shared" si="1"/>
        <v>5.0999999999999908</v>
      </c>
      <c r="C102">
        <v>95</v>
      </c>
      <c r="D102">
        <v>-0.26390000000000002</v>
      </c>
      <c r="E102">
        <v>0</v>
      </c>
    </row>
    <row r="103" spans="2:5" x14ac:dyDescent="0.2">
      <c r="B103">
        <f t="shared" si="1"/>
        <v>5.1499999999999906</v>
      </c>
      <c r="C103">
        <v>96</v>
      </c>
      <c r="D103">
        <v>-0.26390000000000002</v>
      </c>
      <c r="E103">
        <v>0</v>
      </c>
    </row>
    <row r="104" spans="2:5" x14ac:dyDescent="0.2">
      <c r="B104">
        <f t="shared" si="1"/>
        <v>5.1999999999999904</v>
      </c>
      <c r="C104">
        <v>97</v>
      </c>
      <c r="D104">
        <v>-0.26390000000000002</v>
      </c>
      <c r="E104">
        <v>0</v>
      </c>
    </row>
    <row r="105" spans="2:5" x14ac:dyDescent="0.2">
      <c r="B105">
        <f t="shared" si="1"/>
        <v>5.2499999999999902</v>
      </c>
      <c r="C105">
        <v>98</v>
      </c>
      <c r="D105">
        <v>-0.26390000000000002</v>
      </c>
      <c r="E105">
        <v>0</v>
      </c>
    </row>
    <row r="106" spans="2:5" x14ac:dyDescent="0.2">
      <c r="B106">
        <f t="shared" si="1"/>
        <v>5.2999999999999901</v>
      </c>
      <c r="C106">
        <v>99</v>
      </c>
      <c r="D106">
        <v>-0.26390000000000002</v>
      </c>
      <c r="E106">
        <v>0</v>
      </c>
    </row>
    <row r="107" spans="2:5" x14ac:dyDescent="0.2">
      <c r="B107">
        <f t="shared" si="1"/>
        <v>5.3499999999999899</v>
      </c>
      <c r="C107">
        <v>100</v>
      </c>
      <c r="D107">
        <v>-0.26390000000000002</v>
      </c>
      <c r="E107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LiKNaCl MTP 14B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2025-10-01T16:07:13Z</dcterms:created>
  <dcterms:modified xsi:type="dcterms:W3CDTF">2025-10-02T20:52:23Z</dcterms:modified>
</cp:coreProperties>
</file>