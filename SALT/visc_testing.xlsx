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13_ncr:1_{71176F8A-0849-F44D-B2BB-7308337DDF4F}" xr6:coauthVersionLast="47" xr6:coauthVersionMax="47" xr10:uidLastSave="{00000000-0000-0000-0000-000000000000}"/>
  <bookViews>
    <workbookView xWindow="1700" yWindow="2960" windowWidth="28040" windowHeight="17440" xr2:uid="{A21D3970-42ED-7D47-AB73-7BD3585E7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I43" i="1" l="1"/>
  <c r="BH43" i="1"/>
  <c r="BG43" i="1"/>
  <c r="BF40" i="1"/>
  <c r="BG40" i="1"/>
  <c r="BH40" i="1"/>
  <c r="BI40" i="1"/>
  <c r="BF41" i="1"/>
  <c r="BG41" i="1"/>
  <c r="BH41" i="1"/>
  <c r="BI41" i="1"/>
  <c r="BF42" i="1"/>
  <c r="BG42" i="1"/>
  <c r="BH42" i="1"/>
  <c r="BI42" i="1"/>
  <c r="BF43" i="1"/>
  <c r="BI39" i="1"/>
  <c r="BH39" i="1"/>
  <c r="BF35" i="1"/>
  <c r="BG35" i="1" s="1"/>
  <c r="BF36" i="1"/>
  <c r="BG36" i="1" s="1"/>
  <c r="BF37" i="1"/>
  <c r="BG37" i="1" s="1"/>
  <c r="BF38" i="1"/>
  <c r="BG38" i="1" s="1"/>
  <c r="BF39" i="1"/>
  <c r="BG39" i="1" s="1"/>
  <c r="BH34" i="1"/>
  <c r="BG34" i="1"/>
  <c r="BI34" i="1"/>
  <c r="BI31" i="1"/>
  <c r="BI30" i="1"/>
  <c r="BI26" i="1"/>
  <c r="BI27" i="1"/>
  <c r="BI28" i="1"/>
  <c r="BI29" i="1"/>
  <c r="BI32" i="1"/>
  <c r="BI33" i="1"/>
  <c r="BH31" i="1"/>
  <c r="BH32" i="1"/>
  <c r="BH33" i="1"/>
  <c r="BH30" i="1"/>
  <c r="BH29" i="1"/>
  <c r="BH28" i="1"/>
  <c r="BI25" i="1"/>
  <c r="BI24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15" i="1"/>
  <c r="BH25" i="1"/>
  <c r="BH26" i="1"/>
  <c r="BH27" i="1"/>
  <c r="BH24" i="1"/>
  <c r="BF25" i="1"/>
  <c r="BG25" i="1" s="1"/>
  <c r="BF26" i="1"/>
  <c r="BG26" i="1"/>
  <c r="BF27" i="1"/>
  <c r="BG27" i="1"/>
  <c r="BF28" i="1"/>
  <c r="BG28" i="1"/>
  <c r="BF29" i="1"/>
  <c r="BG29" i="1"/>
  <c r="BF30" i="1"/>
  <c r="BG30" i="1"/>
  <c r="BF31" i="1"/>
  <c r="BG31" i="1"/>
  <c r="BF32" i="1"/>
  <c r="BG32" i="1"/>
  <c r="BF33" i="1"/>
  <c r="BG33" i="1"/>
  <c r="BF34" i="1"/>
  <c r="BF24" i="1"/>
  <c r="BF16" i="1"/>
  <c r="BG16" i="1" s="1"/>
  <c r="BF15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W17" i="1"/>
  <c r="AX17" i="1" s="1"/>
  <c r="AW18" i="1"/>
  <c r="AX18" i="1" s="1"/>
  <c r="AW19" i="1"/>
  <c r="AX19" i="1"/>
  <c r="AW20" i="1"/>
  <c r="AX20" i="1"/>
  <c r="AW21" i="1"/>
  <c r="AX21" i="1"/>
  <c r="AW22" i="1"/>
  <c r="AX22" i="1" s="1"/>
  <c r="AW23" i="1"/>
  <c r="AX23" i="1"/>
  <c r="AW24" i="1"/>
  <c r="AX24" i="1"/>
  <c r="AW25" i="1"/>
  <c r="AX25" i="1" s="1"/>
  <c r="AW26" i="1"/>
  <c r="AX26" i="1"/>
  <c r="AW27" i="1"/>
  <c r="AX27" i="1"/>
  <c r="AW28" i="1"/>
  <c r="AX28" i="1"/>
  <c r="AW16" i="1"/>
  <c r="AX16" i="1" s="1"/>
  <c r="AX15" i="1"/>
  <c r="AW15" i="1"/>
  <c r="Y38" i="1"/>
  <c r="AY7" i="1"/>
  <c r="AY8" i="1"/>
  <c r="AY9" i="1"/>
  <c r="AY10" i="1"/>
  <c r="AY6" i="1"/>
  <c r="AX6" i="1"/>
  <c r="AW6" i="1"/>
  <c r="AW7" i="1"/>
  <c r="AX7" i="1"/>
  <c r="AW8" i="1"/>
  <c r="AX8" i="1" s="1"/>
  <c r="AW9" i="1"/>
  <c r="AX9" i="1"/>
  <c r="AW10" i="1"/>
  <c r="AX10" i="1"/>
  <c r="AL15" i="1"/>
  <c r="AN15" i="1" s="1"/>
  <c r="AL14" i="1"/>
  <c r="AN14" i="1" s="1"/>
  <c r="AL13" i="1"/>
  <c r="AN13" i="1" s="1"/>
  <c r="AN7" i="1"/>
  <c r="AO7" i="1" s="1"/>
  <c r="AN6" i="1"/>
  <c r="AO6" i="1" s="1"/>
  <c r="AP6" i="1" s="1"/>
  <c r="AH6" i="1"/>
  <c r="AF8" i="1"/>
  <c r="AG8" i="1" s="1"/>
  <c r="AF9" i="1"/>
  <c r="AG9" i="1"/>
  <c r="AF10" i="1"/>
  <c r="AG10" i="1" s="1"/>
  <c r="AF11" i="1"/>
  <c r="AG11" i="1"/>
  <c r="AF12" i="1"/>
  <c r="AG12" i="1" s="1"/>
  <c r="AF13" i="1"/>
  <c r="AG13" i="1"/>
  <c r="AF14" i="1"/>
  <c r="AG14" i="1" s="1"/>
  <c r="AF15" i="1"/>
  <c r="AG15" i="1"/>
  <c r="AF16" i="1"/>
  <c r="AG16" i="1" s="1"/>
  <c r="AF17" i="1"/>
  <c r="AG17" i="1"/>
  <c r="AF18" i="1"/>
  <c r="AG18" i="1" s="1"/>
  <c r="AF19" i="1"/>
  <c r="AG19" i="1"/>
  <c r="AF20" i="1"/>
  <c r="AG20" i="1" s="1"/>
  <c r="AF21" i="1"/>
  <c r="AG21" i="1"/>
  <c r="AF22" i="1"/>
  <c r="AG22" i="1" s="1"/>
  <c r="AF23" i="1"/>
  <c r="AG23" i="1"/>
  <c r="AF24" i="1"/>
  <c r="AG24" i="1" s="1"/>
  <c r="AF25" i="1"/>
  <c r="AG25" i="1" s="1"/>
  <c r="AF26" i="1"/>
  <c r="AG26" i="1"/>
  <c r="AF27" i="1"/>
  <c r="AG27" i="1" s="1"/>
  <c r="AF28" i="1"/>
  <c r="AG28" i="1"/>
  <c r="AF29" i="1"/>
  <c r="AG29" i="1" s="1"/>
  <c r="AF30" i="1"/>
  <c r="AG30" i="1"/>
  <c r="AF31" i="1"/>
  <c r="AG31" i="1" s="1"/>
  <c r="AF32" i="1"/>
  <c r="AG32" i="1"/>
  <c r="AF33" i="1"/>
  <c r="AG33" i="1" s="1"/>
  <c r="AF34" i="1"/>
  <c r="AG34" i="1"/>
  <c r="AF35" i="1"/>
  <c r="AG35" i="1" s="1"/>
  <c r="AF36" i="1"/>
  <c r="AG36" i="1"/>
  <c r="AF37" i="1"/>
  <c r="AG37" i="1" s="1"/>
  <c r="AF38" i="1"/>
  <c r="AG38" i="1" s="1"/>
  <c r="AF39" i="1"/>
  <c r="AG39" i="1" s="1"/>
  <c r="AF40" i="1"/>
  <c r="AG40" i="1"/>
  <c r="AF41" i="1"/>
  <c r="AG41" i="1" s="1"/>
  <c r="AF42" i="1"/>
  <c r="AG42" i="1"/>
  <c r="AF43" i="1"/>
  <c r="AG43" i="1" s="1"/>
  <c r="AF44" i="1"/>
  <c r="AG44" i="1"/>
  <c r="AF45" i="1"/>
  <c r="AG45" i="1" s="1"/>
  <c r="AF46" i="1"/>
  <c r="AG46" i="1"/>
  <c r="AF47" i="1"/>
  <c r="AG47" i="1" s="1"/>
  <c r="AF48" i="1"/>
  <c r="AG48" i="1"/>
  <c r="AF49" i="1"/>
  <c r="AG49" i="1" s="1"/>
  <c r="AF50" i="1"/>
  <c r="AG50" i="1" s="1"/>
  <c r="AF51" i="1"/>
  <c r="AG51" i="1" s="1"/>
  <c r="AF52" i="1"/>
  <c r="AG52" i="1" s="1"/>
  <c r="AF53" i="1"/>
  <c r="AG53" i="1" s="1"/>
  <c r="AF54" i="1"/>
  <c r="AG54" i="1"/>
  <c r="AF55" i="1"/>
  <c r="AG55" i="1" s="1"/>
  <c r="AF56" i="1"/>
  <c r="AG56" i="1" s="1"/>
  <c r="AF57" i="1"/>
  <c r="AG57" i="1" s="1"/>
  <c r="AF58" i="1"/>
  <c r="AG58" i="1"/>
  <c r="AF59" i="1"/>
  <c r="AG59" i="1" s="1"/>
  <c r="AF60" i="1"/>
  <c r="AG60" i="1" s="1"/>
  <c r="AF61" i="1"/>
  <c r="AG61" i="1" s="1"/>
  <c r="AF62" i="1"/>
  <c r="AG62" i="1"/>
  <c r="AF63" i="1"/>
  <c r="AG63" i="1" s="1"/>
  <c r="AF64" i="1"/>
  <c r="AG64" i="1"/>
  <c r="AF7" i="1"/>
  <c r="AG7" i="1" s="1"/>
  <c r="AF6" i="1"/>
  <c r="AG6" i="1" s="1"/>
  <c r="W38" i="1"/>
  <c r="X38" i="1"/>
  <c r="W39" i="1"/>
  <c r="X39" i="1" s="1"/>
  <c r="W40" i="1"/>
  <c r="X40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P110" i="1" s="1"/>
  <c r="M102" i="1"/>
  <c r="N102" i="1"/>
  <c r="M103" i="1"/>
  <c r="N103" i="1"/>
  <c r="M104" i="1"/>
  <c r="N104" i="1"/>
  <c r="M105" i="1"/>
  <c r="N105" i="1"/>
  <c r="P114" i="1" s="1"/>
  <c r="M106" i="1"/>
  <c r="N106" i="1"/>
  <c r="M107" i="1"/>
  <c r="N107" i="1"/>
  <c r="M108" i="1"/>
  <c r="N108" i="1"/>
  <c r="M109" i="1"/>
  <c r="N109" i="1"/>
  <c r="M110" i="1"/>
  <c r="N110" i="1"/>
  <c r="M111" i="1"/>
  <c r="N111" i="1" s="1"/>
  <c r="M112" i="1"/>
  <c r="N112" i="1"/>
  <c r="M113" i="1"/>
  <c r="N113" i="1" s="1"/>
  <c r="M114" i="1"/>
  <c r="N114" i="1" s="1"/>
  <c r="M115" i="1"/>
  <c r="N115" i="1"/>
  <c r="M116" i="1"/>
  <c r="N116" i="1"/>
  <c r="M117" i="1"/>
  <c r="N117" i="1"/>
  <c r="P126" i="1" s="1"/>
  <c r="M118" i="1"/>
  <c r="N118" i="1"/>
  <c r="M119" i="1"/>
  <c r="N119" i="1"/>
  <c r="M120" i="1"/>
  <c r="N120" i="1" s="1"/>
  <c r="M121" i="1"/>
  <c r="N121" i="1"/>
  <c r="P130" i="1" s="1"/>
  <c r="M122" i="1"/>
  <c r="N122" i="1" s="1"/>
  <c r="M123" i="1"/>
  <c r="N123" i="1"/>
  <c r="M124" i="1"/>
  <c r="N124" i="1"/>
  <c r="M125" i="1"/>
  <c r="N125" i="1"/>
  <c r="M126" i="1"/>
  <c r="N126" i="1"/>
  <c r="M127" i="1"/>
  <c r="N127" i="1" s="1"/>
  <c r="M128" i="1"/>
  <c r="N128" i="1" s="1"/>
  <c r="M129" i="1"/>
  <c r="N129" i="1" s="1"/>
  <c r="M130" i="1"/>
  <c r="N130" i="1"/>
  <c r="M131" i="1"/>
  <c r="N131" i="1"/>
  <c r="W37" i="1"/>
  <c r="X37" i="1" s="1"/>
  <c r="Z40" i="1" s="1"/>
  <c r="M62" i="1"/>
  <c r="N62" i="1" s="1"/>
  <c r="M63" i="1"/>
  <c r="N63" i="1"/>
  <c r="M64" i="1"/>
  <c r="N64" i="1" s="1"/>
  <c r="M65" i="1"/>
  <c r="N65" i="1"/>
  <c r="M66" i="1"/>
  <c r="N66" i="1" s="1"/>
  <c r="M67" i="1"/>
  <c r="N67" i="1" s="1"/>
  <c r="M68" i="1"/>
  <c r="N68" i="1" s="1"/>
  <c r="M69" i="1"/>
  <c r="N69" i="1"/>
  <c r="M70" i="1"/>
  <c r="N70" i="1"/>
  <c r="M71" i="1"/>
  <c r="N71" i="1"/>
  <c r="M72" i="1"/>
  <c r="N72" i="1" s="1"/>
  <c r="M73" i="1"/>
  <c r="N73" i="1"/>
  <c r="M74" i="1"/>
  <c r="N74" i="1"/>
  <c r="M75" i="1"/>
  <c r="N75" i="1"/>
  <c r="M76" i="1"/>
  <c r="N76" i="1" s="1"/>
  <c r="M77" i="1"/>
  <c r="N77" i="1"/>
  <c r="M78" i="1"/>
  <c r="N78" i="1"/>
  <c r="M79" i="1"/>
  <c r="N79" i="1"/>
  <c r="M80" i="1"/>
  <c r="N80" i="1" s="1"/>
  <c r="W36" i="1"/>
  <c r="X36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W35" i="1"/>
  <c r="X35" i="1"/>
  <c r="W34" i="1"/>
  <c r="X34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O54" i="1" s="1"/>
  <c r="M46" i="1"/>
  <c r="N46" i="1" s="1"/>
  <c r="M47" i="1"/>
  <c r="N47" i="1" s="1"/>
  <c r="M48" i="1"/>
  <c r="N48" i="1"/>
  <c r="M49" i="1"/>
  <c r="N49" i="1" s="1"/>
  <c r="M50" i="1"/>
  <c r="N50" i="1"/>
  <c r="M7" i="1"/>
  <c r="N7" i="1" s="1"/>
  <c r="M8" i="1"/>
  <c r="N8" i="1" s="1"/>
  <c r="M9" i="1"/>
  <c r="N9" i="1"/>
  <c r="M10" i="1"/>
  <c r="N10" i="1" s="1"/>
  <c r="M11" i="1"/>
  <c r="N11" i="1"/>
  <c r="M12" i="1"/>
  <c r="N12" i="1" s="1"/>
  <c r="M13" i="1"/>
  <c r="N13" i="1" s="1"/>
  <c r="M14" i="1"/>
  <c r="N14" i="1" s="1"/>
  <c r="M15" i="1"/>
  <c r="N15" i="1"/>
  <c r="M16" i="1"/>
  <c r="N16" i="1" s="1"/>
  <c r="M17" i="1"/>
  <c r="N17" i="1"/>
  <c r="M18" i="1"/>
  <c r="N18" i="1" s="1"/>
  <c r="M19" i="1"/>
  <c r="N19" i="1"/>
  <c r="M20" i="1"/>
  <c r="N20" i="1" s="1"/>
  <c r="M21" i="1"/>
  <c r="N21" i="1" s="1"/>
  <c r="M22" i="1"/>
  <c r="N22" i="1" s="1"/>
  <c r="M23" i="1"/>
  <c r="N23" i="1"/>
  <c r="M24" i="1"/>
  <c r="N24" i="1" s="1"/>
  <c r="M25" i="1"/>
  <c r="N25" i="1"/>
  <c r="M26" i="1"/>
  <c r="N26" i="1" s="1"/>
  <c r="M27" i="1"/>
  <c r="N27" i="1"/>
  <c r="M28" i="1"/>
  <c r="N28" i="1" s="1"/>
  <c r="M29" i="1"/>
  <c r="N29" i="1" s="1"/>
  <c r="M30" i="1"/>
  <c r="N30" i="1" s="1"/>
  <c r="M31" i="1"/>
  <c r="N31" i="1"/>
  <c r="M32" i="1"/>
  <c r="N32" i="1" s="1"/>
  <c r="M33" i="1"/>
  <c r="N33" i="1"/>
  <c r="M34" i="1"/>
  <c r="N34" i="1" s="1"/>
  <c r="M35" i="1"/>
  <c r="N35" i="1"/>
  <c r="M36" i="1"/>
  <c r="N36" i="1" s="1"/>
  <c r="M37" i="1"/>
  <c r="N37" i="1" s="1"/>
  <c r="O46" i="1" s="1"/>
  <c r="M38" i="1"/>
  <c r="N38" i="1" s="1"/>
  <c r="M39" i="1"/>
  <c r="N39" i="1"/>
  <c r="M6" i="1"/>
  <c r="N6" i="1" s="1"/>
  <c r="BH37" i="1" l="1"/>
  <c r="BI35" i="1"/>
  <c r="BI38" i="1"/>
  <c r="BH36" i="1"/>
  <c r="BH38" i="1"/>
  <c r="BI36" i="1"/>
  <c r="BI37" i="1"/>
  <c r="BH35" i="1"/>
  <c r="BG24" i="1"/>
  <c r="BG15" i="1"/>
  <c r="BH15" i="1"/>
  <c r="BI16" i="1" s="1"/>
  <c r="BH16" i="1"/>
  <c r="BI15" i="1"/>
  <c r="O79" i="1"/>
  <c r="P80" i="1"/>
  <c r="O78" i="1"/>
  <c r="P76" i="1"/>
  <c r="O76" i="1"/>
  <c r="O70" i="1"/>
  <c r="O75" i="1"/>
  <c r="O74" i="1"/>
  <c r="AH60" i="1"/>
  <c r="P122" i="1"/>
  <c r="O48" i="1"/>
  <c r="Q42" i="1"/>
  <c r="Q46" i="1"/>
  <c r="Q50" i="1"/>
  <c r="Q54" i="1"/>
  <c r="Q58" i="1"/>
  <c r="Q62" i="1"/>
  <c r="Q66" i="1"/>
  <c r="Q70" i="1"/>
  <c r="Q74" i="1"/>
  <c r="Q78" i="1"/>
  <c r="Q82" i="1"/>
  <c r="Q86" i="1"/>
  <c r="Q90" i="1"/>
  <c r="Q94" i="1"/>
  <c r="Q98" i="1"/>
  <c r="Q102" i="1"/>
  <c r="Q107" i="1"/>
  <c r="Q111" i="1"/>
  <c r="Q115" i="1"/>
  <c r="Q119" i="1"/>
  <c r="Q123" i="1"/>
  <c r="Q127" i="1"/>
  <c r="Q131" i="1"/>
  <c r="Q135" i="1"/>
  <c r="Q139" i="1"/>
  <c r="Q143" i="1"/>
  <c r="Q147" i="1"/>
  <c r="O60" i="1"/>
  <c r="P78" i="1"/>
  <c r="P118" i="1"/>
  <c r="Q145" i="1"/>
  <c r="Q129" i="1"/>
  <c r="Q113" i="1"/>
  <c r="Q96" i="1"/>
  <c r="Q80" i="1"/>
  <c r="Q64" i="1"/>
  <c r="Q48" i="1"/>
  <c r="P79" i="1"/>
  <c r="AH54" i="1"/>
  <c r="O68" i="1"/>
  <c r="Q134" i="1"/>
  <c r="Q118" i="1"/>
  <c r="Q101" i="1"/>
  <c r="Q85" i="1"/>
  <c r="Q69" i="1"/>
  <c r="Q53" i="1"/>
  <c r="Q105" i="1"/>
  <c r="Y40" i="1"/>
  <c r="P75" i="1"/>
  <c r="Q138" i="1"/>
  <c r="Q128" i="1"/>
  <c r="Q117" i="1"/>
  <c r="Q106" i="1"/>
  <c r="Q95" i="1"/>
  <c r="Q84" i="1"/>
  <c r="Q73" i="1"/>
  <c r="Q63" i="1"/>
  <c r="Q52" i="1"/>
  <c r="Q41" i="1"/>
  <c r="O49" i="1"/>
  <c r="P77" i="1"/>
  <c r="Q132" i="1"/>
  <c r="Q93" i="1"/>
  <c r="AH10" i="1"/>
  <c r="P63" i="1"/>
  <c r="P73" i="1"/>
  <c r="Q140" i="1"/>
  <c r="Q124" i="1"/>
  <c r="Q108" i="1"/>
  <c r="Q91" i="1"/>
  <c r="Q75" i="1"/>
  <c r="Q59" i="1"/>
  <c r="Q43" i="1"/>
  <c r="O71" i="1"/>
  <c r="P72" i="1"/>
  <c r="Q144" i="1"/>
  <c r="Q133" i="1"/>
  <c r="Q122" i="1"/>
  <c r="Q112" i="1"/>
  <c r="Q100" i="1"/>
  <c r="Q89" i="1"/>
  <c r="Q79" i="1"/>
  <c r="Q68" i="1"/>
  <c r="Q57" i="1"/>
  <c r="Q47" i="1"/>
  <c r="O56" i="1"/>
  <c r="P70" i="1"/>
  <c r="O61" i="1"/>
  <c r="O72" i="1"/>
  <c r="P74" i="1"/>
  <c r="Q142" i="1"/>
  <c r="Q137" i="1"/>
  <c r="Q126" i="1"/>
  <c r="Q121" i="1"/>
  <c r="Q116" i="1"/>
  <c r="Q110" i="1"/>
  <c r="Q104" i="1"/>
  <c r="Q99" i="1"/>
  <c r="Q88" i="1"/>
  <c r="Q83" i="1"/>
  <c r="Q77" i="1"/>
  <c r="Q72" i="1"/>
  <c r="Q67" i="1"/>
  <c r="Q61" i="1"/>
  <c r="Q56" i="1"/>
  <c r="Q51" i="1"/>
  <c r="Q45" i="1"/>
  <c r="Q40" i="1"/>
  <c r="P55" i="1"/>
  <c r="Z38" i="1"/>
  <c r="P69" i="1"/>
  <c r="O77" i="1"/>
  <c r="O73" i="1"/>
  <c r="O69" i="1"/>
  <c r="P71" i="1"/>
  <c r="Q146" i="1"/>
  <c r="Q141" i="1"/>
  <c r="Q136" i="1"/>
  <c r="Q130" i="1"/>
  <c r="Q125" i="1"/>
  <c r="Q120" i="1"/>
  <c r="Q114" i="1"/>
  <c r="Q109" i="1"/>
  <c r="Q103" i="1"/>
  <c r="Q97" i="1"/>
  <c r="Q92" i="1"/>
  <c r="Q87" i="1"/>
  <c r="Q81" i="1"/>
  <c r="Q76" i="1"/>
  <c r="Q71" i="1"/>
  <c r="Q65" i="1"/>
  <c r="Q60" i="1"/>
  <c r="Q55" i="1"/>
  <c r="Q49" i="1"/>
  <c r="Q44" i="1"/>
  <c r="Q39" i="1"/>
  <c r="AH7" i="1"/>
  <c r="AH11" i="1"/>
  <c r="AH15" i="1"/>
  <c r="AH19" i="1"/>
  <c r="AH23" i="1"/>
  <c r="AH27" i="1"/>
  <c r="AH31" i="1"/>
  <c r="AH35" i="1"/>
  <c r="AH39" i="1"/>
  <c r="AH43" i="1"/>
  <c r="AH47" i="1"/>
  <c r="AH51" i="1"/>
  <c r="AH57" i="1"/>
  <c r="AH8" i="1"/>
  <c r="AH12" i="1"/>
  <c r="AH16" i="1"/>
  <c r="AH20" i="1"/>
  <c r="AH24" i="1"/>
  <c r="AH28" i="1"/>
  <c r="AH32" i="1"/>
  <c r="AH36" i="1"/>
  <c r="AH40" i="1"/>
  <c r="AH44" i="1"/>
  <c r="AH48" i="1"/>
  <c r="AH52" i="1"/>
  <c r="AH61" i="1"/>
  <c r="AH53" i="1"/>
  <c r="AH49" i="1"/>
  <c r="AH45" i="1"/>
  <c r="AH41" i="1"/>
  <c r="AH37" i="1"/>
  <c r="AH33" i="1"/>
  <c r="AH29" i="1"/>
  <c r="AH25" i="1"/>
  <c r="AH21" i="1"/>
  <c r="AH17" i="1"/>
  <c r="AH13" i="1"/>
  <c r="AH9" i="1"/>
  <c r="AP7" i="1"/>
  <c r="AQ7" i="1" s="1"/>
  <c r="P58" i="1"/>
  <c r="O52" i="1"/>
  <c r="O65" i="1"/>
  <c r="O63" i="1"/>
  <c r="AH64" i="1"/>
  <c r="AH56" i="1"/>
  <c r="AH50" i="1"/>
  <c r="AH46" i="1"/>
  <c r="AH42" i="1"/>
  <c r="AH38" i="1"/>
  <c r="AH34" i="1"/>
  <c r="AH30" i="1"/>
  <c r="AH26" i="1"/>
  <c r="AH22" i="1"/>
  <c r="AH18" i="1"/>
  <c r="AH14" i="1"/>
  <c r="AH63" i="1"/>
  <c r="AH59" i="1"/>
  <c r="AH55" i="1"/>
  <c r="AH62" i="1"/>
  <c r="AH58" i="1"/>
  <c r="P41" i="1"/>
  <c r="O41" i="1"/>
  <c r="P43" i="1"/>
  <c r="O43" i="1"/>
  <c r="O42" i="1"/>
  <c r="O40" i="1"/>
  <c r="P45" i="1"/>
  <c r="O45" i="1"/>
  <c r="P44" i="1"/>
  <c r="P42" i="1"/>
  <c r="P47" i="1"/>
  <c r="O47" i="1"/>
  <c r="O44" i="1"/>
  <c r="P39" i="1"/>
  <c r="O39" i="1"/>
  <c r="P53" i="1"/>
  <c r="O53" i="1"/>
  <c r="P52" i="1"/>
  <c r="P50" i="1"/>
  <c r="O58" i="1"/>
  <c r="P66" i="1"/>
  <c r="P64" i="1"/>
  <c r="P62" i="1"/>
  <c r="O134" i="1"/>
  <c r="P134" i="1"/>
  <c r="O130" i="1"/>
  <c r="O126" i="1"/>
  <c r="O122" i="1"/>
  <c r="O118" i="1"/>
  <c r="P68" i="1"/>
  <c r="P115" i="1"/>
  <c r="P60" i="1"/>
  <c r="O50" i="1"/>
  <c r="P65" i="1"/>
  <c r="O138" i="1"/>
  <c r="P138" i="1"/>
  <c r="P54" i="1"/>
  <c r="O66" i="1"/>
  <c r="O64" i="1"/>
  <c r="O62" i="1"/>
  <c r="P127" i="1"/>
  <c r="O131" i="1"/>
  <c r="P119" i="1"/>
  <c r="O123" i="1"/>
  <c r="O119" i="1"/>
  <c r="O114" i="1"/>
  <c r="O110" i="1"/>
  <c r="O104" i="1"/>
  <c r="P104" i="1"/>
  <c r="O98" i="1"/>
  <c r="P98" i="1"/>
  <c r="O90" i="1"/>
  <c r="P90" i="1"/>
  <c r="O145" i="1"/>
  <c r="O141" i="1"/>
  <c r="P48" i="1"/>
  <c r="P120" i="1"/>
  <c r="O55" i="1"/>
  <c r="P67" i="1"/>
  <c r="P57" i="1"/>
  <c r="P49" i="1"/>
  <c r="O57" i="1"/>
  <c r="P46" i="1"/>
  <c r="O67" i="1"/>
  <c r="P131" i="1"/>
  <c r="O139" i="1"/>
  <c r="P139" i="1"/>
  <c r="O135" i="1"/>
  <c r="P135" i="1"/>
  <c r="P123" i="1"/>
  <c r="O127" i="1"/>
  <c r="P111" i="1"/>
  <c r="O116" i="1"/>
  <c r="O112" i="1"/>
  <c r="O108" i="1"/>
  <c r="O106" i="1"/>
  <c r="P106" i="1"/>
  <c r="O102" i="1"/>
  <c r="P102" i="1"/>
  <c r="O100" i="1"/>
  <c r="P100" i="1"/>
  <c r="O96" i="1"/>
  <c r="P96" i="1"/>
  <c r="O94" i="1"/>
  <c r="P94" i="1"/>
  <c r="O92" i="1"/>
  <c r="P92" i="1"/>
  <c r="O147" i="1"/>
  <c r="O143" i="1"/>
  <c r="P59" i="1"/>
  <c r="P51" i="1"/>
  <c r="O59" i="1"/>
  <c r="P56" i="1"/>
  <c r="O51" i="1"/>
  <c r="P40" i="1"/>
  <c r="O89" i="1"/>
  <c r="P89" i="1"/>
  <c r="O88" i="1"/>
  <c r="P88" i="1"/>
  <c r="O87" i="1"/>
  <c r="P87" i="1"/>
  <c r="O86" i="1"/>
  <c r="P86" i="1"/>
  <c r="O85" i="1"/>
  <c r="P85" i="1"/>
  <c r="O84" i="1"/>
  <c r="P84" i="1"/>
  <c r="O83" i="1"/>
  <c r="P83" i="1"/>
  <c r="O82" i="1"/>
  <c r="P82" i="1"/>
  <c r="O81" i="1"/>
  <c r="P81" i="1"/>
  <c r="O80" i="1"/>
  <c r="O140" i="1"/>
  <c r="P140" i="1"/>
  <c r="P128" i="1"/>
  <c r="O136" i="1"/>
  <c r="P136" i="1"/>
  <c r="P124" i="1"/>
  <c r="O132" i="1"/>
  <c r="P132" i="1"/>
  <c r="O128" i="1"/>
  <c r="P116" i="1"/>
  <c r="O124" i="1"/>
  <c r="P112" i="1"/>
  <c r="O120" i="1"/>
  <c r="P108" i="1"/>
  <c r="P61" i="1"/>
  <c r="P129" i="1"/>
  <c r="O137" i="1"/>
  <c r="P137" i="1"/>
  <c r="P125" i="1"/>
  <c r="O133" i="1"/>
  <c r="P133" i="1"/>
  <c r="P121" i="1"/>
  <c r="O129" i="1"/>
  <c r="P117" i="1"/>
  <c r="O125" i="1"/>
  <c r="P113" i="1"/>
  <c r="O121" i="1"/>
  <c r="P109" i="1"/>
  <c r="O117" i="1"/>
  <c r="O115" i="1"/>
  <c r="O113" i="1"/>
  <c r="O111" i="1"/>
  <c r="O109" i="1"/>
  <c r="O107" i="1"/>
  <c r="P107" i="1"/>
  <c r="O105" i="1"/>
  <c r="P105" i="1"/>
  <c r="O103" i="1"/>
  <c r="P103" i="1"/>
  <c r="O101" i="1"/>
  <c r="P101" i="1"/>
  <c r="O99" i="1"/>
  <c r="P99" i="1"/>
  <c r="O97" i="1"/>
  <c r="P97" i="1"/>
  <c r="O95" i="1"/>
  <c r="P95" i="1"/>
  <c r="O93" i="1"/>
  <c r="P93" i="1"/>
  <c r="O91" i="1"/>
  <c r="P91" i="1"/>
  <c r="O146" i="1"/>
  <c r="O144" i="1"/>
  <c r="O142" i="1"/>
  <c r="P147" i="1"/>
  <c r="P146" i="1"/>
  <c r="P145" i="1"/>
  <c r="P144" i="1"/>
  <c r="P143" i="1"/>
  <c r="P142" i="1"/>
  <c r="P141" i="1"/>
</calcChain>
</file>

<file path=xl/sharedStrings.xml><?xml version="1.0" encoding="utf-8"?>
<sst xmlns="http://schemas.openxmlformats.org/spreadsheetml/2006/main" count="45" uniqueCount="18">
  <si>
    <t>r_Vis</t>
  </si>
  <si>
    <t>Vis</t>
  </si>
  <si>
    <t>Vis (cP)</t>
  </si>
  <si>
    <t>TimeStep</t>
  </si>
  <si>
    <t>v_density</t>
  </si>
  <si>
    <t>v_VV</t>
  </si>
  <si>
    <t>v_rVis</t>
  </si>
  <si>
    <t>running average</t>
  </si>
  <si>
    <t>k=2*pi/lz</t>
  </si>
  <si>
    <t>run6</t>
  </si>
  <si>
    <t>run8</t>
  </si>
  <si>
    <t>run9</t>
  </si>
  <si>
    <t>lz</t>
  </si>
  <si>
    <t>visc</t>
  </si>
  <si>
    <t>k^2</t>
  </si>
  <si>
    <t># lz</t>
  </si>
  <si>
    <t>AA=0.02</t>
  </si>
  <si>
    <t>AA=0.1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</si>
</sst>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FFF12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Sheet1!$D$7:$D$56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xVal>
          <c:yVal>
            <c:numRef>
              <c:f>Sheet1!$F$7:$F$56</c:f>
              <c:numCache>
                <c:formatCode>General</c:formatCode>
                <c:ptCount val="50"/>
                <c:pt idx="0">
                  <c:v>0.53968499999999997</c:v>
                </c:pt>
                <c:pt idx="1">
                  <c:v>0.71154099999999998</c:v>
                </c:pt>
                <c:pt idx="2">
                  <c:v>0.51052200000000003</c:v>
                </c:pt>
                <c:pt idx="3">
                  <c:v>0.567438</c:v>
                </c:pt>
                <c:pt idx="4">
                  <c:v>0.63868400000000003</c:v>
                </c:pt>
                <c:pt idx="5">
                  <c:v>0.48910900000000002</c:v>
                </c:pt>
                <c:pt idx="6">
                  <c:v>0.73785500000000004</c:v>
                </c:pt>
                <c:pt idx="7">
                  <c:v>0.89540600000000004</c:v>
                </c:pt>
                <c:pt idx="8">
                  <c:v>0.73696200000000001</c:v>
                </c:pt>
                <c:pt idx="9">
                  <c:v>0.41226499999999999</c:v>
                </c:pt>
                <c:pt idx="10">
                  <c:v>0.177482</c:v>
                </c:pt>
                <c:pt idx="11">
                  <c:v>3.5408500000000002E-2</c:v>
                </c:pt>
                <c:pt idx="12">
                  <c:v>0.34783500000000001</c:v>
                </c:pt>
                <c:pt idx="13">
                  <c:v>0.208644</c:v>
                </c:pt>
                <c:pt idx="14">
                  <c:v>-3.7699700000000003E-2</c:v>
                </c:pt>
                <c:pt idx="15">
                  <c:v>-0.18906600000000001</c:v>
                </c:pt>
                <c:pt idx="16">
                  <c:v>-0.243947</c:v>
                </c:pt>
                <c:pt idx="17">
                  <c:v>-0.44630999999999998</c:v>
                </c:pt>
                <c:pt idx="18">
                  <c:v>-0.49947999999999998</c:v>
                </c:pt>
                <c:pt idx="19">
                  <c:v>-0.58513099999999996</c:v>
                </c:pt>
                <c:pt idx="20">
                  <c:v>-0.49138999999999999</c:v>
                </c:pt>
                <c:pt idx="21">
                  <c:v>-0.71021500000000004</c:v>
                </c:pt>
                <c:pt idx="22">
                  <c:v>-0.86063900000000004</c:v>
                </c:pt>
                <c:pt idx="23">
                  <c:v>-0.80803199999999997</c:v>
                </c:pt>
                <c:pt idx="24">
                  <c:v>-0.93074199999999996</c:v>
                </c:pt>
                <c:pt idx="25">
                  <c:v>-1.0950200000000001</c:v>
                </c:pt>
                <c:pt idx="26">
                  <c:v>-0.937971</c:v>
                </c:pt>
                <c:pt idx="27">
                  <c:v>-0.92010499999999995</c:v>
                </c:pt>
                <c:pt idx="28">
                  <c:v>-0.84338800000000003</c:v>
                </c:pt>
                <c:pt idx="29">
                  <c:v>-0.86196499999999998</c:v>
                </c:pt>
                <c:pt idx="30">
                  <c:v>-0.63364100000000001</c:v>
                </c:pt>
                <c:pt idx="31">
                  <c:v>-0.72666299999999995</c:v>
                </c:pt>
                <c:pt idx="32">
                  <c:v>-0.76351599999999997</c:v>
                </c:pt>
                <c:pt idx="33">
                  <c:v>-0.40379900000000002</c:v>
                </c:pt>
                <c:pt idx="34">
                  <c:v>-0.29287600000000003</c:v>
                </c:pt>
                <c:pt idx="35">
                  <c:v>-0.24283099999999999</c:v>
                </c:pt>
                <c:pt idx="36">
                  <c:v>-0.32775100000000001</c:v>
                </c:pt>
                <c:pt idx="37">
                  <c:v>-0.36415500000000001</c:v>
                </c:pt>
                <c:pt idx="38">
                  <c:v>8.1379300000000002E-2</c:v>
                </c:pt>
                <c:pt idx="39">
                  <c:v>0.57674800000000004</c:v>
                </c:pt>
                <c:pt idx="40">
                  <c:v>0.48006799999999999</c:v>
                </c:pt>
                <c:pt idx="41">
                  <c:v>0.50814700000000002</c:v>
                </c:pt>
                <c:pt idx="42">
                  <c:v>0.67566099999999996</c:v>
                </c:pt>
                <c:pt idx="43">
                  <c:v>0.65386500000000003</c:v>
                </c:pt>
                <c:pt idx="44">
                  <c:v>0.61660199999999998</c:v>
                </c:pt>
                <c:pt idx="45">
                  <c:v>0.757297</c:v>
                </c:pt>
                <c:pt idx="46">
                  <c:v>0.88804000000000005</c:v>
                </c:pt>
                <c:pt idx="47">
                  <c:v>0.89395400000000003</c:v>
                </c:pt>
                <c:pt idx="48">
                  <c:v>0.70294500000000004</c:v>
                </c:pt>
                <c:pt idx="49">
                  <c:v>0.53626499999999999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8-AB4F-8206-5269F5085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74895"/>
        <c:axId val="656575311"/>
      </c:scatterChart>
      <c:valAx>
        <c:axId val="65657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75311"/>
        <c:crosses val="autoZero"/>
        <c:crossBetween val="midCat"/>
      </c:valAx>
      <c:valAx>
        <c:axId val="6565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7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Sheet1!$I$6:$I$147</c:f>
              <c:numCache>
                <c:formatCode>General</c:formatCode>
                <c:ptCount val="142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  <c:pt idx="20">
                  <c:v>210000</c:v>
                </c:pt>
                <c:pt idx="21">
                  <c:v>220000</c:v>
                </c:pt>
                <c:pt idx="22">
                  <c:v>230000</c:v>
                </c:pt>
                <c:pt idx="23">
                  <c:v>240000</c:v>
                </c:pt>
                <c:pt idx="24">
                  <c:v>250000</c:v>
                </c:pt>
                <c:pt idx="25">
                  <c:v>260000</c:v>
                </c:pt>
                <c:pt idx="26">
                  <c:v>270000</c:v>
                </c:pt>
                <c:pt idx="27">
                  <c:v>280000</c:v>
                </c:pt>
                <c:pt idx="28">
                  <c:v>290000</c:v>
                </c:pt>
                <c:pt idx="29">
                  <c:v>300000</c:v>
                </c:pt>
                <c:pt idx="30">
                  <c:v>310000</c:v>
                </c:pt>
                <c:pt idx="31">
                  <c:v>320000</c:v>
                </c:pt>
                <c:pt idx="32">
                  <c:v>330000</c:v>
                </c:pt>
                <c:pt idx="33">
                  <c:v>340000</c:v>
                </c:pt>
                <c:pt idx="34">
                  <c:v>350000</c:v>
                </c:pt>
                <c:pt idx="35">
                  <c:v>360000</c:v>
                </c:pt>
                <c:pt idx="36">
                  <c:v>370000</c:v>
                </c:pt>
                <c:pt idx="37">
                  <c:v>380000</c:v>
                </c:pt>
                <c:pt idx="38">
                  <c:v>390000</c:v>
                </c:pt>
                <c:pt idx="39">
                  <c:v>400000</c:v>
                </c:pt>
                <c:pt idx="40">
                  <c:v>410000</c:v>
                </c:pt>
                <c:pt idx="41">
                  <c:v>420000</c:v>
                </c:pt>
                <c:pt idx="42">
                  <c:v>430000</c:v>
                </c:pt>
                <c:pt idx="43">
                  <c:v>440000</c:v>
                </c:pt>
                <c:pt idx="44">
                  <c:v>450000</c:v>
                </c:pt>
                <c:pt idx="45">
                  <c:v>460000</c:v>
                </c:pt>
                <c:pt idx="46">
                  <c:v>470000</c:v>
                </c:pt>
                <c:pt idx="47">
                  <c:v>480000</c:v>
                </c:pt>
                <c:pt idx="48">
                  <c:v>490000</c:v>
                </c:pt>
                <c:pt idx="49">
                  <c:v>500000</c:v>
                </c:pt>
                <c:pt idx="50">
                  <c:v>510000</c:v>
                </c:pt>
                <c:pt idx="51">
                  <c:v>520000</c:v>
                </c:pt>
                <c:pt idx="52">
                  <c:v>530000</c:v>
                </c:pt>
                <c:pt idx="53">
                  <c:v>540000</c:v>
                </c:pt>
                <c:pt idx="54">
                  <c:v>550000</c:v>
                </c:pt>
                <c:pt idx="55">
                  <c:v>560000</c:v>
                </c:pt>
                <c:pt idx="56">
                  <c:v>570000</c:v>
                </c:pt>
                <c:pt idx="57">
                  <c:v>580000</c:v>
                </c:pt>
                <c:pt idx="58">
                  <c:v>590000</c:v>
                </c:pt>
                <c:pt idx="59">
                  <c:v>600000</c:v>
                </c:pt>
                <c:pt idx="60">
                  <c:v>610000</c:v>
                </c:pt>
                <c:pt idx="61">
                  <c:v>620000</c:v>
                </c:pt>
                <c:pt idx="62">
                  <c:v>630000</c:v>
                </c:pt>
                <c:pt idx="63">
                  <c:v>640000</c:v>
                </c:pt>
                <c:pt idx="64">
                  <c:v>650000</c:v>
                </c:pt>
                <c:pt idx="65">
                  <c:v>660000</c:v>
                </c:pt>
                <c:pt idx="66">
                  <c:v>670000</c:v>
                </c:pt>
                <c:pt idx="67">
                  <c:v>680000</c:v>
                </c:pt>
                <c:pt idx="68">
                  <c:v>690000</c:v>
                </c:pt>
                <c:pt idx="69">
                  <c:v>700000</c:v>
                </c:pt>
                <c:pt idx="70">
                  <c:v>710000</c:v>
                </c:pt>
                <c:pt idx="71">
                  <c:v>720000</c:v>
                </c:pt>
                <c:pt idx="72">
                  <c:v>730000</c:v>
                </c:pt>
                <c:pt idx="73">
                  <c:v>740000</c:v>
                </c:pt>
                <c:pt idx="74">
                  <c:v>750000</c:v>
                </c:pt>
                <c:pt idx="75">
                  <c:v>760000</c:v>
                </c:pt>
                <c:pt idx="76">
                  <c:v>770000</c:v>
                </c:pt>
                <c:pt idx="77">
                  <c:v>780000</c:v>
                </c:pt>
                <c:pt idx="78">
                  <c:v>790000</c:v>
                </c:pt>
                <c:pt idx="79">
                  <c:v>800000</c:v>
                </c:pt>
                <c:pt idx="80">
                  <c:v>810000</c:v>
                </c:pt>
                <c:pt idx="81">
                  <c:v>820000</c:v>
                </c:pt>
                <c:pt idx="82">
                  <c:v>830000</c:v>
                </c:pt>
                <c:pt idx="83">
                  <c:v>840000</c:v>
                </c:pt>
                <c:pt idx="84">
                  <c:v>850000</c:v>
                </c:pt>
                <c:pt idx="85">
                  <c:v>860000</c:v>
                </c:pt>
                <c:pt idx="86">
                  <c:v>870000</c:v>
                </c:pt>
                <c:pt idx="87">
                  <c:v>880000</c:v>
                </c:pt>
                <c:pt idx="88">
                  <c:v>890000</c:v>
                </c:pt>
                <c:pt idx="89">
                  <c:v>900000</c:v>
                </c:pt>
                <c:pt idx="90">
                  <c:v>910000</c:v>
                </c:pt>
                <c:pt idx="91">
                  <c:v>920000</c:v>
                </c:pt>
                <c:pt idx="92">
                  <c:v>930000</c:v>
                </c:pt>
                <c:pt idx="93">
                  <c:v>940000</c:v>
                </c:pt>
                <c:pt idx="94">
                  <c:v>950000</c:v>
                </c:pt>
                <c:pt idx="95">
                  <c:v>960000</c:v>
                </c:pt>
                <c:pt idx="96">
                  <c:v>970000</c:v>
                </c:pt>
                <c:pt idx="97">
                  <c:v>980000</c:v>
                </c:pt>
                <c:pt idx="98">
                  <c:v>990000</c:v>
                </c:pt>
                <c:pt idx="99">
                  <c:v>1000000</c:v>
                </c:pt>
                <c:pt idx="100">
                  <c:v>1010000</c:v>
                </c:pt>
                <c:pt idx="101">
                  <c:v>1020000</c:v>
                </c:pt>
                <c:pt idx="102">
                  <c:v>1030000</c:v>
                </c:pt>
                <c:pt idx="103">
                  <c:v>1040000</c:v>
                </c:pt>
                <c:pt idx="104">
                  <c:v>1050000</c:v>
                </c:pt>
                <c:pt idx="105">
                  <c:v>1060000</c:v>
                </c:pt>
                <c:pt idx="106">
                  <c:v>1070000</c:v>
                </c:pt>
                <c:pt idx="107">
                  <c:v>1080000</c:v>
                </c:pt>
                <c:pt idx="108">
                  <c:v>1090000</c:v>
                </c:pt>
                <c:pt idx="109">
                  <c:v>1100000</c:v>
                </c:pt>
                <c:pt idx="110">
                  <c:v>1110000</c:v>
                </c:pt>
                <c:pt idx="111">
                  <c:v>1120000</c:v>
                </c:pt>
                <c:pt idx="112">
                  <c:v>1130000</c:v>
                </c:pt>
                <c:pt idx="113">
                  <c:v>1140000</c:v>
                </c:pt>
                <c:pt idx="114">
                  <c:v>1150000</c:v>
                </c:pt>
                <c:pt idx="115">
                  <c:v>1160000</c:v>
                </c:pt>
                <c:pt idx="116">
                  <c:v>1170000</c:v>
                </c:pt>
                <c:pt idx="117">
                  <c:v>1180000</c:v>
                </c:pt>
                <c:pt idx="118">
                  <c:v>1190000</c:v>
                </c:pt>
                <c:pt idx="119">
                  <c:v>1200000</c:v>
                </c:pt>
                <c:pt idx="120">
                  <c:v>1210000</c:v>
                </c:pt>
                <c:pt idx="121">
                  <c:v>1220000</c:v>
                </c:pt>
                <c:pt idx="122">
                  <c:v>1230000</c:v>
                </c:pt>
                <c:pt idx="123">
                  <c:v>1240000</c:v>
                </c:pt>
                <c:pt idx="124">
                  <c:v>1250000</c:v>
                </c:pt>
                <c:pt idx="125">
                  <c:v>1260000</c:v>
                </c:pt>
                <c:pt idx="126">
                  <c:v>1270000</c:v>
                </c:pt>
                <c:pt idx="127">
                  <c:v>1280000</c:v>
                </c:pt>
                <c:pt idx="128">
                  <c:v>1290000</c:v>
                </c:pt>
                <c:pt idx="129">
                  <c:v>1300000</c:v>
                </c:pt>
                <c:pt idx="130">
                  <c:v>1310000</c:v>
                </c:pt>
                <c:pt idx="131">
                  <c:v>1320000</c:v>
                </c:pt>
                <c:pt idx="132">
                  <c:v>1330000</c:v>
                </c:pt>
                <c:pt idx="133">
                  <c:v>1340000</c:v>
                </c:pt>
                <c:pt idx="134">
                  <c:v>1350000</c:v>
                </c:pt>
                <c:pt idx="135">
                  <c:v>1360000</c:v>
                </c:pt>
                <c:pt idx="136">
                  <c:v>1370000</c:v>
                </c:pt>
                <c:pt idx="137">
                  <c:v>1380000</c:v>
                </c:pt>
                <c:pt idx="138">
                  <c:v>1390000</c:v>
                </c:pt>
                <c:pt idx="139">
                  <c:v>1400000</c:v>
                </c:pt>
                <c:pt idx="140">
                  <c:v>1410000</c:v>
                </c:pt>
                <c:pt idx="141">
                  <c:v>1420000</c:v>
                </c:pt>
              </c:numCache>
            </c:numRef>
          </c:xVal>
          <c:yVal>
            <c:numRef>
              <c:f>Sheet1!$N$6:$N$147</c:f>
              <c:numCache>
                <c:formatCode>General</c:formatCode>
                <c:ptCount val="142"/>
                <c:pt idx="0">
                  <c:v>1.8380832467902473</c:v>
                </c:pt>
                <c:pt idx="1">
                  <c:v>0.84258775551473697</c:v>
                </c:pt>
                <c:pt idx="2">
                  <c:v>0.54393942690541974</c:v>
                </c:pt>
                <c:pt idx="3">
                  <c:v>0.49401256767972174</c:v>
                </c:pt>
                <c:pt idx="4">
                  <c:v>0.4365668383829564</c:v>
                </c:pt>
                <c:pt idx="5">
                  <c:v>0.39922550252510131</c:v>
                </c:pt>
                <c:pt idx="6">
                  <c:v>0.49430559949383113</c:v>
                </c:pt>
                <c:pt idx="7">
                  <c:v>0.56621614735209014</c:v>
                </c:pt>
                <c:pt idx="8">
                  <c:v>0.47485184622397808</c:v>
                </c:pt>
                <c:pt idx="9">
                  <c:v>0.51600918496349235</c:v>
                </c:pt>
                <c:pt idx="10">
                  <c:v>0.69981944658278161</c:v>
                </c:pt>
                <c:pt idx="11">
                  <c:v>0.62323546459087709</c:v>
                </c:pt>
                <c:pt idx="12">
                  <c:v>0.50753692331117084</c:v>
                </c:pt>
                <c:pt idx="13">
                  <c:v>0.51185193147326347</c:v>
                </c:pt>
                <c:pt idx="14">
                  <c:v>0.47515644525960166</c:v>
                </c:pt>
                <c:pt idx="15">
                  <c:v>0.36273546065589829</c:v>
                </c:pt>
                <c:pt idx="16">
                  <c:v>0.38795628508579649</c:v>
                </c:pt>
                <c:pt idx="17">
                  <c:v>0.38332387801100903</c:v>
                </c:pt>
                <c:pt idx="18">
                  <c:v>0.36218367783037486</c:v>
                </c:pt>
                <c:pt idx="19">
                  <c:v>0.34787327672275542</c:v>
                </c:pt>
                <c:pt idx="20">
                  <c:v>0.38558081966770646</c:v>
                </c:pt>
                <c:pt idx="21">
                  <c:v>0.43132823215810767</c:v>
                </c:pt>
                <c:pt idx="22">
                  <c:v>0.51603048708117683</c:v>
                </c:pt>
                <c:pt idx="23">
                  <c:v>0.5558458306004247</c:v>
                </c:pt>
                <c:pt idx="24">
                  <c:v>0.49164208456243857</c:v>
                </c:pt>
                <c:pt idx="25">
                  <c:v>0.42810784892930226</c:v>
                </c:pt>
                <c:pt idx="26">
                  <c:v>0.41090711855492185</c:v>
                </c:pt>
                <c:pt idx="27">
                  <c:v>0.45244160110033793</c:v>
                </c:pt>
                <c:pt idx="28">
                  <c:v>0.50365400984139941</c:v>
                </c:pt>
                <c:pt idx="29">
                  <c:v>0.52699255886506879</c:v>
                </c:pt>
                <c:pt idx="30">
                  <c:v>0.51099664786198995</c:v>
                </c:pt>
                <c:pt idx="31">
                  <c:v>0.52725096618739553</c:v>
                </c:pt>
                <c:pt idx="32">
                  <c:v>0.49331557397267028</c:v>
                </c:pt>
                <c:pt idx="33">
                  <c:v>0.53838119542160634</c:v>
                </c:pt>
                <c:pt idx="34">
                  <c:v>0.47810745943258204</c:v>
                </c:pt>
                <c:pt idx="35">
                  <c:v>0.49693144830670616</c:v>
                </c:pt>
                <c:pt idx="36">
                  <c:v>0.41890606869221714</c:v>
                </c:pt>
                <c:pt idx="37">
                  <c:v>0.39010536745975088</c:v>
                </c:pt>
                <c:pt idx="38">
                  <c:v>0.36874923945469362</c:v>
                </c:pt>
                <c:pt idx="39">
                  <c:v>0.47733836129740576</c:v>
                </c:pt>
                <c:pt idx="40">
                  <c:v>0.5078952313716727</c:v>
                </c:pt>
                <c:pt idx="41">
                  <c:v>0.43022410373563591</c:v>
                </c:pt>
                <c:pt idx="42">
                  <c:v>0.53672255737564145</c:v>
                </c:pt>
                <c:pt idx="43">
                  <c:v>0.44669778661246728</c:v>
                </c:pt>
                <c:pt idx="44">
                  <c:v>0.39949344231514439</c:v>
                </c:pt>
                <c:pt idx="45">
                  <c:v>0.41464699028482099</c:v>
                </c:pt>
                <c:pt idx="46">
                  <c:v>0.37246583557123225</c:v>
                </c:pt>
                <c:pt idx="47">
                  <c:v>0.50597301139957185</c:v>
                </c:pt>
                <c:pt idx="48">
                  <c:v>0.46704310340801347</c:v>
                </c:pt>
                <c:pt idx="49">
                  <c:v>0.46052177116673193</c:v>
                </c:pt>
                <c:pt idx="50">
                  <c:v>0.44967870456558789</c:v>
                </c:pt>
                <c:pt idx="51">
                  <c:v>0.45555803581597276</c:v>
                </c:pt>
                <c:pt idx="52">
                  <c:v>0.48417474835017454</c:v>
                </c:pt>
                <c:pt idx="53">
                  <c:v>0.48260219101394725</c:v>
                </c:pt>
                <c:pt idx="54">
                  <c:v>0.56828514275322783</c:v>
                </c:pt>
                <c:pt idx="55">
                  <c:v>0.47185614049988439</c:v>
                </c:pt>
                <c:pt idx="56">
                  <c:v>0.47171591380806821</c:v>
                </c:pt>
                <c:pt idx="57">
                  <c:v>0.56944041090820052</c:v>
                </c:pt>
                <c:pt idx="58">
                  <c:v>0.59167046321880568</c:v>
                </c:pt>
                <c:pt idx="59">
                  <c:v>0.50402463672424302</c:v>
                </c:pt>
                <c:pt idx="60">
                  <c:v>0.49461121085770526</c:v>
                </c:pt>
                <c:pt idx="61">
                  <c:v>0.49994250661173961</c:v>
                </c:pt>
                <c:pt idx="62">
                  <c:v>0.39404363639229406</c:v>
                </c:pt>
                <c:pt idx="63">
                  <c:v>0.44136469965132191</c:v>
                </c:pt>
                <c:pt idx="64">
                  <c:v>0.45428527298002047</c:v>
                </c:pt>
                <c:pt idx="65">
                  <c:v>0.38242818954670788</c:v>
                </c:pt>
                <c:pt idx="66">
                  <c:v>0.35238937616508736</c:v>
                </c:pt>
                <c:pt idx="67">
                  <c:v>0.39260797700887684</c:v>
                </c:pt>
                <c:pt idx="68">
                  <c:v>0.4012116592108167</c:v>
                </c:pt>
                <c:pt idx="69">
                  <c:v>0.42387609254062852</c:v>
                </c:pt>
                <c:pt idx="70">
                  <c:v>0.46034157344749799</c:v>
                </c:pt>
                <c:pt idx="71">
                  <c:v>0.40407958751555706</c:v>
                </c:pt>
                <c:pt idx="72">
                  <c:v>0.41288021106436384</c:v>
                </c:pt>
                <c:pt idx="73">
                  <c:v>0.4037060212753073</c:v>
                </c:pt>
                <c:pt idx="74">
                  <c:v>0.45955248778739255</c:v>
                </c:pt>
                <c:pt idx="75">
                  <c:v>0.47123132745864948</c:v>
                </c:pt>
                <c:pt idx="76">
                  <c:v>0.43252595155709345</c:v>
                </c:pt>
                <c:pt idx="77">
                  <c:v>0.41243746416949528</c:v>
                </c:pt>
                <c:pt idx="78">
                  <c:v>0.40316890761384483</c:v>
                </c:pt>
                <c:pt idx="79">
                  <c:v>0.49220107398274338</c:v>
                </c:pt>
                <c:pt idx="80">
                  <c:v>0.47232416552128054</c:v>
                </c:pt>
                <c:pt idx="81">
                  <c:v>0.47484508179206536</c:v>
                </c:pt>
                <c:pt idx="82">
                  <c:v>0.45294162941221766</c:v>
                </c:pt>
                <c:pt idx="83">
                  <c:v>0.45256036023804669</c:v>
                </c:pt>
                <c:pt idx="84">
                  <c:v>0.48176518764754062</c:v>
                </c:pt>
                <c:pt idx="85">
                  <c:v>0.49900946620957398</c:v>
                </c:pt>
                <c:pt idx="86">
                  <c:v>0.48769544394916259</c:v>
                </c:pt>
                <c:pt idx="87">
                  <c:v>0.39046484840202261</c:v>
                </c:pt>
                <c:pt idx="88">
                  <c:v>0.40496650926968336</c:v>
                </c:pt>
                <c:pt idx="89">
                  <c:v>0.33198767661744399</c:v>
                </c:pt>
                <c:pt idx="90">
                  <c:v>0.34290612944706389</c:v>
                </c:pt>
                <c:pt idx="91">
                  <c:v>0.38300382237814734</c:v>
                </c:pt>
                <c:pt idx="92">
                  <c:v>0.36662267194603315</c:v>
                </c:pt>
                <c:pt idx="93">
                  <c:v>0.44268942680573015</c:v>
                </c:pt>
                <c:pt idx="94">
                  <c:v>0.41402895718526556</c:v>
                </c:pt>
                <c:pt idx="95">
                  <c:v>0.38086677661020951</c:v>
                </c:pt>
                <c:pt idx="96">
                  <c:v>0.40576675715265359</c:v>
                </c:pt>
                <c:pt idx="97">
                  <c:v>0.45546259058012267</c:v>
                </c:pt>
                <c:pt idx="98">
                  <c:v>0.42234188575651987</c:v>
                </c:pt>
                <c:pt idx="99">
                  <c:v>0.48285385945089859</c:v>
                </c:pt>
                <c:pt idx="100">
                  <c:v>0.45984199828938777</c:v>
                </c:pt>
                <c:pt idx="101">
                  <c:v>0.54992191108862543</c:v>
                </c:pt>
                <c:pt idx="102">
                  <c:v>0.55095811616400925</c:v>
                </c:pt>
                <c:pt idx="103">
                  <c:v>0.43371717303146617</c:v>
                </c:pt>
                <c:pt idx="104">
                  <c:v>0.37839658232206846</c:v>
                </c:pt>
                <c:pt idx="105">
                  <c:v>0.37568844908294446</c:v>
                </c:pt>
                <c:pt idx="106">
                  <c:v>0.45011793089789526</c:v>
                </c:pt>
                <c:pt idx="107">
                  <c:v>0.47669668266778537</c:v>
                </c:pt>
                <c:pt idx="108">
                  <c:v>0.45274066561932663</c:v>
                </c:pt>
                <c:pt idx="109">
                  <c:v>0.4215389544147774</c:v>
                </c:pt>
                <c:pt idx="110">
                  <c:v>0.4467875971763024</c:v>
                </c:pt>
                <c:pt idx="111">
                  <c:v>0.579317216728364</c:v>
                </c:pt>
                <c:pt idx="112">
                  <c:v>0.57117399102114486</c:v>
                </c:pt>
                <c:pt idx="113">
                  <c:v>0.53214416849812951</c:v>
                </c:pt>
                <c:pt idx="114">
                  <c:v>0.57702738571972623</c:v>
                </c:pt>
                <c:pt idx="115">
                  <c:v>0.49351764572342283</c:v>
                </c:pt>
                <c:pt idx="116">
                  <c:v>0.69305352452369895</c:v>
                </c:pt>
                <c:pt idx="117">
                  <c:v>0.5525625086337892</c:v>
                </c:pt>
                <c:pt idx="118">
                  <c:v>0.44414834554741284</c:v>
                </c:pt>
                <c:pt idx="119">
                  <c:v>0.46293724422717258</c:v>
                </c:pt>
                <c:pt idx="120">
                  <c:v>0.50524954274916378</c:v>
                </c:pt>
                <c:pt idx="121">
                  <c:v>0.577350538379377</c:v>
                </c:pt>
                <c:pt idx="122">
                  <c:v>0.46112912076510537</c:v>
                </c:pt>
                <c:pt idx="123">
                  <c:v>0.46350371729981271</c:v>
                </c:pt>
                <c:pt idx="124">
                  <c:v>0.43766549226426243</c:v>
                </c:pt>
                <c:pt idx="125">
                  <c:v>0.47303689687795647</c:v>
                </c:pt>
                <c:pt idx="126">
                  <c:v>0.59536567359672299</c:v>
                </c:pt>
                <c:pt idx="127">
                  <c:v>0.52140905583248165</c:v>
                </c:pt>
                <c:pt idx="128">
                  <c:v>0.44835811259168923</c:v>
                </c:pt>
                <c:pt idx="129">
                  <c:v>0.42038179074235216</c:v>
                </c:pt>
                <c:pt idx="130">
                  <c:v>0.42444821731748728</c:v>
                </c:pt>
                <c:pt idx="131">
                  <c:v>0.43447092303347601</c:v>
                </c:pt>
                <c:pt idx="132">
                  <c:v>0.48954335395942661</c:v>
                </c:pt>
                <c:pt idx="133">
                  <c:v>0.47507969461877231</c:v>
                </c:pt>
                <c:pt idx="134">
                  <c:v>0.48746008920519635</c:v>
                </c:pt>
                <c:pt idx="135">
                  <c:v>0.41027660848944358</c:v>
                </c:pt>
                <c:pt idx="136">
                  <c:v>0.42675042354979537</c:v>
                </c:pt>
                <c:pt idx="137">
                  <c:v>0.43822361674715371</c:v>
                </c:pt>
                <c:pt idx="138">
                  <c:v>0.41248169612473451</c:v>
                </c:pt>
                <c:pt idx="139">
                  <c:v>0.49111571668516529</c:v>
                </c:pt>
                <c:pt idx="140">
                  <c:v>0.40421352175072961</c:v>
                </c:pt>
                <c:pt idx="141">
                  <c:v>0.4222420206814142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1-9B4A-B6A9-E79E3FB8E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33359"/>
        <c:axId val="630887263"/>
      </c:scatterChart>
      <c:valAx>
        <c:axId val="6209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87263"/>
        <c:crosses val="autoZero"/>
        <c:crossBetween val="midCat"/>
      </c:valAx>
      <c:valAx>
        <c:axId val="63088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3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Sheet1!$AB$6:$AB$64</c:f>
              <c:numCache>
                <c:formatCode>General</c:formatCode>
                <c:ptCount val="59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  <c:pt idx="20">
                  <c:v>210000</c:v>
                </c:pt>
                <c:pt idx="21">
                  <c:v>220000</c:v>
                </c:pt>
                <c:pt idx="22">
                  <c:v>230000</c:v>
                </c:pt>
                <c:pt idx="23">
                  <c:v>240000</c:v>
                </c:pt>
                <c:pt idx="24">
                  <c:v>250000</c:v>
                </c:pt>
                <c:pt idx="25">
                  <c:v>260000</c:v>
                </c:pt>
                <c:pt idx="26">
                  <c:v>270000</c:v>
                </c:pt>
                <c:pt idx="27">
                  <c:v>280000</c:v>
                </c:pt>
                <c:pt idx="28">
                  <c:v>290000</c:v>
                </c:pt>
                <c:pt idx="29">
                  <c:v>300000</c:v>
                </c:pt>
                <c:pt idx="30">
                  <c:v>310000</c:v>
                </c:pt>
                <c:pt idx="31">
                  <c:v>320000</c:v>
                </c:pt>
                <c:pt idx="32">
                  <c:v>330000</c:v>
                </c:pt>
                <c:pt idx="33">
                  <c:v>340000</c:v>
                </c:pt>
                <c:pt idx="34">
                  <c:v>350000</c:v>
                </c:pt>
                <c:pt idx="35">
                  <c:v>360000</c:v>
                </c:pt>
                <c:pt idx="36">
                  <c:v>370000</c:v>
                </c:pt>
                <c:pt idx="37">
                  <c:v>380000</c:v>
                </c:pt>
                <c:pt idx="38">
                  <c:v>390000</c:v>
                </c:pt>
                <c:pt idx="39">
                  <c:v>400000</c:v>
                </c:pt>
                <c:pt idx="40">
                  <c:v>410000</c:v>
                </c:pt>
                <c:pt idx="41">
                  <c:v>420000</c:v>
                </c:pt>
                <c:pt idx="42">
                  <c:v>430000</c:v>
                </c:pt>
                <c:pt idx="43">
                  <c:v>440000</c:v>
                </c:pt>
                <c:pt idx="44">
                  <c:v>450000</c:v>
                </c:pt>
                <c:pt idx="45">
                  <c:v>460000</c:v>
                </c:pt>
                <c:pt idx="46">
                  <c:v>470000</c:v>
                </c:pt>
                <c:pt idx="47">
                  <c:v>480000</c:v>
                </c:pt>
                <c:pt idx="48">
                  <c:v>490000</c:v>
                </c:pt>
                <c:pt idx="49">
                  <c:v>500000</c:v>
                </c:pt>
                <c:pt idx="50">
                  <c:v>510000</c:v>
                </c:pt>
                <c:pt idx="51">
                  <c:v>520000</c:v>
                </c:pt>
                <c:pt idx="52">
                  <c:v>530000</c:v>
                </c:pt>
                <c:pt idx="53">
                  <c:v>540000</c:v>
                </c:pt>
                <c:pt idx="54">
                  <c:v>550000</c:v>
                </c:pt>
                <c:pt idx="55">
                  <c:v>560000</c:v>
                </c:pt>
                <c:pt idx="56">
                  <c:v>570000</c:v>
                </c:pt>
                <c:pt idx="57">
                  <c:v>580000</c:v>
                </c:pt>
                <c:pt idx="58">
                  <c:v>590000</c:v>
                </c:pt>
              </c:numCache>
            </c:numRef>
          </c:xVal>
          <c:yVal>
            <c:numRef>
              <c:f>Sheet1!$AG$6:$AG$64</c:f>
              <c:numCache>
                <c:formatCode>General</c:formatCode>
                <c:ptCount val="59"/>
                <c:pt idx="0">
                  <c:v>0.22501085677383936</c:v>
                </c:pt>
                <c:pt idx="1">
                  <c:v>0.29303857559809171</c:v>
                </c:pt>
                <c:pt idx="2">
                  <c:v>0.37691614746467356</c:v>
                </c:pt>
                <c:pt idx="3">
                  <c:v>0.38081311215707775</c:v>
                </c:pt>
                <c:pt idx="4">
                  <c:v>0.235113771554055</c:v>
                </c:pt>
                <c:pt idx="5">
                  <c:v>0.37346459368919532</c:v>
                </c:pt>
                <c:pt idx="6">
                  <c:v>0.30890225405974786</c:v>
                </c:pt>
                <c:pt idx="7">
                  <c:v>0.4838865769863544</c:v>
                </c:pt>
                <c:pt idx="8">
                  <c:v>0.39866050071758885</c:v>
                </c:pt>
                <c:pt idx="9">
                  <c:v>1.3618541917191094</c:v>
                </c:pt>
                <c:pt idx="10">
                  <c:v>0.28635572253275909</c:v>
                </c:pt>
                <c:pt idx="11">
                  <c:v>0.25667417010823956</c:v>
                </c:pt>
                <c:pt idx="12">
                  <c:v>0.43939240817797148</c:v>
                </c:pt>
                <c:pt idx="13">
                  <c:v>0.65578930801112223</c:v>
                </c:pt>
                <c:pt idx="14">
                  <c:v>0.31859512294585796</c:v>
                </c:pt>
                <c:pt idx="15">
                  <c:v>0.23393509236927126</c:v>
                </c:pt>
                <c:pt idx="16">
                  <c:v>0.41992281818601745</c:v>
                </c:pt>
                <c:pt idx="17">
                  <c:v>0.42697636685809437</c:v>
                </c:pt>
                <c:pt idx="18">
                  <c:v>-0.77919851640602489</c:v>
                </c:pt>
                <c:pt idx="19">
                  <c:v>0.31822000458236804</c:v>
                </c:pt>
                <c:pt idx="20">
                  <c:v>0.34104201978725801</c:v>
                </c:pt>
                <c:pt idx="21">
                  <c:v>0.24455498329689465</c:v>
                </c:pt>
                <c:pt idx="22">
                  <c:v>0.22885389967045036</c:v>
                </c:pt>
                <c:pt idx="23">
                  <c:v>0.45519099814282071</c:v>
                </c:pt>
                <c:pt idx="24">
                  <c:v>0.67480481270792414</c:v>
                </c:pt>
                <c:pt idx="25">
                  <c:v>0.89112263629720712</c:v>
                </c:pt>
                <c:pt idx="26">
                  <c:v>0.54576215685204388</c:v>
                </c:pt>
                <c:pt idx="27">
                  <c:v>0.39203540863810821</c:v>
                </c:pt>
                <c:pt idx="28">
                  <c:v>0.59150947302421053</c:v>
                </c:pt>
                <c:pt idx="29">
                  <c:v>0.22510760143348524</c:v>
                </c:pt>
                <c:pt idx="30">
                  <c:v>0.37915698236540873</c:v>
                </c:pt>
                <c:pt idx="31">
                  <c:v>0.79967373311688839</c:v>
                </c:pt>
                <c:pt idx="32">
                  <c:v>-2.1818483309951189</c:v>
                </c:pt>
                <c:pt idx="33">
                  <c:v>0.2031223974942821</c:v>
                </c:pt>
                <c:pt idx="34">
                  <c:v>0.49023693150899833</c:v>
                </c:pt>
                <c:pt idx="35">
                  <c:v>0.48733893448215365</c:v>
                </c:pt>
                <c:pt idx="36">
                  <c:v>0.29318892801332247</c:v>
                </c:pt>
                <c:pt idx="37">
                  <c:v>0.31782960519206443</c:v>
                </c:pt>
                <c:pt idx="38">
                  <c:v>0.41530998737457636</c:v>
                </c:pt>
                <c:pt idx="39">
                  <c:v>0.29950073227929042</c:v>
                </c:pt>
                <c:pt idx="40">
                  <c:v>0.39454579887633356</c:v>
                </c:pt>
                <c:pt idx="41">
                  <c:v>0.30442883062797577</c:v>
                </c:pt>
                <c:pt idx="42">
                  <c:v>0.88109608352790869</c:v>
                </c:pt>
                <c:pt idx="43">
                  <c:v>1.5308965542580357</c:v>
                </c:pt>
                <c:pt idx="44">
                  <c:v>-0.56856624649621057</c:v>
                </c:pt>
                <c:pt idx="45">
                  <c:v>-4.4142509678245254</c:v>
                </c:pt>
                <c:pt idx="46">
                  <c:v>-2.5555121118496542</c:v>
                </c:pt>
                <c:pt idx="47">
                  <c:v>0.65596998281358643</c:v>
                </c:pt>
                <c:pt idx="48">
                  <c:v>0.82442949478960559</c:v>
                </c:pt>
                <c:pt idx="49">
                  <c:v>0.44084518839519132</c:v>
                </c:pt>
                <c:pt idx="50">
                  <c:v>0.55608692750850819</c:v>
                </c:pt>
                <c:pt idx="51">
                  <c:v>0.28748684747672792</c:v>
                </c:pt>
                <c:pt idx="52">
                  <c:v>0.25597116740770315</c:v>
                </c:pt>
                <c:pt idx="53">
                  <c:v>0.20766448065190035</c:v>
                </c:pt>
                <c:pt idx="54">
                  <c:v>-3.8311093743415281</c:v>
                </c:pt>
                <c:pt idx="55">
                  <c:v>0.25283363294118838</c:v>
                </c:pt>
                <c:pt idx="56">
                  <c:v>0.87465341858288659</c:v>
                </c:pt>
                <c:pt idx="57">
                  <c:v>0.41704722225697616</c:v>
                </c:pt>
                <c:pt idx="58">
                  <c:v>0.34114789443519555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0-C849-AA65-4C1DE014565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Sheet1!$AB$6:$AB$64</c:f>
              <c:numCache>
                <c:formatCode>General</c:formatCode>
                <c:ptCount val="59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  <c:pt idx="20">
                  <c:v>210000</c:v>
                </c:pt>
                <c:pt idx="21">
                  <c:v>220000</c:v>
                </c:pt>
                <c:pt idx="22">
                  <c:v>230000</c:v>
                </c:pt>
                <c:pt idx="23">
                  <c:v>240000</c:v>
                </c:pt>
                <c:pt idx="24">
                  <c:v>250000</c:v>
                </c:pt>
                <c:pt idx="25">
                  <c:v>260000</c:v>
                </c:pt>
                <c:pt idx="26">
                  <c:v>270000</c:v>
                </c:pt>
                <c:pt idx="27">
                  <c:v>280000</c:v>
                </c:pt>
                <c:pt idx="28">
                  <c:v>290000</c:v>
                </c:pt>
                <c:pt idx="29">
                  <c:v>300000</c:v>
                </c:pt>
                <c:pt idx="30">
                  <c:v>310000</c:v>
                </c:pt>
                <c:pt idx="31">
                  <c:v>320000</c:v>
                </c:pt>
                <c:pt idx="32">
                  <c:v>330000</c:v>
                </c:pt>
                <c:pt idx="33">
                  <c:v>340000</c:v>
                </c:pt>
                <c:pt idx="34">
                  <c:v>350000</c:v>
                </c:pt>
                <c:pt idx="35">
                  <c:v>360000</c:v>
                </c:pt>
                <c:pt idx="36">
                  <c:v>370000</c:v>
                </c:pt>
                <c:pt idx="37">
                  <c:v>380000</c:v>
                </c:pt>
                <c:pt idx="38">
                  <c:v>390000</c:v>
                </c:pt>
                <c:pt idx="39">
                  <c:v>400000</c:v>
                </c:pt>
                <c:pt idx="40">
                  <c:v>410000</c:v>
                </c:pt>
                <c:pt idx="41">
                  <c:v>420000</c:v>
                </c:pt>
                <c:pt idx="42">
                  <c:v>430000</c:v>
                </c:pt>
                <c:pt idx="43">
                  <c:v>440000</c:v>
                </c:pt>
                <c:pt idx="44">
                  <c:v>450000</c:v>
                </c:pt>
                <c:pt idx="45">
                  <c:v>460000</c:v>
                </c:pt>
                <c:pt idx="46">
                  <c:v>470000</c:v>
                </c:pt>
                <c:pt idx="47">
                  <c:v>480000</c:v>
                </c:pt>
                <c:pt idx="48">
                  <c:v>490000</c:v>
                </c:pt>
                <c:pt idx="49">
                  <c:v>500000</c:v>
                </c:pt>
                <c:pt idx="50">
                  <c:v>510000</c:v>
                </c:pt>
                <c:pt idx="51">
                  <c:v>520000</c:v>
                </c:pt>
                <c:pt idx="52">
                  <c:v>530000</c:v>
                </c:pt>
                <c:pt idx="53">
                  <c:v>540000</c:v>
                </c:pt>
                <c:pt idx="54">
                  <c:v>550000</c:v>
                </c:pt>
                <c:pt idx="55">
                  <c:v>560000</c:v>
                </c:pt>
                <c:pt idx="56">
                  <c:v>570000</c:v>
                </c:pt>
                <c:pt idx="57">
                  <c:v>580000</c:v>
                </c:pt>
                <c:pt idx="58">
                  <c:v>590000</c:v>
                </c:pt>
              </c:numCache>
            </c:numRef>
          </c:xVal>
          <c:yVal>
            <c:numRef>
              <c:f>Sheet1!$AH$6:$AH$64</c:f>
              <c:numCache>
                <c:formatCode>General</c:formatCode>
                <c:ptCount val="59"/>
                <c:pt idx="0">
                  <c:v>0.22501085677383936</c:v>
                </c:pt>
                <c:pt idx="1">
                  <c:v>0.25902471618596556</c:v>
                </c:pt>
                <c:pt idx="2">
                  <c:v>0.2983218599455349</c:v>
                </c:pt>
                <c:pt idx="3">
                  <c:v>0.31894467299842061</c:v>
                </c:pt>
                <c:pt idx="4">
                  <c:v>0.3021784927095475</c:v>
                </c:pt>
                <c:pt idx="5">
                  <c:v>0.3140595095394888</c:v>
                </c:pt>
                <c:pt idx="6">
                  <c:v>0.31332275875666865</c:v>
                </c:pt>
                <c:pt idx="7">
                  <c:v>0.33464323603537938</c:v>
                </c:pt>
                <c:pt idx="8">
                  <c:v>0.34175626544451376</c:v>
                </c:pt>
                <c:pt idx="9">
                  <c:v>0.44376605807197328</c:v>
                </c:pt>
                <c:pt idx="10">
                  <c:v>0.42945602756840839</c:v>
                </c:pt>
                <c:pt idx="11">
                  <c:v>0.41505753944672769</c:v>
                </c:pt>
                <c:pt idx="12">
                  <c:v>0.41692945242605411</c:v>
                </c:pt>
                <c:pt idx="13">
                  <c:v>0.43399087068213038</c:v>
                </c:pt>
                <c:pt idx="14">
                  <c:v>0.42629782083304557</c:v>
                </c:pt>
                <c:pt idx="15">
                  <c:v>0.41427515030405965</c:v>
                </c:pt>
                <c:pt idx="16">
                  <c:v>0.41460736606182186</c:v>
                </c:pt>
                <c:pt idx="17">
                  <c:v>0.41529453277272588</c:v>
                </c:pt>
                <c:pt idx="18">
                  <c:v>0.35242647755279161</c:v>
                </c:pt>
                <c:pt idx="19">
                  <c:v>0.35071615390427047</c:v>
                </c:pt>
                <c:pt idx="20">
                  <c:v>0.35025548085107938</c:v>
                </c:pt>
                <c:pt idx="21">
                  <c:v>0.3454509127804346</c:v>
                </c:pt>
                <c:pt idx="22">
                  <c:v>0.3403814774278266</c:v>
                </c:pt>
                <c:pt idx="23">
                  <c:v>0.34516520745761797</c:v>
                </c:pt>
                <c:pt idx="24">
                  <c:v>0.35835079166763023</c:v>
                </c:pt>
                <c:pt idx="25">
                  <c:v>0.37884201646107551</c:v>
                </c:pt>
                <c:pt idx="26">
                  <c:v>0.38502424388296325</c:v>
                </c:pt>
                <c:pt idx="27">
                  <c:v>0.38527464262421846</c:v>
                </c:pt>
                <c:pt idx="28">
                  <c:v>0.39238618850008022</c:v>
                </c:pt>
                <c:pt idx="29">
                  <c:v>0.38681023559786037</c:v>
                </c:pt>
                <c:pt idx="30">
                  <c:v>0.38656335646132972</c:v>
                </c:pt>
                <c:pt idx="31">
                  <c:v>0.39947305573181591</c:v>
                </c:pt>
                <c:pt idx="32">
                  <c:v>0.32125119552796938</c:v>
                </c:pt>
                <c:pt idx="33">
                  <c:v>0.31777681911521383</c:v>
                </c:pt>
                <c:pt idx="34">
                  <c:v>0.32270425089789345</c:v>
                </c:pt>
                <c:pt idx="35">
                  <c:v>0.32727743655301178</c:v>
                </c:pt>
                <c:pt idx="36">
                  <c:v>0.32635612551139853</c:v>
                </c:pt>
                <c:pt idx="37">
                  <c:v>0.32613174339773182</c:v>
                </c:pt>
                <c:pt idx="38">
                  <c:v>0.32841836503816374</c:v>
                </c:pt>
                <c:pt idx="39">
                  <c:v>0.3276954242191919</c:v>
                </c:pt>
                <c:pt idx="40">
                  <c:v>0.32932592116204901</c:v>
                </c:pt>
                <c:pt idx="41">
                  <c:v>0.32873313329219006</c:v>
                </c:pt>
                <c:pt idx="42">
                  <c:v>0.34157878329767194</c:v>
                </c:pt>
                <c:pt idx="43">
                  <c:v>0.36860873263768018</c:v>
                </c:pt>
                <c:pt idx="44">
                  <c:v>0.34778262199026039</c:v>
                </c:pt>
                <c:pt idx="45">
                  <c:v>0.2442601526464607</c:v>
                </c:pt>
                <c:pt idx="46">
                  <c:v>0.18469052999760718</c:v>
                </c:pt>
                <c:pt idx="47">
                  <c:v>0.1945088519312734</c:v>
                </c:pt>
                <c:pt idx="48">
                  <c:v>0.2073643752549128</c:v>
                </c:pt>
                <c:pt idx="49">
                  <c:v>0.21203399151771837</c:v>
                </c:pt>
                <c:pt idx="50">
                  <c:v>0.21878012751753778</c:v>
                </c:pt>
                <c:pt idx="51">
                  <c:v>0.22010141059367605</c:v>
                </c:pt>
                <c:pt idx="52">
                  <c:v>0.22077819845809166</c:v>
                </c:pt>
                <c:pt idx="53">
                  <c:v>0.22053535183205106</c:v>
                </c:pt>
                <c:pt idx="54">
                  <c:v>0.14686908408344052</c:v>
                </c:pt>
                <c:pt idx="55">
                  <c:v>0.14876130817018601</c:v>
                </c:pt>
                <c:pt idx="56">
                  <c:v>0.16149625747567198</c:v>
                </c:pt>
                <c:pt idx="57">
                  <c:v>0.165902308592591</c:v>
                </c:pt>
                <c:pt idx="58">
                  <c:v>0.16887257275941481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0-C849-AA65-4C1DE0145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840431"/>
        <c:axId val="626708831"/>
      </c:scatterChart>
      <c:valAx>
        <c:axId val="62684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08831"/>
        <c:crosses val="autoZero"/>
        <c:crossBetween val="midCat"/>
      </c:valAx>
      <c:valAx>
        <c:axId val="62670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4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6467410323709537E-2"/>
                  <c:y val="-0.42676217556138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Sheet1!$AN$13:$AN$15</c:f>
              <c:numCache>
                <c:formatCode>General</c:formatCode>
                <c:ptCount val="3"/>
                <c:pt idx="0">
                  <c:v>5.5950043810090687E-3</c:v>
                </c:pt>
                <c:pt idx="1">
                  <c:v>1.3987510952522672E-3</c:v>
                </c:pt>
                <c:pt idx="2">
                  <c:v>6.1676250077957783E-4</c:v>
                </c:pt>
              </c:numCache>
            </c:numRef>
          </c:xVal>
          <c:yVal>
            <c:numRef>
              <c:f>Sheet1!$AM$13:$AM$15</c:f>
              <c:numCache>
                <c:formatCode>General</c:formatCode>
                <c:ptCount val="3"/>
                <c:pt idx="0">
                  <c:v>0.40946554899999998</c:v>
                </c:pt>
                <c:pt idx="1">
                  <c:v>0.44859653127995214</c:v>
                </c:pt>
                <c:pt idx="2">
                  <c:v>0.45472278938817334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0-164A-B9DA-512ED70A3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37423"/>
        <c:axId val="778440031"/>
      </c:scatterChart>
      <c:valAx>
        <c:axId val="86713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40031"/>
        <c:crosses val="autoZero"/>
        <c:crossBetween val="midCat"/>
      </c:valAx>
      <c:valAx>
        <c:axId val="7784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3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Sheet1!$AS$15:$AS$28</c:f>
              <c:numCache>
                <c:formatCode>General</c:formatCode>
                <c:ptCount val="14"/>
                <c:pt idx="0">
                  <c:v>200000</c:v>
                </c:pt>
                <c:pt idx="1">
                  <c:v>400000</c:v>
                </c:pt>
                <c:pt idx="2">
                  <c:v>600000</c:v>
                </c:pt>
                <c:pt idx="3">
                  <c:v>800000</c:v>
                </c:pt>
                <c:pt idx="4">
                  <c:v>1000000</c:v>
                </c:pt>
                <c:pt idx="5">
                  <c:v>1200000</c:v>
                </c:pt>
                <c:pt idx="6">
                  <c:v>1400000</c:v>
                </c:pt>
                <c:pt idx="7">
                  <c:v>1600000</c:v>
                </c:pt>
                <c:pt idx="8">
                  <c:v>1800000</c:v>
                </c:pt>
                <c:pt idx="9">
                  <c:v>2000000</c:v>
                </c:pt>
                <c:pt idx="10">
                  <c:v>2200000</c:v>
                </c:pt>
                <c:pt idx="11">
                  <c:v>2400000</c:v>
                </c:pt>
                <c:pt idx="12">
                  <c:v>2600000</c:v>
                </c:pt>
                <c:pt idx="13">
                  <c:v>2800000</c:v>
                </c:pt>
              </c:numCache>
            </c:numRef>
          </c:xVal>
          <c:yVal>
            <c:numRef>
              <c:f>Sheet1!$AX$15:$AX$28</c:f>
              <c:numCache>
                <c:formatCode>General</c:formatCode>
                <c:ptCount val="14"/>
                <c:pt idx="0">
                  <c:v>0.42093565577565817</c:v>
                </c:pt>
                <c:pt idx="1">
                  <c:v>0.47385953855558133</c:v>
                </c:pt>
                <c:pt idx="2">
                  <c:v>0.34730301841053302</c:v>
                </c:pt>
                <c:pt idx="3">
                  <c:v>0.39896110528184603</c:v>
                </c:pt>
                <c:pt idx="4">
                  <c:v>0.39726364799262681</c:v>
                </c:pt>
                <c:pt idx="5">
                  <c:v>0.40083534085033212</c:v>
                </c:pt>
                <c:pt idx="6">
                  <c:v>0.48209499199722311</c:v>
                </c:pt>
                <c:pt idx="7">
                  <c:v>0.32666928002090689</c:v>
                </c:pt>
                <c:pt idx="8">
                  <c:v>0.51592133231524862</c:v>
                </c:pt>
                <c:pt idx="9">
                  <c:v>0.41034395029914073</c:v>
                </c:pt>
                <c:pt idx="10">
                  <c:v>0.58776853675022778</c:v>
                </c:pt>
                <c:pt idx="11">
                  <c:v>0.55309734513274333</c:v>
                </c:pt>
                <c:pt idx="12">
                  <c:v>0.60191287912987479</c:v>
                </c:pt>
                <c:pt idx="13">
                  <c:v>0.57324658201725476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0-BE43-8857-08E245C3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91935"/>
        <c:axId val="1597692783"/>
      </c:scatterChart>
      <c:valAx>
        <c:axId val="15976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92783"/>
        <c:crosses val="autoZero"/>
        <c:crossBetween val="midCat"/>
      </c:valAx>
      <c:valAx>
        <c:axId val="15976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9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Sheet1!$BD$46:$BD$95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xVal>
          <c:yVal>
            <c:numRef>
              <c:f>Sheet1!$BF$46:$BF$95</c:f>
              <c:numCache>
                <c:formatCode>General</c:formatCode>
                <c:ptCount val="50"/>
                <c:pt idx="0">
                  <c:v>2.44767</c:v>
                </c:pt>
                <c:pt idx="1">
                  <c:v>2.2879700000000001</c:v>
                </c:pt>
                <c:pt idx="2">
                  <c:v>2.1665199999999998</c:v>
                </c:pt>
                <c:pt idx="3">
                  <c:v>1.70831</c:v>
                </c:pt>
                <c:pt idx="4">
                  <c:v>1.2250700000000001</c:v>
                </c:pt>
                <c:pt idx="5">
                  <c:v>1.01485</c:v>
                </c:pt>
                <c:pt idx="6">
                  <c:v>0.78552100000000002</c:v>
                </c:pt>
                <c:pt idx="7">
                  <c:v>0.64429000000000003</c:v>
                </c:pt>
                <c:pt idx="8">
                  <c:v>0.39788000000000001</c:v>
                </c:pt>
                <c:pt idx="9">
                  <c:v>0.11401699999999999</c:v>
                </c:pt>
                <c:pt idx="10">
                  <c:v>0.122791</c:v>
                </c:pt>
                <c:pt idx="11">
                  <c:v>8.7319900000000006E-2</c:v>
                </c:pt>
                <c:pt idx="12" formatCode="0.00E+00">
                  <c:v>5.2879400000000001E-5</c:v>
                </c:pt>
                <c:pt idx="13">
                  <c:v>-0.32360499999999998</c:v>
                </c:pt>
                <c:pt idx="14">
                  <c:v>-0.53758799999999995</c:v>
                </c:pt>
                <c:pt idx="15">
                  <c:v>-0.55039800000000005</c:v>
                </c:pt>
                <c:pt idx="16">
                  <c:v>-0.72073900000000002</c:v>
                </c:pt>
                <c:pt idx="17">
                  <c:v>-0.94573300000000005</c:v>
                </c:pt>
                <c:pt idx="18">
                  <c:v>-1.1392100000000001</c:v>
                </c:pt>
                <c:pt idx="19">
                  <c:v>-1.4375500000000001</c:v>
                </c:pt>
                <c:pt idx="20">
                  <c:v>-1.48749</c:v>
                </c:pt>
                <c:pt idx="21">
                  <c:v>-1.22316</c:v>
                </c:pt>
                <c:pt idx="22">
                  <c:v>-1.2714799999999999</c:v>
                </c:pt>
                <c:pt idx="23">
                  <c:v>-1.5397099999999999</c:v>
                </c:pt>
                <c:pt idx="24">
                  <c:v>-1.4589000000000001</c:v>
                </c:pt>
                <c:pt idx="25">
                  <c:v>-1.5582499999999999</c:v>
                </c:pt>
                <c:pt idx="26">
                  <c:v>-1.51677</c:v>
                </c:pt>
                <c:pt idx="27">
                  <c:v>-1.4244399999999999</c:v>
                </c:pt>
                <c:pt idx="28">
                  <c:v>-1.48153</c:v>
                </c:pt>
                <c:pt idx="29">
                  <c:v>-1.4123300000000001</c:v>
                </c:pt>
                <c:pt idx="30">
                  <c:v>-1.47499</c:v>
                </c:pt>
                <c:pt idx="31">
                  <c:v>-1.30715</c:v>
                </c:pt>
                <c:pt idx="32">
                  <c:v>-1.1377900000000001</c:v>
                </c:pt>
                <c:pt idx="33">
                  <c:v>-1.0159400000000001</c:v>
                </c:pt>
                <c:pt idx="34">
                  <c:v>-1.2040299999999999</c:v>
                </c:pt>
                <c:pt idx="35">
                  <c:v>-0.74180800000000002</c:v>
                </c:pt>
                <c:pt idx="36">
                  <c:v>-0.54567200000000005</c:v>
                </c:pt>
                <c:pt idx="37">
                  <c:v>-0.24062800000000001</c:v>
                </c:pt>
                <c:pt idx="38">
                  <c:v>6.8312399999999995E-2</c:v>
                </c:pt>
                <c:pt idx="39">
                  <c:v>0.26069399999999998</c:v>
                </c:pt>
                <c:pt idx="40">
                  <c:v>0.44852799999999998</c:v>
                </c:pt>
                <c:pt idx="41">
                  <c:v>0.59434399999999998</c:v>
                </c:pt>
                <c:pt idx="42">
                  <c:v>0.90209700000000004</c:v>
                </c:pt>
                <c:pt idx="43">
                  <c:v>1.27664</c:v>
                </c:pt>
                <c:pt idx="44">
                  <c:v>1.3889800000000001</c:v>
                </c:pt>
                <c:pt idx="45">
                  <c:v>1.7424299999999999</c:v>
                </c:pt>
                <c:pt idx="46">
                  <c:v>1.9532099999999999</c:v>
                </c:pt>
                <c:pt idx="47">
                  <c:v>1.8144199999999999</c:v>
                </c:pt>
                <c:pt idx="48">
                  <c:v>2.2207400000000002</c:v>
                </c:pt>
                <c:pt idx="49">
                  <c:v>2.4643799999999998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2-804D-92D6-215B72106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273695"/>
        <c:axId val="1917032463"/>
      </c:scatterChart>
      <c:valAx>
        <c:axId val="191727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32463"/>
        <c:crosses val="autoZero"/>
        <c:crossBetween val="midCat"/>
      </c:valAx>
      <c:valAx>
        <c:axId val="191703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7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Sheet1!$AU$46:$AU$95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xVal>
          <c:yVal>
            <c:numRef>
              <c:f>Sheet1!$AW$46:$AW$95</c:f>
              <c:numCache>
                <c:formatCode>General</c:formatCode>
                <c:ptCount val="50"/>
                <c:pt idx="0">
                  <c:v>0.50156199999999995</c:v>
                </c:pt>
                <c:pt idx="1">
                  <c:v>0.46920000000000001</c:v>
                </c:pt>
                <c:pt idx="2">
                  <c:v>0.29926700000000001</c:v>
                </c:pt>
                <c:pt idx="3">
                  <c:v>0.34179900000000002</c:v>
                </c:pt>
                <c:pt idx="4">
                  <c:v>0.329071</c:v>
                </c:pt>
                <c:pt idx="5">
                  <c:v>0.31914500000000001</c:v>
                </c:pt>
                <c:pt idx="6">
                  <c:v>-1.8283000000000001E-2</c:v>
                </c:pt>
                <c:pt idx="7">
                  <c:v>4.79657E-2</c:v>
                </c:pt>
                <c:pt idx="8">
                  <c:v>8.4689600000000004E-2</c:v>
                </c:pt>
                <c:pt idx="9">
                  <c:v>-4.8673399999999999E-2</c:v>
                </c:pt>
                <c:pt idx="10">
                  <c:v>3.3783199999999999E-2</c:v>
                </c:pt>
                <c:pt idx="11">
                  <c:v>-0.25261499999999998</c:v>
                </c:pt>
                <c:pt idx="12">
                  <c:v>-1.9100200000000001E-2</c:v>
                </c:pt>
                <c:pt idx="13">
                  <c:v>-1.77428E-2</c:v>
                </c:pt>
                <c:pt idx="14">
                  <c:v>2.3537599999999999E-2</c:v>
                </c:pt>
                <c:pt idx="15">
                  <c:v>0.16173599999999999</c:v>
                </c:pt>
                <c:pt idx="16">
                  <c:v>4.8416599999999997E-2</c:v>
                </c:pt>
                <c:pt idx="17">
                  <c:v>-7.8964599999999996E-2</c:v>
                </c:pt>
                <c:pt idx="18">
                  <c:v>-0.184057</c:v>
                </c:pt>
                <c:pt idx="19">
                  <c:v>-0.10001699999999999</c:v>
                </c:pt>
                <c:pt idx="20">
                  <c:v>5.84854E-2</c:v>
                </c:pt>
                <c:pt idx="21">
                  <c:v>-0.18237900000000001</c:v>
                </c:pt>
                <c:pt idx="22">
                  <c:v>-0.20691899999999999</c:v>
                </c:pt>
                <c:pt idx="23">
                  <c:v>-0.28717700000000002</c:v>
                </c:pt>
                <c:pt idx="24">
                  <c:v>-0.35444399999999998</c:v>
                </c:pt>
                <c:pt idx="25">
                  <c:v>-0.32482</c:v>
                </c:pt>
                <c:pt idx="26">
                  <c:v>-0.42668099999999998</c:v>
                </c:pt>
                <c:pt idx="27">
                  <c:v>-0.41223700000000002</c:v>
                </c:pt>
                <c:pt idx="28">
                  <c:v>-0.52938399999999997</c:v>
                </c:pt>
                <c:pt idx="29">
                  <c:v>-0.445577</c:v>
                </c:pt>
                <c:pt idx="30">
                  <c:v>-0.20582300000000001</c:v>
                </c:pt>
                <c:pt idx="31">
                  <c:v>2.1216700000000002E-2</c:v>
                </c:pt>
                <c:pt idx="32">
                  <c:v>0.134547</c:v>
                </c:pt>
                <c:pt idx="33">
                  <c:v>-0.115601</c:v>
                </c:pt>
                <c:pt idx="34">
                  <c:v>-6.3429700000000006E-2</c:v>
                </c:pt>
                <c:pt idx="35">
                  <c:v>-0.150062</c:v>
                </c:pt>
                <c:pt idx="36">
                  <c:v>-2.0856599999999999E-2</c:v>
                </c:pt>
                <c:pt idx="37">
                  <c:v>-4.5169800000000003E-2</c:v>
                </c:pt>
                <c:pt idx="38">
                  <c:v>6.2251099999999997E-2</c:v>
                </c:pt>
                <c:pt idx="39">
                  <c:v>2.1545600000000002E-2</c:v>
                </c:pt>
                <c:pt idx="40">
                  <c:v>-3.3128600000000001E-2</c:v>
                </c:pt>
                <c:pt idx="41">
                  <c:v>2.7778500000000001E-2</c:v>
                </c:pt>
                <c:pt idx="42">
                  <c:v>9.4292100000000004E-2</c:v>
                </c:pt>
                <c:pt idx="43">
                  <c:v>-1.39799E-2</c:v>
                </c:pt>
                <c:pt idx="44">
                  <c:v>0.136159</c:v>
                </c:pt>
                <c:pt idx="45">
                  <c:v>0.101211</c:v>
                </c:pt>
                <c:pt idx="46">
                  <c:v>0.232738</c:v>
                </c:pt>
                <c:pt idx="47">
                  <c:v>0.41235300000000003</c:v>
                </c:pt>
                <c:pt idx="48">
                  <c:v>0.21515400000000001</c:v>
                </c:pt>
                <c:pt idx="49">
                  <c:v>0.53359999999999996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C-5F4E-8049-D63130217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273695"/>
        <c:axId val="1917032463"/>
      </c:scatterChart>
      <c:valAx>
        <c:axId val="191727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32463"/>
        <c:crosses val="autoZero"/>
        <c:crossBetween val="midCat"/>
      </c:valAx>
      <c:valAx>
        <c:axId val="191703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7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Sheet1!$BB$24:$BB$43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Sheet1!$BG$24:$BG$43</c:f>
              <c:numCache>
                <c:formatCode>General</c:formatCode>
                <c:ptCount val="20"/>
                <c:pt idx="0">
                  <c:v>1.291240611066707</c:v>
                </c:pt>
                <c:pt idx="1">
                  <c:v>0.58269625209770648</c:v>
                </c:pt>
                <c:pt idx="2">
                  <c:v>0.47618140606845583</c:v>
                </c:pt>
                <c:pt idx="3">
                  <c:v>0.45704256894487155</c:v>
                </c:pt>
                <c:pt idx="4">
                  <c:v>0.45923803225687942</c:v>
                </c:pt>
                <c:pt idx="5">
                  <c:v>0.46594197158685852</c:v>
                </c:pt>
                <c:pt idx="6">
                  <c:v>0.48051280326364293</c:v>
                </c:pt>
                <c:pt idx="7">
                  <c:v>0.45759888711950647</c:v>
                </c:pt>
                <c:pt idx="8">
                  <c:v>0.49499314434495079</c:v>
                </c:pt>
                <c:pt idx="9">
                  <c:v>0.51491980124095671</c:v>
                </c:pt>
                <c:pt idx="10">
                  <c:v>0.55662551348703626</c:v>
                </c:pt>
                <c:pt idx="11">
                  <c:v>0.50495869437879981</c:v>
                </c:pt>
                <c:pt idx="12">
                  <c:v>0.51049579351466146</c:v>
                </c:pt>
                <c:pt idx="13">
                  <c:v>0.49021049638714864</c:v>
                </c:pt>
                <c:pt idx="14">
                  <c:v>0.488770497812752</c:v>
                </c:pt>
                <c:pt idx="15">
                  <c:v>0.50059320294549037</c:v>
                </c:pt>
                <c:pt idx="16">
                  <c:v>0.47039122438131797</c:v>
                </c:pt>
                <c:pt idx="17">
                  <c:v>0.4793174519484254</c:v>
                </c:pt>
                <c:pt idx="18">
                  <c:v>0.4754998692375359</c:v>
                </c:pt>
                <c:pt idx="19">
                  <c:v>0.45830354360299913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A-B944-9FB9-B3A75D38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91935"/>
        <c:axId val="1597692783"/>
      </c:scatterChart>
      <c:valAx>
        <c:axId val="15976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92783"/>
        <c:crosses val="autoZero"/>
        <c:crossBetween val="midCat"/>
      </c:valAx>
      <c:valAx>
        <c:axId val="15976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9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16</xdr:row>
      <xdr:rowOff>133350</xdr:rowOff>
    </xdr:from>
    <xdr:to>
      <xdr:col>6</xdr:col>
      <xdr:colOff>641350</xdr:colOff>
      <xdr:row>30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7ED5C-0300-8D2C-3CE8-C5C1D80A0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298450</xdr:colOff>
      <xdr:row>9</xdr:row>
      <xdr:rowOff>6350</xdr:rowOff>
    </xdr:from>
    <xdr:to>
      <xdr:col>25</xdr:col>
      <xdr:colOff>76200</xdr:colOff>
      <xdr:row>25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2CD90-071D-9171-41CD-A15A1F3FE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171450</xdr:colOff>
      <xdr:row>12</xdr:row>
      <xdr:rowOff>95250</xdr:rowOff>
    </xdr:from>
    <xdr:to>
      <xdr:col>31</xdr:col>
      <xdr:colOff>615950</xdr:colOff>
      <xdr:row>25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314CA-D834-842A-B99A-A956B58C9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666750</xdr:colOff>
      <xdr:row>18</xdr:row>
      <xdr:rowOff>69850</xdr:rowOff>
    </xdr:from>
    <xdr:to>
      <xdr:col>42</xdr:col>
      <xdr:colOff>711200</xdr:colOff>
      <xdr:row>35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8A92EE-8EEF-CE7E-C22B-06679D8C1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628650</xdr:colOff>
      <xdr:row>29</xdr:row>
      <xdr:rowOff>31750</xdr:rowOff>
    </xdr:from>
    <xdr:to>
      <xdr:col>50</xdr:col>
      <xdr:colOff>247650</xdr:colOff>
      <xdr:row>42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F2AEFF-E200-22ED-1905-E45FB973C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158750</xdr:colOff>
      <xdr:row>49</xdr:row>
      <xdr:rowOff>31750</xdr:rowOff>
    </xdr:from>
    <xdr:to>
      <xdr:col>58</xdr:col>
      <xdr:colOff>603250</xdr:colOff>
      <xdr:row>62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B1665D-CDB5-8518-92B7-75B735C62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49</xdr:row>
      <xdr:rowOff>0</xdr:rowOff>
    </xdr:from>
    <xdr:to>
      <xdr:col>49</xdr:col>
      <xdr:colOff>444500</xdr:colOff>
      <xdr:row>62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D4B19A-46DF-3D45-9AF6-60E50B6F1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317500</xdr:colOff>
      <xdr:row>26</xdr:row>
      <xdr:rowOff>127000</xdr:rowOff>
    </xdr:from>
    <xdr:to>
      <xdr:col>57</xdr:col>
      <xdr:colOff>749300</xdr:colOff>
      <xdr:row>39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55A028-0DFC-4B4F-876A-3C4A709EC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405A-9890-4D4E-9593-4B3819BEDF6B}">
  <dimension ref="B3:BI147"/>
  <sheetViews>
    <sheetView tabSelected="1" topLeftCell="AR11" workbookViewId="0">
      <selection activeCell="BC18" sqref="BC18"/>
    </sheetView>
  </sheetViews>
  <sheetFormatPr baseColWidth="10" defaultRowHeight="16" x14ac:dyDescent="0.2"/>
  <sheetData>
    <row r="3" spans="2:61" x14ac:dyDescent="0.2">
      <c r="AI3" t="s">
        <v>8</v>
      </c>
    </row>
    <row r="5" spans="2:61" x14ac:dyDescent="0.2">
      <c r="L5" t="s">
        <v>0</v>
      </c>
      <c r="M5" t="s">
        <v>1</v>
      </c>
      <c r="N5" t="s">
        <v>2</v>
      </c>
      <c r="Q5" t="s">
        <v>7</v>
      </c>
      <c r="AB5" t="s">
        <v>3</v>
      </c>
      <c r="AC5" t="s">
        <v>4</v>
      </c>
      <c r="AD5" t="s">
        <v>5</v>
      </c>
      <c r="AE5" t="s">
        <v>6</v>
      </c>
      <c r="AF5" t="s">
        <v>1</v>
      </c>
      <c r="AG5" t="s">
        <v>2</v>
      </c>
      <c r="AN5" t="s">
        <v>1</v>
      </c>
      <c r="AO5" t="s">
        <v>2</v>
      </c>
      <c r="AS5" t="s">
        <v>3</v>
      </c>
      <c r="AT5" t="s">
        <v>4</v>
      </c>
      <c r="AU5" t="s">
        <v>5</v>
      </c>
      <c r="AV5" t="s">
        <v>6</v>
      </c>
      <c r="AW5" t="s">
        <v>1</v>
      </c>
      <c r="AX5" t="s">
        <v>2</v>
      </c>
    </row>
    <row r="6" spans="2:61" x14ac:dyDescent="0.2">
      <c r="B6" s="1">
        <v>815000</v>
      </c>
      <c r="C6">
        <v>50</v>
      </c>
      <c r="D6">
        <v>6399.99999999999</v>
      </c>
      <c r="I6" s="1">
        <v>10000</v>
      </c>
      <c r="J6">
        <v>1.32396</v>
      </c>
      <c r="K6">
        <v>0.22033900000000001</v>
      </c>
      <c r="L6">
        <v>544.04499999999996</v>
      </c>
      <c r="M6">
        <f>1/L6</f>
        <v>1.8380832467902472E-3</v>
      </c>
      <c r="N6">
        <f>M6*1000</f>
        <v>1.8380832467902473</v>
      </c>
      <c r="AB6">
        <v>10000</v>
      </c>
      <c r="AC6">
        <v>1.32277</v>
      </c>
      <c r="AD6">
        <v>0.44975599999999999</v>
      </c>
      <c r="AE6">
        <v>4444.2299999999996</v>
      </c>
      <c r="AF6">
        <f>1/AE6</f>
        <v>2.2501085677383936E-4</v>
      </c>
      <c r="AG6">
        <f>AF6*1000</f>
        <v>0.22501085677383936</v>
      </c>
      <c r="AH6">
        <f>AVERAGE($AG$6:AG6)</f>
        <v>0.22501085677383936</v>
      </c>
      <c r="AJ6">
        <v>200000</v>
      </c>
      <c r="AK6">
        <v>1.3164800000000001</v>
      </c>
      <c r="AL6">
        <v>0.24440899999999999</v>
      </c>
      <c r="AM6">
        <v>2418.52</v>
      </c>
      <c r="AN6">
        <f>1/AM6</f>
        <v>4.1347601012189271E-4</v>
      </c>
      <c r="AO6">
        <f>AN6*1000</f>
        <v>0.41347601012189272</v>
      </c>
      <c r="AP6">
        <f>AVERAGE($AO$6:AO6)</f>
        <v>0.41347601012189272</v>
      </c>
      <c r="AS6">
        <v>200000</v>
      </c>
      <c r="AT6">
        <v>1.31616</v>
      </c>
      <c r="AU6">
        <v>2.0188299999999999</v>
      </c>
      <c r="AV6">
        <v>2220.17</v>
      </c>
      <c r="AW6">
        <f>1/AV6</f>
        <v>4.5041595913826416E-4</v>
      </c>
      <c r="AX6">
        <f>AW6*1000</f>
        <v>0.45041595913826415</v>
      </c>
      <c r="AY6">
        <f>AVERAGE($AX$6:AX6)</f>
        <v>0.45041595913826415</v>
      </c>
    </row>
    <row r="7" spans="2:61" x14ac:dyDescent="0.2">
      <c r="B7" s="1"/>
      <c r="C7">
        <v>1</v>
      </c>
      <c r="D7">
        <v>0.01</v>
      </c>
      <c r="E7">
        <v>127.928</v>
      </c>
      <c r="F7">
        <v>0.53968499999999997</v>
      </c>
      <c r="I7" s="1">
        <v>20000</v>
      </c>
      <c r="J7">
        <v>1.3180499999999999</v>
      </c>
      <c r="K7">
        <v>0.47986099999999998</v>
      </c>
      <c r="L7">
        <v>1186.82</v>
      </c>
      <c r="M7">
        <f t="shared" ref="M7:M70" si="0">1/L7</f>
        <v>8.4258775551473693E-4</v>
      </c>
      <c r="N7">
        <f t="shared" ref="N7:N70" si="1">M7*1000</f>
        <v>0.84258775551473697</v>
      </c>
      <c r="AB7">
        <v>20000</v>
      </c>
      <c r="AC7">
        <v>1.31647</v>
      </c>
      <c r="AD7">
        <v>0.34457500000000002</v>
      </c>
      <c r="AE7">
        <v>3412.52</v>
      </c>
      <c r="AF7">
        <f t="shared" ref="AF7:AF64" si="2">1/AE7</f>
        <v>2.9303857559809173E-4</v>
      </c>
      <c r="AG7">
        <f t="shared" ref="AG7:AG64" si="3">AF7*1000</f>
        <v>0.29303857559809171</v>
      </c>
      <c r="AH7">
        <f>AVERAGE($AG$6:AG7)</f>
        <v>0.25902471618596556</v>
      </c>
      <c r="AJ7">
        <v>400000</v>
      </c>
      <c r="AK7">
        <v>1.3159700000000001</v>
      </c>
      <c r="AL7">
        <v>0.25427899999999998</v>
      </c>
      <c r="AM7">
        <v>2516.14</v>
      </c>
      <c r="AN7">
        <f>1/AM7</f>
        <v>3.9743416503056273E-4</v>
      </c>
      <c r="AO7">
        <f>AN7*1000</f>
        <v>0.39743416503056272</v>
      </c>
      <c r="AP7">
        <f>AVERAGE($AO$6:AO7)</f>
        <v>0.40545508757622772</v>
      </c>
      <c r="AQ7">
        <f>AVERAGE(AP6:AP7)</f>
        <v>0.40946554884906022</v>
      </c>
      <c r="AS7">
        <v>400000</v>
      </c>
      <c r="AT7">
        <v>1.3177300000000001</v>
      </c>
      <c r="AU7">
        <v>1.9908399999999999</v>
      </c>
      <c r="AV7">
        <v>2188.5100000000002</v>
      </c>
      <c r="AW7">
        <f t="shared" ref="AW7:AW10" si="4">1/AV7</f>
        <v>4.5693188516387855E-4</v>
      </c>
      <c r="AX7">
        <f t="shared" ref="AX7:AX10" si="5">AW7*1000</f>
        <v>0.45693188516387856</v>
      </c>
      <c r="AY7">
        <f>AVERAGE($AX$6:AX7)</f>
        <v>0.45367392215107138</v>
      </c>
    </row>
    <row r="8" spans="2:61" x14ac:dyDescent="0.2">
      <c r="B8" s="1"/>
      <c r="C8">
        <v>2</v>
      </c>
      <c r="D8">
        <v>0.03</v>
      </c>
      <c r="E8">
        <v>128.61699999999999</v>
      </c>
      <c r="F8">
        <v>0.71154099999999998</v>
      </c>
      <c r="I8" s="1">
        <v>30000</v>
      </c>
      <c r="J8">
        <v>1.31267</v>
      </c>
      <c r="K8">
        <v>0.742317</v>
      </c>
      <c r="L8">
        <v>1838.44</v>
      </c>
      <c r="M8">
        <f t="shared" si="0"/>
        <v>5.4393942690541977E-4</v>
      </c>
      <c r="N8">
        <f t="shared" si="1"/>
        <v>0.54393942690541974</v>
      </c>
      <c r="AB8">
        <v>30000</v>
      </c>
      <c r="AC8">
        <v>1.3185100000000001</v>
      </c>
      <c r="AD8">
        <v>0.26804600000000001</v>
      </c>
      <c r="AE8">
        <v>2653.11</v>
      </c>
      <c r="AF8">
        <f t="shared" si="2"/>
        <v>3.7691614746467354E-4</v>
      </c>
      <c r="AG8">
        <f t="shared" si="3"/>
        <v>0.37691614746467356</v>
      </c>
      <c r="AH8">
        <f>AVERAGE($AG$6:AG8)</f>
        <v>0.2983218599455349</v>
      </c>
      <c r="AS8">
        <v>600000</v>
      </c>
      <c r="AT8">
        <v>1.31714</v>
      </c>
      <c r="AU8">
        <v>1.9575</v>
      </c>
      <c r="AV8">
        <v>2152.21</v>
      </c>
      <c r="AW8">
        <f t="shared" si="4"/>
        <v>4.6463867373536971E-4</v>
      </c>
      <c r="AX8">
        <f t="shared" si="5"/>
        <v>0.46463867373536971</v>
      </c>
      <c r="AY8">
        <f>AVERAGE($AX$6:AX8)</f>
        <v>0.45732883934583751</v>
      </c>
    </row>
    <row r="9" spans="2:61" x14ac:dyDescent="0.2">
      <c r="B9" s="1"/>
      <c r="C9">
        <v>3</v>
      </c>
      <c r="D9">
        <v>0.05</v>
      </c>
      <c r="E9">
        <v>129.65299999999999</v>
      </c>
      <c r="F9">
        <v>0.51052200000000003</v>
      </c>
      <c r="I9" s="1">
        <v>40000</v>
      </c>
      <c r="J9">
        <v>1.3194399999999999</v>
      </c>
      <c r="K9">
        <v>0.81874899999999995</v>
      </c>
      <c r="L9">
        <v>2024.24</v>
      </c>
      <c r="M9">
        <f t="shared" si="0"/>
        <v>4.9401256767972175E-4</v>
      </c>
      <c r="N9">
        <f t="shared" si="1"/>
        <v>0.49401256767972174</v>
      </c>
      <c r="AB9">
        <v>40000</v>
      </c>
      <c r="AC9">
        <v>1.30765</v>
      </c>
      <c r="AD9">
        <v>0.26474300000000001</v>
      </c>
      <c r="AE9">
        <v>2625.96</v>
      </c>
      <c r="AF9">
        <f t="shared" si="2"/>
        <v>3.8081311215707776E-4</v>
      </c>
      <c r="AG9">
        <f t="shared" si="3"/>
        <v>0.38081311215707775</v>
      </c>
      <c r="AH9">
        <f>AVERAGE($AG$6:AG9)</f>
        <v>0.31894467299842061</v>
      </c>
      <c r="AS9">
        <v>800000</v>
      </c>
      <c r="AT9">
        <v>1.3158399999999999</v>
      </c>
      <c r="AU9">
        <v>1.9943200000000001</v>
      </c>
      <c r="AV9">
        <v>2193.4</v>
      </c>
      <c r="AW9">
        <f t="shared" si="4"/>
        <v>4.5591319412783806E-4</v>
      </c>
      <c r="AX9">
        <f t="shared" si="5"/>
        <v>0.45591319412783804</v>
      </c>
      <c r="AY9">
        <f>AVERAGE($AX$6:AX9)</f>
        <v>0.45697492804133766</v>
      </c>
    </row>
    <row r="10" spans="2:61" x14ac:dyDescent="0.2">
      <c r="B10" s="1"/>
      <c r="C10">
        <v>4</v>
      </c>
      <c r="D10">
        <v>7.0000000000000007E-2</v>
      </c>
      <c r="E10">
        <v>127.709</v>
      </c>
      <c r="F10">
        <v>0.567438</v>
      </c>
      <c r="I10" s="1">
        <v>50000</v>
      </c>
      <c r="J10">
        <v>1.3123800000000001</v>
      </c>
      <c r="K10">
        <v>0.92477500000000001</v>
      </c>
      <c r="L10">
        <v>2290.6</v>
      </c>
      <c r="M10">
        <f t="shared" si="0"/>
        <v>4.3656683838295642E-4</v>
      </c>
      <c r="N10">
        <f t="shared" si="1"/>
        <v>0.4365668383829564</v>
      </c>
      <c r="AB10">
        <v>50000</v>
      </c>
      <c r="AC10">
        <v>1.3171299999999999</v>
      </c>
      <c r="AD10">
        <v>0.42978300000000003</v>
      </c>
      <c r="AE10">
        <v>4253.26</v>
      </c>
      <c r="AF10">
        <f t="shared" si="2"/>
        <v>2.35113771554055E-4</v>
      </c>
      <c r="AG10">
        <f t="shared" si="3"/>
        <v>0.235113771554055</v>
      </c>
      <c r="AH10">
        <f>AVERAGE($AG$6:AG10)</f>
        <v>0.3021784927095475</v>
      </c>
      <c r="AS10">
        <v>1000000</v>
      </c>
      <c r="AT10">
        <v>1.3156399999999999</v>
      </c>
      <c r="AU10">
        <v>2.03986</v>
      </c>
      <c r="AV10">
        <v>2243.59</v>
      </c>
      <c r="AW10">
        <f t="shared" si="4"/>
        <v>4.4571423477551597E-4</v>
      </c>
      <c r="AX10">
        <f t="shared" si="5"/>
        <v>0.44571423477551597</v>
      </c>
      <c r="AY10">
        <f>AVERAGE($AX$6:AX10)</f>
        <v>0.45472278938817334</v>
      </c>
    </row>
    <row r="11" spans="2:61" x14ac:dyDescent="0.2">
      <c r="B11" s="1"/>
      <c r="C11">
        <v>5</v>
      </c>
      <c r="D11">
        <v>0.09</v>
      </c>
      <c r="E11">
        <v>129.88300000000001</v>
      </c>
      <c r="F11">
        <v>0.63868400000000003</v>
      </c>
      <c r="I11" s="1">
        <v>60000</v>
      </c>
      <c r="J11">
        <v>1.31796</v>
      </c>
      <c r="K11">
        <v>1.0127600000000001</v>
      </c>
      <c r="L11">
        <v>2504.85</v>
      </c>
      <c r="M11">
        <f t="shared" si="0"/>
        <v>3.992255025251013E-4</v>
      </c>
      <c r="N11">
        <f t="shared" si="1"/>
        <v>0.39922550252510131</v>
      </c>
      <c r="AB11">
        <v>60000</v>
      </c>
      <c r="AC11">
        <v>1.31403</v>
      </c>
      <c r="AD11">
        <v>0.270117</v>
      </c>
      <c r="AE11">
        <v>2677.63</v>
      </c>
      <c r="AF11">
        <f t="shared" si="2"/>
        <v>3.734645936891953E-4</v>
      </c>
      <c r="AG11">
        <f t="shared" si="3"/>
        <v>0.37346459368919532</v>
      </c>
      <c r="AH11">
        <f>AVERAGE($AG$6:AG11)</f>
        <v>0.3140595095394888</v>
      </c>
    </row>
    <row r="12" spans="2:61" x14ac:dyDescent="0.2">
      <c r="B12" s="1"/>
      <c r="C12">
        <v>6</v>
      </c>
      <c r="D12">
        <v>0.11</v>
      </c>
      <c r="E12">
        <v>124.84</v>
      </c>
      <c r="F12">
        <v>0.48910900000000002</v>
      </c>
      <c r="I12" s="1">
        <v>70000</v>
      </c>
      <c r="J12">
        <v>1.31</v>
      </c>
      <c r="K12">
        <v>0.81630199999999997</v>
      </c>
      <c r="L12">
        <v>2023.04</v>
      </c>
      <c r="M12">
        <f t="shared" si="0"/>
        <v>4.943055994938311E-4</v>
      </c>
      <c r="N12">
        <f t="shared" si="1"/>
        <v>0.49430559949383113</v>
      </c>
      <c r="AB12">
        <v>70000</v>
      </c>
      <c r="AC12">
        <v>1.3178399999999999</v>
      </c>
      <c r="AD12">
        <v>0.32721099999999997</v>
      </c>
      <c r="AE12">
        <v>3237.27</v>
      </c>
      <c r="AF12">
        <f t="shared" si="2"/>
        <v>3.0890225405974785E-4</v>
      </c>
      <c r="AG12">
        <f t="shared" si="3"/>
        <v>0.30890225405974786</v>
      </c>
      <c r="AH12">
        <f>AVERAGE($AG$6:AG12)</f>
        <v>0.31332275875666865</v>
      </c>
      <c r="AK12" t="s">
        <v>12</v>
      </c>
      <c r="AL12" t="s">
        <v>8</v>
      </c>
      <c r="AM12" t="s">
        <v>13</v>
      </c>
      <c r="AN12" t="s">
        <v>14</v>
      </c>
      <c r="AO12" t="s">
        <v>15</v>
      </c>
    </row>
    <row r="13" spans="2:61" x14ac:dyDescent="0.2">
      <c r="B13" s="1"/>
      <c r="C13">
        <v>7</v>
      </c>
      <c r="D13">
        <v>0.13</v>
      </c>
      <c r="E13">
        <v>126.91200000000001</v>
      </c>
      <c r="F13">
        <v>0.73785500000000004</v>
      </c>
      <c r="I13" s="1">
        <v>80000</v>
      </c>
      <c r="J13">
        <v>1.3204100000000001</v>
      </c>
      <c r="K13">
        <v>0.71455999999999997</v>
      </c>
      <c r="L13">
        <v>1766.11</v>
      </c>
      <c r="M13">
        <f t="shared" si="0"/>
        <v>5.6621614735209019E-4</v>
      </c>
      <c r="N13">
        <f t="shared" si="1"/>
        <v>0.56621614735209014</v>
      </c>
      <c r="AB13">
        <v>80000</v>
      </c>
      <c r="AC13">
        <v>1.30979</v>
      </c>
      <c r="AD13">
        <v>0.20846200000000001</v>
      </c>
      <c r="AE13">
        <v>2066.6</v>
      </c>
      <c r="AF13">
        <f t="shared" si="2"/>
        <v>4.8388657698635441E-4</v>
      </c>
      <c r="AG13">
        <f t="shared" si="3"/>
        <v>0.4838865769863544</v>
      </c>
      <c r="AH13">
        <f>AVERAGE($AG$6:AG13)</f>
        <v>0.33464323603537938</v>
      </c>
      <c r="AJ13" t="s">
        <v>9</v>
      </c>
      <c r="AK13">
        <v>84</v>
      </c>
      <c r="AL13">
        <f>2*3.14159/AK13</f>
        <v>7.4799761904761897E-2</v>
      </c>
      <c r="AM13">
        <v>0.40946554899999998</v>
      </c>
      <c r="AN13">
        <f>AL13^2</f>
        <v>5.5950043810090687E-3</v>
      </c>
      <c r="AO13">
        <v>2</v>
      </c>
    </row>
    <row r="14" spans="2:61" x14ac:dyDescent="0.2">
      <c r="B14" s="1"/>
      <c r="C14">
        <v>8</v>
      </c>
      <c r="D14">
        <v>0.15</v>
      </c>
      <c r="E14">
        <v>126.88800000000001</v>
      </c>
      <c r="F14">
        <v>0.89540600000000004</v>
      </c>
      <c r="I14" s="1">
        <v>90000</v>
      </c>
      <c r="J14">
        <v>1.3165899999999999</v>
      </c>
      <c r="K14">
        <v>0.85116700000000001</v>
      </c>
      <c r="L14">
        <v>2105.92</v>
      </c>
      <c r="M14">
        <f t="shared" si="0"/>
        <v>4.7485184622397808E-4</v>
      </c>
      <c r="N14">
        <f t="shared" si="1"/>
        <v>0.47485184622397808</v>
      </c>
      <c r="AB14">
        <v>90000</v>
      </c>
      <c r="AC14">
        <v>1.3129</v>
      </c>
      <c r="AD14">
        <v>0.25323200000000001</v>
      </c>
      <c r="AE14">
        <v>2508.4</v>
      </c>
      <c r="AF14">
        <f t="shared" si="2"/>
        <v>3.9866050071758887E-4</v>
      </c>
      <c r="AG14">
        <f t="shared" si="3"/>
        <v>0.39866050071758885</v>
      </c>
      <c r="AH14">
        <f>AVERAGE($AG$6:AG14)</f>
        <v>0.34175626544451376</v>
      </c>
      <c r="AJ14" t="s">
        <v>10</v>
      </c>
      <c r="AK14">
        <v>168</v>
      </c>
      <c r="AL14">
        <f>2*3.14159/AK14</f>
        <v>3.7399880952380948E-2</v>
      </c>
      <c r="AM14">
        <v>0.44859653127995214</v>
      </c>
      <c r="AN14">
        <f t="shared" ref="AN14:AN15" si="6">AL14^2</f>
        <v>1.3987510952522672E-3</v>
      </c>
      <c r="AO14">
        <v>4</v>
      </c>
      <c r="AS14" t="s">
        <v>16</v>
      </c>
      <c r="AW14" t="s">
        <v>1</v>
      </c>
      <c r="AX14" t="s">
        <v>2</v>
      </c>
      <c r="BB14" t="s">
        <v>17</v>
      </c>
      <c r="BF14" t="s">
        <v>1</v>
      </c>
      <c r="BG14" t="s">
        <v>2</v>
      </c>
    </row>
    <row r="15" spans="2:61" x14ac:dyDescent="0.2">
      <c r="B15" s="1"/>
      <c r="C15">
        <v>9</v>
      </c>
      <c r="D15">
        <v>0.17</v>
      </c>
      <c r="E15">
        <v>127.35</v>
      </c>
      <c r="F15">
        <v>0.73696200000000001</v>
      </c>
      <c r="I15" s="1">
        <v>100000</v>
      </c>
      <c r="J15">
        <v>1.31758</v>
      </c>
      <c r="K15">
        <v>0.78347100000000003</v>
      </c>
      <c r="L15">
        <v>1937.95</v>
      </c>
      <c r="M15">
        <f t="shared" si="0"/>
        <v>5.1600918496349233E-4</v>
      </c>
      <c r="N15">
        <f t="shared" si="1"/>
        <v>0.51600918496349235</v>
      </c>
      <c r="AB15">
        <v>100000</v>
      </c>
      <c r="AC15">
        <v>1.31128</v>
      </c>
      <c r="AD15">
        <v>7.3866500000000002E-2</v>
      </c>
      <c r="AE15">
        <v>734.29300000000001</v>
      </c>
      <c r="AF15">
        <f t="shared" si="2"/>
        <v>1.3618541917191094E-3</v>
      </c>
      <c r="AG15">
        <f t="shared" si="3"/>
        <v>1.3618541917191094</v>
      </c>
      <c r="AH15">
        <f>AVERAGE($AG$6:AG15)</f>
        <v>0.44376605807197328</v>
      </c>
      <c r="AJ15" t="s">
        <v>11</v>
      </c>
      <c r="AK15">
        <v>253</v>
      </c>
      <c r="AL15">
        <f>2*3.14159/AK15</f>
        <v>2.4834703557312252E-2</v>
      </c>
      <c r="AM15">
        <v>0.45472278938817334</v>
      </c>
      <c r="AN15">
        <f t="shared" si="6"/>
        <v>6.1676250077957783E-4</v>
      </c>
      <c r="AO15">
        <v>6</v>
      </c>
      <c r="AS15">
        <v>200000</v>
      </c>
      <c r="AT15">
        <v>1.3147899999999999</v>
      </c>
      <c r="AU15">
        <v>0.38391599999999998</v>
      </c>
      <c r="AV15">
        <v>2375.66</v>
      </c>
      <c r="AW15">
        <f>1/AV15</f>
        <v>4.2093565577565816E-4</v>
      </c>
      <c r="AX15">
        <f>AW15*1000</f>
        <v>0.42093565577565817</v>
      </c>
      <c r="AY15">
        <f>AVERAGE($AX$15:AX15)</f>
        <v>0.42093565577565817</v>
      </c>
      <c r="AZ15" t="e">
        <f>STDEV($AX$15:AX15)</f>
        <v>#DIV/0!</v>
      </c>
      <c r="BB15">
        <v>200000</v>
      </c>
      <c r="BC15">
        <v>1.3161799999999999</v>
      </c>
      <c r="BD15">
        <v>1.6390100000000001</v>
      </c>
      <c r="BE15">
        <v>2027.74</v>
      </c>
      <c r="BF15">
        <f>1/BE15</f>
        <v>4.9315987256748892E-4</v>
      </c>
      <c r="BG15">
        <f>BF15*1000</f>
        <v>0.49315987256748894</v>
      </c>
      <c r="BH15" t="e">
        <f>AVERAGE($AX$15:BG15)</f>
        <v>#DIV/0!</v>
      </c>
      <c r="BI15" t="e">
        <f>STDEV($AX$15:BH15)</f>
        <v>#DIV/0!</v>
      </c>
    </row>
    <row r="16" spans="2:61" x14ac:dyDescent="0.2">
      <c r="B16" s="1"/>
      <c r="C16">
        <v>10</v>
      </c>
      <c r="D16">
        <v>0.19</v>
      </c>
      <c r="E16">
        <v>130.72</v>
      </c>
      <c r="F16">
        <v>0.41226499999999999</v>
      </c>
      <c r="I16" s="1">
        <v>110000</v>
      </c>
      <c r="J16">
        <v>1.31934</v>
      </c>
      <c r="K16">
        <v>0.57796199999999998</v>
      </c>
      <c r="L16">
        <v>1428.94</v>
      </c>
      <c r="M16">
        <f t="shared" si="0"/>
        <v>6.9981944658278157E-4</v>
      </c>
      <c r="N16">
        <f t="shared" si="1"/>
        <v>0.69981944658278161</v>
      </c>
      <c r="AB16">
        <v>110000</v>
      </c>
      <c r="AC16">
        <v>1.32003</v>
      </c>
      <c r="AD16">
        <v>0.35321000000000002</v>
      </c>
      <c r="AE16">
        <v>3492.16</v>
      </c>
      <c r="AF16">
        <f t="shared" si="2"/>
        <v>2.8635572253275912E-4</v>
      </c>
      <c r="AG16">
        <f t="shared" si="3"/>
        <v>0.28635572253275909</v>
      </c>
      <c r="AH16">
        <f>AVERAGE($AG$6:AG16)</f>
        <v>0.42945602756840839</v>
      </c>
      <c r="AS16">
        <v>400000</v>
      </c>
      <c r="AT16">
        <v>1.3184400000000001</v>
      </c>
      <c r="AU16">
        <v>0.34133000000000002</v>
      </c>
      <c r="AV16">
        <v>2110.33</v>
      </c>
      <c r="AW16">
        <f t="shared" ref="AW16:AW28" si="7">1/AV16</f>
        <v>4.7385953855558135E-4</v>
      </c>
      <c r="AX16">
        <f t="shared" ref="AX16:AX28" si="8">AW16*1000</f>
        <v>0.47385953855558133</v>
      </c>
      <c r="AY16">
        <f>AVERAGE($AX$15:AX16)</f>
        <v>0.44739759716561978</v>
      </c>
      <c r="AZ16">
        <f>STDEV($AX$15:AX16)</f>
        <v>3.7422836400405619E-2</v>
      </c>
      <c r="BF16" t="e">
        <f t="shared" ref="BF16" si="9">1/BE16</f>
        <v>#DIV/0!</v>
      </c>
      <c r="BG16" t="e">
        <f t="shared" ref="BG16" si="10">BF16*1000</f>
        <v>#DIV/0!</v>
      </c>
      <c r="BH16" t="e">
        <f>AVERAGE($AX$15:BG16)</f>
        <v>#DIV/0!</v>
      </c>
      <c r="BI16" t="e">
        <f>STDEV($AX$15:BH16)</f>
        <v>#DIV/0!</v>
      </c>
    </row>
    <row r="17" spans="2:61" x14ac:dyDescent="0.2">
      <c r="B17" s="1"/>
      <c r="C17">
        <v>11</v>
      </c>
      <c r="D17">
        <v>0.21</v>
      </c>
      <c r="E17">
        <v>132.57599999999999</v>
      </c>
      <c r="F17">
        <v>0.177482</v>
      </c>
      <c r="I17" s="1">
        <v>120000</v>
      </c>
      <c r="J17">
        <v>1.3157099999999999</v>
      </c>
      <c r="K17">
        <v>0.64834499999999995</v>
      </c>
      <c r="L17">
        <v>1604.53</v>
      </c>
      <c r="M17">
        <f t="shared" si="0"/>
        <v>6.2323546459087714E-4</v>
      </c>
      <c r="N17">
        <f t="shared" si="1"/>
        <v>0.62323546459087709</v>
      </c>
      <c r="AB17">
        <v>120000</v>
      </c>
      <c r="AC17">
        <v>1.3078399999999999</v>
      </c>
      <c r="AD17">
        <v>0.392793</v>
      </c>
      <c r="AE17">
        <v>3895.99</v>
      </c>
      <c r="AF17">
        <f t="shared" si="2"/>
        <v>2.5667417010823954E-4</v>
      </c>
      <c r="AG17">
        <f t="shared" si="3"/>
        <v>0.25667417010823956</v>
      </c>
      <c r="AH17">
        <f>AVERAGE($AG$6:AG17)</f>
        <v>0.41505753944672769</v>
      </c>
      <c r="AS17">
        <v>600000</v>
      </c>
      <c r="AT17">
        <v>1.3170999999999999</v>
      </c>
      <c r="AU17">
        <v>0.46561999999999998</v>
      </c>
      <c r="AV17">
        <v>2879.33</v>
      </c>
      <c r="AW17">
        <f t="shared" si="7"/>
        <v>3.47303018410533E-4</v>
      </c>
      <c r="AX17">
        <f t="shared" si="8"/>
        <v>0.34730301841053302</v>
      </c>
      <c r="AY17">
        <f>AVERAGE($AX$15:AX17)</f>
        <v>0.41403273758059084</v>
      </c>
      <c r="AZ17">
        <f>STDEV($AX$15:AX17)</f>
        <v>6.3560018152230058E-2</v>
      </c>
    </row>
    <row r="18" spans="2:61" x14ac:dyDescent="0.2">
      <c r="B18" s="1"/>
      <c r="C18">
        <v>12</v>
      </c>
      <c r="D18">
        <v>0.23</v>
      </c>
      <c r="E18">
        <v>129.02699999999999</v>
      </c>
      <c r="F18">
        <v>3.5408500000000002E-2</v>
      </c>
      <c r="I18" s="1">
        <v>130000</v>
      </c>
      <c r="J18">
        <v>1.3128299999999999</v>
      </c>
      <c r="K18">
        <v>0.79559500000000005</v>
      </c>
      <c r="L18">
        <v>1970.3</v>
      </c>
      <c r="M18">
        <f t="shared" si="0"/>
        <v>5.0753692331117085E-4</v>
      </c>
      <c r="N18">
        <f t="shared" si="1"/>
        <v>0.50753692331117084</v>
      </c>
      <c r="AB18">
        <v>130000</v>
      </c>
      <c r="AC18">
        <v>1.32443</v>
      </c>
      <c r="AD18">
        <v>0.23045399999999999</v>
      </c>
      <c r="AE18">
        <v>2275.87</v>
      </c>
      <c r="AF18">
        <f t="shared" si="2"/>
        <v>4.393924081779715E-4</v>
      </c>
      <c r="AG18">
        <f t="shared" si="3"/>
        <v>0.43939240817797148</v>
      </c>
      <c r="AH18">
        <f>AVERAGE($AG$6:AG18)</f>
        <v>0.41692945242605411</v>
      </c>
      <c r="AS18">
        <v>800000</v>
      </c>
      <c r="AT18">
        <v>1.3175300000000001</v>
      </c>
      <c r="AU18">
        <v>0.40534399999999998</v>
      </c>
      <c r="AV18">
        <v>2506.5100000000002</v>
      </c>
      <c r="AW18">
        <f t="shared" si="7"/>
        <v>3.9896110528184604E-4</v>
      </c>
      <c r="AX18">
        <f t="shared" si="8"/>
        <v>0.39896110528184603</v>
      </c>
      <c r="AY18">
        <f>AVERAGE($AX$15:AX18)</f>
        <v>0.41026482950590465</v>
      </c>
      <c r="AZ18">
        <f>STDEV($AX$15:AX18)</f>
        <v>5.2440815497520749E-2</v>
      </c>
    </row>
    <row r="19" spans="2:61" x14ac:dyDescent="0.2">
      <c r="B19" s="1"/>
      <c r="C19">
        <v>13</v>
      </c>
      <c r="D19">
        <v>0.25</v>
      </c>
      <c r="E19">
        <v>129.99799999999999</v>
      </c>
      <c r="F19">
        <v>0.34783500000000001</v>
      </c>
      <c r="I19" s="1">
        <v>140000</v>
      </c>
      <c r="J19">
        <v>1.3126599999999999</v>
      </c>
      <c r="K19">
        <v>0.78883899999999996</v>
      </c>
      <c r="L19">
        <v>1953.69</v>
      </c>
      <c r="M19">
        <f t="shared" si="0"/>
        <v>5.1185193147326345E-4</v>
      </c>
      <c r="N19">
        <f t="shared" si="1"/>
        <v>0.51185193147326347</v>
      </c>
      <c r="AB19">
        <v>140000</v>
      </c>
      <c r="AC19">
        <v>1.32155</v>
      </c>
      <c r="AD19">
        <v>0.154307</v>
      </c>
      <c r="AE19">
        <v>1524.88</v>
      </c>
      <c r="AF19">
        <f t="shared" si="2"/>
        <v>6.5578930801112219E-4</v>
      </c>
      <c r="AG19">
        <f t="shared" si="3"/>
        <v>0.65578930801112223</v>
      </c>
      <c r="AH19">
        <f>AVERAGE($AG$6:AG19)</f>
        <v>0.43399087068213038</v>
      </c>
      <c r="AS19">
        <v>1000000</v>
      </c>
      <c r="AT19">
        <v>1.31623</v>
      </c>
      <c r="AU19">
        <v>0.40687600000000002</v>
      </c>
      <c r="AV19">
        <v>2517.2199999999998</v>
      </c>
      <c r="AW19">
        <f t="shared" si="7"/>
        <v>3.9726364799262681E-4</v>
      </c>
      <c r="AX19">
        <f t="shared" si="8"/>
        <v>0.39726364799262681</v>
      </c>
      <c r="AY19">
        <f>AVERAGE($AX$15:AX19)</f>
        <v>0.4076645932032491</v>
      </c>
      <c r="AZ19">
        <f>STDEV($AX$15:AX19)</f>
        <v>4.5785756427976811E-2</v>
      </c>
    </row>
    <row r="20" spans="2:61" x14ac:dyDescent="0.2">
      <c r="B20" s="1"/>
      <c r="C20">
        <v>14</v>
      </c>
      <c r="D20">
        <v>0.27</v>
      </c>
      <c r="E20">
        <v>129.43799999999999</v>
      </c>
      <c r="F20">
        <v>0.208644</v>
      </c>
      <c r="I20" s="1">
        <v>150000</v>
      </c>
      <c r="J20">
        <v>1.3164800000000001</v>
      </c>
      <c r="K20">
        <v>0.85059399999999996</v>
      </c>
      <c r="L20">
        <v>2104.5700000000002</v>
      </c>
      <c r="M20">
        <f t="shared" si="0"/>
        <v>4.7515644525960167E-4</v>
      </c>
      <c r="N20">
        <f t="shared" si="1"/>
        <v>0.47515644525960166</v>
      </c>
      <c r="AB20">
        <v>150000</v>
      </c>
      <c r="AC20">
        <v>1.3247500000000001</v>
      </c>
      <c r="AD20">
        <v>0.317774</v>
      </c>
      <c r="AE20">
        <v>3138.78</v>
      </c>
      <c r="AF20">
        <f t="shared" si="2"/>
        <v>3.1859512294585794E-4</v>
      </c>
      <c r="AG20">
        <f t="shared" si="3"/>
        <v>0.31859512294585796</v>
      </c>
      <c r="AH20">
        <f>AVERAGE($AG$6:AG20)</f>
        <v>0.42629782083304557</v>
      </c>
      <c r="AS20">
        <v>1200000</v>
      </c>
      <c r="AT20">
        <v>1.3167800000000001</v>
      </c>
      <c r="AU20">
        <v>0.40335300000000002</v>
      </c>
      <c r="AV20">
        <v>2494.79</v>
      </c>
      <c r="AW20">
        <f t="shared" si="7"/>
        <v>4.0083534085033211E-4</v>
      </c>
      <c r="AX20">
        <f t="shared" si="8"/>
        <v>0.40083534085033212</v>
      </c>
      <c r="AY20">
        <f>AVERAGE($AX$15:AX20)</f>
        <v>0.40652638447776296</v>
      </c>
      <c r="AZ20">
        <f>STDEV($AX$15:AX20)</f>
        <v>4.10468209239431E-2</v>
      </c>
    </row>
    <row r="21" spans="2:61" x14ac:dyDescent="0.2">
      <c r="B21" s="1"/>
      <c r="C21">
        <v>15</v>
      </c>
      <c r="D21">
        <v>0.28999999999999998</v>
      </c>
      <c r="E21">
        <v>130.47900000000001</v>
      </c>
      <c r="F21">
        <v>-3.7699700000000003E-2</v>
      </c>
      <c r="I21" s="1">
        <v>160000</v>
      </c>
      <c r="J21">
        <v>1.30863</v>
      </c>
      <c r="K21">
        <v>1.11199</v>
      </c>
      <c r="L21">
        <v>2756.83</v>
      </c>
      <c r="M21">
        <f t="shared" si="0"/>
        <v>3.6273546065589829E-4</v>
      </c>
      <c r="N21">
        <f t="shared" si="1"/>
        <v>0.36273546065589829</v>
      </c>
      <c r="AB21">
        <v>160000</v>
      </c>
      <c r="AC21">
        <v>1.3174999999999999</v>
      </c>
      <c r="AD21">
        <v>0.432029</v>
      </c>
      <c r="AE21">
        <v>4274.6899999999996</v>
      </c>
      <c r="AF21">
        <f t="shared" si="2"/>
        <v>2.3393509236927125E-4</v>
      </c>
      <c r="AG21">
        <f t="shared" si="3"/>
        <v>0.23393509236927126</v>
      </c>
      <c r="AH21">
        <f>AVERAGE($AG$6:AG21)</f>
        <v>0.41427515030405965</v>
      </c>
      <c r="AS21">
        <v>1400000</v>
      </c>
      <c r="AT21">
        <v>1.3162499999999999</v>
      </c>
      <c r="AU21">
        <v>0.33536500000000002</v>
      </c>
      <c r="AV21">
        <v>2074.2800000000002</v>
      </c>
      <c r="AW21">
        <f t="shared" si="7"/>
        <v>4.820949919972231E-4</v>
      </c>
      <c r="AX21">
        <f t="shared" si="8"/>
        <v>0.48209499199722311</v>
      </c>
      <c r="AY21">
        <f>AVERAGE($AX$15:AX21)</f>
        <v>0.41732189983768586</v>
      </c>
      <c r="AZ21">
        <f>STDEV($AX$15:AX21)</f>
        <v>4.7115142504006335E-2</v>
      </c>
    </row>
    <row r="22" spans="2:61" x14ac:dyDescent="0.2">
      <c r="B22" s="1"/>
      <c r="C22">
        <v>16</v>
      </c>
      <c r="D22">
        <v>0.31</v>
      </c>
      <c r="E22">
        <v>131.196</v>
      </c>
      <c r="F22">
        <v>-0.18906600000000001</v>
      </c>
      <c r="I22" s="1">
        <v>170000</v>
      </c>
      <c r="J22">
        <v>1.3145500000000001</v>
      </c>
      <c r="K22">
        <v>1.0412600000000001</v>
      </c>
      <c r="L22">
        <v>2577.61</v>
      </c>
      <c r="M22">
        <f t="shared" si="0"/>
        <v>3.8795628508579651E-4</v>
      </c>
      <c r="N22">
        <f t="shared" si="1"/>
        <v>0.38795628508579649</v>
      </c>
      <c r="AB22">
        <v>170000</v>
      </c>
      <c r="AC22">
        <v>1.3099799999999999</v>
      </c>
      <c r="AD22">
        <v>0.24034800000000001</v>
      </c>
      <c r="AE22">
        <v>2381.39</v>
      </c>
      <c r="AF22">
        <f t="shared" si="2"/>
        <v>4.1992281818601745E-4</v>
      </c>
      <c r="AG22">
        <f t="shared" si="3"/>
        <v>0.41992281818601745</v>
      </c>
      <c r="AH22">
        <f>AVERAGE($AG$6:AG22)</f>
        <v>0.41460736606182186</v>
      </c>
      <c r="AS22">
        <v>1600000</v>
      </c>
      <c r="AT22">
        <v>1.3170900000000001</v>
      </c>
      <c r="AU22">
        <v>0.494975</v>
      </c>
      <c r="AV22">
        <v>3061.2</v>
      </c>
      <c r="AW22">
        <f t="shared" si="7"/>
        <v>3.2666928002090688E-4</v>
      </c>
      <c r="AX22">
        <f t="shared" si="8"/>
        <v>0.32666928002090689</v>
      </c>
      <c r="AY22">
        <f>AVERAGE($AX$15:AX22)</f>
        <v>0.40599032236058846</v>
      </c>
      <c r="AZ22">
        <f>STDEV($AX$15:AX22)</f>
        <v>5.4129052423321763E-2</v>
      </c>
    </row>
    <row r="23" spans="2:61" x14ac:dyDescent="0.2">
      <c r="B23" s="1"/>
      <c r="C23">
        <v>17</v>
      </c>
      <c r="D23">
        <v>0.33</v>
      </c>
      <c r="E23">
        <v>131.05000000000001</v>
      </c>
      <c r="F23">
        <v>-0.243947</v>
      </c>
      <c r="I23" s="1">
        <v>180000</v>
      </c>
      <c r="J23">
        <v>1.31335</v>
      </c>
      <c r="K23">
        <v>1.0535600000000001</v>
      </c>
      <c r="L23">
        <v>2608.7600000000002</v>
      </c>
      <c r="M23">
        <f t="shared" si="0"/>
        <v>3.8332387801100903E-4</v>
      </c>
      <c r="N23">
        <f t="shared" si="1"/>
        <v>0.38332387801100903</v>
      </c>
      <c r="AB23">
        <v>180000</v>
      </c>
      <c r="AC23">
        <v>1.3185500000000001</v>
      </c>
      <c r="AD23">
        <v>0.23680100000000001</v>
      </c>
      <c r="AE23">
        <v>2342.0500000000002</v>
      </c>
      <c r="AF23">
        <f t="shared" si="2"/>
        <v>4.2697636685809439E-4</v>
      </c>
      <c r="AG23">
        <f t="shared" si="3"/>
        <v>0.42697636685809437</v>
      </c>
      <c r="AH23">
        <f>AVERAGE($AG$6:AG23)</f>
        <v>0.41529453277272588</v>
      </c>
      <c r="AS23">
        <v>1800000</v>
      </c>
      <c r="AT23">
        <v>1.3174699999999999</v>
      </c>
      <c r="AU23">
        <v>0.313446</v>
      </c>
      <c r="AV23">
        <v>1938.28</v>
      </c>
      <c r="AW23">
        <f t="shared" si="7"/>
        <v>5.1592133231524858E-4</v>
      </c>
      <c r="AX23">
        <f t="shared" si="8"/>
        <v>0.51592133231524862</v>
      </c>
      <c r="AY23">
        <f>AVERAGE($AX$15:AX23)</f>
        <v>0.41820487902221737</v>
      </c>
      <c r="AZ23">
        <f>STDEV($AX$15:AX23)</f>
        <v>6.2501748588956671E-2</v>
      </c>
      <c r="BB23" t="s">
        <v>3</v>
      </c>
      <c r="BC23" t="s">
        <v>4</v>
      </c>
      <c r="BD23" t="s">
        <v>5</v>
      </c>
      <c r="BE23" t="s">
        <v>6</v>
      </c>
      <c r="BF23" t="s">
        <v>1</v>
      </c>
      <c r="BG23" t="s">
        <v>2</v>
      </c>
    </row>
    <row r="24" spans="2:61" x14ac:dyDescent="0.2">
      <c r="B24" s="1"/>
      <c r="C24">
        <v>18</v>
      </c>
      <c r="D24">
        <v>0.35</v>
      </c>
      <c r="E24">
        <v>124.661</v>
      </c>
      <c r="F24">
        <v>-0.44630999999999998</v>
      </c>
      <c r="I24" s="1">
        <v>190000</v>
      </c>
      <c r="J24">
        <v>1.3102199999999999</v>
      </c>
      <c r="K24">
        <v>1.11416</v>
      </c>
      <c r="L24">
        <v>2761.03</v>
      </c>
      <c r="M24">
        <f t="shared" si="0"/>
        <v>3.6218367783037486E-4</v>
      </c>
      <c r="N24">
        <f t="shared" si="1"/>
        <v>0.36218367783037486</v>
      </c>
      <c r="AB24">
        <v>190000</v>
      </c>
      <c r="AC24">
        <v>1.31182</v>
      </c>
      <c r="AD24">
        <v>-0.12939899999999999</v>
      </c>
      <c r="AE24">
        <v>-1283.3699999999999</v>
      </c>
      <c r="AF24">
        <f t="shared" si="2"/>
        <v>-7.7919851640602486E-4</v>
      </c>
      <c r="AG24">
        <f t="shared" si="3"/>
        <v>-0.77919851640602489</v>
      </c>
      <c r="AH24">
        <f>AVERAGE($AG$6:AG24)</f>
        <v>0.35242647755279161</v>
      </c>
      <c r="AS24">
        <v>2000000</v>
      </c>
      <c r="AT24">
        <v>1.3151900000000001</v>
      </c>
      <c r="AU24">
        <v>0.39383600000000002</v>
      </c>
      <c r="AV24">
        <v>2436.98</v>
      </c>
      <c r="AW24">
        <f t="shared" si="7"/>
        <v>4.1034395029914073E-4</v>
      </c>
      <c r="AX24">
        <f t="shared" si="8"/>
        <v>0.41034395029914073</v>
      </c>
      <c r="AY24">
        <f>AVERAGE($AX$15:AX24)</f>
        <v>0.41741878614990968</v>
      </c>
      <c r="AZ24">
        <f>STDEV($AX$15:AX24)</f>
        <v>5.8979623028982284E-2</v>
      </c>
      <c r="BB24">
        <v>10000</v>
      </c>
      <c r="BC24">
        <v>1.3212900000000001</v>
      </c>
      <c r="BD24">
        <v>0.62683999999999995</v>
      </c>
      <c r="BE24">
        <v>774.44899999999996</v>
      </c>
      <c r="BF24">
        <f>1/BE24</f>
        <v>1.2912406110667069E-3</v>
      </c>
      <c r="BG24">
        <f>BF24*1000</f>
        <v>1.291240611066707</v>
      </c>
      <c r="BH24">
        <f>AVERAGE($BG$24:BG24)</f>
        <v>1.291240611066707</v>
      </c>
      <c r="BI24" t="e">
        <f>STDEV($BG$24:BG24)</f>
        <v>#DIV/0!</v>
      </c>
    </row>
    <row r="25" spans="2:61" x14ac:dyDescent="0.2">
      <c r="B25" s="1"/>
      <c r="C25">
        <v>19</v>
      </c>
      <c r="D25">
        <v>0.37</v>
      </c>
      <c r="E25">
        <v>128.197</v>
      </c>
      <c r="F25">
        <v>-0.49947999999999998</v>
      </c>
      <c r="I25" s="1">
        <v>200000</v>
      </c>
      <c r="J25">
        <v>1.3185</v>
      </c>
      <c r="K25">
        <v>1.16246</v>
      </c>
      <c r="L25">
        <v>2874.61</v>
      </c>
      <c r="M25">
        <f t="shared" si="0"/>
        <v>3.478732767227554E-4</v>
      </c>
      <c r="N25">
        <f t="shared" si="1"/>
        <v>0.34787327672275542</v>
      </c>
      <c r="AB25">
        <v>200000</v>
      </c>
      <c r="AC25">
        <v>1.3148200000000001</v>
      </c>
      <c r="AD25">
        <v>0.31729000000000002</v>
      </c>
      <c r="AE25">
        <v>3142.48</v>
      </c>
      <c r="AF25">
        <f t="shared" si="2"/>
        <v>3.1822000458236804E-4</v>
      </c>
      <c r="AG25">
        <f t="shared" si="3"/>
        <v>0.31822000458236804</v>
      </c>
      <c r="AH25">
        <f>AVERAGE($AG$6:AG25)</f>
        <v>0.35071615390427047</v>
      </c>
      <c r="AS25">
        <v>2200000</v>
      </c>
      <c r="AT25">
        <v>1.3166500000000001</v>
      </c>
      <c r="AU25">
        <v>0.27509099999999997</v>
      </c>
      <c r="AV25">
        <v>1701.35</v>
      </c>
      <c r="AW25">
        <f t="shared" si="7"/>
        <v>5.8776853675022783E-4</v>
      </c>
      <c r="AX25">
        <f t="shared" si="8"/>
        <v>0.58776853675022778</v>
      </c>
      <c r="AY25">
        <f>AVERAGE($AX$15:AX25)</f>
        <v>0.43290512711357498</v>
      </c>
      <c r="AZ25">
        <f>STDEV($AX$15:AX25)</f>
        <v>7.5952818645845036E-2</v>
      </c>
      <c r="BB25">
        <v>20000</v>
      </c>
      <c r="BC25">
        <v>1.3212200000000001</v>
      </c>
      <c r="BD25">
        <v>1.3886499999999999</v>
      </c>
      <c r="BE25">
        <v>1716.16</v>
      </c>
      <c r="BF25">
        <f t="shared" ref="BF25:BF43" si="11">1/BE25</f>
        <v>5.8269625209770649E-4</v>
      </c>
      <c r="BG25">
        <f t="shared" ref="BG25:BG34" si="12">BF25*1000</f>
        <v>0.58269625209770648</v>
      </c>
      <c r="BH25">
        <f>AVERAGE($BG$24:BG25)</f>
        <v>0.93696843158220666</v>
      </c>
      <c r="BI25">
        <f>STDEV($BG$24:BG25)</f>
        <v>0.50101652099845584</v>
      </c>
    </row>
    <row r="26" spans="2:61" x14ac:dyDescent="0.2">
      <c r="B26" s="1"/>
      <c r="C26">
        <v>20</v>
      </c>
      <c r="D26">
        <v>0.39</v>
      </c>
      <c r="E26">
        <v>131.91499999999999</v>
      </c>
      <c r="F26">
        <v>-0.58513099999999996</v>
      </c>
      <c r="I26" s="1">
        <v>210000</v>
      </c>
      <c r="J26">
        <v>1.3169999999999999</v>
      </c>
      <c r="K26">
        <v>1.04836</v>
      </c>
      <c r="L26">
        <v>2593.4899999999998</v>
      </c>
      <c r="M26">
        <f t="shared" si="0"/>
        <v>3.8558081966770649E-4</v>
      </c>
      <c r="N26">
        <f t="shared" si="1"/>
        <v>0.38558081966770646</v>
      </c>
      <c r="AB26">
        <v>210000</v>
      </c>
      <c r="AC26">
        <v>1.3291999999999999</v>
      </c>
      <c r="AD26">
        <v>0.29714200000000002</v>
      </c>
      <c r="AE26">
        <v>2932.19</v>
      </c>
      <c r="AF26">
        <f t="shared" si="2"/>
        <v>3.4104201978725799E-4</v>
      </c>
      <c r="AG26">
        <f t="shared" si="3"/>
        <v>0.34104201978725801</v>
      </c>
      <c r="AH26">
        <f>AVERAGE($AG$6:AG26)</f>
        <v>0.35025548085107938</v>
      </c>
      <c r="AS26">
        <v>2400000</v>
      </c>
      <c r="AT26">
        <v>1.3162799999999999</v>
      </c>
      <c r="AU26">
        <v>0.29228999999999999</v>
      </c>
      <c r="AV26">
        <v>1808</v>
      </c>
      <c r="AW26">
        <f t="shared" si="7"/>
        <v>5.5309734513274336E-4</v>
      </c>
      <c r="AX26">
        <f t="shared" si="8"/>
        <v>0.55309734513274333</v>
      </c>
      <c r="AY26">
        <f>AVERAGE($AX$15:AX26)</f>
        <v>0.44292114528183896</v>
      </c>
      <c r="AZ26">
        <f>STDEV($AX$15:AX26)</f>
        <v>8.030092744595739E-2</v>
      </c>
      <c r="BB26">
        <v>30000</v>
      </c>
      <c r="BC26">
        <v>1.3123899999999999</v>
      </c>
      <c r="BD26">
        <v>1.6958</v>
      </c>
      <c r="BE26">
        <v>2100.04</v>
      </c>
      <c r="BF26">
        <f t="shared" si="11"/>
        <v>4.7618140606845582E-4</v>
      </c>
      <c r="BG26">
        <f t="shared" si="12"/>
        <v>0.47618140606845583</v>
      </c>
      <c r="BH26">
        <f>AVERAGE($BG$24:BG26)</f>
        <v>0.78337275641095638</v>
      </c>
      <c r="BI26">
        <f>STDEV($BG$24:BG26)</f>
        <v>0.44303913083455138</v>
      </c>
    </row>
    <row r="27" spans="2:61" x14ac:dyDescent="0.2">
      <c r="B27" s="1"/>
      <c r="C27">
        <v>21</v>
      </c>
      <c r="D27">
        <v>0.41</v>
      </c>
      <c r="E27">
        <v>133.05500000000001</v>
      </c>
      <c r="F27">
        <v>-0.49138999999999999</v>
      </c>
      <c r="I27" s="1">
        <v>220000</v>
      </c>
      <c r="J27">
        <v>1.31012</v>
      </c>
      <c r="K27">
        <v>0.93557299999999999</v>
      </c>
      <c r="L27">
        <v>2318.42</v>
      </c>
      <c r="M27">
        <f t="shared" si="0"/>
        <v>4.3132823215810765E-4</v>
      </c>
      <c r="N27">
        <f t="shared" si="1"/>
        <v>0.43132823215810767</v>
      </c>
      <c r="AB27">
        <v>220000</v>
      </c>
      <c r="AC27">
        <v>1.3105500000000001</v>
      </c>
      <c r="AD27">
        <v>0.4123</v>
      </c>
      <c r="AE27">
        <v>4089.06</v>
      </c>
      <c r="AF27">
        <f t="shared" si="2"/>
        <v>2.4455498329689466E-4</v>
      </c>
      <c r="AG27">
        <f t="shared" si="3"/>
        <v>0.24455498329689465</v>
      </c>
      <c r="AH27">
        <f>AVERAGE($AG$6:AG27)</f>
        <v>0.3454509127804346</v>
      </c>
      <c r="AS27">
        <v>2600000</v>
      </c>
      <c r="AT27">
        <v>1.3189500000000001</v>
      </c>
      <c r="AU27">
        <v>0.26878099999999999</v>
      </c>
      <c r="AV27">
        <v>1661.37</v>
      </c>
      <c r="AW27">
        <f t="shared" si="7"/>
        <v>6.0191287912987482E-4</v>
      </c>
      <c r="AX27">
        <f t="shared" si="8"/>
        <v>0.60191287912987479</v>
      </c>
      <c r="AY27">
        <f>AVERAGE($AX$15:AX27)</f>
        <v>0.45515127865476485</v>
      </c>
      <c r="AZ27">
        <f>STDEV($AX$15:AX27)</f>
        <v>8.8630558009705027E-2</v>
      </c>
      <c r="BB27">
        <v>40000</v>
      </c>
      <c r="BC27">
        <v>1.3208500000000001</v>
      </c>
      <c r="BD27">
        <v>1.7705900000000001</v>
      </c>
      <c r="BE27">
        <v>2187.98</v>
      </c>
      <c r="BF27">
        <f t="shared" si="11"/>
        <v>4.5704256894487153E-4</v>
      </c>
      <c r="BG27">
        <f t="shared" si="12"/>
        <v>0.45704256894487155</v>
      </c>
      <c r="BH27">
        <f>AVERAGE($BG$24:BG27)</f>
        <v>0.70179020954443516</v>
      </c>
      <c r="BI27">
        <f>STDEV($BG$24:BG27)</f>
        <v>0.39683577053990771</v>
      </c>
    </row>
    <row r="28" spans="2:61" x14ac:dyDescent="0.2">
      <c r="B28" s="1"/>
      <c r="C28">
        <v>22</v>
      </c>
      <c r="D28">
        <v>0.43</v>
      </c>
      <c r="E28">
        <v>126.75700000000001</v>
      </c>
      <c r="F28">
        <v>-0.71021500000000004</v>
      </c>
      <c r="I28" s="1">
        <v>230000</v>
      </c>
      <c r="J28">
        <v>1.3111999999999999</v>
      </c>
      <c r="K28">
        <v>0.78217199999999998</v>
      </c>
      <c r="L28">
        <v>1937.87</v>
      </c>
      <c r="M28">
        <f t="shared" si="0"/>
        <v>5.1603048708117683E-4</v>
      </c>
      <c r="N28">
        <f t="shared" si="1"/>
        <v>0.51603048708117683</v>
      </c>
      <c r="AB28">
        <v>230000</v>
      </c>
      <c r="AC28">
        <v>1.3029299999999999</v>
      </c>
      <c r="AD28">
        <v>0.43992799999999999</v>
      </c>
      <c r="AE28">
        <v>4369.6000000000004</v>
      </c>
      <c r="AF28">
        <f t="shared" si="2"/>
        <v>2.2885389967045036E-4</v>
      </c>
      <c r="AG28">
        <f t="shared" si="3"/>
        <v>0.22885389967045036</v>
      </c>
      <c r="AH28">
        <f>AVERAGE($AG$6:AG28)</f>
        <v>0.3403814774278266</v>
      </c>
      <c r="AS28">
        <v>2800000</v>
      </c>
      <c r="AT28">
        <v>1.31751</v>
      </c>
      <c r="AU28">
        <v>0.282109</v>
      </c>
      <c r="AV28">
        <v>1744.45</v>
      </c>
      <c r="AW28">
        <f t="shared" si="7"/>
        <v>5.7324658201725472E-4</v>
      </c>
      <c r="AX28">
        <f t="shared" si="8"/>
        <v>0.57324658201725476</v>
      </c>
      <c r="AY28">
        <f>AVERAGE($AX$15:AX28)</f>
        <v>0.46358665746637129</v>
      </c>
      <c r="AZ28">
        <f>STDEV($AX$15:AX28)</f>
        <v>9.0814617517854176E-2</v>
      </c>
      <c r="BB28">
        <v>50000</v>
      </c>
      <c r="BC28">
        <v>1.3134699999999999</v>
      </c>
      <c r="BD28">
        <v>1.75884</v>
      </c>
      <c r="BE28">
        <v>2177.52</v>
      </c>
      <c r="BF28">
        <f t="shared" si="11"/>
        <v>4.592380322568794E-4</v>
      </c>
      <c r="BG28">
        <f t="shared" si="12"/>
        <v>0.45923803225687942</v>
      </c>
      <c r="BH28">
        <f>AVERAGE(BG24:BG28)</f>
        <v>0.65327977408692406</v>
      </c>
      <c r="BI28">
        <f>STDEV(BG24:BG28)</f>
        <v>0.36038213513767375</v>
      </c>
    </row>
    <row r="29" spans="2:61" x14ac:dyDescent="0.2">
      <c r="B29" s="1"/>
      <c r="C29">
        <v>23</v>
      </c>
      <c r="D29">
        <v>0.45</v>
      </c>
      <c r="E29">
        <v>124.851</v>
      </c>
      <c r="F29">
        <v>-0.86063900000000004</v>
      </c>
      <c r="I29" s="1">
        <v>240000</v>
      </c>
      <c r="J29">
        <v>1.3212699999999999</v>
      </c>
      <c r="K29">
        <v>0.72800100000000001</v>
      </c>
      <c r="L29">
        <v>1799.06</v>
      </c>
      <c r="M29">
        <f t="shared" si="0"/>
        <v>5.5584583060042472E-4</v>
      </c>
      <c r="N29">
        <f t="shared" si="1"/>
        <v>0.5558458306004247</v>
      </c>
      <c r="AB29">
        <v>240000</v>
      </c>
      <c r="AC29">
        <v>1.3130500000000001</v>
      </c>
      <c r="AD29">
        <v>0.22178200000000001</v>
      </c>
      <c r="AE29">
        <v>2196.88</v>
      </c>
      <c r="AF29">
        <f t="shared" si="2"/>
        <v>4.5519099814282069E-4</v>
      </c>
      <c r="AG29">
        <f t="shared" si="3"/>
        <v>0.45519099814282071</v>
      </c>
      <c r="AH29">
        <f>AVERAGE($AG$6:AG29)</f>
        <v>0.34516520745761797</v>
      </c>
      <c r="BB29">
        <v>60000</v>
      </c>
      <c r="BC29">
        <v>1.3221000000000001</v>
      </c>
      <c r="BD29">
        <v>1.7372799999999999</v>
      </c>
      <c r="BE29">
        <v>2146.19</v>
      </c>
      <c r="BF29">
        <f t="shared" si="11"/>
        <v>4.6594197158685854E-4</v>
      </c>
      <c r="BG29">
        <f t="shared" si="12"/>
        <v>0.46594197158685852</v>
      </c>
      <c r="BH29">
        <f>AVERAGE(BG25:BG29)</f>
        <v>0.48822004619095438</v>
      </c>
      <c r="BI29">
        <f t="shared" ref="BI29:BI34" si="13">STDEV(BG25:BG29)</f>
        <v>5.3336167760968355E-2</v>
      </c>
    </row>
    <row r="30" spans="2:61" x14ac:dyDescent="0.2">
      <c r="B30" s="1"/>
      <c r="C30">
        <v>24</v>
      </c>
      <c r="D30">
        <v>0.47</v>
      </c>
      <c r="E30">
        <v>124.378</v>
      </c>
      <c r="F30">
        <v>-0.80803199999999997</v>
      </c>
      <c r="I30" s="1">
        <v>250000</v>
      </c>
      <c r="J30">
        <v>1.31911</v>
      </c>
      <c r="K30">
        <v>0.82263200000000003</v>
      </c>
      <c r="L30">
        <v>2034</v>
      </c>
      <c r="M30">
        <f t="shared" si="0"/>
        <v>4.9164208456243857E-4</v>
      </c>
      <c r="N30">
        <f t="shared" si="1"/>
        <v>0.49164208456243857</v>
      </c>
      <c r="AB30">
        <v>250000</v>
      </c>
      <c r="AC30">
        <v>1.32416</v>
      </c>
      <c r="AD30">
        <v>0.149974</v>
      </c>
      <c r="AE30">
        <v>1481.91</v>
      </c>
      <c r="AF30">
        <f t="shared" si="2"/>
        <v>6.7480481270792416E-4</v>
      </c>
      <c r="AG30">
        <f t="shared" si="3"/>
        <v>0.67480481270792414</v>
      </c>
      <c r="AH30">
        <f>AVERAGE($AG$6:AG30)</f>
        <v>0.35835079166763023</v>
      </c>
      <c r="BB30">
        <v>70000</v>
      </c>
      <c r="BC30">
        <v>1.32067</v>
      </c>
      <c r="BD30">
        <v>1.68394</v>
      </c>
      <c r="BE30">
        <v>2081.11</v>
      </c>
      <c r="BF30">
        <f t="shared" si="11"/>
        <v>4.8051280326364293E-4</v>
      </c>
      <c r="BG30">
        <f t="shared" si="12"/>
        <v>0.48051280326364293</v>
      </c>
      <c r="BH30">
        <f>AVERAGE(BG26:BG30)</f>
        <v>0.46778335642414159</v>
      </c>
      <c r="BI30">
        <f>STDEV(BG26:BG30)</f>
        <v>1.0299803803780341E-2</v>
      </c>
    </row>
    <row r="31" spans="2:61" x14ac:dyDescent="0.2">
      <c r="B31" s="1"/>
      <c r="C31">
        <v>25</v>
      </c>
      <c r="D31">
        <v>0.49</v>
      </c>
      <c r="E31">
        <v>127.93899999999999</v>
      </c>
      <c r="F31">
        <v>-0.93074199999999996</v>
      </c>
      <c r="I31" s="1">
        <v>260000</v>
      </c>
      <c r="J31">
        <v>1.3182199999999999</v>
      </c>
      <c r="K31">
        <v>0.94457100000000005</v>
      </c>
      <c r="L31">
        <v>2335.86</v>
      </c>
      <c r="M31">
        <f t="shared" si="0"/>
        <v>4.2810784892930223E-4</v>
      </c>
      <c r="N31">
        <f t="shared" si="1"/>
        <v>0.42810784892930226</v>
      </c>
      <c r="AB31">
        <v>260000</v>
      </c>
      <c r="AC31">
        <v>1.31586</v>
      </c>
      <c r="AD31">
        <v>0.113485</v>
      </c>
      <c r="AE31">
        <v>1122.18</v>
      </c>
      <c r="AF31">
        <f t="shared" si="2"/>
        <v>8.9112263629720714E-4</v>
      </c>
      <c r="AG31">
        <f t="shared" si="3"/>
        <v>0.89112263629720712</v>
      </c>
      <c r="AH31">
        <f>AVERAGE($AG$6:AG31)</f>
        <v>0.37884201646107551</v>
      </c>
      <c r="BB31">
        <v>80000</v>
      </c>
      <c r="BC31">
        <v>1.31942</v>
      </c>
      <c r="BD31">
        <v>1.7678</v>
      </c>
      <c r="BE31">
        <v>2185.3200000000002</v>
      </c>
      <c r="BF31">
        <f t="shared" si="11"/>
        <v>4.5759888711950647E-4</v>
      </c>
      <c r="BG31">
        <f t="shared" si="12"/>
        <v>0.45759888711950647</v>
      </c>
      <c r="BH31">
        <f t="shared" ref="BH31:BH34" si="14">AVERAGE(BG27:BG31)</f>
        <v>0.46406685263435177</v>
      </c>
      <c r="BI31">
        <f>STDEV(BG27:BG31)</f>
        <v>9.8549227378573381E-3</v>
      </c>
    </row>
    <row r="32" spans="2:61" x14ac:dyDescent="0.2">
      <c r="B32" s="1"/>
      <c r="C32">
        <v>26</v>
      </c>
      <c r="D32">
        <v>0.51</v>
      </c>
      <c r="E32">
        <v>129.905</v>
      </c>
      <c r="F32">
        <v>-1.0950200000000001</v>
      </c>
      <c r="I32" s="1">
        <v>270000</v>
      </c>
      <c r="J32">
        <v>1.32697</v>
      </c>
      <c r="K32">
        <v>0.98621800000000004</v>
      </c>
      <c r="L32">
        <v>2433.64</v>
      </c>
      <c r="M32">
        <f t="shared" si="0"/>
        <v>4.1090711855492186E-4</v>
      </c>
      <c r="N32">
        <f t="shared" si="1"/>
        <v>0.41090711855492185</v>
      </c>
      <c r="AB32">
        <v>270000</v>
      </c>
      <c r="AC32">
        <v>1.31867</v>
      </c>
      <c r="AD32">
        <v>0.185277</v>
      </c>
      <c r="AE32">
        <v>1832.3</v>
      </c>
      <c r="AF32">
        <f t="shared" si="2"/>
        <v>5.4576215685204392E-4</v>
      </c>
      <c r="AG32">
        <f t="shared" si="3"/>
        <v>0.54576215685204388</v>
      </c>
      <c r="AH32">
        <f>AVERAGE($AG$6:AG32)</f>
        <v>0.38502424388296325</v>
      </c>
      <c r="BB32">
        <v>90000</v>
      </c>
      <c r="BC32">
        <v>1.3167</v>
      </c>
      <c r="BD32">
        <v>1.63314</v>
      </c>
      <c r="BE32">
        <v>2020.23</v>
      </c>
      <c r="BF32">
        <f t="shared" si="11"/>
        <v>4.9499314434495081E-4</v>
      </c>
      <c r="BG32">
        <f t="shared" si="12"/>
        <v>0.49499314434495079</v>
      </c>
      <c r="BH32">
        <f t="shared" si="14"/>
        <v>0.4716569677143676</v>
      </c>
      <c r="BI32">
        <f t="shared" si="13"/>
        <v>1.5870757162592286E-2</v>
      </c>
    </row>
    <row r="33" spans="2:61" x14ac:dyDescent="0.2">
      <c r="B33" s="1"/>
      <c r="C33">
        <v>27</v>
      </c>
      <c r="D33">
        <v>0.53</v>
      </c>
      <c r="E33">
        <v>129.90899999999999</v>
      </c>
      <c r="F33">
        <v>-0.937971</v>
      </c>
      <c r="I33" s="1">
        <v>280000</v>
      </c>
      <c r="J33">
        <v>1.31491</v>
      </c>
      <c r="K33">
        <v>0.89291399999999999</v>
      </c>
      <c r="L33">
        <v>2210.23</v>
      </c>
      <c r="M33">
        <f t="shared" si="0"/>
        <v>4.5244160110033795E-4</v>
      </c>
      <c r="N33">
        <f t="shared" si="1"/>
        <v>0.45244160110033793</v>
      </c>
      <c r="S33" t="s">
        <v>3</v>
      </c>
      <c r="T33" t="s">
        <v>4</v>
      </c>
      <c r="U33" t="s">
        <v>5</v>
      </c>
      <c r="V33" t="s">
        <v>6</v>
      </c>
      <c r="W33" t="s">
        <v>1</v>
      </c>
      <c r="X33" t="s">
        <v>2</v>
      </c>
      <c r="AB33">
        <v>280000</v>
      </c>
      <c r="AC33">
        <v>1.3258099999999999</v>
      </c>
      <c r="AD33">
        <v>0.25823099999999999</v>
      </c>
      <c r="AE33">
        <v>2550.79</v>
      </c>
      <c r="AF33">
        <f t="shared" si="2"/>
        <v>3.9203540863810821E-4</v>
      </c>
      <c r="AG33">
        <f t="shared" si="3"/>
        <v>0.39203540863810821</v>
      </c>
      <c r="AH33">
        <f>AVERAGE($AG$6:AG33)</f>
        <v>0.38527464262421846</v>
      </c>
      <c r="BB33">
        <v>100000</v>
      </c>
      <c r="BC33">
        <v>1.3192200000000001</v>
      </c>
      <c r="BD33">
        <v>1.5709299999999999</v>
      </c>
      <c r="BE33">
        <v>1942.05</v>
      </c>
      <c r="BF33">
        <f t="shared" si="11"/>
        <v>5.1491980124095669E-4</v>
      </c>
      <c r="BG33">
        <f t="shared" si="12"/>
        <v>0.51491980124095671</v>
      </c>
      <c r="BH33">
        <f t="shared" si="14"/>
        <v>0.48279332151118304</v>
      </c>
      <c r="BI33">
        <f t="shared" si="13"/>
        <v>2.2939456505488367E-2</v>
      </c>
    </row>
    <row r="34" spans="2:61" x14ac:dyDescent="0.2">
      <c r="B34" s="1"/>
      <c r="C34">
        <v>28</v>
      </c>
      <c r="D34">
        <v>0.55000000000000004</v>
      </c>
      <c r="E34">
        <v>122.67700000000001</v>
      </c>
      <c r="F34">
        <v>-0.92010499999999995</v>
      </c>
      <c r="I34" s="1">
        <v>290000</v>
      </c>
      <c r="J34">
        <v>1.31847</v>
      </c>
      <c r="K34">
        <v>0.80288199999999998</v>
      </c>
      <c r="L34">
        <v>1985.49</v>
      </c>
      <c r="M34">
        <f t="shared" si="0"/>
        <v>5.0365400984139937E-4</v>
      </c>
      <c r="N34">
        <f t="shared" si="1"/>
        <v>0.50365400984139941</v>
      </c>
      <c r="S34">
        <v>200000</v>
      </c>
      <c r="T34">
        <v>1.31593</v>
      </c>
      <c r="U34">
        <v>0.90967399999999998</v>
      </c>
      <c r="V34">
        <v>2251.06</v>
      </c>
      <c r="W34">
        <f>1/V34</f>
        <v>4.4423516032446938E-4</v>
      </c>
      <c r="X34">
        <f>W34*1000</f>
        <v>0.44423516032446936</v>
      </c>
      <c r="AB34">
        <v>290000</v>
      </c>
      <c r="AC34">
        <v>1.32002</v>
      </c>
      <c r="AD34">
        <v>0.17099300000000001</v>
      </c>
      <c r="AE34">
        <v>1690.59</v>
      </c>
      <c r="AF34">
        <f t="shared" si="2"/>
        <v>5.9150947302421056E-4</v>
      </c>
      <c r="AG34">
        <f t="shared" si="3"/>
        <v>0.59150947302421053</v>
      </c>
      <c r="AH34">
        <f>AVERAGE($AG$6:AG34)</f>
        <v>0.39238618850008022</v>
      </c>
      <c r="BB34">
        <v>110000</v>
      </c>
      <c r="BC34">
        <v>1.31402</v>
      </c>
      <c r="BD34">
        <v>1.45136</v>
      </c>
      <c r="BE34">
        <v>1796.54</v>
      </c>
      <c r="BF34">
        <f t="shared" si="11"/>
        <v>5.5662551348703625E-4</v>
      </c>
      <c r="BG34">
        <f>BF34*1000</f>
        <v>0.55662551348703626</v>
      </c>
      <c r="BH34">
        <f>AVERAGE(BG30:BG34)</f>
        <v>0.5009300298912186</v>
      </c>
      <c r="BI34">
        <f>STDEV(BG30:BG34)</f>
        <v>3.7507993422881594E-2</v>
      </c>
    </row>
    <row r="35" spans="2:61" x14ac:dyDescent="0.2">
      <c r="B35" s="1"/>
      <c r="C35">
        <v>29</v>
      </c>
      <c r="D35">
        <v>0.56999999999999995</v>
      </c>
      <c r="E35">
        <v>126.083</v>
      </c>
      <c r="F35">
        <v>-0.84338800000000003</v>
      </c>
      <c r="I35" s="1">
        <v>300000</v>
      </c>
      <c r="J35">
        <v>1.3244199999999999</v>
      </c>
      <c r="K35">
        <v>0.76847600000000005</v>
      </c>
      <c r="L35">
        <v>1897.56</v>
      </c>
      <c r="M35">
        <f t="shared" si="0"/>
        <v>5.269925588650688E-4</v>
      </c>
      <c r="N35">
        <f t="shared" si="1"/>
        <v>0.52699255886506879</v>
      </c>
      <c r="S35">
        <v>400000</v>
      </c>
      <c r="T35">
        <v>1.31748</v>
      </c>
      <c r="U35">
        <v>0.87148700000000001</v>
      </c>
      <c r="V35">
        <v>2155.63</v>
      </c>
      <c r="W35">
        <f>1/V35</f>
        <v>4.6390150443257884E-4</v>
      </c>
      <c r="X35">
        <f>W35*1000</f>
        <v>0.46390150443257883</v>
      </c>
      <c r="AB35">
        <v>300000</v>
      </c>
      <c r="AC35">
        <v>1.30755</v>
      </c>
      <c r="AD35">
        <v>0.447828</v>
      </c>
      <c r="AE35">
        <v>4442.32</v>
      </c>
      <c r="AF35">
        <f t="shared" si="2"/>
        <v>2.2510760143348523E-4</v>
      </c>
      <c r="AG35">
        <f t="shared" si="3"/>
        <v>0.22510760143348524</v>
      </c>
      <c r="AH35">
        <f>AVERAGE($AG$6:AG35)</f>
        <v>0.38681023559786037</v>
      </c>
      <c r="BB35">
        <v>120000</v>
      </c>
      <c r="BC35">
        <v>1.3106199999999999</v>
      </c>
      <c r="BD35">
        <v>1.5984499999999999</v>
      </c>
      <c r="BE35">
        <v>1980.36</v>
      </c>
      <c r="BF35">
        <f t="shared" si="11"/>
        <v>5.0495869437879981E-4</v>
      </c>
      <c r="BG35">
        <f t="shared" ref="BG35:BG43" si="15">BF35*1000</f>
        <v>0.50495869437879981</v>
      </c>
      <c r="BH35">
        <f t="shared" ref="BH35:BH39" si="16">AVERAGE(BG31:BG35)</f>
        <v>0.50581920811425007</v>
      </c>
      <c r="BI35">
        <f t="shared" ref="BI35:BI39" si="17">STDEV(BG31:BG35)</f>
        <v>3.5732495568993661E-2</v>
      </c>
    </row>
    <row r="36" spans="2:61" x14ac:dyDescent="0.2">
      <c r="B36" s="1"/>
      <c r="C36">
        <v>30</v>
      </c>
      <c r="D36">
        <v>0.59</v>
      </c>
      <c r="E36">
        <v>126.158</v>
      </c>
      <c r="F36">
        <v>-0.86196499999999998</v>
      </c>
      <c r="I36" s="1">
        <v>310000</v>
      </c>
      <c r="J36">
        <v>1.3229500000000001</v>
      </c>
      <c r="K36">
        <v>0.79220599999999997</v>
      </c>
      <c r="L36">
        <v>1956.96</v>
      </c>
      <c r="M36">
        <f t="shared" si="0"/>
        <v>5.1099664786198996E-4</v>
      </c>
      <c r="N36">
        <f t="shared" si="1"/>
        <v>0.51099664786198995</v>
      </c>
      <c r="S36" s="1">
        <v>600000</v>
      </c>
      <c r="T36">
        <v>1.31741</v>
      </c>
      <c r="U36">
        <v>0.80884800000000001</v>
      </c>
      <c r="V36">
        <v>2000.78</v>
      </c>
      <c r="W36">
        <f>1/V36</f>
        <v>4.998050760203521E-4</v>
      </c>
      <c r="X36">
        <f>W36*1000</f>
        <v>0.49980507602035212</v>
      </c>
      <c r="AB36">
        <v>310000</v>
      </c>
      <c r="AC36">
        <v>1.3176399999999999</v>
      </c>
      <c r="AD36">
        <v>0.26637100000000002</v>
      </c>
      <c r="AE36">
        <v>2637.43</v>
      </c>
      <c r="AF36">
        <f t="shared" si="2"/>
        <v>3.7915698236540876E-4</v>
      </c>
      <c r="AG36">
        <f t="shared" si="3"/>
        <v>0.37915698236540873</v>
      </c>
      <c r="AH36">
        <f>AVERAGE($AG$6:AG36)</f>
        <v>0.38656335646132972</v>
      </c>
      <c r="BB36">
        <v>130000</v>
      </c>
      <c r="BC36">
        <v>1.3110200000000001</v>
      </c>
      <c r="BD36">
        <v>1.58121</v>
      </c>
      <c r="BE36">
        <v>1958.88</v>
      </c>
      <c r="BF36">
        <f t="shared" si="11"/>
        <v>5.1049579351466145E-4</v>
      </c>
      <c r="BG36">
        <f t="shared" si="15"/>
        <v>0.51049579351466146</v>
      </c>
      <c r="BH36">
        <f t="shared" si="16"/>
        <v>0.51639858939328109</v>
      </c>
      <c r="BI36">
        <f t="shared" si="17"/>
        <v>2.3687019183976515E-2</v>
      </c>
    </row>
    <row r="37" spans="2:61" x14ac:dyDescent="0.2">
      <c r="B37" s="1"/>
      <c r="C37">
        <v>31</v>
      </c>
      <c r="D37">
        <v>0.61</v>
      </c>
      <c r="E37">
        <v>124.95</v>
      </c>
      <c r="F37">
        <v>-0.63364100000000001</v>
      </c>
      <c r="I37" s="1">
        <v>320000</v>
      </c>
      <c r="J37">
        <v>1.31917</v>
      </c>
      <c r="K37">
        <v>0.76707599999999998</v>
      </c>
      <c r="L37">
        <v>1896.63</v>
      </c>
      <c r="M37">
        <f t="shared" si="0"/>
        <v>5.2725096618739555E-4</v>
      </c>
      <c r="N37">
        <f t="shared" si="1"/>
        <v>0.52725096618739553</v>
      </c>
      <c r="S37">
        <v>800000</v>
      </c>
      <c r="T37">
        <v>1.3192299999999999</v>
      </c>
      <c r="U37">
        <v>0.92794900000000002</v>
      </c>
      <c r="V37">
        <v>2294.39</v>
      </c>
      <c r="W37">
        <f>1/V37</f>
        <v>4.3584569319078274E-4</v>
      </c>
      <c r="X37">
        <f>W37*1000</f>
        <v>0.43584569319078276</v>
      </c>
      <c r="AB37">
        <v>320000</v>
      </c>
      <c r="AC37">
        <v>1.3124400000000001</v>
      </c>
      <c r="AD37">
        <v>0.126084</v>
      </c>
      <c r="AE37">
        <v>1250.51</v>
      </c>
      <c r="AF37">
        <f t="shared" si="2"/>
        <v>7.9967373311688836E-4</v>
      </c>
      <c r="AG37">
        <f t="shared" si="3"/>
        <v>0.79967373311688839</v>
      </c>
      <c r="AH37">
        <f>AVERAGE($AG$6:AG37)</f>
        <v>0.39947305573181591</v>
      </c>
      <c r="BB37">
        <v>140000</v>
      </c>
      <c r="BC37">
        <v>1.31778</v>
      </c>
      <c r="BD37">
        <v>1.64951</v>
      </c>
      <c r="BE37">
        <v>2039.94</v>
      </c>
      <c r="BF37">
        <f t="shared" si="11"/>
        <v>4.9021049638714865E-4</v>
      </c>
      <c r="BG37">
        <f t="shared" si="15"/>
        <v>0.49021049638714864</v>
      </c>
      <c r="BH37">
        <f t="shared" si="16"/>
        <v>0.51544205980172053</v>
      </c>
      <c r="BI37">
        <f t="shared" si="17"/>
        <v>2.4836202933275583E-2</v>
      </c>
    </row>
    <row r="38" spans="2:61" x14ac:dyDescent="0.2">
      <c r="B38" s="1"/>
      <c r="C38">
        <v>32</v>
      </c>
      <c r="D38">
        <v>0.63</v>
      </c>
      <c r="E38">
        <v>125.05800000000001</v>
      </c>
      <c r="F38">
        <v>-0.72666299999999995</v>
      </c>
      <c r="I38" s="1">
        <v>330000</v>
      </c>
      <c r="J38">
        <v>1.3192600000000001</v>
      </c>
      <c r="K38">
        <v>0.81988499999999997</v>
      </c>
      <c r="L38">
        <v>2027.1</v>
      </c>
      <c r="M38">
        <f t="shared" si="0"/>
        <v>4.9331557397267031E-4</v>
      </c>
      <c r="N38">
        <f t="shared" si="1"/>
        <v>0.49331557397267028</v>
      </c>
      <c r="S38">
        <v>1000000</v>
      </c>
      <c r="T38">
        <v>1.3154399999999999</v>
      </c>
      <c r="U38">
        <v>1.01224</v>
      </c>
      <c r="V38">
        <v>2505.04</v>
      </c>
      <c r="W38">
        <f t="shared" ref="W38:W40" si="18">1/V38</f>
        <v>3.9919522243157796E-4</v>
      </c>
      <c r="X38">
        <f t="shared" ref="X38:X40" si="19">W38*1000</f>
        <v>0.39919522243157796</v>
      </c>
      <c r="Y38">
        <f>AVERAGE(X34:X38)</f>
        <v>0.44859653127995214</v>
      </c>
      <c r="Z38">
        <f>STDEV(X34:X38)</f>
        <v>3.7008958382235523E-2</v>
      </c>
      <c r="AB38">
        <v>330000</v>
      </c>
      <c r="AC38">
        <v>1.3118300000000001</v>
      </c>
      <c r="AD38">
        <v>-4.6267900000000001E-2</v>
      </c>
      <c r="AE38">
        <v>-458.327</v>
      </c>
      <c r="AF38">
        <f t="shared" si="2"/>
        <v>-2.181848330995119E-3</v>
      </c>
      <c r="AG38">
        <f t="shared" si="3"/>
        <v>-2.1818483309951189</v>
      </c>
      <c r="AH38">
        <f>AVERAGE($AG$6:AG38)</f>
        <v>0.32125119552796938</v>
      </c>
      <c r="BB38">
        <v>150000</v>
      </c>
      <c r="BC38">
        <v>1.31982</v>
      </c>
      <c r="BD38">
        <v>1.65524</v>
      </c>
      <c r="BE38">
        <v>2045.95</v>
      </c>
      <c r="BF38">
        <f t="shared" si="11"/>
        <v>4.8877049781275198E-4</v>
      </c>
      <c r="BG38">
        <f t="shared" si="15"/>
        <v>0.488770497812752</v>
      </c>
      <c r="BH38">
        <f t="shared" si="16"/>
        <v>0.51021219911607962</v>
      </c>
      <c r="BI38">
        <f t="shared" si="17"/>
        <v>2.7575759987452861E-2</v>
      </c>
    </row>
    <row r="39" spans="2:61" x14ac:dyDescent="0.2">
      <c r="B39" s="1"/>
      <c r="C39">
        <v>33</v>
      </c>
      <c r="D39">
        <v>0.65</v>
      </c>
      <c r="E39">
        <v>129.40700000000001</v>
      </c>
      <c r="F39">
        <v>-0.76351599999999997</v>
      </c>
      <c r="I39" s="1">
        <v>340000</v>
      </c>
      <c r="J39">
        <v>1.3132699999999999</v>
      </c>
      <c r="K39">
        <v>0.75011799999999995</v>
      </c>
      <c r="L39">
        <v>1857.42</v>
      </c>
      <c r="M39">
        <f t="shared" si="0"/>
        <v>5.383811954216063E-4</v>
      </c>
      <c r="N39">
        <f t="shared" si="1"/>
        <v>0.53838119542160634</v>
      </c>
      <c r="O39">
        <f>AVERAGE(N30:N39)</f>
        <v>0.48836896052971313</v>
      </c>
      <c r="P39">
        <f>STDEV(N30:N39)</f>
        <v>4.3726622112322519E-2</v>
      </c>
      <c r="Q39">
        <f>AVERAGE($N$39:N39)</f>
        <v>0.53838119542160634</v>
      </c>
      <c r="S39">
        <v>1200000</v>
      </c>
      <c r="T39">
        <v>1.3177300000000001</v>
      </c>
      <c r="U39">
        <v>0.77827999999999997</v>
      </c>
      <c r="V39">
        <v>1924.93</v>
      </c>
      <c r="W39">
        <f t="shared" si="18"/>
        <v>5.1949941036816922E-4</v>
      </c>
      <c r="X39">
        <f t="shared" si="19"/>
        <v>0.51949941036816927</v>
      </c>
      <c r="AB39">
        <v>340000</v>
      </c>
      <c r="AC39">
        <v>1.31928</v>
      </c>
      <c r="AD39">
        <v>0.49792500000000001</v>
      </c>
      <c r="AE39">
        <v>4923.1400000000003</v>
      </c>
      <c r="AF39">
        <f t="shared" si="2"/>
        <v>2.0312239749428209E-4</v>
      </c>
      <c r="AG39">
        <f t="shared" si="3"/>
        <v>0.2031223974942821</v>
      </c>
      <c r="AH39">
        <f>AVERAGE($AG$6:AG39)</f>
        <v>0.31777681911521383</v>
      </c>
      <c r="BB39">
        <v>160000</v>
      </c>
      <c r="BC39">
        <v>1.3045500000000001</v>
      </c>
      <c r="BD39">
        <v>1.6098699999999999</v>
      </c>
      <c r="BE39">
        <v>1997.63</v>
      </c>
      <c r="BF39">
        <f t="shared" si="11"/>
        <v>5.0059320294549041E-4</v>
      </c>
      <c r="BG39">
        <f t="shared" si="15"/>
        <v>0.50059320294549037</v>
      </c>
      <c r="BH39">
        <f>AVERAGE(BG35:BG39)</f>
        <v>0.49900573700777046</v>
      </c>
      <c r="BI39">
        <f>STDEV(BG35:BG39)</f>
        <v>9.382104335517432E-3</v>
      </c>
    </row>
    <row r="40" spans="2:61" x14ac:dyDescent="0.2">
      <c r="B40" s="1"/>
      <c r="C40">
        <v>34</v>
      </c>
      <c r="D40">
        <v>0.67</v>
      </c>
      <c r="E40">
        <v>132.83699999999999</v>
      </c>
      <c r="F40">
        <v>-0.40379900000000002</v>
      </c>
      <c r="I40" s="1">
        <v>350000</v>
      </c>
      <c r="J40">
        <v>1.31704</v>
      </c>
      <c r="K40">
        <v>0.84545899999999996</v>
      </c>
      <c r="L40">
        <v>2091.58</v>
      </c>
      <c r="M40">
        <f t="shared" si="0"/>
        <v>4.7810745943258206E-4</v>
      </c>
      <c r="N40">
        <f t="shared" si="1"/>
        <v>0.47810745943258204</v>
      </c>
      <c r="O40">
        <f t="shared" ref="O40:O79" si="20">AVERAGE(N31:N40)</f>
        <v>0.4870154980167275</v>
      </c>
      <c r="P40">
        <f t="shared" ref="P40:P61" si="21">STDEV(N31:N40)</f>
        <v>4.3823413057756784E-2</v>
      </c>
      <c r="Q40">
        <f>AVERAGE($N$39:N40)</f>
        <v>0.50824432742709424</v>
      </c>
      <c r="S40">
        <v>1400000</v>
      </c>
      <c r="T40">
        <v>1.3163800000000001</v>
      </c>
      <c r="U40">
        <v>0.91765600000000003</v>
      </c>
      <c r="V40">
        <v>2270.5300000000002</v>
      </c>
      <c r="W40">
        <f t="shared" si="18"/>
        <v>4.4042580366698521E-4</v>
      </c>
      <c r="X40">
        <f t="shared" si="19"/>
        <v>0.44042580366698519</v>
      </c>
      <c r="Y40">
        <f>AVERAGE(X36:X40)</f>
        <v>0.45895424113557348</v>
      </c>
      <c r="Z40">
        <f>STDEV(X36:X40)</f>
        <v>4.9454414686142222E-2</v>
      </c>
      <c r="AB40">
        <v>350000</v>
      </c>
      <c r="AC40">
        <v>1.31738</v>
      </c>
      <c r="AD40">
        <v>0.206233</v>
      </c>
      <c r="AE40">
        <v>2039.83</v>
      </c>
      <c r="AF40">
        <f t="shared" si="2"/>
        <v>4.9023693150899831E-4</v>
      </c>
      <c r="AG40">
        <f t="shared" si="3"/>
        <v>0.49023693150899833</v>
      </c>
      <c r="AH40">
        <f>AVERAGE($AG$6:AG40)</f>
        <v>0.32270425089789345</v>
      </c>
      <c r="BB40">
        <v>170000</v>
      </c>
      <c r="BC40">
        <v>1.31545</v>
      </c>
      <c r="BD40">
        <v>1.71801</v>
      </c>
      <c r="BE40">
        <v>2125.89</v>
      </c>
      <c r="BF40">
        <f t="shared" si="11"/>
        <v>4.7039122438131796E-4</v>
      </c>
      <c r="BG40">
        <f t="shared" si="15"/>
        <v>0.47039122438131797</v>
      </c>
      <c r="BH40">
        <f t="shared" ref="BH40:BH43" si="22">AVERAGE(BG36:BG40)</f>
        <v>0.4920922430082742</v>
      </c>
      <c r="BI40">
        <f t="shared" ref="BI40:BI43" si="23">STDEV(BG36:BG40)</f>
        <v>1.4970522385949783E-2</v>
      </c>
    </row>
    <row r="41" spans="2:61" x14ac:dyDescent="0.2">
      <c r="B41" s="1"/>
      <c r="C41">
        <v>35</v>
      </c>
      <c r="D41">
        <v>0.69</v>
      </c>
      <c r="E41">
        <v>127.72199999999999</v>
      </c>
      <c r="F41">
        <v>-0.29287600000000003</v>
      </c>
      <c r="I41" s="1">
        <v>360000</v>
      </c>
      <c r="J41">
        <v>1.3203400000000001</v>
      </c>
      <c r="K41">
        <v>0.81411599999999995</v>
      </c>
      <c r="L41">
        <v>2012.35</v>
      </c>
      <c r="M41">
        <f t="shared" si="0"/>
        <v>4.9693144830670615E-4</v>
      </c>
      <c r="N41">
        <f t="shared" si="1"/>
        <v>0.49693144830670616</v>
      </c>
      <c r="O41">
        <f t="shared" si="20"/>
        <v>0.49389785795446783</v>
      </c>
      <c r="P41">
        <f t="shared" si="21"/>
        <v>3.8642190463414008E-2</v>
      </c>
      <c r="Q41">
        <f>AVERAGE($N$39:N41)</f>
        <v>0.50447336772029827</v>
      </c>
      <c r="AB41">
        <v>360000</v>
      </c>
      <c r="AC41">
        <v>1.3128</v>
      </c>
      <c r="AD41">
        <v>0.20701600000000001</v>
      </c>
      <c r="AE41">
        <v>2051.96</v>
      </c>
      <c r="AF41">
        <f t="shared" si="2"/>
        <v>4.8733893448215363E-4</v>
      </c>
      <c r="AG41">
        <f t="shared" si="3"/>
        <v>0.48733893448215365</v>
      </c>
      <c r="AH41">
        <f>AVERAGE($AG$6:AG41)</f>
        <v>0.32727743655301178</v>
      </c>
      <c r="BB41">
        <v>180000</v>
      </c>
      <c r="BC41">
        <v>1.3211999999999999</v>
      </c>
      <c r="BD41">
        <v>1.68845</v>
      </c>
      <c r="BE41">
        <v>2086.3000000000002</v>
      </c>
      <c r="BF41">
        <f t="shared" si="11"/>
        <v>4.793174519484254E-4</v>
      </c>
      <c r="BG41">
        <f t="shared" si="15"/>
        <v>0.4793174519484254</v>
      </c>
      <c r="BH41">
        <f t="shared" si="22"/>
        <v>0.48585657469502691</v>
      </c>
      <c r="BI41">
        <f t="shared" si="23"/>
        <v>1.1473371135485386E-2</v>
      </c>
    </row>
    <row r="42" spans="2:61" x14ac:dyDescent="0.2">
      <c r="B42" s="1"/>
      <c r="C42">
        <v>36</v>
      </c>
      <c r="D42">
        <v>0.71</v>
      </c>
      <c r="E42">
        <v>129.35499999999999</v>
      </c>
      <c r="F42">
        <v>-0.24283099999999999</v>
      </c>
      <c r="I42" s="1">
        <v>370000</v>
      </c>
      <c r="J42">
        <v>1.31568</v>
      </c>
      <c r="K42">
        <v>0.96462099999999995</v>
      </c>
      <c r="L42">
        <v>2387.17</v>
      </c>
      <c r="M42">
        <f t="shared" si="0"/>
        <v>4.1890606869221715E-4</v>
      </c>
      <c r="N42">
        <f t="shared" si="1"/>
        <v>0.41890606869221714</v>
      </c>
      <c r="O42">
        <f t="shared" si="20"/>
        <v>0.49469775296819735</v>
      </c>
      <c r="P42">
        <f t="shared" si="21"/>
        <v>3.67708780674137E-2</v>
      </c>
      <c r="Q42">
        <f>AVERAGE($N$39:N42)</f>
        <v>0.48308154296327799</v>
      </c>
      <c r="AB42">
        <v>370000</v>
      </c>
      <c r="AC42">
        <v>1.3205800000000001</v>
      </c>
      <c r="AD42">
        <v>0.345001</v>
      </c>
      <c r="AE42">
        <v>3410.77</v>
      </c>
      <c r="AF42">
        <f t="shared" si="2"/>
        <v>2.9318892801332249E-4</v>
      </c>
      <c r="AG42">
        <f t="shared" si="3"/>
        <v>0.29318892801332247</v>
      </c>
      <c r="AH42">
        <f>AVERAGE($AG$6:AG42)</f>
        <v>0.32635612551139853</v>
      </c>
      <c r="BB42">
        <v>190000</v>
      </c>
      <c r="BC42">
        <v>1.32396</v>
      </c>
      <c r="BD42">
        <v>1.7032</v>
      </c>
      <c r="BE42">
        <v>2103.0500000000002</v>
      </c>
      <c r="BF42">
        <f t="shared" si="11"/>
        <v>4.7549986923753589E-4</v>
      </c>
      <c r="BG42">
        <f t="shared" si="15"/>
        <v>0.4754998692375359</v>
      </c>
      <c r="BH42">
        <f t="shared" si="22"/>
        <v>0.4829144492651043</v>
      </c>
      <c r="BI42">
        <f t="shared" si="23"/>
        <v>1.1953840224541518E-2</v>
      </c>
    </row>
    <row r="43" spans="2:61" x14ac:dyDescent="0.2">
      <c r="B43" s="1"/>
      <c r="C43">
        <v>37</v>
      </c>
      <c r="D43">
        <v>0.73</v>
      </c>
      <c r="E43">
        <v>128.596</v>
      </c>
      <c r="F43">
        <v>-0.32775100000000001</v>
      </c>
      <c r="I43" s="1">
        <v>380000</v>
      </c>
      <c r="J43">
        <v>1.3124499999999999</v>
      </c>
      <c r="K43">
        <v>1.0349999999999999</v>
      </c>
      <c r="L43">
        <v>2563.41</v>
      </c>
      <c r="M43">
        <f t="shared" si="0"/>
        <v>3.9010536745975091E-4</v>
      </c>
      <c r="N43">
        <f t="shared" si="1"/>
        <v>0.39010536745975088</v>
      </c>
      <c r="O43">
        <f t="shared" si="20"/>
        <v>0.48846412960413865</v>
      </c>
      <c r="P43">
        <f t="shared" si="21"/>
        <v>4.8228946354118486E-2</v>
      </c>
      <c r="Q43">
        <f>AVERAGE($N$39:N43)</f>
        <v>0.46448630786257256</v>
      </c>
      <c r="AB43">
        <v>380000</v>
      </c>
      <c r="AC43">
        <v>1.31613</v>
      </c>
      <c r="AD43">
        <v>0.31792700000000002</v>
      </c>
      <c r="AE43">
        <v>3146.34</v>
      </c>
      <c r="AF43">
        <f t="shared" si="2"/>
        <v>3.1782960519206443E-4</v>
      </c>
      <c r="AG43">
        <f t="shared" si="3"/>
        <v>0.31782960519206443</v>
      </c>
      <c r="AH43">
        <f>AVERAGE($AG$6:AG43)</f>
        <v>0.32613174339773182</v>
      </c>
      <c r="BB43">
        <v>200000</v>
      </c>
      <c r="BC43">
        <v>1.3170500000000001</v>
      </c>
      <c r="BD43">
        <v>1.7640199999999999</v>
      </c>
      <c r="BE43">
        <v>2181.96</v>
      </c>
      <c r="BF43">
        <f t="shared" si="11"/>
        <v>4.5830354360299911E-4</v>
      </c>
      <c r="BG43">
        <f>BF43*1000</f>
        <v>0.45830354360299913</v>
      </c>
      <c r="BH43">
        <f>AVERAGE(BG39:BG43)</f>
        <v>0.47682105842315375</v>
      </c>
      <c r="BI43">
        <f>STDEV(BG39:BG43)</f>
        <v>1.5470403175162137E-2</v>
      </c>
    </row>
    <row r="44" spans="2:61" x14ac:dyDescent="0.2">
      <c r="B44" s="1"/>
      <c r="C44">
        <v>38</v>
      </c>
      <c r="D44">
        <v>0.75</v>
      </c>
      <c r="E44">
        <v>127.50700000000001</v>
      </c>
      <c r="F44">
        <v>-0.36415500000000001</v>
      </c>
      <c r="I44" s="1">
        <v>390000</v>
      </c>
      <c r="J44">
        <v>1.3234900000000001</v>
      </c>
      <c r="K44">
        <v>1.09799</v>
      </c>
      <c r="L44">
        <v>2711.87</v>
      </c>
      <c r="M44">
        <f t="shared" si="0"/>
        <v>3.6874923945469363E-4</v>
      </c>
      <c r="N44">
        <f t="shared" si="1"/>
        <v>0.36874923945469362</v>
      </c>
      <c r="O44">
        <f t="shared" si="20"/>
        <v>0.47497365256546803</v>
      </c>
      <c r="P44">
        <f t="shared" si="21"/>
        <v>6.075019355471608E-2</v>
      </c>
      <c r="Q44">
        <f>AVERAGE($N$39:N44)</f>
        <v>0.44853012979459272</v>
      </c>
      <c r="AB44">
        <v>390000</v>
      </c>
      <c r="AC44">
        <v>1.32568</v>
      </c>
      <c r="AD44">
        <v>0.24380499999999999</v>
      </c>
      <c r="AE44">
        <v>2407.84</v>
      </c>
      <c r="AF44">
        <f t="shared" si="2"/>
        <v>4.1530998737457635E-4</v>
      </c>
      <c r="AG44">
        <f t="shared" si="3"/>
        <v>0.41530998737457636</v>
      </c>
      <c r="AH44">
        <f>AVERAGE($AG$6:AG44)</f>
        <v>0.32841836503816374</v>
      </c>
    </row>
    <row r="45" spans="2:61" x14ac:dyDescent="0.2">
      <c r="B45" s="1"/>
      <c r="C45">
        <v>39</v>
      </c>
      <c r="D45">
        <v>0.77</v>
      </c>
      <c r="E45">
        <v>127.339</v>
      </c>
      <c r="F45">
        <v>8.1379300000000002E-2</v>
      </c>
      <c r="I45" s="1">
        <v>400000</v>
      </c>
      <c r="J45">
        <v>1.31223</v>
      </c>
      <c r="K45">
        <v>0.84580599999999995</v>
      </c>
      <c r="L45">
        <v>2094.9499999999998</v>
      </c>
      <c r="M45">
        <f t="shared" si="0"/>
        <v>4.7733836129740573E-4</v>
      </c>
      <c r="N45">
        <f t="shared" si="1"/>
        <v>0.47733836129740576</v>
      </c>
      <c r="O45">
        <f t="shared" si="20"/>
        <v>0.47000823280870174</v>
      </c>
      <c r="P45">
        <f t="shared" si="21"/>
        <v>5.7992667595509861E-2</v>
      </c>
      <c r="Q45">
        <f>AVERAGE($N$39:N45)</f>
        <v>0.45264559143785171</v>
      </c>
      <c r="AB45">
        <v>400000</v>
      </c>
      <c r="AC45">
        <v>1.3124100000000001</v>
      </c>
      <c r="AD45">
        <v>0.336868</v>
      </c>
      <c r="AE45">
        <v>3338.89</v>
      </c>
      <c r="AF45">
        <f t="shared" si="2"/>
        <v>2.9950073227929044E-4</v>
      </c>
      <c r="AG45">
        <f t="shared" si="3"/>
        <v>0.29950073227929042</v>
      </c>
      <c r="AH45">
        <f>AVERAGE($AG$6:AG45)</f>
        <v>0.3276954242191919</v>
      </c>
      <c r="AS45">
        <v>2870000</v>
      </c>
      <c r="AT45">
        <v>50</v>
      </c>
      <c r="AU45">
        <v>6399.99999999999</v>
      </c>
      <c r="BB45">
        <v>80000</v>
      </c>
      <c r="BC45">
        <v>50</v>
      </c>
      <c r="BD45">
        <v>6399.99999999999</v>
      </c>
    </row>
    <row r="46" spans="2:61" x14ac:dyDescent="0.2">
      <c r="B46" s="1"/>
      <c r="C46">
        <v>40</v>
      </c>
      <c r="D46">
        <v>0.79</v>
      </c>
      <c r="E46">
        <v>127.89100000000001</v>
      </c>
      <c r="F46">
        <v>0.57674800000000004</v>
      </c>
      <c r="I46" s="1">
        <v>410000</v>
      </c>
      <c r="J46">
        <v>1.3169200000000001</v>
      </c>
      <c r="K46">
        <v>0.79584699999999997</v>
      </c>
      <c r="L46">
        <v>1968.91</v>
      </c>
      <c r="M46">
        <f t="shared" si="0"/>
        <v>5.0789523137167265E-4</v>
      </c>
      <c r="N46">
        <f t="shared" si="1"/>
        <v>0.5078952313716727</v>
      </c>
      <c r="O46">
        <f t="shared" si="20"/>
        <v>0.46969809115966993</v>
      </c>
      <c r="P46">
        <f t="shared" si="21"/>
        <v>5.7756921727276117E-2</v>
      </c>
      <c r="Q46">
        <f>AVERAGE($N$39:N46)</f>
        <v>0.45955179642957933</v>
      </c>
      <c r="AB46">
        <v>410000</v>
      </c>
      <c r="AC46">
        <v>1.3213299999999999</v>
      </c>
      <c r="AD46">
        <v>0.25639000000000001</v>
      </c>
      <c r="AE46">
        <v>2534.56</v>
      </c>
      <c r="AF46">
        <f t="shared" si="2"/>
        <v>3.9454579887633357E-4</v>
      </c>
      <c r="AG46">
        <f t="shared" si="3"/>
        <v>0.39454579887633356</v>
      </c>
      <c r="AH46">
        <f>AVERAGE($AG$6:AG46)</f>
        <v>0.32932592116204901</v>
      </c>
      <c r="AT46">
        <v>1</v>
      </c>
      <c r="AU46">
        <v>0.01</v>
      </c>
      <c r="AV46">
        <v>125.95099999999999</v>
      </c>
      <c r="AW46">
        <v>0.50156199999999995</v>
      </c>
      <c r="BC46">
        <v>1</v>
      </c>
      <c r="BD46">
        <v>0.01</v>
      </c>
      <c r="BE46">
        <v>127.93600000000001</v>
      </c>
      <c r="BF46">
        <v>2.44767</v>
      </c>
    </row>
    <row r="47" spans="2:61" x14ac:dyDescent="0.2">
      <c r="B47" s="1"/>
      <c r="C47">
        <v>41</v>
      </c>
      <c r="D47">
        <v>0.81</v>
      </c>
      <c r="E47">
        <v>128.23500000000001</v>
      </c>
      <c r="F47">
        <v>0.48006799999999999</v>
      </c>
      <c r="I47" s="1">
        <v>420000</v>
      </c>
      <c r="J47">
        <v>1.31532</v>
      </c>
      <c r="K47">
        <v>0.93918800000000002</v>
      </c>
      <c r="L47">
        <v>2324.37</v>
      </c>
      <c r="M47">
        <f t="shared" si="0"/>
        <v>4.3022410373563591E-4</v>
      </c>
      <c r="N47">
        <f t="shared" si="1"/>
        <v>0.43022410373563591</v>
      </c>
      <c r="O47">
        <f t="shared" si="20"/>
        <v>0.45999540491449409</v>
      </c>
      <c r="P47">
        <f t="shared" si="21"/>
        <v>5.5103134738584865E-2</v>
      </c>
      <c r="Q47">
        <f>AVERAGE($N$39:N47)</f>
        <v>0.4562931639080301</v>
      </c>
      <c r="AB47">
        <v>420000</v>
      </c>
      <c r="AC47">
        <v>1.31752</v>
      </c>
      <c r="AD47">
        <v>0.33202500000000001</v>
      </c>
      <c r="AE47">
        <v>3284.84</v>
      </c>
      <c r="AF47">
        <f t="shared" si="2"/>
        <v>3.0442883062797578E-4</v>
      </c>
      <c r="AG47">
        <f t="shared" si="3"/>
        <v>0.30442883062797577</v>
      </c>
      <c r="AH47">
        <f>AVERAGE($AG$6:AG47)</f>
        <v>0.32873313329219006</v>
      </c>
      <c r="AT47">
        <v>2</v>
      </c>
      <c r="AU47">
        <v>0.03</v>
      </c>
      <c r="AV47">
        <v>121.41500000000001</v>
      </c>
      <c r="AW47">
        <v>0.46920000000000001</v>
      </c>
      <c r="BC47">
        <v>2</v>
      </c>
      <c r="BD47">
        <v>0.03</v>
      </c>
      <c r="BE47">
        <v>127.02200000000001</v>
      </c>
      <c r="BF47">
        <v>2.2879700000000001</v>
      </c>
    </row>
    <row r="48" spans="2:61" x14ac:dyDescent="0.2">
      <c r="B48" s="1"/>
      <c r="C48">
        <v>42</v>
      </c>
      <c r="D48">
        <v>0.83</v>
      </c>
      <c r="E48">
        <v>126.893</v>
      </c>
      <c r="F48">
        <v>0.50814700000000002</v>
      </c>
      <c r="I48" s="1">
        <v>430000</v>
      </c>
      <c r="J48">
        <v>1.3198799999999999</v>
      </c>
      <c r="K48">
        <v>0.75369299999999995</v>
      </c>
      <c r="L48">
        <v>1863.16</v>
      </c>
      <c r="M48">
        <f t="shared" si="0"/>
        <v>5.3672255737564141E-4</v>
      </c>
      <c r="N48">
        <f t="shared" si="1"/>
        <v>0.53672255737564145</v>
      </c>
      <c r="O48">
        <f t="shared" si="20"/>
        <v>0.46433610325479124</v>
      </c>
      <c r="P48">
        <f t="shared" si="21"/>
        <v>5.9549796865110236E-2</v>
      </c>
      <c r="Q48">
        <f>AVERAGE($N$39:N48)</f>
        <v>0.46433610325479124</v>
      </c>
      <c r="AB48">
        <v>430000</v>
      </c>
      <c r="AC48">
        <v>1.31047</v>
      </c>
      <c r="AD48">
        <v>0.11448999999999999</v>
      </c>
      <c r="AE48">
        <v>1134.95</v>
      </c>
      <c r="AF48">
        <f t="shared" si="2"/>
        <v>8.8109608352790871E-4</v>
      </c>
      <c r="AG48">
        <f t="shared" si="3"/>
        <v>0.88109608352790869</v>
      </c>
      <c r="AH48">
        <f>AVERAGE($AG$6:AG48)</f>
        <v>0.34157878329767194</v>
      </c>
      <c r="AT48">
        <v>3</v>
      </c>
      <c r="AU48">
        <v>0.05</v>
      </c>
      <c r="AV48">
        <v>123.206</v>
      </c>
      <c r="AW48">
        <v>0.29926700000000001</v>
      </c>
      <c r="BC48">
        <v>3</v>
      </c>
      <c r="BD48">
        <v>0.05</v>
      </c>
      <c r="BE48">
        <v>129.24299999999999</v>
      </c>
      <c r="BF48">
        <v>2.1665199999999998</v>
      </c>
    </row>
    <row r="49" spans="2:58" x14ac:dyDescent="0.2">
      <c r="B49" s="1"/>
      <c r="C49">
        <v>43</v>
      </c>
      <c r="D49">
        <v>0.85</v>
      </c>
      <c r="E49">
        <v>126.99</v>
      </c>
      <c r="F49">
        <v>0.67566099999999996</v>
      </c>
      <c r="I49" s="1">
        <v>440000</v>
      </c>
      <c r="J49">
        <v>1.3164100000000001</v>
      </c>
      <c r="K49">
        <v>0.90477600000000002</v>
      </c>
      <c r="L49">
        <v>2238.65</v>
      </c>
      <c r="M49">
        <f t="shared" si="0"/>
        <v>4.466977866124673E-4</v>
      </c>
      <c r="N49">
        <f t="shared" si="1"/>
        <v>0.44669778661246728</v>
      </c>
      <c r="O49">
        <f t="shared" si="20"/>
        <v>0.45516776237387735</v>
      </c>
      <c r="P49">
        <f t="shared" si="21"/>
        <v>5.364850060551541E-2</v>
      </c>
      <c r="Q49">
        <f>AVERAGE($N$39:N49)</f>
        <v>0.46273261992367087</v>
      </c>
      <c r="AB49">
        <v>440000</v>
      </c>
      <c r="AC49">
        <v>1.31891</v>
      </c>
      <c r="AD49">
        <v>6.5935499999999994E-2</v>
      </c>
      <c r="AE49">
        <v>653.21199999999999</v>
      </c>
      <c r="AF49">
        <f t="shared" si="2"/>
        <v>1.5308965542580356E-3</v>
      </c>
      <c r="AG49">
        <f t="shared" si="3"/>
        <v>1.5308965542580357</v>
      </c>
      <c r="AH49">
        <f>AVERAGE($AG$6:AG49)</f>
        <v>0.36860873263768018</v>
      </c>
      <c r="AT49">
        <v>4</v>
      </c>
      <c r="AU49">
        <v>7.0000000000000007E-2</v>
      </c>
      <c r="AV49">
        <v>125.676</v>
      </c>
      <c r="AW49">
        <v>0.34179900000000002</v>
      </c>
      <c r="BC49">
        <v>4</v>
      </c>
      <c r="BD49">
        <v>7.0000000000000007E-2</v>
      </c>
      <c r="BE49">
        <v>127.81399999999999</v>
      </c>
      <c r="BF49">
        <v>1.70831</v>
      </c>
    </row>
    <row r="50" spans="2:58" x14ac:dyDescent="0.2">
      <c r="B50" s="1"/>
      <c r="C50">
        <v>44</v>
      </c>
      <c r="D50">
        <v>0.87</v>
      </c>
      <c r="E50">
        <v>125.755</v>
      </c>
      <c r="F50">
        <v>0.65386500000000003</v>
      </c>
      <c r="I50" s="1">
        <v>450000</v>
      </c>
      <c r="J50">
        <v>1.31657</v>
      </c>
      <c r="K50">
        <v>1.01173</v>
      </c>
      <c r="L50">
        <v>2503.17</v>
      </c>
      <c r="M50">
        <f t="shared" si="0"/>
        <v>3.9949344231514437E-4</v>
      </c>
      <c r="N50">
        <f t="shared" si="1"/>
        <v>0.39949344231514439</v>
      </c>
      <c r="O50">
        <f t="shared" si="20"/>
        <v>0.44730636066213353</v>
      </c>
      <c r="P50">
        <f t="shared" si="21"/>
        <v>5.5636557125591832E-2</v>
      </c>
      <c r="Q50">
        <f>AVERAGE($N$39:N50)</f>
        <v>0.45746268845629362</v>
      </c>
      <c r="AB50">
        <v>450000</v>
      </c>
      <c r="AC50">
        <v>1.3073900000000001</v>
      </c>
      <c r="AD50">
        <v>-0.17718700000000001</v>
      </c>
      <c r="AE50">
        <v>-1758.81</v>
      </c>
      <c r="AF50">
        <f t="shared" si="2"/>
        <v>-5.6856624649621055E-4</v>
      </c>
      <c r="AG50">
        <f t="shared" si="3"/>
        <v>-0.56856624649621057</v>
      </c>
      <c r="AH50">
        <f>AVERAGE($AG$6:AG50)</f>
        <v>0.34778262199026039</v>
      </c>
      <c r="AT50">
        <v>5</v>
      </c>
      <c r="AU50">
        <v>0.09</v>
      </c>
      <c r="AV50">
        <v>128.131</v>
      </c>
      <c r="AW50">
        <v>0.329071</v>
      </c>
      <c r="BC50">
        <v>5</v>
      </c>
      <c r="BD50">
        <v>0.09</v>
      </c>
      <c r="BE50">
        <v>129.58699999999999</v>
      </c>
      <c r="BF50">
        <v>1.2250700000000001</v>
      </c>
    </row>
    <row r="51" spans="2:58" x14ac:dyDescent="0.2">
      <c r="B51" s="1"/>
      <c r="C51">
        <v>45</v>
      </c>
      <c r="D51">
        <v>0.89</v>
      </c>
      <c r="E51">
        <v>126.753</v>
      </c>
      <c r="F51">
        <v>0.61660199999999998</v>
      </c>
      <c r="I51">
        <v>460000</v>
      </c>
      <c r="J51">
        <v>1.3105500000000001</v>
      </c>
      <c r="K51">
        <v>0.97326100000000004</v>
      </c>
      <c r="L51">
        <v>2411.69</v>
      </c>
      <c r="M51">
        <f t="shared" si="0"/>
        <v>4.1464699028482101E-4</v>
      </c>
      <c r="N51">
        <f t="shared" si="1"/>
        <v>0.41464699028482099</v>
      </c>
      <c r="O51">
        <f t="shared" si="20"/>
        <v>0.43907791485994496</v>
      </c>
      <c r="P51">
        <f t="shared" si="21"/>
        <v>5.3526473559683388E-2</v>
      </c>
      <c r="Q51">
        <f>AVERAGE($N$39:N51)</f>
        <v>0.45416917321233419</v>
      </c>
      <c r="AB51">
        <v>460000</v>
      </c>
      <c r="AC51">
        <v>1.3142400000000001</v>
      </c>
      <c r="AD51">
        <v>-2.2926999999999999E-2</v>
      </c>
      <c r="AE51">
        <v>-226.53899999999999</v>
      </c>
      <c r="AF51">
        <f t="shared" si="2"/>
        <v>-4.4142509678245252E-3</v>
      </c>
      <c r="AG51">
        <f t="shared" si="3"/>
        <v>-4.4142509678245254</v>
      </c>
      <c r="AH51">
        <f>AVERAGE($AG$6:AG51)</f>
        <v>0.2442601526464607</v>
      </c>
      <c r="AT51">
        <v>6</v>
      </c>
      <c r="AU51">
        <v>0.11</v>
      </c>
      <c r="AV51">
        <v>127.215</v>
      </c>
      <c r="AW51">
        <v>0.31914500000000001</v>
      </c>
      <c r="BC51">
        <v>6</v>
      </c>
      <c r="BD51">
        <v>0.11</v>
      </c>
      <c r="BE51">
        <v>125.899</v>
      </c>
      <c r="BF51">
        <v>1.01485</v>
      </c>
    </row>
    <row r="52" spans="2:58" x14ac:dyDescent="0.2">
      <c r="B52" s="1"/>
      <c r="C52">
        <v>46</v>
      </c>
      <c r="D52">
        <v>0.91</v>
      </c>
      <c r="E52">
        <v>123.408</v>
      </c>
      <c r="F52">
        <v>0.757297</v>
      </c>
      <c r="I52">
        <v>470000</v>
      </c>
      <c r="J52">
        <v>1.3188800000000001</v>
      </c>
      <c r="K52">
        <v>1.0857600000000001</v>
      </c>
      <c r="L52">
        <v>2684.81</v>
      </c>
      <c r="M52">
        <f t="shared" si="0"/>
        <v>3.7246583557123226E-4</v>
      </c>
      <c r="N52">
        <f t="shared" si="1"/>
        <v>0.37246583557123225</v>
      </c>
      <c r="O52">
        <f t="shared" si="20"/>
        <v>0.43443389154784651</v>
      </c>
      <c r="P52">
        <f t="shared" si="21"/>
        <v>5.7349170825873499E-2</v>
      </c>
      <c r="Q52">
        <f>AVERAGE($N$39:N52)</f>
        <v>0.44833322052368402</v>
      </c>
      <c r="AB52">
        <v>470000</v>
      </c>
      <c r="AC52">
        <v>1.31067</v>
      </c>
      <c r="AD52">
        <v>-3.9440000000000003E-2</v>
      </c>
      <c r="AE52">
        <v>-391.31099999999998</v>
      </c>
      <c r="AF52">
        <f t="shared" si="2"/>
        <v>-2.5555121118496543E-3</v>
      </c>
      <c r="AG52">
        <f t="shared" si="3"/>
        <v>-2.5555121118496542</v>
      </c>
      <c r="AH52">
        <f>AVERAGE($AG$6:AG52)</f>
        <v>0.18469052999760718</v>
      </c>
      <c r="AT52">
        <v>7</v>
      </c>
      <c r="AU52">
        <v>0.13</v>
      </c>
      <c r="AV52">
        <v>130.018</v>
      </c>
      <c r="AW52">
        <v>-1.8283000000000001E-2</v>
      </c>
      <c r="BC52">
        <v>7</v>
      </c>
      <c r="BD52">
        <v>0.13</v>
      </c>
      <c r="BE52">
        <v>130.58199999999999</v>
      </c>
      <c r="BF52">
        <v>0.78552100000000002</v>
      </c>
    </row>
    <row r="53" spans="2:58" x14ac:dyDescent="0.2">
      <c r="B53" s="1"/>
      <c r="C53">
        <v>47</v>
      </c>
      <c r="D53">
        <v>0.93</v>
      </c>
      <c r="E53">
        <v>127.749</v>
      </c>
      <c r="F53">
        <v>0.88804000000000005</v>
      </c>
      <c r="I53">
        <v>480000</v>
      </c>
      <c r="J53">
        <v>1.3267</v>
      </c>
      <c r="K53">
        <v>0.80080899999999999</v>
      </c>
      <c r="L53">
        <v>1976.39</v>
      </c>
      <c r="M53">
        <f t="shared" si="0"/>
        <v>5.0597301139957188E-4</v>
      </c>
      <c r="N53">
        <f t="shared" si="1"/>
        <v>0.50597301139957185</v>
      </c>
      <c r="O53">
        <f t="shared" si="20"/>
        <v>0.4460206559418286</v>
      </c>
      <c r="P53">
        <f t="shared" si="21"/>
        <v>5.9076826703173449E-2</v>
      </c>
      <c r="Q53">
        <f>AVERAGE($N$39:N53)</f>
        <v>0.4521758732487432</v>
      </c>
      <c r="AB53">
        <v>480000</v>
      </c>
      <c r="AC53">
        <v>1.3243499999999999</v>
      </c>
      <c r="AD53">
        <v>0.154305</v>
      </c>
      <c r="AE53">
        <v>1524.46</v>
      </c>
      <c r="AF53">
        <f t="shared" si="2"/>
        <v>6.5596998281358644E-4</v>
      </c>
      <c r="AG53">
        <f t="shared" si="3"/>
        <v>0.65596998281358643</v>
      </c>
      <c r="AH53">
        <f>AVERAGE($AG$6:AG53)</f>
        <v>0.1945088519312734</v>
      </c>
      <c r="AT53">
        <v>8</v>
      </c>
      <c r="AU53">
        <v>0.15</v>
      </c>
      <c r="AV53">
        <v>127.96</v>
      </c>
      <c r="AW53">
        <v>4.79657E-2</v>
      </c>
      <c r="BC53">
        <v>8</v>
      </c>
      <c r="BD53">
        <v>0.15</v>
      </c>
      <c r="BE53">
        <v>127.015</v>
      </c>
      <c r="BF53">
        <v>0.64429000000000003</v>
      </c>
    </row>
    <row r="54" spans="2:58" x14ac:dyDescent="0.2">
      <c r="B54" s="1"/>
      <c r="C54">
        <v>48</v>
      </c>
      <c r="D54">
        <v>0.95</v>
      </c>
      <c r="E54">
        <v>127.541</v>
      </c>
      <c r="F54">
        <v>0.89395400000000003</v>
      </c>
      <c r="I54">
        <v>490000</v>
      </c>
      <c r="J54">
        <v>1.3120700000000001</v>
      </c>
      <c r="K54">
        <v>0.86437399999999998</v>
      </c>
      <c r="L54">
        <v>2141.13</v>
      </c>
      <c r="M54">
        <f t="shared" si="0"/>
        <v>4.6704310340801348E-4</v>
      </c>
      <c r="N54">
        <f t="shared" si="1"/>
        <v>0.46704310340801347</v>
      </c>
      <c r="O54">
        <f t="shared" si="20"/>
        <v>0.45585004233716059</v>
      </c>
      <c r="P54">
        <f t="shared" si="21"/>
        <v>5.2615530240397709E-2</v>
      </c>
      <c r="Q54">
        <f>AVERAGE($N$39:N54)</f>
        <v>0.45310507513369758</v>
      </c>
      <c r="AB54">
        <v>490000</v>
      </c>
      <c r="AC54">
        <v>1.3214600000000001</v>
      </c>
      <c r="AD54">
        <v>0.122665</v>
      </c>
      <c r="AE54">
        <v>1212.96</v>
      </c>
      <c r="AF54">
        <f t="shared" si="2"/>
        <v>8.2442949478960556E-4</v>
      </c>
      <c r="AG54">
        <f t="shared" si="3"/>
        <v>0.82442949478960559</v>
      </c>
      <c r="AH54">
        <f>AVERAGE($AG$6:AG54)</f>
        <v>0.2073643752549128</v>
      </c>
      <c r="AT54">
        <v>9</v>
      </c>
      <c r="AU54">
        <v>0.17</v>
      </c>
      <c r="AV54">
        <v>129.71799999999999</v>
      </c>
      <c r="AW54">
        <v>8.4689600000000004E-2</v>
      </c>
      <c r="BC54">
        <v>9</v>
      </c>
      <c r="BD54">
        <v>0.17</v>
      </c>
      <c r="BE54">
        <v>128.00700000000001</v>
      </c>
      <c r="BF54">
        <v>0.39788000000000001</v>
      </c>
    </row>
    <row r="55" spans="2:58" x14ac:dyDescent="0.2">
      <c r="B55" s="1"/>
      <c r="C55">
        <v>49</v>
      </c>
      <c r="D55">
        <v>0.97</v>
      </c>
      <c r="E55">
        <v>129.75700000000001</v>
      </c>
      <c r="F55">
        <v>0.70294500000000004</v>
      </c>
      <c r="I55">
        <v>500000</v>
      </c>
      <c r="J55">
        <v>1.3146899999999999</v>
      </c>
      <c r="K55">
        <v>0.87725799999999998</v>
      </c>
      <c r="L55">
        <v>2171.4499999999998</v>
      </c>
      <c r="M55">
        <f t="shared" si="0"/>
        <v>4.6052177116673196E-4</v>
      </c>
      <c r="N55">
        <f t="shared" si="1"/>
        <v>0.46052177116673193</v>
      </c>
      <c r="O55">
        <f t="shared" si="20"/>
        <v>0.45416838332409321</v>
      </c>
      <c r="P55">
        <f t="shared" si="21"/>
        <v>5.211882111575146E-2</v>
      </c>
      <c r="Q55">
        <f>AVERAGE($N$39:N55)</f>
        <v>0.45354135137093493</v>
      </c>
      <c r="AB55">
        <v>500000</v>
      </c>
      <c r="AC55">
        <v>1.3098399999999999</v>
      </c>
      <c r="AD55">
        <v>0.22894600000000001</v>
      </c>
      <c r="AE55">
        <v>2268.37</v>
      </c>
      <c r="AF55">
        <f t="shared" si="2"/>
        <v>4.408451883951913E-4</v>
      </c>
      <c r="AG55">
        <f t="shared" si="3"/>
        <v>0.44084518839519132</v>
      </c>
      <c r="AH55">
        <f>AVERAGE($AG$6:AG55)</f>
        <v>0.21203399151771837</v>
      </c>
      <c r="AT55">
        <v>10</v>
      </c>
      <c r="AU55">
        <v>0.19</v>
      </c>
      <c r="AV55">
        <v>128.22300000000001</v>
      </c>
      <c r="AW55">
        <v>-4.8673399999999999E-2</v>
      </c>
      <c r="BC55">
        <v>10</v>
      </c>
      <c r="BD55">
        <v>0.19</v>
      </c>
      <c r="BE55">
        <v>131.35400000000001</v>
      </c>
      <c r="BF55">
        <v>0.11401699999999999</v>
      </c>
    </row>
    <row r="56" spans="2:58" x14ac:dyDescent="0.2">
      <c r="B56" s="1"/>
      <c r="C56">
        <v>50</v>
      </c>
      <c r="D56">
        <v>0.99</v>
      </c>
      <c r="E56">
        <v>125.50700000000001</v>
      </c>
      <c r="F56">
        <v>0.53626499999999999</v>
      </c>
      <c r="I56">
        <v>510000</v>
      </c>
      <c r="J56">
        <v>1.3160400000000001</v>
      </c>
      <c r="K56">
        <v>0.89867699999999995</v>
      </c>
      <c r="L56">
        <v>2223.81</v>
      </c>
      <c r="M56">
        <f t="shared" si="0"/>
        <v>4.4967870456558791E-4</v>
      </c>
      <c r="N56">
        <f t="shared" si="1"/>
        <v>0.44967870456558789</v>
      </c>
      <c r="O56">
        <f t="shared" si="20"/>
        <v>0.44834673064348474</v>
      </c>
      <c r="P56">
        <f t="shared" si="21"/>
        <v>4.8582130054111758E-2</v>
      </c>
      <c r="Q56">
        <f>AVERAGE($N$39:N56)</f>
        <v>0.45332675988174898</v>
      </c>
      <c r="AB56">
        <v>510000</v>
      </c>
      <c r="AC56">
        <v>1.3191900000000001</v>
      </c>
      <c r="AD56">
        <v>0.182028</v>
      </c>
      <c r="AE56">
        <v>1798.28</v>
      </c>
      <c r="AF56">
        <f t="shared" si="2"/>
        <v>5.5608692750850816E-4</v>
      </c>
      <c r="AG56">
        <f t="shared" si="3"/>
        <v>0.55608692750850819</v>
      </c>
      <c r="AH56">
        <f>AVERAGE($AG$6:AG56)</f>
        <v>0.21878012751753778</v>
      </c>
      <c r="AT56">
        <v>11</v>
      </c>
      <c r="AU56">
        <v>0.21</v>
      </c>
      <c r="AV56">
        <v>123.49</v>
      </c>
      <c r="AW56">
        <v>3.3783199999999999E-2</v>
      </c>
      <c r="BC56">
        <v>11</v>
      </c>
      <c r="BD56">
        <v>0.21</v>
      </c>
      <c r="BE56">
        <v>127.898</v>
      </c>
      <c r="BF56">
        <v>0.122791</v>
      </c>
    </row>
    <row r="57" spans="2:58" x14ac:dyDescent="0.2">
      <c r="I57">
        <v>520000</v>
      </c>
      <c r="J57">
        <v>1.3146500000000001</v>
      </c>
      <c r="K57">
        <v>0.88678199999999996</v>
      </c>
      <c r="L57">
        <v>2195.11</v>
      </c>
      <c r="M57">
        <f t="shared" si="0"/>
        <v>4.5555803581597275E-4</v>
      </c>
      <c r="N57">
        <f t="shared" si="1"/>
        <v>0.45555803581597276</v>
      </c>
      <c r="O57">
        <f t="shared" si="20"/>
        <v>0.45088012385151843</v>
      </c>
      <c r="P57">
        <f t="shared" si="21"/>
        <v>4.8191058126465909E-2</v>
      </c>
      <c r="Q57">
        <f>AVERAGE($N$39:N57)</f>
        <v>0.45344419545723441</v>
      </c>
      <c r="AB57">
        <v>520000</v>
      </c>
      <c r="AC57">
        <v>1.3173299999999999</v>
      </c>
      <c r="AD57">
        <v>0.35150399999999998</v>
      </c>
      <c r="AE57">
        <v>3478.42</v>
      </c>
      <c r="AF57">
        <f t="shared" si="2"/>
        <v>2.8748684747672795E-4</v>
      </c>
      <c r="AG57">
        <f t="shared" si="3"/>
        <v>0.28748684747672792</v>
      </c>
      <c r="AH57">
        <f>AVERAGE($AG$6:AG57)</f>
        <v>0.22010141059367605</v>
      </c>
      <c r="AT57">
        <v>12</v>
      </c>
      <c r="AU57">
        <v>0.23</v>
      </c>
      <c r="AV57">
        <v>126.46899999999999</v>
      </c>
      <c r="AW57">
        <v>-0.25261499999999998</v>
      </c>
      <c r="BC57">
        <v>12</v>
      </c>
      <c r="BD57">
        <v>0.23</v>
      </c>
      <c r="BE57">
        <v>128.30600000000001</v>
      </c>
      <c r="BF57">
        <v>8.7319900000000006E-2</v>
      </c>
    </row>
    <row r="58" spans="2:58" x14ac:dyDescent="0.2">
      <c r="I58">
        <v>530000</v>
      </c>
      <c r="J58">
        <v>1.3164899999999999</v>
      </c>
      <c r="K58">
        <v>0.83475999999999995</v>
      </c>
      <c r="L58">
        <v>2065.37</v>
      </c>
      <c r="M58">
        <f t="shared" si="0"/>
        <v>4.8417474835017456E-4</v>
      </c>
      <c r="N58">
        <f t="shared" si="1"/>
        <v>0.48417474835017454</v>
      </c>
      <c r="O58">
        <f t="shared" si="20"/>
        <v>0.44562534294897177</v>
      </c>
      <c r="P58">
        <f t="shared" si="21"/>
        <v>3.9951198221443385E-2</v>
      </c>
      <c r="Q58">
        <f>AVERAGE($N$39:N58)</f>
        <v>0.45498072310188142</v>
      </c>
      <c r="AB58">
        <v>530000</v>
      </c>
      <c r="AC58">
        <v>1.3126899999999999</v>
      </c>
      <c r="AD58">
        <v>0.39436399999999999</v>
      </c>
      <c r="AE58">
        <v>3906.69</v>
      </c>
      <c r="AF58">
        <f t="shared" si="2"/>
        <v>2.5597116740770317E-4</v>
      </c>
      <c r="AG58">
        <f t="shared" si="3"/>
        <v>0.25597116740770315</v>
      </c>
      <c r="AH58">
        <f>AVERAGE($AG$6:AG58)</f>
        <v>0.22077819845809166</v>
      </c>
      <c r="AT58">
        <v>13</v>
      </c>
      <c r="AU58">
        <v>0.25</v>
      </c>
      <c r="AV58">
        <v>129.536</v>
      </c>
      <c r="AW58">
        <v>-1.9100200000000001E-2</v>
      </c>
      <c r="BC58">
        <v>13</v>
      </c>
      <c r="BD58">
        <v>0.25</v>
      </c>
      <c r="BE58">
        <v>130.41999999999999</v>
      </c>
      <c r="BF58" s="2">
        <v>5.2879400000000001E-5</v>
      </c>
    </row>
    <row r="59" spans="2:58" x14ac:dyDescent="0.2">
      <c r="I59">
        <v>540000</v>
      </c>
      <c r="J59">
        <v>1.31094</v>
      </c>
      <c r="K59">
        <v>0.83638100000000004</v>
      </c>
      <c r="L59">
        <v>2072.1</v>
      </c>
      <c r="M59">
        <f t="shared" si="0"/>
        <v>4.8260219101394723E-4</v>
      </c>
      <c r="N59">
        <f t="shared" si="1"/>
        <v>0.48260219101394725</v>
      </c>
      <c r="O59">
        <f t="shared" si="20"/>
        <v>0.44921578338911966</v>
      </c>
      <c r="P59">
        <f t="shared" si="21"/>
        <v>4.1636133727312653E-2</v>
      </c>
      <c r="Q59">
        <f>AVERAGE($N$39:N59)</f>
        <v>0.45629603109769412</v>
      </c>
      <c r="AB59">
        <v>540000</v>
      </c>
      <c r="AC59">
        <v>1.3117399999999999</v>
      </c>
      <c r="AD59">
        <v>0.485925</v>
      </c>
      <c r="AE59">
        <v>4815.46</v>
      </c>
      <c r="AF59">
        <f t="shared" si="2"/>
        <v>2.0766448065190034E-4</v>
      </c>
      <c r="AG59">
        <f t="shared" si="3"/>
        <v>0.20766448065190035</v>
      </c>
      <c r="AH59">
        <f>AVERAGE($AG$6:AG59)</f>
        <v>0.22053535183205106</v>
      </c>
      <c r="AT59">
        <v>14</v>
      </c>
      <c r="AU59">
        <v>0.27</v>
      </c>
      <c r="AV59">
        <v>127.188</v>
      </c>
      <c r="AW59">
        <v>-1.77428E-2</v>
      </c>
      <c r="BC59">
        <v>14</v>
      </c>
      <c r="BD59">
        <v>0.27</v>
      </c>
      <c r="BE59">
        <v>132.02099999999999</v>
      </c>
      <c r="BF59">
        <v>-0.32360499999999998</v>
      </c>
    </row>
    <row r="60" spans="2:58" x14ac:dyDescent="0.2">
      <c r="I60">
        <v>550000</v>
      </c>
      <c r="J60">
        <v>1.3176399999999999</v>
      </c>
      <c r="K60">
        <v>0.71142499999999997</v>
      </c>
      <c r="L60">
        <v>1759.68</v>
      </c>
      <c r="M60">
        <f t="shared" si="0"/>
        <v>5.6828514275322783E-4</v>
      </c>
      <c r="N60">
        <f t="shared" si="1"/>
        <v>0.56828514275322783</v>
      </c>
      <c r="O60">
        <f t="shared" si="20"/>
        <v>0.46609495343292801</v>
      </c>
      <c r="P60">
        <f t="shared" si="21"/>
        <v>5.2130441106530694E-2</v>
      </c>
      <c r="Q60">
        <f>AVERAGE($N$39:N60)</f>
        <v>0.46138644526385469</v>
      </c>
      <c r="AB60">
        <v>550000</v>
      </c>
      <c r="AC60">
        <v>1.3143899999999999</v>
      </c>
      <c r="AD60">
        <v>-2.6379300000000001E-2</v>
      </c>
      <c r="AE60">
        <v>-261.02100000000002</v>
      </c>
      <c r="AF60">
        <f t="shared" si="2"/>
        <v>-3.8311093743415279E-3</v>
      </c>
      <c r="AG60">
        <f t="shared" si="3"/>
        <v>-3.8311093743415281</v>
      </c>
      <c r="AH60">
        <f>AVERAGE($AG$6:AG60)</f>
        <v>0.14686908408344052</v>
      </c>
      <c r="AT60">
        <v>15</v>
      </c>
      <c r="AU60">
        <v>0.28999999999999998</v>
      </c>
      <c r="AV60">
        <v>128.81399999999999</v>
      </c>
      <c r="AW60">
        <v>2.3537599999999999E-2</v>
      </c>
      <c r="BC60">
        <v>15</v>
      </c>
      <c r="BD60">
        <v>0.28999999999999998</v>
      </c>
      <c r="BE60">
        <v>131.565</v>
      </c>
      <c r="BF60">
        <v>-0.53758799999999995</v>
      </c>
    </row>
    <row r="61" spans="2:58" x14ac:dyDescent="0.2">
      <c r="I61">
        <v>560000</v>
      </c>
      <c r="J61">
        <v>1.3081499999999999</v>
      </c>
      <c r="K61">
        <v>0.85474799999999995</v>
      </c>
      <c r="L61">
        <v>2119.29</v>
      </c>
      <c r="M61">
        <f t="shared" si="0"/>
        <v>4.7185614049988439E-4</v>
      </c>
      <c r="N61">
        <f t="shared" si="1"/>
        <v>0.47185614049988439</v>
      </c>
      <c r="O61">
        <f t="shared" si="20"/>
        <v>0.47181586845443446</v>
      </c>
      <c r="P61">
        <f t="shared" si="21"/>
        <v>4.8895870863102639E-2</v>
      </c>
      <c r="Q61">
        <f>AVERAGE($N$39:N61)</f>
        <v>0.46184164940455164</v>
      </c>
      <c r="AB61">
        <v>560000</v>
      </c>
      <c r="AC61">
        <v>1.3228200000000001</v>
      </c>
      <c r="AD61">
        <v>0.40045399999999998</v>
      </c>
      <c r="AE61">
        <v>3955.17</v>
      </c>
      <c r="AF61">
        <f t="shared" si="2"/>
        <v>2.5283363294118839E-4</v>
      </c>
      <c r="AG61">
        <f t="shared" si="3"/>
        <v>0.25283363294118838</v>
      </c>
      <c r="AH61">
        <f>AVERAGE($AG$6:AG61)</f>
        <v>0.14876130817018601</v>
      </c>
      <c r="AT61">
        <v>16</v>
      </c>
      <c r="AU61">
        <v>0.31</v>
      </c>
      <c r="AV61">
        <v>125.041</v>
      </c>
      <c r="AW61">
        <v>0.16173599999999999</v>
      </c>
      <c r="BC61">
        <v>16</v>
      </c>
      <c r="BD61">
        <v>0.31</v>
      </c>
      <c r="BE61">
        <v>133.63900000000001</v>
      </c>
      <c r="BF61">
        <v>-0.55039800000000005</v>
      </c>
    </row>
    <row r="62" spans="2:58" x14ac:dyDescent="0.2">
      <c r="I62">
        <v>570000</v>
      </c>
      <c r="J62">
        <v>1.3157000000000001</v>
      </c>
      <c r="K62">
        <v>0.85657300000000003</v>
      </c>
      <c r="L62">
        <v>2119.92</v>
      </c>
      <c r="M62">
        <f t="shared" si="0"/>
        <v>4.7171591380806822E-4</v>
      </c>
      <c r="N62">
        <f t="shared" si="1"/>
        <v>0.47171591380806821</v>
      </c>
      <c r="O62">
        <f t="shared" si="20"/>
        <v>0.48174087627811801</v>
      </c>
      <c r="P62">
        <f t="shared" ref="P62:P80" si="24">STDEV(N53:N62)</f>
        <v>3.4418630034695287E-2</v>
      </c>
      <c r="Q62">
        <f>AVERAGE($N$39:N62)</f>
        <v>0.46225307708803154</v>
      </c>
      <c r="AB62">
        <v>570000</v>
      </c>
      <c r="AC62">
        <v>1.3057300000000001</v>
      </c>
      <c r="AD62">
        <v>0.11523600000000001</v>
      </c>
      <c r="AE62">
        <v>1143.31</v>
      </c>
      <c r="AF62">
        <f t="shared" si="2"/>
        <v>8.7465341858288654E-4</v>
      </c>
      <c r="AG62">
        <f t="shared" si="3"/>
        <v>0.87465341858288659</v>
      </c>
      <c r="AH62">
        <f>AVERAGE($AG$6:AG62)</f>
        <v>0.16149625747567198</v>
      </c>
      <c r="AT62">
        <v>17</v>
      </c>
      <c r="AU62">
        <v>0.33</v>
      </c>
      <c r="AV62">
        <v>126.358</v>
      </c>
      <c r="AW62">
        <v>4.8416599999999997E-2</v>
      </c>
      <c r="BC62">
        <v>17</v>
      </c>
      <c r="BD62">
        <v>0.33</v>
      </c>
      <c r="BE62">
        <v>126.905</v>
      </c>
      <c r="BF62">
        <v>-0.72073900000000002</v>
      </c>
    </row>
    <row r="63" spans="2:58" x14ac:dyDescent="0.2">
      <c r="I63">
        <v>580000</v>
      </c>
      <c r="J63">
        <v>1.31701</v>
      </c>
      <c r="K63">
        <v>0.70989199999999997</v>
      </c>
      <c r="L63">
        <v>1756.11</v>
      </c>
      <c r="M63">
        <f t="shared" si="0"/>
        <v>5.6944041090820053E-4</v>
      </c>
      <c r="N63">
        <f t="shared" si="1"/>
        <v>0.56944041090820052</v>
      </c>
      <c r="O63">
        <f t="shared" si="20"/>
        <v>0.48808761622898089</v>
      </c>
      <c r="P63">
        <f t="shared" si="24"/>
        <v>4.3922886672663683E-2</v>
      </c>
      <c r="Q63">
        <f>AVERAGE($N$39:N63)</f>
        <v>0.4665405704408383</v>
      </c>
      <c r="AB63">
        <v>580000</v>
      </c>
      <c r="AC63">
        <v>1.3225499999999999</v>
      </c>
      <c r="AD63">
        <v>0.24263199999999999</v>
      </c>
      <c r="AE63">
        <v>2397.81</v>
      </c>
      <c r="AF63">
        <f t="shared" si="2"/>
        <v>4.1704722225697615E-4</v>
      </c>
      <c r="AG63">
        <f t="shared" si="3"/>
        <v>0.41704722225697616</v>
      </c>
      <c r="AH63">
        <f>AVERAGE($AG$6:AG63)</f>
        <v>0.165902308592591</v>
      </c>
      <c r="AT63">
        <v>18</v>
      </c>
      <c r="AU63">
        <v>0.35</v>
      </c>
      <c r="AV63">
        <v>124.754</v>
      </c>
      <c r="AW63">
        <v>-7.8964599999999996E-2</v>
      </c>
      <c r="BC63">
        <v>18</v>
      </c>
      <c r="BD63">
        <v>0.35</v>
      </c>
      <c r="BE63">
        <v>127.26600000000001</v>
      </c>
      <c r="BF63">
        <v>-0.94573300000000005</v>
      </c>
    </row>
    <row r="64" spans="2:58" x14ac:dyDescent="0.2">
      <c r="I64">
        <v>590000</v>
      </c>
      <c r="J64">
        <v>1.31395</v>
      </c>
      <c r="K64">
        <v>0.68270299999999995</v>
      </c>
      <c r="L64">
        <v>1690.13</v>
      </c>
      <c r="M64">
        <f t="shared" si="0"/>
        <v>5.9167046321880563E-4</v>
      </c>
      <c r="N64">
        <f t="shared" si="1"/>
        <v>0.59167046321880568</v>
      </c>
      <c r="O64">
        <f t="shared" si="20"/>
        <v>0.50055035221006017</v>
      </c>
      <c r="P64">
        <f t="shared" si="24"/>
        <v>5.3847847942389511E-2</v>
      </c>
      <c r="Q64">
        <f>AVERAGE($N$39:N64)</f>
        <v>0.47135325862460625</v>
      </c>
      <c r="AB64">
        <v>590000</v>
      </c>
      <c r="AC64">
        <v>1.32342</v>
      </c>
      <c r="AD64">
        <v>0.29667100000000002</v>
      </c>
      <c r="AE64">
        <v>2931.28</v>
      </c>
      <c r="AF64">
        <f t="shared" si="2"/>
        <v>3.4114789443519554E-4</v>
      </c>
      <c r="AG64">
        <f t="shared" si="3"/>
        <v>0.34114789443519555</v>
      </c>
      <c r="AH64">
        <f>AVERAGE($AG$6:AG64)</f>
        <v>0.16887257275941481</v>
      </c>
      <c r="AT64">
        <v>19</v>
      </c>
      <c r="AU64">
        <v>0.37</v>
      </c>
      <c r="AV64">
        <v>132.49100000000001</v>
      </c>
      <c r="AW64">
        <v>-0.184057</v>
      </c>
      <c r="BC64">
        <v>19</v>
      </c>
      <c r="BD64">
        <v>0.37</v>
      </c>
      <c r="BE64">
        <v>129.96299999999999</v>
      </c>
      <c r="BF64">
        <v>-1.1392100000000001</v>
      </c>
    </row>
    <row r="65" spans="9:58" x14ac:dyDescent="0.2">
      <c r="I65">
        <v>600000</v>
      </c>
      <c r="J65">
        <v>1.32514</v>
      </c>
      <c r="K65">
        <v>0.80366899999999997</v>
      </c>
      <c r="L65">
        <v>1984.03</v>
      </c>
      <c r="M65">
        <f t="shared" si="0"/>
        <v>5.0402463672424304E-4</v>
      </c>
      <c r="N65">
        <f t="shared" si="1"/>
        <v>0.50402463672424302</v>
      </c>
      <c r="O65">
        <f t="shared" si="20"/>
        <v>0.50490063876581126</v>
      </c>
      <c r="P65">
        <f t="shared" si="24"/>
        <v>5.1979536543628135E-2</v>
      </c>
      <c r="Q65">
        <f>AVERAGE($N$39:N65)</f>
        <v>0.47256330966533355</v>
      </c>
      <c r="AT65">
        <v>20</v>
      </c>
      <c r="AU65">
        <v>0.39</v>
      </c>
      <c r="AV65">
        <v>132.798</v>
      </c>
      <c r="AW65">
        <v>-0.10001699999999999</v>
      </c>
      <c r="BC65">
        <v>20</v>
      </c>
      <c r="BD65">
        <v>0.39</v>
      </c>
      <c r="BE65">
        <v>125.014</v>
      </c>
      <c r="BF65">
        <v>-1.4375500000000001</v>
      </c>
    </row>
    <row r="66" spans="9:58" x14ac:dyDescent="0.2">
      <c r="I66">
        <v>610000</v>
      </c>
      <c r="J66">
        <v>1.3169299999999999</v>
      </c>
      <c r="K66">
        <v>0.81725599999999998</v>
      </c>
      <c r="L66">
        <v>2021.79</v>
      </c>
      <c r="M66">
        <f t="shared" si="0"/>
        <v>4.9461121085770526E-4</v>
      </c>
      <c r="N66">
        <f t="shared" si="1"/>
        <v>0.49461121085770526</v>
      </c>
      <c r="O66">
        <f t="shared" si="20"/>
        <v>0.50939388939502295</v>
      </c>
      <c r="P66">
        <f t="shared" si="24"/>
        <v>4.8501279789880634E-2</v>
      </c>
      <c r="Q66">
        <f>AVERAGE($N$39:N66)</f>
        <v>0.47335073470791827</v>
      </c>
      <c r="AT66">
        <v>21</v>
      </c>
      <c r="AU66">
        <v>0.41</v>
      </c>
      <c r="AV66">
        <v>128.51400000000001</v>
      </c>
      <c r="AW66">
        <v>5.84854E-2</v>
      </c>
      <c r="BC66">
        <v>21</v>
      </c>
      <c r="BD66">
        <v>0.41</v>
      </c>
      <c r="BE66">
        <v>128.69800000000001</v>
      </c>
      <c r="BF66">
        <v>-1.48749</v>
      </c>
    </row>
    <row r="67" spans="9:58" x14ac:dyDescent="0.2">
      <c r="I67">
        <v>620000</v>
      </c>
      <c r="J67">
        <v>1.3188899999999999</v>
      </c>
      <c r="K67">
        <v>0.80892900000000001</v>
      </c>
      <c r="L67">
        <v>2000.23</v>
      </c>
      <c r="M67">
        <f t="shared" si="0"/>
        <v>4.9994250661173961E-4</v>
      </c>
      <c r="N67">
        <f t="shared" si="1"/>
        <v>0.49994250661173961</v>
      </c>
      <c r="O67">
        <f t="shared" si="20"/>
        <v>0.5138323364745998</v>
      </c>
      <c r="P67">
        <f t="shared" si="24"/>
        <v>4.4926357832019252E-2</v>
      </c>
      <c r="Q67">
        <f>AVERAGE($N$39:N67)</f>
        <v>0.47426769235977417</v>
      </c>
      <c r="AT67">
        <v>22</v>
      </c>
      <c r="AU67">
        <v>0.43</v>
      </c>
      <c r="AV67">
        <v>128.34100000000001</v>
      </c>
      <c r="AW67">
        <v>-0.18237900000000001</v>
      </c>
      <c r="BC67">
        <v>22</v>
      </c>
      <c r="BD67">
        <v>0.43</v>
      </c>
      <c r="BE67">
        <v>128.74</v>
      </c>
      <c r="BF67">
        <v>-1.22316</v>
      </c>
    </row>
    <row r="68" spans="9:58" x14ac:dyDescent="0.2">
      <c r="I68">
        <v>630000</v>
      </c>
      <c r="J68">
        <v>1.31301</v>
      </c>
      <c r="K68">
        <v>1.02481</v>
      </c>
      <c r="L68">
        <v>2537.79</v>
      </c>
      <c r="M68">
        <f t="shared" si="0"/>
        <v>3.9404363639229407E-4</v>
      </c>
      <c r="N68">
        <f t="shared" si="1"/>
        <v>0.39404363639229406</v>
      </c>
      <c r="O68">
        <f t="shared" si="20"/>
        <v>0.50481922527881173</v>
      </c>
      <c r="P68">
        <f t="shared" si="24"/>
        <v>5.8521408288124965E-2</v>
      </c>
      <c r="Q68">
        <f>AVERAGE($N$39:N68)</f>
        <v>0.47159355716085816</v>
      </c>
      <c r="AT68">
        <v>23</v>
      </c>
      <c r="AU68">
        <v>0.45</v>
      </c>
      <c r="AV68">
        <v>135.04</v>
      </c>
      <c r="AW68">
        <v>-0.20691899999999999</v>
      </c>
      <c r="BC68">
        <v>23</v>
      </c>
      <c r="BD68">
        <v>0.45</v>
      </c>
      <c r="BE68">
        <v>129.64099999999999</v>
      </c>
      <c r="BF68">
        <v>-1.2714799999999999</v>
      </c>
    </row>
    <row r="69" spans="9:58" x14ac:dyDescent="0.2">
      <c r="I69">
        <v>640000</v>
      </c>
      <c r="J69">
        <v>1.3208200000000001</v>
      </c>
      <c r="K69">
        <v>0.91673099999999996</v>
      </c>
      <c r="L69">
        <v>2265.6999999999998</v>
      </c>
      <c r="M69">
        <f t="shared" si="0"/>
        <v>4.4136469965132193E-4</v>
      </c>
      <c r="N69">
        <f t="shared" si="1"/>
        <v>0.44136469965132191</v>
      </c>
      <c r="O69">
        <f t="shared" si="20"/>
        <v>0.50069547614254906</v>
      </c>
      <c r="P69">
        <f t="shared" si="24"/>
        <v>6.1631182758517852E-2</v>
      </c>
      <c r="Q69">
        <f>AVERAGE($N$39:N69)</f>
        <v>0.47061843272506665</v>
      </c>
      <c r="AT69">
        <v>24</v>
      </c>
      <c r="AU69">
        <v>0.47</v>
      </c>
      <c r="AV69">
        <v>136.09700000000001</v>
      </c>
      <c r="AW69">
        <v>-0.28717700000000002</v>
      </c>
      <c r="BC69">
        <v>24</v>
      </c>
      <c r="BD69">
        <v>0.47</v>
      </c>
      <c r="BE69">
        <v>129.55000000000001</v>
      </c>
      <c r="BF69">
        <v>-1.5397099999999999</v>
      </c>
    </row>
    <row r="70" spans="9:58" x14ac:dyDescent="0.2">
      <c r="I70">
        <v>650000</v>
      </c>
      <c r="J70">
        <v>1.31376</v>
      </c>
      <c r="K70">
        <v>0.88905199999999995</v>
      </c>
      <c r="L70">
        <v>2201.2600000000002</v>
      </c>
      <c r="M70">
        <f t="shared" si="0"/>
        <v>4.542852729800205E-4</v>
      </c>
      <c r="N70">
        <f t="shared" si="1"/>
        <v>0.45428527298002047</v>
      </c>
      <c r="O70">
        <f t="shared" si="20"/>
        <v>0.4892954891652283</v>
      </c>
      <c r="P70">
        <f t="shared" si="24"/>
        <v>5.8187027084259713E-2</v>
      </c>
      <c r="Q70">
        <f>AVERAGE($N$39:N70)</f>
        <v>0.47010802148303399</v>
      </c>
      <c r="AT70">
        <v>25</v>
      </c>
      <c r="AU70">
        <v>0.49</v>
      </c>
      <c r="AV70">
        <v>132.11000000000001</v>
      </c>
      <c r="AW70">
        <v>-0.35444399999999998</v>
      </c>
      <c r="BC70">
        <v>25</v>
      </c>
      <c r="BD70">
        <v>0.49</v>
      </c>
      <c r="BE70">
        <v>127.994</v>
      </c>
      <c r="BF70">
        <v>-1.4589000000000001</v>
      </c>
    </row>
    <row r="71" spans="9:58" x14ac:dyDescent="0.2">
      <c r="I71">
        <v>660000</v>
      </c>
      <c r="J71">
        <v>1.3145800000000001</v>
      </c>
      <c r="K71">
        <v>1.05636</v>
      </c>
      <c r="L71">
        <v>2614.87</v>
      </c>
      <c r="M71">
        <f t="shared" ref="M71:M134" si="25">1/L71</f>
        <v>3.824281895467079E-4</v>
      </c>
      <c r="N71">
        <f t="shared" ref="N71:N134" si="26">M71*1000</f>
        <v>0.38242818954670788</v>
      </c>
      <c r="O71">
        <f t="shared" si="20"/>
        <v>0.48035269406991066</v>
      </c>
      <c r="P71">
        <f t="shared" si="24"/>
        <v>6.732039817408246E-2</v>
      </c>
      <c r="Q71">
        <f>AVERAGE($N$39:N71)</f>
        <v>0.46745105687890293</v>
      </c>
      <c r="AT71">
        <v>26</v>
      </c>
      <c r="AU71">
        <v>0.51</v>
      </c>
      <c r="AV71">
        <v>134.69300000000001</v>
      </c>
      <c r="AW71">
        <v>-0.32482</v>
      </c>
      <c r="BC71">
        <v>26</v>
      </c>
      <c r="BD71">
        <v>0.51</v>
      </c>
      <c r="BE71">
        <v>131.23699999999999</v>
      </c>
      <c r="BF71">
        <v>-1.5582499999999999</v>
      </c>
    </row>
    <row r="72" spans="9:58" x14ac:dyDescent="0.2">
      <c r="I72">
        <v>670000</v>
      </c>
      <c r="J72">
        <v>1.31725</v>
      </c>
      <c r="K72">
        <v>1.14714</v>
      </c>
      <c r="L72">
        <v>2837.77</v>
      </c>
      <c r="M72">
        <f t="shared" si="25"/>
        <v>3.5238937616508735E-4</v>
      </c>
      <c r="N72">
        <f t="shared" si="26"/>
        <v>0.35238937616508736</v>
      </c>
      <c r="O72">
        <f t="shared" si="20"/>
        <v>0.46842004030561252</v>
      </c>
      <c r="P72">
        <f t="shared" si="24"/>
        <v>7.8644388505182919E-2</v>
      </c>
      <c r="Q72">
        <f>AVERAGE($N$39:N72)</f>
        <v>0.46406688979908478</v>
      </c>
      <c r="AT72">
        <v>27</v>
      </c>
      <c r="AU72">
        <v>0.53</v>
      </c>
      <c r="AV72">
        <v>130.47200000000001</v>
      </c>
      <c r="AW72">
        <v>-0.42668099999999998</v>
      </c>
      <c r="BC72">
        <v>27</v>
      </c>
      <c r="BD72">
        <v>0.53</v>
      </c>
      <c r="BE72">
        <v>131.87</v>
      </c>
      <c r="BF72">
        <v>-1.51677</v>
      </c>
    </row>
    <row r="73" spans="9:58" x14ac:dyDescent="0.2">
      <c r="I73">
        <v>680000</v>
      </c>
      <c r="J73">
        <v>1.3250200000000001</v>
      </c>
      <c r="K73">
        <v>1.03166</v>
      </c>
      <c r="L73">
        <v>2547.0700000000002</v>
      </c>
      <c r="M73">
        <f t="shared" si="25"/>
        <v>3.9260797700887685E-4</v>
      </c>
      <c r="N73">
        <f t="shared" si="26"/>
        <v>0.39260797700887684</v>
      </c>
      <c r="O73">
        <f t="shared" si="20"/>
        <v>0.45073679691568014</v>
      </c>
      <c r="P73">
        <f t="shared" si="24"/>
        <v>7.3090386422820994E-2</v>
      </c>
      <c r="Q73">
        <f>AVERAGE($N$39:N73)</f>
        <v>0.46202520657650742</v>
      </c>
      <c r="AT73">
        <v>28</v>
      </c>
      <c r="AU73">
        <v>0.55000000000000004</v>
      </c>
      <c r="AV73">
        <v>128.27000000000001</v>
      </c>
      <c r="AW73">
        <v>-0.41223700000000002</v>
      </c>
      <c r="BC73">
        <v>28</v>
      </c>
      <c r="BD73">
        <v>0.55000000000000004</v>
      </c>
      <c r="BE73">
        <v>127.126</v>
      </c>
      <c r="BF73">
        <v>-1.4244399999999999</v>
      </c>
    </row>
    <row r="74" spans="9:58" x14ac:dyDescent="0.2">
      <c r="I74">
        <v>690000</v>
      </c>
      <c r="J74">
        <v>1.3043499999999999</v>
      </c>
      <c r="K74">
        <v>1.0043200000000001</v>
      </c>
      <c r="L74">
        <v>2492.4499999999998</v>
      </c>
      <c r="M74">
        <f t="shared" si="25"/>
        <v>4.0121165921081669E-4</v>
      </c>
      <c r="N74">
        <f t="shared" si="26"/>
        <v>0.4012116592108167</v>
      </c>
      <c r="O74">
        <f t="shared" si="20"/>
        <v>0.43169091651488134</v>
      </c>
      <c r="P74">
        <f t="shared" si="24"/>
        <v>5.4815677655580479E-2</v>
      </c>
      <c r="Q74">
        <f>AVERAGE($N$39:N74)</f>
        <v>0.46033594137190487</v>
      </c>
      <c r="AT74">
        <v>29</v>
      </c>
      <c r="AU74">
        <v>0.56999999999999995</v>
      </c>
      <c r="AV74">
        <v>131.01499999999999</v>
      </c>
      <c r="AW74">
        <v>-0.52938399999999997</v>
      </c>
      <c r="BC74">
        <v>29</v>
      </c>
      <c r="BD74">
        <v>0.56999999999999995</v>
      </c>
      <c r="BE74">
        <v>129.179</v>
      </c>
      <c r="BF74">
        <v>-1.48153</v>
      </c>
    </row>
    <row r="75" spans="9:58" x14ac:dyDescent="0.2">
      <c r="I75">
        <v>700000</v>
      </c>
      <c r="J75">
        <v>1.3215699999999999</v>
      </c>
      <c r="K75">
        <v>0.95473300000000005</v>
      </c>
      <c r="L75">
        <v>2359.1799999999998</v>
      </c>
      <c r="M75">
        <f t="shared" si="25"/>
        <v>4.2387609254062854E-4</v>
      </c>
      <c r="N75">
        <f t="shared" si="26"/>
        <v>0.42387609254062852</v>
      </c>
      <c r="O75">
        <f t="shared" si="20"/>
        <v>0.42367606209651987</v>
      </c>
      <c r="P75">
        <f t="shared" si="24"/>
        <v>4.8567652852618041E-2</v>
      </c>
      <c r="Q75">
        <f>AVERAGE($N$39:N75)</f>
        <v>0.45935054005214065</v>
      </c>
      <c r="AT75">
        <v>30</v>
      </c>
      <c r="AU75">
        <v>0.59</v>
      </c>
      <c r="AV75">
        <v>126.831</v>
      </c>
      <c r="AW75">
        <v>-0.445577</v>
      </c>
      <c r="BC75">
        <v>30</v>
      </c>
      <c r="BD75">
        <v>0.59</v>
      </c>
      <c r="BE75">
        <v>126.733</v>
      </c>
      <c r="BF75">
        <v>-1.4123300000000001</v>
      </c>
    </row>
    <row r="76" spans="9:58" x14ac:dyDescent="0.2">
      <c r="I76">
        <v>710000</v>
      </c>
      <c r="J76">
        <v>1.31863</v>
      </c>
      <c r="K76">
        <v>0.87839699999999998</v>
      </c>
      <c r="L76">
        <v>2172.3000000000002</v>
      </c>
      <c r="M76">
        <f t="shared" si="25"/>
        <v>4.60341573447498E-4</v>
      </c>
      <c r="N76">
        <f t="shared" si="26"/>
        <v>0.46034157344749799</v>
      </c>
      <c r="O76">
        <f t="shared" si="20"/>
        <v>0.42024909835549906</v>
      </c>
      <c r="P76">
        <f t="shared" si="24"/>
        <v>4.4000600653155648E-2</v>
      </c>
      <c r="Q76">
        <f>AVERAGE($N$39:N76)</f>
        <v>0.45937661987833422</v>
      </c>
      <c r="AT76">
        <v>31</v>
      </c>
      <c r="AU76">
        <v>0.61</v>
      </c>
      <c r="AV76">
        <v>132.58500000000001</v>
      </c>
      <c r="AW76">
        <v>-0.20582300000000001</v>
      </c>
      <c r="BC76">
        <v>31</v>
      </c>
      <c r="BD76">
        <v>0.61</v>
      </c>
      <c r="BE76">
        <v>128.87100000000001</v>
      </c>
      <c r="BF76">
        <v>-1.47499</v>
      </c>
    </row>
    <row r="77" spans="9:58" x14ac:dyDescent="0.2">
      <c r="I77">
        <v>720000</v>
      </c>
      <c r="J77">
        <v>1.31924</v>
      </c>
      <c r="K77">
        <v>1.00092</v>
      </c>
      <c r="L77">
        <v>2474.7600000000002</v>
      </c>
      <c r="M77">
        <f t="shared" si="25"/>
        <v>4.0407958751555704E-4</v>
      </c>
      <c r="N77">
        <f t="shared" si="26"/>
        <v>0.40407958751555706</v>
      </c>
      <c r="O77">
        <f t="shared" si="20"/>
        <v>0.41066280644588088</v>
      </c>
      <c r="P77">
        <f t="shared" si="24"/>
        <v>3.401947082364809E-2</v>
      </c>
      <c r="Q77">
        <f>AVERAGE($N$39:N77)</f>
        <v>0.45795874725364766</v>
      </c>
      <c r="AT77">
        <v>32</v>
      </c>
      <c r="AU77">
        <v>0.63</v>
      </c>
      <c r="AV77">
        <v>133.85</v>
      </c>
      <c r="AW77">
        <v>2.1216700000000002E-2</v>
      </c>
      <c r="BC77">
        <v>32</v>
      </c>
      <c r="BD77">
        <v>0.63</v>
      </c>
      <c r="BE77">
        <v>126.226</v>
      </c>
      <c r="BF77">
        <v>-1.30715</v>
      </c>
    </row>
    <row r="78" spans="9:58" x14ac:dyDescent="0.2">
      <c r="I78">
        <v>730000</v>
      </c>
      <c r="J78">
        <v>1.3139099999999999</v>
      </c>
      <c r="K78">
        <v>0.97826199999999996</v>
      </c>
      <c r="L78">
        <v>2422.0100000000002</v>
      </c>
      <c r="M78">
        <f t="shared" si="25"/>
        <v>4.1288021106436387E-4</v>
      </c>
      <c r="N78">
        <f t="shared" si="26"/>
        <v>0.41288021106436384</v>
      </c>
      <c r="O78">
        <f t="shared" si="20"/>
        <v>0.41254646391308791</v>
      </c>
      <c r="P78">
        <f t="shared" si="24"/>
        <v>3.3514769499636332E-2</v>
      </c>
      <c r="Q78">
        <f>AVERAGE($N$39:N78)</f>
        <v>0.4568317838489156</v>
      </c>
      <c r="AT78">
        <v>33</v>
      </c>
      <c r="AU78">
        <v>0.65</v>
      </c>
      <c r="AV78">
        <v>128.02699999999999</v>
      </c>
      <c r="AW78">
        <v>0.134547</v>
      </c>
      <c r="BC78">
        <v>33</v>
      </c>
      <c r="BD78">
        <v>0.65</v>
      </c>
      <c r="BE78">
        <v>130.16499999999999</v>
      </c>
      <c r="BF78">
        <v>-1.1377900000000001</v>
      </c>
    </row>
    <row r="79" spans="9:58" x14ac:dyDescent="0.2">
      <c r="I79">
        <v>740000</v>
      </c>
      <c r="J79">
        <v>1.3223100000000001</v>
      </c>
      <c r="K79">
        <v>1.00264</v>
      </c>
      <c r="L79">
        <v>2477.0500000000002</v>
      </c>
      <c r="M79">
        <f t="shared" si="25"/>
        <v>4.0370602127530729E-4</v>
      </c>
      <c r="N79">
        <f t="shared" si="26"/>
        <v>0.4037060212753073</v>
      </c>
      <c r="O79">
        <f t="shared" si="20"/>
        <v>0.40878059607548634</v>
      </c>
      <c r="P79">
        <f t="shared" si="24"/>
        <v>3.1998269190672085E-2</v>
      </c>
      <c r="Q79">
        <f>AVERAGE($N$39:N79)</f>
        <v>0.45553603354224226</v>
      </c>
      <c r="AT79">
        <v>34</v>
      </c>
      <c r="AU79">
        <v>0.67</v>
      </c>
      <c r="AV79">
        <v>130.477</v>
      </c>
      <c r="AW79">
        <v>-0.115601</v>
      </c>
      <c r="BC79">
        <v>34</v>
      </c>
      <c r="BD79">
        <v>0.67</v>
      </c>
      <c r="BE79">
        <v>126.279</v>
      </c>
      <c r="BF79">
        <v>-1.0159400000000001</v>
      </c>
    </row>
    <row r="80" spans="9:58" x14ac:dyDescent="0.2">
      <c r="I80">
        <v>750000</v>
      </c>
      <c r="J80">
        <v>1.3208299999999999</v>
      </c>
      <c r="K80">
        <v>0.88047500000000001</v>
      </c>
      <c r="L80">
        <v>2176.0300000000002</v>
      </c>
      <c r="M80">
        <f t="shared" si="25"/>
        <v>4.5955248778739257E-4</v>
      </c>
      <c r="N80">
        <f t="shared" si="26"/>
        <v>0.45955248778739255</v>
      </c>
      <c r="O80">
        <f>AVERAGE(N71:N80)</f>
        <v>0.40930731755622352</v>
      </c>
      <c r="P80">
        <f t="shared" si="24"/>
        <v>3.2862234477056246E-2</v>
      </c>
      <c r="Q80">
        <f>AVERAGE($N$39:N80)</f>
        <v>0.45563166340522199</v>
      </c>
      <c r="AT80">
        <v>35</v>
      </c>
      <c r="AU80">
        <v>0.69</v>
      </c>
      <c r="AV80">
        <v>132.255</v>
      </c>
      <c r="AW80">
        <v>-6.3429700000000006E-2</v>
      </c>
      <c r="BC80">
        <v>35</v>
      </c>
      <c r="BD80">
        <v>0.69</v>
      </c>
      <c r="BE80">
        <v>122.893</v>
      </c>
      <c r="BF80">
        <v>-1.2040299999999999</v>
      </c>
    </row>
    <row r="81" spans="9:58" x14ac:dyDescent="0.2">
      <c r="I81">
        <v>760000</v>
      </c>
      <c r="J81">
        <v>1.3158799999999999</v>
      </c>
      <c r="K81">
        <v>0.85750899999999997</v>
      </c>
      <c r="L81">
        <v>2122.1</v>
      </c>
      <c r="M81">
        <f t="shared" si="25"/>
        <v>4.7123132745864946E-4</v>
      </c>
      <c r="N81">
        <f t="shared" si="26"/>
        <v>0.47123132745864948</v>
      </c>
      <c r="O81">
        <f t="shared" ref="O81:O144" si="27">AVERAGE(N72:N81)</f>
        <v>0.41818763134741771</v>
      </c>
      <c r="P81">
        <f t="shared" ref="P81:P131" si="28">STDEV(N72:N81)</f>
        <v>3.6579948731766954E-2</v>
      </c>
      <c r="Q81">
        <f>AVERAGE($N$39:N81)</f>
        <v>0.45599444629018543</v>
      </c>
      <c r="AT81">
        <v>36</v>
      </c>
      <c r="AU81">
        <v>0.71</v>
      </c>
      <c r="AV81">
        <v>132.63900000000001</v>
      </c>
      <c r="AW81">
        <v>-0.150062</v>
      </c>
      <c r="BC81">
        <v>36</v>
      </c>
      <c r="BD81">
        <v>0.71</v>
      </c>
      <c r="BE81">
        <v>125.718</v>
      </c>
      <c r="BF81">
        <v>-0.74180800000000002</v>
      </c>
    </row>
    <row r="82" spans="9:58" x14ac:dyDescent="0.2">
      <c r="I82">
        <v>770000</v>
      </c>
      <c r="J82">
        <v>1.3140700000000001</v>
      </c>
      <c r="K82">
        <v>0.93391999999999997</v>
      </c>
      <c r="L82">
        <v>2312</v>
      </c>
      <c r="M82">
        <f t="shared" si="25"/>
        <v>4.3252595155709344E-4</v>
      </c>
      <c r="N82">
        <f t="shared" si="26"/>
        <v>0.43252595155709345</v>
      </c>
      <c r="O82">
        <f t="shared" si="27"/>
        <v>0.42620128888661835</v>
      </c>
      <c r="P82">
        <f t="shared" si="28"/>
        <v>2.8434767085400044E-2</v>
      </c>
      <c r="Q82">
        <f>AVERAGE($N$39:N82)</f>
        <v>0.45546107140988784</v>
      </c>
      <c r="AT82">
        <v>37</v>
      </c>
      <c r="AU82">
        <v>0.73</v>
      </c>
      <c r="AV82">
        <v>132.33000000000001</v>
      </c>
      <c r="AW82">
        <v>-2.0856599999999999E-2</v>
      </c>
      <c r="BC82">
        <v>37</v>
      </c>
      <c r="BD82">
        <v>0.73</v>
      </c>
      <c r="BE82">
        <v>132.10400000000001</v>
      </c>
      <c r="BF82">
        <v>-0.54567200000000005</v>
      </c>
    </row>
    <row r="83" spans="9:58" x14ac:dyDescent="0.2">
      <c r="I83">
        <v>780000</v>
      </c>
      <c r="J83">
        <v>1.3211999999999999</v>
      </c>
      <c r="K83">
        <v>0.98110200000000003</v>
      </c>
      <c r="L83">
        <v>2424.61</v>
      </c>
      <c r="M83">
        <f t="shared" si="25"/>
        <v>4.124374641694953E-4</v>
      </c>
      <c r="N83">
        <f t="shared" si="26"/>
        <v>0.41243746416949528</v>
      </c>
      <c r="O83">
        <f t="shared" si="27"/>
        <v>0.42818423760268026</v>
      </c>
      <c r="P83">
        <f t="shared" si="28"/>
        <v>2.6454227187165953E-2</v>
      </c>
      <c r="Q83">
        <f>AVERAGE($N$39:N83)</f>
        <v>0.45450499124899024</v>
      </c>
      <c r="AT83">
        <v>38</v>
      </c>
      <c r="AU83">
        <v>0.75</v>
      </c>
      <c r="AV83">
        <v>128.62</v>
      </c>
      <c r="AW83">
        <v>-4.5169800000000003E-2</v>
      </c>
      <c r="BC83">
        <v>38</v>
      </c>
      <c r="BD83">
        <v>0.75</v>
      </c>
      <c r="BE83">
        <v>128.077</v>
      </c>
      <c r="BF83">
        <v>-0.24062800000000001</v>
      </c>
    </row>
    <row r="84" spans="9:58" x14ac:dyDescent="0.2">
      <c r="I84">
        <v>790000</v>
      </c>
      <c r="J84">
        <v>1.32131</v>
      </c>
      <c r="K84">
        <v>1.00369</v>
      </c>
      <c r="L84">
        <v>2480.35</v>
      </c>
      <c r="M84">
        <f t="shared" si="25"/>
        <v>4.0316890761384484E-4</v>
      </c>
      <c r="N84">
        <f t="shared" si="26"/>
        <v>0.40316890761384483</v>
      </c>
      <c r="O84">
        <f t="shared" si="27"/>
        <v>0.42837996244298304</v>
      </c>
      <c r="P84">
        <f t="shared" si="28"/>
        <v>2.6238857723794348E-2</v>
      </c>
      <c r="Q84">
        <f>AVERAGE($N$39:N84)</f>
        <v>0.45338898943083494</v>
      </c>
      <c r="AT84">
        <v>39</v>
      </c>
      <c r="AU84">
        <v>0.77</v>
      </c>
      <c r="AV84">
        <v>125.09699999999999</v>
      </c>
      <c r="AW84">
        <v>6.2251099999999997E-2</v>
      </c>
      <c r="BC84">
        <v>39</v>
      </c>
      <c r="BD84">
        <v>0.77</v>
      </c>
      <c r="BE84">
        <v>127.259</v>
      </c>
      <c r="BF84">
        <v>6.8312399999999995E-2</v>
      </c>
    </row>
    <row r="85" spans="9:58" x14ac:dyDescent="0.2">
      <c r="I85">
        <v>800000</v>
      </c>
      <c r="J85">
        <v>1.3214300000000001</v>
      </c>
      <c r="K85">
        <v>0.82219100000000001</v>
      </c>
      <c r="L85">
        <v>2031.69</v>
      </c>
      <c r="M85">
        <f t="shared" si="25"/>
        <v>4.9220107398274338E-4</v>
      </c>
      <c r="N85">
        <f t="shared" si="26"/>
        <v>0.49220107398274338</v>
      </c>
      <c r="O85">
        <f t="shared" si="27"/>
        <v>0.43521246058719454</v>
      </c>
      <c r="P85">
        <f t="shared" si="28"/>
        <v>3.296853384839072E-2</v>
      </c>
      <c r="Q85">
        <f>AVERAGE($N$39:N85)</f>
        <v>0.45421477846385433</v>
      </c>
      <c r="AT85">
        <v>40</v>
      </c>
      <c r="AU85">
        <v>0.79</v>
      </c>
      <c r="AV85">
        <v>123.29</v>
      </c>
      <c r="AW85">
        <v>2.1545600000000002E-2</v>
      </c>
      <c r="BC85">
        <v>40</v>
      </c>
      <c r="BD85">
        <v>0.79</v>
      </c>
      <c r="BE85">
        <v>127.846</v>
      </c>
      <c r="BF85">
        <v>0.26069399999999998</v>
      </c>
    </row>
    <row r="86" spans="9:58" x14ac:dyDescent="0.2">
      <c r="I86">
        <v>810000</v>
      </c>
      <c r="J86">
        <v>1.3108200000000001</v>
      </c>
      <c r="K86">
        <v>0.85443000000000002</v>
      </c>
      <c r="L86">
        <v>2117.19</v>
      </c>
      <c r="M86">
        <f t="shared" si="25"/>
        <v>4.7232416552128053E-4</v>
      </c>
      <c r="N86">
        <f t="shared" si="26"/>
        <v>0.47232416552128054</v>
      </c>
      <c r="O86">
        <f t="shared" si="27"/>
        <v>0.4364107197945728</v>
      </c>
      <c r="P86">
        <f t="shared" si="28"/>
        <v>3.4178885775513659E-2</v>
      </c>
      <c r="Q86">
        <f>AVERAGE($N$39:N86)</f>
        <v>0.45459205736088398</v>
      </c>
      <c r="AT86">
        <v>41</v>
      </c>
      <c r="AU86">
        <v>0.81</v>
      </c>
      <c r="AV86">
        <v>123.452</v>
      </c>
      <c r="AW86">
        <v>-3.3128600000000001E-2</v>
      </c>
      <c r="BC86">
        <v>41</v>
      </c>
      <c r="BD86">
        <v>0.81</v>
      </c>
      <c r="BE86">
        <v>124.023</v>
      </c>
      <c r="BF86">
        <v>0.44852799999999998</v>
      </c>
    </row>
    <row r="87" spans="9:58" x14ac:dyDescent="0.2">
      <c r="I87">
        <v>820000</v>
      </c>
      <c r="J87">
        <v>1.3177399999999999</v>
      </c>
      <c r="K87">
        <v>0.85142700000000004</v>
      </c>
      <c r="L87">
        <v>2105.9499999999998</v>
      </c>
      <c r="M87">
        <f t="shared" si="25"/>
        <v>4.7484508179206536E-4</v>
      </c>
      <c r="N87">
        <f t="shared" si="26"/>
        <v>0.47484508179206536</v>
      </c>
      <c r="O87">
        <f t="shared" si="27"/>
        <v>0.4434872692222237</v>
      </c>
      <c r="P87">
        <f t="shared" si="28"/>
        <v>3.4066745996958726E-2</v>
      </c>
      <c r="Q87">
        <f>AVERAGE($N$39:N87)</f>
        <v>0.45500538439009175</v>
      </c>
      <c r="AT87">
        <v>42</v>
      </c>
      <c r="AU87">
        <v>0.83</v>
      </c>
      <c r="AV87">
        <v>128.47999999999999</v>
      </c>
      <c r="AW87">
        <v>2.7778500000000001E-2</v>
      </c>
      <c r="BC87">
        <v>42</v>
      </c>
      <c r="BD87">
        <v>0.83</v>
      </c>
      <c r="BE87">
        <v>125.28400000000001</v>
      </c>
      <c r="BF87">
        <v>0.59434399999999998</v>
      </c>
    </row>
    <row r="88" spans="9:58" x14ac:dyDescent="0.2">
      <c r="I88">
        <v>830000</v>
      </c>
      <c r="J88">
        <v>1.31755</v>
      </c>
      <c r="K88">
        <v>0.89262600000000003</v>
      </c>
      <c r="L88">
        <v>2207.79</v>
      </c>
      <c r="M88">
        <f t="shared" si="25"/>
        <v>4.5294162941221766E-4</v>
      </c>
      <c r="N88">
        <f t="shared" si="26"/>
        <v>0.45294162941221766</v>
      </c>
      <c r="O88">
        <f t="shared" si="27"/>
        <v>0.44749341105700902</v>
      </c>
      <c r="P88">
        <f t="shared" si="28"/>
        <v>3.2381390126825574E-2</v>
      </c>
      <c r="Q88">
        <f>AVERAGE($N$39:N88)</f>
        <v>0.45496410929053432</v>
      </c>
      <c r="AT88">
        <v>43</v>
      </c>
      <c r="AU88">
        <v>0.85</v>
      </c>
      <c r="AV88">
        <v>125.38500000000001</v>
      </c>
      <c r="AW88">
        <v>9.4292100000000004E-2</v>
      </c>
      <c r="BC88">
        <v>43</v>
      </c>
      <c r="BD88">
        <v>0.85</v>
      </c>
      <c r="BE88">
        <v>127.872</v>
      </c>
      <c r="BF88">
        <v>0.90209700000000004</v>
      </c>
    </row>
    <row r="89" spans="9:58" x14ac:dyDescent="0.2">
      <c r="I89">
        <v>840000</v>
      </c>
      <c r="J89">
        <v>1.31097</v>
      </c>
      <c r="K89">
        <v>0.89176900000000003</v>
      </c>
      <c r="L89">
        <v>2209.65</v>
      </c>
      <c r="M89">
        <f t="shared" si="25"/>
        <v>4.5256036023804671E-4</v>
      </c>
      <c r="N89">
        <f t="shared" si="26"/>
        <v>0.45256036023804669</v>
      </c>
      <c r="O89">
        <f t="shared" si="27"/>
        <v>0.45237884495328295</v>
      </c>
      <c r="P89">
        <f t="shared" si="28"/>
        <v>2.8492988738890779E-2</v>
      </c>
      <c r="Q89">
        <f>AVERAGE($N$39:N89)</f>
        <v>0.45491697695617178</v>
      </c>
      <c r="AT89">
        <v>44</v>
      </c>
      <c r="AU89">
        <v>0.87</v>
      </c>
      <c r="AV89">
        <v>125.093</v>
      </c>
      <c r="AW89">
        <v>-1.39799E-2</v>
      </c>
      <c r="BC89">
        <v>44</v>
      </c>
      <c r="BD89">
        <v>0.87</v>
      </c>
      <c r="BE89">
        <v>125.26300000000001</v>
      </c>
      <c r="BF89">
        <v>1.27664</v>
      </c>
    </row>
    <row r="90" spans="9:58" x14ac:dyDescent="0.2">
      <c r="I90">
        <v>850000</v>
      </c>
      <c r="J90">
        <v>1.3166500000000001</v>
      </c>
      <c r="K90">
        <v>0.83897900000000003</v>
      </c>
      <c r="L90">
        <v>2075.6999999999998</v>
      </c>
      <c r="M90">
        <f t="shared" si="25"/>
        <v>4.8176518764754062E-4</v>
      </c>
      <c r="N90">
        <f t="shared" si="26"/>
        <v>0.48176518764754062</v>
      </c>
      <c r="O90">
        <f t="shared" si="27"/>
        <v>0.45460011493929775</v>
      </c>
      <c r="P90">
        <f t="shared" si="28"/>
        <v>2.9943296870726787E-2</v>
      </c>
      <c r="Q90">
        <f>AVERAGE($N$39:N90)</f>
        <v>0.45543328870023658</v>
      </c>
      <c r="AT90">
        <v>45</v>
      </c>
      <c r="AU90">
        <v>0.89</v>
      </c>
      <c r="AV90">
        <v>123.998</v>
      </c>
      <c r="AW90">
        <v>0.136159</v>
      </c>
      <c r="BC90">
        <v>45</v>
      </c>
      <c r="BD90">
        <v>0.89</v>
      </c>
      <c r="BE90">
        <v>132.90700000000001</v>
      </c>
      <c r="BF90">
        <v>1.3889800000000001</v>
      </c>
    </row>
    <row r="91" spans="9:58" x14ac:dyDescent="0.2">
      <c r="I91">
        <v>860000</v>
      </c>
      <c r="J91">
        <v>1.3182</v>
      </c>
      <c r="K91">
        <v>0.81030999999999997</v>
      </c>
      <c r="L91">
        <v>2003.97</v>
      </c>
      <c r="M91">
        <f t="shared" si="25"/>
        <v>4.99009466209574E-4</v>
      </c>
      <c r="N91">
        <f t="shared" si="26"/>
        <v>0.49900946620957398</v>
      </c>
      <c r="O91">
        <f t="shared" si="27"/>
        <v>0.45737792881439016</v>
      </c>
      <c r="P91">
        <f t="shared" si="28"/>
        <v>3.2808941868088796E-2</v>
      </c>
      <c r="Q91">
        <f>AVERAGE($N$39:N91)</f>
        <v>0.45625548072871464</v>
      </c>
      <c r="AT91">
        <v>46</v>
      </c>
      <c r="AU91">
        <v>0.91</v>
      </c>
      <c r="AV91">
        <v>121.142</v>
      </c>
      <c r="AW91">
        <v>0.101211</v>
      </c>
      <c r="BC91">
        <v>46</v>
      </c>
      <c r="BD91">
        <v>0.91</v>
      </c>
      <c r="BE91">
        <v>127.2</v>
      </c>
      <c r="BF91">
        <v>1.7424299999999999</v>
      </c>
    </row>
    <row r="92" spans="9:58" x14ac:dyDescent="0.2">
      <c r="I92">
        <v>870000</v>
      </c>
      <c r="J92">
        <v>1.3182799999999999</v>
      </c>
      <c r="K92">
        <v>0.82913300000000001</v>
      </c>
      <c r="L92">
        <v>2050.46</v>
      </c>
      <c r="M92">
        <f t="shared" si="25"/>
        <v>4.876954439491626E-4</v>
      </c>
      <c r="N92">
        <f t="shared" si="26"/>
        <v>0.48769544394916259</v>
      </c>
      <c r="O92">
        <f t="shared" si="27"/>
        <v>0.46289487805359703</v>
      </c>
      <c r="P92">
        <f t="shared" si="28"/>
        <v>3.2804138729066852E-2</v>
      </c>
      <c r="Q92">
        <f>AVERAGE($N$39:N92)</f>
        <v>0.45683770226983406</v>
      </c>
      <c r="AT92">
        <v>47</v>
      </c>
      <c r="AU92">
        <v>0.93</v>
      </c>
      <c r="AV92">
        <v>120.958</v>
      </c>
      <c r="AW92">
        <v>0.232738</v>
      </c>
      <c r="BC92">
        <v>47</v>
      </c>
      <c r="BD92">
        <v>0.93</v>
      </c>
      <c r="BE92">
        <v>122.607</v>
      </c>
      <c r="BF92">
        <v>1.9532099999999999</v>
      </c>
    </row>
    <row r="93" spans="9:58" x14ac:dyDescent="0.2">
      <c r="I93">
        <v>880000</v>
      </c>
      <c r="J93">
        <v>1.32029</v>
      </c>
      <c r="K93">
        <v>1.0361100000000001</v>
      </c>
      <c r="L93">
        <v>2561.0500000000002</v>
      </c>
      <c r="M93">
        <f t="shared" si="25"/>
        <v>3.9046484840202261E-4</v>
      </c>
      <c r="N93">
        <f t="shared" si="26"/>
        <v>0.39046484840202261</v>
      </c>
      <c r="O93">
        <f t="shared" si="27"/>
        <v>0.46069761647684981</v>
      </c>
      <c r="P93">
        <f t="shared" si="28"/>
        <v>3.7023840149726775E-2</v>
      </c>
      <c r="Q93">
        <f>AVERAGE($N$39:N93)</f>
        <v>0.45563092310860115</v>
      </c>
      <c r="AT93">
        <v>48</v>
      </c>
      <c r="AU93">
        <v>0.95</v>
      </c>
      <c r="AV93">
        <v>122.33199999999999</v>
      </c>
      <c r="AW93">
        <v>0.41235300000000003</v>
      </c>
      <c r="BC93">
        <v>48</v>
      </c>
      <c r="BD93">
        <v>0.95</v>
      </c>
      <c r="BE93">
        <v>122.536</v>
      </c>
      <c r="BF93">
        <v>1.8144199999999999</v>
      </c>
    </row>
    <row r="94" spans="9:58" x14ac:dyDescent="0.2">
      <c r="I94">
        <v>890000</v>
      </c>
      <c r="J94">
        <v>1.3190900000000001</v>
      </c>
      <c r="K94">
        <v>0.99869699999999995</v>
      </c>
      <c r="L94">
        <v>2469.34</v>
      </c>
      <c r="M94">
        <f t="shared" si="25"/>
        <v>4.0496650926968338E-4</v>
      </c>
      <c r="N94">
        <f t="shared" si="26"/>
        <v>0.40496650926968336</v>
      </c>
      <c r="O94">
        <f t="shared" si="27"/>
        <v>0.46087737664243367</v>
      </c>
      <c r="P94">
        <f t="shared" si="28"/>
        <v>3.6716577371375257E-2</v>
      </c>
      <c r="Q94">
        <f>AVERAGE($N$39:N94)</f>
        <v>0.45472620143290621</v>
      </c>
      <c r="AT94">
        <v>49</v>
      </c>
      <c r="AU94">
        <v>0.97</v>
      </c>
      <c r="AV94">
        <v>126.31</v>
      </c>
      <c r="AW94">
        <v>0.21515400000000001</v>
      </c>
      <c r="BC94">
        <v>49</v>
      </c>
      <c r="BD94">
        <v>0.97</v>
      </c>
      <c r="BE94">
        <v>124.25700000000001</v>
      </c>
      <c r="BF94">
        <v>2.2207400000000002</v>
      </c>
    </row>
    <row r="95" spans="9:58" x14ac:dyDescent="0.2">
      <c r="I95">
        <v>900000</v>
      </c>
      <c r="J95">
        <v>1.3124899999999999</v>
      </c>
      <c r="K95">
        <v>1.21621</v>
      </c>
      <c r="L95">
        <v>3012.16</v>
      </c>
      <c r="M95">
        <f t="shared" si="25"/>
        <v>3.3198767661744399E-4</v>
      </c>
      <c r="N95">
        <f t="shared" si="26"/>
        <v>0.33198767661744399</v>
      </c>
      <c r="O95">
        <f t="shared" si="27"/>
        <v>0.4448560369059037</v>
      </c>
      <c r="P95">
        <f t="shared" si="28"/>
        <v>5.2912412923775756E-2</v>
      </c>
      <c r="Q95">
        <f>AVERAGE($N$39:N95)</f>
        <v>0.45257289398000333</v>
      </c>
      <c r="AT95">
        <v>50</v>
      </c>
      <c r="AU95">
        <v>0.99</v>
      </c>
      <c r="AV95">
        <v>127.846</v>
      </c>
      <c r="AW95">
        <v>0.53359999999999996</v>
      </c>
      <c r="BC95">
        <v>50</v>
      </c>
      <c r="BD95">
        <v>0.99</v>
      </c>
      <c r="BE95">
        <v>124.39</v>
      </c>
      <c r="BF95">
        <v>2.4643799999999998</v>
      </c>
    </row>
    <row r="96" spans="9:58" x14ac:dyDescent="0.2">
      <c r="I96">
        <v>910000</v>
      </c>
      <c r="J96">
        <v>1.3176300000000001</v>
      </c>
      <c r="K96">
        <v>1.179</v>
      </c>
      <c r="L96">
        <v>2916.25</v>
      </c>
      <c r="M96">
        <f t="shared" si="25"/>
        <v>3.4290612944706388E-4</v>
      </c>
      <c r="N96">
        <f t="shared" si="26"/>
        <v>0.34290612944706389</v>
      </c>
      <c r="O96">
        <f t="shared" si="27"/>
        <v>0.43191423329848211</v>
      </c>
      <c r="P96">
        <f t="shared" si="28"/>
        <v>6.0701357945499641E-2</v>
      </c>
      <c r="Q96">
        <f>AVERAGE($N$39:N96)</f>
        <v>0.45068208769495266</v>
      </c>
    </row>
    <row r="97" spans="9:17" x14ac:dyDescent="0.2">
      <c r="I97">
        <v>920000</v>
      </c>
      <c r="J97">
        <v>1.3119000000000001</v>
      </c>
      <c r="K97">
        <v>1.0539700000000001</v>
      </c>
      <c r="L97">
        <v>2610.94</v>
      </c>
      <c r="M97">
        <f t="shared" si="25"/>
        <v>3.8300382237814733E-4</v>
      </c>
      <c r="N97">
        <f t="shared" si="26"/>
        <v>0.38300382237814734</v>
      </c>
      <c r="O97">
        <f t="shared" si="27"/>
        <v>0.42273010735709027</v>
      </c>
      <c r="P97">
        <f t="shared" si="28"/>
        <v>6.0431395959746476E-2</v>
      </c>
      <c r="Q97">
        <f>AVERAGE($N$39:N97)</f>
        <v>0.44953499845229489</v>
      </c>
    </row>
    <row r="98" spans="9:17" x14ac:dyDescent="0.2">
      <c r="I98">
        <v>930000</v>
      </c>
      <c r="J98">
        <v>1.3205800000000001</v>
      </c>
      <c r="K98">
        <v>1.1035699999999999</v>
      </c>
      <c r="L98">
        <v>2727.6</v>
      </c>
      <c r="M98">
        <f t="shared" si="25"/>
        <v>3.6662267194603314E-4</v>
      </c>
      <c r="N98">
        <f t="shared" si="26"/>
        <v>0.36662267194603315</v>
      </c>
      <c r="O98">
        <f t="shared" si="27"/>
        <v>0.41409821161047178</v>
      </c>
      <c r="P98">
        <f t="shared" si="28"/>
        <v>6.1786185583390628E-2</v>
      </c>
      <c r="Q98">
        <f>AVERAGE($N$39:N98)</f>
        <v>0.44815312634385723</v>
      </c>
    </row>
    <row r="99" spans="9:17" x14ac:dyDescent="0.2">
      <c r="I99">
        <v>940000</v>
      </c>
      <c r="J99">
        <v>1.31352</v>
      </c>
      <c r="K99">
        <v>0.91230800000000001</v>
      </c>
      <c r="L99">
        <v>2258.92</v>
      </c>
      <c r="M99">
        <f t="shared" si="25"/>
        <v>4.4268942680573015E-4</v>
      </c>
      <c r="N99">
        <f t="shared" si="26"/>
        <v>0.44268942680573015</v>
      </c>
      <c r="O99">
        <f t="shared" si="27"/>
        <v>0.41311111826724012</v>
      </c>
      <c r="P99">
        <f t="shared" si="28"/>
        <v>6.1179309989494716E-2</v>
      </c>
      <c r="Q99">
        <f>AVERAGE($N$39:N99)</f>
        <v>0.44806355749896992</v>
      </c>
    </row>
    <row r="100" spans="9:17" x14ac:dyDescent="0.2">
      <c r="I100">
        <v>950000</v>
      </c>
      <c r="J100">
        <v>1.31149</v>
      </c>
      <c r="K100">
        <v>0.974935</v>
      </c>
      <c r="L100">
        <v>2415.29</v>
      </c>
      <c r="M100">
        <f t="shared" si="25"/>
        <v>4.1402895718526555E-4</v>
      </c>
      <c r="N100">
        <f t="shared" si="26"/>
        <v>0.41402895718526556</v>
      </c>
      <c r="O100">
        <f t="shared" si="27"/>
        <v>0.40633749522101265</v>
      </c>
      <c r="P100">
        <f t="shared" si="28"/>
        <v>5.6287765822104575E-2</v>
      </c>
      <c r="Q100">
        <f>AVERAGE($N$39:N100)</f>
        <v>0.44751461233261985</v>
      </c>
    </row>
    <row r="101" spans="9:17" x14ac:dyDescent="0.2">
      <c r="I101">
        <v>960000</v>
      </c>
      <c r="J101">
        <v>1.30694</v>
      </c>
      <c r="K101">
        <v>1.0586100000000001</v>
      </c>
      <c r="L101">
        <v>2625.59</v>
      </c>
      <c r="M101">
        <f t="shared" si="25"/>
        <v>3.8086677661020951E-4</v>
      </c>
      <c r="N101">
        <f t="shared" si="26"/>
        <v>0.38086677661020951</v>
      </c>
      <c r="O101">
        <f t="shared" si="27"/>
        <v>0.39452322626107617</v>
      </c>
      <c r="P101">
        <f t="shared" si="28"/>
        <v>4.6163606421154191E-2</v>
      </c>
      <c r="Q101">
        <f>AVERAGE($N$39:N101)</f>
        <v>0.44645671017829586</v>
      </c>
    </row>
    <row r="102" spans="9:17" x14ac:dyDescent="0.2">
      <c r="I102">
        <v>970000</v>
      </c>
      <c r="J102">
        <v>1.31653</v>
      </c>
      <c r="K102">
        <v>0.99601099999999998</v>
      </c>
      <c r="L102">
        <v>2464.4699999999998</v>
      </c>
      <c r="M102">
        <f t="shared" si="25"/>
        <v>4.0576675715265357E-4</v>
      </c>
      <c r="N102">
        <f t="shared" si="26"/>
        <v>0.40576675715265359</v>
      </c>
      <c r="O102">
        <f t="shared" si="27"/>
        <v>0.38633035758142531</v>
      </c>
      <c r="P102">
        <f t="shared" si="28"/>
        <v>3.3256295788648797E-2</v>
      </c>
      <c r="Q102">
        <f>AVERAGE($N$39:N102)</f>
        <v>0.44582092966227022</v>
      </c>
    </row>
    <row r="103" spans="9:17" x14ac:dyDescent="0.2">
      <c r="I103">
        <v>980000</v>
      </c>
      <c r="J103">
        <v>1.3093999999999999</v>
      </c>
      <c r="K103">
        <v>0.88572600000000001</v>
      </c>
      <c r="L103">
        <v>2195.5700000000002</v>
      </c>
      <c r="M103">
        <f t="shared" si="25"/>
        <v>4.5546259058012269E-4</v>
      </c>
      <c r="N103">
        <f t="shared" si="26"/>
        <v>0.45546259058012267</v>
      </c>
      <c r="O103">
        <f t="shared" si="27"/>
        <v>0.39283013179923532</v>
      </c>
      <c r="P103">
        <f t="shared" si="28"/>
        <v>3.9851853243473852E-2</v>
      </c>
      <c r="Q103">
        <f>AVERAGE($N$39:N103)</f>
        <v>0.44596926290716027</v>
      </c>
    </row>
    <row r="104" spans="9:17" x14ac:dyDescent="0.2">
      <c r="I104">
        <v>990000</v>
      </c>
      <c r="J104">
        <v>1.3171900000000001</v>
      </c>
      <c r="K104">
        <v>0.95719900000000002</v>
      </c>
      <c r="L104">
        <v>2367.75</v>
      </c>
      <c r="M104">
        <f t="shared" si="25"/>
        <v>4.223418857565199E-4</v>
      </c>
      <c r="N104">
        <f t="shared" si="26"/>
        <v>0.42234188575651987</v>
      </c>
      <c r="O104">
        <f t="shared" si="27"/>
        <v>0.39456766944791904</v>
      </c>
      <c r="P104">
        <f t="shared" si="28"/>
        <v>4.080712554223638E-2</v>
      </c>
      <c r="Q104">
        <f>AVERAGE($N$39:N104)</f>
        <v>0.44561127234427178</v>
      </c>
    </row>
    <row r="105" spans="9:17" x14ac:dyDescent="0.2">
      <c r="I105">
        <v>1000000</v>
      </c>
      <c r="J105">
        <v>1.3164</v>
      </c>
      <c r="K105">
        <v>0.83702100000000002</v>
      </c>
      <c r="L105">
        <v>2071.02</v>
      </c>
      <c r="M105">
        <f t="shared" si="25"/>
        <v>4.8285385945089857E-4</v>
      </c>
      <c r="N105">
        <f t="shared" si="26"/>
        <v>0.48285385945089859</v>
      </c>
      <c r="O105">
        <f t="shared" si="27"/>
        <v>0.4096542877312645</v>
      </c>
      <c r="P105">
        <f t="shared" si="28"/>
        <v>4.2932930621150563E-2</v>
      </c>
      <c r="Q105">
        <f>AVERAGE($N$39:N105)</f>
        <v>0.4461671318533259</v>
      </c>
    </row>
    <row r="106" spans="9:17" x14ac:dyDescent="0.2">
      <c r="I106">
        <v>1010000</v>
      </c>
      <c r="J106">
        <v>1.3105500000000001</v>
      </c>
      <c r="K106">
        <v>0.87761</v>
      </c>
      <c r="L106">
        <v>2174.66</v>
      </c>
      <c r="M106">
        <f t="shared" si="25"/>
        <v>4.5984199828938779E-4</v>
      </c>
      <c r="N106">
        <f t="shared" si="26"/>
        <v>0.45984199828938777</v>
      </c>
      <c r="O106">
        <f t="shared" si="27"/>
        <v>0.42134787461549683</v>
      </c>
      <c r="P106">
        <f t="shared" si="28"/>
        <v>3.8420507689437465E-2</v>
      </c>
      <c r="Q106">
        <f>AVERAGE($N$39:N106)</f>
        <v>0.44636823283032678</v>
      </c>
    </row>
    <row r="107" spans="9:17" x14ac:dyDescent="0.2">
      <c r="I107">
        <v>1020000</v>
      </c>
      <c r="J107">
        <v>1.31965</v>
      </c>
      <c r="K107">
        <v>0.73558299999999999</v>
      </c>
      <c r="L107">
        <v>1818.44</v>
      </c>
      <c r="M107">
        <f t="shared" si="25"/>
        <v>5.4992191108862542E-4</v>
      </c>
      <c r="N107">
        <f t="shared" si="26"/>
        <v>0.54992191108862543</v>
      </c>
      <c r="O107">
        <f t="shared" si="27"/>
        <v>0.43803968348654465</v>
      </c>
      <c r="P107">
        <f t="shared" si="28"/>
        <v>5.3291723746817572E-2</v>
      </c>
      <c r="Q107">
        <f>AVERAGE($N$39:N107)</f>
        <v>0.44786901077609925</v>
      </c>
    </row>
    <row r="108" spans="9:17" x14ac:dyDescent="0.2">
      <c r="I108">
        <v>1030000</v>
      </c>
      <c r="J108">
        <v>1.3135699999999999</v>
      </c>
      <c r="K108">
        <v>0.73304999999999998</v>
      </c>
      <c r="L108">
        <v>1815.02</v>
      </c>
      <c r="M108">
        <f t="shared" si="25"/>
        <v>5.5095811616400923E-4</v>
      </c>
      <c r="N108">
        <f t="shared" si="26"/>
        <v>0.55095811616400925</v>
      </c>
      <c r="O108">
        <f t="shared" si="27"/>
        <v>0.45647322790834222</v>
      </c>
      <c r="P108">
        <f t="shared" si="28"/>
        <v>5.7554126872611223E-2</v>
      </c>
      <c r="Q108">
        <f>AVERAGE($N$39:N108)</f>
        <v>0.44934171228164077</v>
      </c>
    </row>
    <row r="109" spans="9:17" x14ac:dyDescent="0.2">
      <c r="I109">
        <v>1040000</v>
      </c>
      <c r="J109">
        <v>1.3123199999999999</v>
      </c>
      <c r="K109">
        <v>0.93087299999999995</v>
      </c>
      <c r="L109">
        <v>2305.65</v>
      </c>
      <c r="M109">
        <f t="shared" si="25"/>
        <v>4.3371717303146618E-4</v>
      </c>
      <c r="N109">
        <f t="shared" si="26"/>
        <v>0.43371717303146617</v>
      </c>
      <c r="O109">
        <f t="shared" si="27"/>
        <v>0.45557600253091585</v>
      </c>
      <c r="P109">
        <f t="shared" si="28"/>
        <v>5.7861993290128283E-2</v>
      </c>
      <c r="Q109">
        <f>AVERAGE($N$39:N109)</f>
        <v>0.44912164834853968</v>
      </c>
    </row>
    <row r="110" spans="9:17" x14ac:dyDescent="0.2">
      <c r="I110">
        <v>1050000</v>
      </c>
      <c r="J110">
        <v>1.31579</v>
      </c>
      <c r="K110">
        <v>1.0679399999999999</v>
      </c>
      <c r="L110">
        <v>2642.73</v>
      </c>
      <c r="M110">
        <f t="shared" si="25"/>
        <v>3.7839658232206847E-4</v>
      </c>
      <c r="N110">
        <f t="shared" si="26"/>
        <v>0.37839658232206846</v>
      </c>
      <c r="O110">
        <f t="shared" si="27"/>
        <v>0.45201276504459609</v>
      </c>
      <c r="P110">
        <f t="shared" si="28"/>
        <v>6.1676244049555733E-2</v>
      </c>
      <c r="Q110">
        <f>AVERAGE($N$39:N110)</f>
        <v>0.44813935576483871</v>
      </c>
    </row>
    <row r="111" spans="9:17" x14ac:dyDescent="0.2">
      <c r="I111">
        <v>1060000</v>
      </c>
      <c r="J111">
        <v>1.31253</v>
      </c>
      <c r="K111">
        <v>1.07473</v>
      </c>
      <c r="L111">
        <v>2661.78</v>
      </c>
      <c r="M111">
        <f t="shared" si="25"/>
        <v>3.7568844908294444E-4</v>
      </c>
      <c r="N111">
        <f t="shared" si="26"/>
        <v>0.37568844908294446</v>
      </c>
      <c r="O111">
        <f t="shared" si="27"/>
        <v>0.4514949322918696</v>
      </c>
      <c r="P111">
        <f t="shared" si="28"/>
        <v>6.2357927188889828E-2</v>
      </c>
      <c r="Q111">
        <f>AVERAGE($N$39:N111)</f>
        <v>0.4471468775911141</v>
      </c>
    </row>
    <row r="112" spans="9:17" x14ac:dyDescent="0.2">
      <c r="I112">
        <v>1070000</v>
      </c>
      <c r="J112">
        <v>1.3228800000000001</v>
      </c>
      <c r="K112">
        <v>0.899339</v>
      </c>
      <c r="L112">
        <v>2221.64</v>
      </c>
      <c r="M112">
        <f t="shared" si="25"/>
        <v>4.5011793089789527E-4</v>
      </c>
      <c r="N112">
        <f t="shared" si="26"/>
        <v>0.45011793089789526</v>
      </c>
      <c r="O112">
        <f t="shared" si="27"/>
        <v>0.45593004966639378</v>
      </c>
      <c r="P112">
        <f t="shared" si="28"/>
        <v>6.0287023866086677E-2</v>
      </c>
      <c r="Q112">
        <f>AVERAGE($N$39:N112)</f>
        <v>0.44718702696012469</v>
      </c>
    </row>
    <row r="113" spans="9:17" x14ac:dyDescent="0.2">
      <c r="I113">
        <v>1080000</v>
      </c>
      <c r="J113">
        <v>1.32039</v>
      </c>
      <c r="K113">
        <v>0.84867899999999996</v>
      </c>
      <c r="L113">
        <v>2097.77</v>
      </c>
      <c r="M113">
        <f t="shared" si="25"/>
        <v>4.7669668266778534E-4</v>
      </c>
      <c r="N113">
        <f t="shared" si="26"/>
        <v>0.47669668266778537</v>
      </c>
      <c r="O113">
        <f t="shared" si="27"/>
        <v>0.45805345887515997</v>
      </c>
      <c r="P113">
        <f t="shared" si="28"/>
        <v>6.0641636852368043E-2</v>
      </c>
      <c r="Q113">
        <f>AVERAGE($N$39:N113)</f>
        <v>0.44758048903622683</v>
      </c>
    </row>
    <row r="114" spans="9:17" x14ac:dyDescent="0.2">
      <c r="I114">
        <v>1090000</v>
      </c>
      <c r="J114">
        <v>1.32016</v>
      </c>
      <c r="K114">
        <v>0.89352600000000004</v>
      </c>
      <c r="L114">
        <v>2208.77</v>
      </c>
      <c r="M114">
        <f t="shared" si="25"/>
        <v>4.5274066561932662E-4</v>
      </c>
      <c r="N114">
        <f t="shared" si="26"/>
        <v>0.45274066561932663</v>
      </c>
      <c r="O114">
        <f t="shared" si="27"/>
        <v>0.46109333686144066</v>
      </c>
      <c r="P114">
        <f t="shared" si="28"/>
        <v>5.9401808630402619E-2</v>
      </c>
      <c r="Q114">
        <f>AVERAGE($N$39:N114)</f>
        <v>0.44764838609653074</v>
      </c>
    </row>
    <row r="115" spans="9:17" x14ac:dyDescent="0.2">
      <c r="I115">
        <v>1100000</v>
      </c>
      <c r="J115">
        <v>1.3177399999999999</v>
      </c>
      <c r="K115">
        <v>0.95910899999999999</v>
      </c>
      <c r="L115">
        <v>2372.2600000000002</v>
      </c>
      <c r="M115">
        <f t="shared" si="25"/>
        <v>4.2153895441477741E-4</v>
      </c>
      <c r="N115">
        <f t="shared" si="26"/>
        <v>0.4215389544147774</v>
      </c>
      <c r="O115">
        <f t="shared" si="27"/>
        <v>0.45496184635782855</v>
      </c>
      <c r="P115">
        <f t="shared" si="28"/>
        <v>6.0066861714887294E-2</v>
      </c>
      <c r="Q115">
        <f>AVERAGE($N$39:N115)</f>
        <v>0.44730930256819629</v>
      </c>
    </row>
    <row r="116" spans="9:17" x14ac:dyDescent="0.2">
      <c r="I116">
        <v>1110000</v>
      </c>
      <c r="J116">
        <v>1.31972</v>
      </c>
      <c r="K116">
        <v>0.90536099999999997</v>
      </c>
      <c r="L116">
        <v>2238.1999999999998</v>
      </c>
      <c r="M116">
        <f t="shared" si="25"/>
        <v>4.4678759717630242E-4</v>
      </c>
      <c r="N116">
        <f t="shared" si="26"/>
        <v>0.4467875971763024</v>
      </c>
      <c r="O116">
        <f t="shared" si="27"/>
        <v>0.45365640624652015</v>
      </c>
      <c r="P116">
        <f t="shared" si="28"/>
        <v>6.0090867871954584E-2</v>
      </c>
      <c r="Q116">
        <f>AVERAGE($N$39:N116)</f>
        <v>0.44730261403753102</v>
      </c>
    </row>
    <row r="117" spans="9:17" x14ac:dyDescent="0.2">
      <c r="I117">
        <v>1120000</v>
      </c>
      <c r="J117">
        <v>1.31559</v>
      </c>
      <c r="K117">
        <v>0.69751799999999997</v>
      </c>
      <c r="L117">
        <v>1726.17</v>
      </c>
      <c r="M117">
        <f t="shared" si="25"/>
        <v>5.7931721672836397E-4</v>
      </c>
      <c r="N117">
        <f t="shared" si="26"/>
        <v>0.579317216728364</v>
      </c>
      <c r="O117">
        <f t="shared" si="27"/>
        <v>0.45659593681049387</v>
      </c>
      <c r="P117">
        <f t="shared" si="28"/>
        <v>6.5773512976582363E-2</v>
      </c>
      <c r="Q117">
        <f>AVERAGE($N$39:N117)</f>
        <v>0.4489736849576681</v>
      </c>
    </row>
    <row r="118" spans="9:17" x14ac:dyDescent="0.2">
      <c r="I118">
        <v>1130000</v>
      </c>
      <c r="J118">
        <v>1.3230599999999999</v>
      </c>
      <c r="K118">
        <v>0.70876600000000001</v>
      </c>
      <c r="L118">
        <v>1750.78</v>
      </c>
      <c r="M118">
        <f t="shared" si="25"/>
        <v>5.7117399102114483E-4</v>
      </c>
      <c r="N118">
        <f t="shared" si="26"/>
        <v>0.57117399102114486</v>
      </c>
      <c r="O118">
        <f t="shared" si="27"/>
        <v>0.4586175242962075</v>
      </c>
      <c r="P118">
        <f t="shared" si="28"/>
        <v>6.9216597670930802E-2</v>
      </c>
      <c r="Q118">
        <f>AVERAGE($N$39:N118)</f>
        <v>0.45050118878346163</v>
      </c>
    </row>
    <row r="119" spans="9:17" x14ac:dyDescent="0.2">
      <c r="I119">
        <v>1140000</v>
      </c>
      <c r="J119">
        <v>1.3174300000000001</v>
      </c>
      <c r="K119">
        <v>0.75968999999999998</v>
      </c>
      <c r="L119">
        <v>1879.19</v>
      </c>
      <c r="M119">
        <f t="shared" si="25"/>
        <v>5.3214416849812953E-4</v>
      </c>
      <c r="N119">
        <f t="shared" si="26"/>
        <v>0.53214416849812951</v>
      </c>
      <c r="O119">
        <f t="shared" si="27"/>
        <v>0.46846022384287389</v>
      </c>
      <c r="P119">
        <f t="shared" si="28"/>
        <v>7.2215563965028262E-2</v>
      </c>
      <c r="Q119">
        <f>AVERAGE($N$39:N119)</f>
        <v>0.45150912680463035</v>
      </c>
    </row>
    <row r="120" spans="9:17" x14ac:dyDescent="0.2">
      <c r="I120">
        <v>1150000</v>
      </c>
      <c r="J120">
        <v>1.3118000000000001</v>
      </c>
      <c r="K120">
        <v>0.69960100000000003</v>
      </c>
      <c r="L120">
        <v>1733.02</v>
      </c>
      <c r="M120">
        <f t="shared" si="25"/>
        <v>5.7702738571972626E-4</v>
      </c>
      <c r="N120">
        <f t="shared" si="26"/>
        <v>0.57702738571972623</v>
      </c>
      <c r="O120">
        <f t="shared" si="27"/>
        <v>0.48832330418263969</v>
      </c>
      <c r="P120">
        <f t="shared" si="28"/>
        <v>7.2007513973080139E-2</v>
      </c>
      <c r="Q120">
        <f>AVERAGE($N$39:N120)</f>
        <v>0.45303983727920466</v>
      </c>
    </row>
    <row r="121" spans="9:17" x14ac:dyDescent="0.2">
      <c r="I121">
        <v>1160000</v>
      </c>
      <c r="J121">
        <v>1.3137799999999999</v>
      </c>
      <c r="K121">
        <v>0.818384</v>
      </c>
      <c r="L121">
        <v>2026.27</v>
      </c>
      <c r="M121">
        <f t="shared" si="25"/>
        <v>4.9351764572342282E-4</v>
      </c>
      <c r="N121">
        <f t="shared" si="26"/>
        <v>0.49351764572342283</v>
      </c>
      <c r="O121">
        <f t="shared" si="27"/>
        <v>0.50010622384668746</v>
      </c>
      <c r="P121">
        <f t="shared" si="28"/>
        <v>6.020127099052322E-2</v>
      </c>
      <c r="Q121">
        <f>AVERAGE($N$39:N121)</f>
        <v>0.45352752171829158</v>
      </c>
    </row>
    <row r="122" spans="9:17" x14ac:dyDescent="0.2">
      <c r="I122">
        <v>1170000</v>
      </c>
      <c r="J122">
        <v>1.31223</v>
      </c>
      <c r="K122">
        <v>0.58263600000000004</v>
      </c>
      <c r="L122">
        <v>1442.89</v>
      </c>
      <c r="M122">
        <f t="shared" si="25"/>
        <v>6.930535245236989E-4</v>
      </c>
      <c r="N122">
        <f t="shared" si="26"/>
        <v>0.69305352452369895</v>
      </c>
      <c r="O122">
        <f t="shared" si="27"/>
        <v>0.52439978320926783</v>
      </c>
      <c r="P122">
        <f t="shared" si="28"/>
        <v>8.2627543431317299E-2</v>
      </c>
      <c r="Q122">
        <f>AVERAGE($N$39:N122)</f>
        <v>0.45637902175168932</v>
      </c>
    </row>
    <row r="123" spans="9:17" x14ac:dyDescent="0.2">
      <c r="I123">
        <v>1180000</v>
      </c>
      <c r="J123">
        <v>1.3170599999999999</v>
      </c>
      <c r="K123">
        <v>0.73170800000000003</v>
      </c>
      <c r="L123">
        <v>1809.75</v>
      </c>
      <c r="M123">
        <f t="shared" si="25"/>
        <v>5.5256250863378921E-4</v>
      </c>
      <c r="N123">
        <f t="shared" si="26"/>
        <v>0.5525625086337892</v>
      </c>
      <c r="O123">
        <f t="shared" si="27"/>
        <v>0.53198636580586822</v>
      </c>
      <c r="P123">
        <f t="shared" si="28"/>
        <v>8.1232033465570994E-2</v>
      </c>
      <c r="Q123">
        <f>AVERAGE($N$39:N123)</f>
        <v>0.45751059218559637</v>
      </c>
    </row>
    <row r="124" spans="9:17" x14ac:dyDescent="0.2">
      <c r="I124">
        <v>1190000</v>
      </c>
      <c r="J124">
        <v>1.31945</v>
      </c>
      <c r="K124">
        <v>0.91068800000000005</v>
      </c>
      <c r="L124">
        <v>2251.5</v>
      </c>
      <c r="M124">
        <f t="shared" si="25"/>
        <v>4.4414834554741284E-4</v>
      </c>
      <c r="N124">
        <f t="shared" si="26"/>
        <v>0.44414834554741284</v>
      </c>
      <c r="O124">
        <f t="shared" si="27"/>
        <v>0.53112713379867693</v>
      </c>
      <c r="P124">
        <f t="shared" si="28"/>
        <v>8.2203030058380949E-2</v>
      </c>
      <c r="Q124">
        <f>AVERAGE($N$39:N124)</f>
        <v>0.45735521722468725</v>
      </c>
    </row>
    <row r="125" spans="9:17" x14ac:dyDescent="0.2">
      <c r="I125">
        <v>1200000</v>
      </c>
      <c r="J125">
        <v>1.3123800000000001</v>
      </c>
      <c r="K125">
        <v>0.87215200000000004</v>
      </c>
      <c r="L125">
        <v>2160.12</v>
      </c>
      <c r="M125">
        <f t="shared" si="25"/>
        <v>4.6293724422717257E-4</v>
      </c>
      <c r="N125">
        <f t="shared" si="26"/>
        <v>0.46293724422717258</v>
      </c>
      <c r="O125">
        <f t="shared" si="27"/>
        <v>0.53526696277991648</v>
      </c>
      <c r="P125">
        <f t="shared" si="28"/>
        <v>7.6945112830271098E-2</v>
      </c>
      <c r="Q125">
        <f>AVERAGE($N$39:N125)</f>
        <v>0.45741937845460084</v>
      </c>
    </row>
    <row r="126" spans="9:17" x14ac:dyDescent="0.2">
      <c r="I126">
        <v>1210000</v>
      </c>
      <c r="J126">
        <v>1.31724</v>
      </c>
      <c r="K126">
        <v>0.800091</v>
      </c>
      <c r="L126">
        <v>1979.22</v>
      </c>
      <c r="M126">
        <f t="shared" si="25"/>
        <v>5.052495427491638E-4</v>
      </c>
      <c r="N126">
        <f t="shared" si="26"/>
        <v>0.50524954274916378</v>
      </c>
      <c r="O126">
        <f t="shared" si="27"/>
        <v>0.54111315733720255</v>
      </c>
      <c r="P126">
        <f t="shared" si="28"/>
        <v>7.1504173115076231E-2</v>
      </c>
      <c r="Q126">
        <f>AVERAGE($N$39:N126)</f>
        <v>0.45796290304885723</v>
      </c>
    </row>
    <row r="127" spans="9:17" x14ac:dyDescent="0.2">
      <c r="I127">
        <v>1220000</v>
      </c>
      <c r="J127">
        <v>1.3151299999999999</v>
      </c>
      <c r="K127">
        <v>0.69980299999999995</v>
      </c>
      <c r="L127">
        <v>1732.05</v>
      </c>
      <c r="M127">
        <f t="shared" si="25"/>
        <v>5.7735053837937702E-4</v>
      </c>
      <c r="N127">
        <f t="shared" si="26"/>
        <v>0.577350538379377</v>
      </c>
      <c r="O127">
        <f t="shared" si="27"/>
        <v>0.54091648950230375</v>
      </c>
      <c r="P127">
        <f t="shared" si="28"/>
        <v>7.139003338803053E-2</v>
      </c>
      <c r="Q127">
        <f>AVERAGE($N$39:N127)</f>
        <v>0.45930433715369451</v>
      </c>
    </row>
    <row r="128" spans="9:17" x14ac:dyDescent="0.2">
      <c r="I128">
        <v>1230000</v>
      </c>
      <c r="J128">
        <v>1.3198700000000001</v>
      </c>
      <c r="K128">
        <v>0.87723700000000004</v>
      </c>
      <c r="L128">
        <v>2168.59</v>
      </c>
      <c r="M128">
        <f t="shared" si="25"/>
        <v>4.6112912076510539E-4</v>
      </c>
      <c r="N128">
        <f t="shared" si="26"/>
        <v>0.46112912076510537</v>
      </c>
      <c r="O128">
        <f t="shared" si="27"/>
        <v>0.52991200247669978</v>
      </c>
      <c r="P128">
        <f t="shared" si="28"/>
        <v>7.4616316557271176E-2</v>
      </c>
      <c r="Q128">
        <f>AVERAGE($N$39:N128)</f>
        <v>0.45932461252715467</v>
      </c>
    </row>
    <row r="129" spans="9:17" x14ac:dyDescent="0.2">
      <c r="I129">
        <v>1240000</v>
      </c>
      <c r="J129">
        <v>1.31297</v>
      </c>
      <c r="K129">
        <v>0.871201</v>
      </c>
      <c r="L129">
        <v>2157.48</v>
      </c>
      <c r="M129">
        <f t="shared" si="25"/>
        <v>4.6350371729981274E-4</v>
      </c>
      <c r="N129">
        <f t="shared" si="26"/>
        <v>0.46350371729981271</v>
      </c>
      <c r="O129">
        <f t="shared" si="27"/>
        <v>0.52304795735686815</v>
      </c>
      <c r="P129">
        <f t="shared" si="28"/>
        <v>7.7489984220249081E-2</v>
      </c>
      <c r="Q129">
        <f>AVERAGE($N$39:N129)</f>
        <v>0.45937053675542566</v>
      </c>
    </row>
    <row r="130" spans="9:17" x14ac:dyDescent="0.2">
      <c r="I130">
        <v>1250000</v>
      </c>
      <c r="J130">
        <v>1.31393</v>
      </c>
      <c r="K130">
        <v>0.92293800000000004</v>
      </c>
      <c r="L130">
        <v>2284.85</v>
      </c>
      <c r="M130">
        <f t="shared" si="25"/>
        <v>4.3766549226426245E-4</v>
      </c>
      <c r="N130">
        <f t="shared" si="26"/>
        <v>0.43766549226426243</v>
      </c>
      <c r="O130">
        <f t="shared" si="27"/>
        <v>0.50911176801132174</v>
      </c>
      <c r="P130">
        <f t="shared" si="28"/>
        <v>7.9215943831648927E-2</v>
      </c>
      <c r="Q130">
        <f>AVERAGE($N$39:N130)</f>
        <v>0.45913461235878261</v>
      </c>
    </row>
    <row r="131" spans="9:17" x14ac:dyDescent="0.2">
      <c r="I131">
        <v>1260000</v>
      </c>
      <c r="J131">
        <v>1.31802</v>
      </c>
      <c r="K131">
        <v>0.85478600000000005</v>
      </c>
      <c r="L131">
        <v>2114</v>
      </c>
      <c r="M131">
        <f t="shared" si="25"/>
        <v>4.7303689687795648E-4</v>
      </c>
      <c r="N131">
        <f t="shared" si="26"/>
        <v>0.47303689687795647</v>
      </c>
      <c r="O131">
        <f t="shared" si="27"/>
        <v>0.50706369312677513</v>
      </c>
      <c r="P131">
        <f t="shared" si="28"/>
        <v>7.9925496824843109E-2</v>
      </c>
      <c r="Q131">
        <f>AVERAGE($N$39:N131)</f>
        <v>0.45928409928909636</v>
      </c>
    </row>
    <row r="132" spans="9:17" x14ac:dyDescent="0.2">
      <c r="I132">
        <v>1270000</v>
      </c>
      <c r="J132">
        <v>1.3250599999999999</v>
      </c>
      <c r="K132">
        <v>0.68038100000000001</v>
      </c>
      <c r="L132">
        <v>1679.64</v>
      </c>
      <c r="M132">
        <f t="shared" si="25"/>
        <v>5.9536567359672304E-4</v>
      </c>
      <c r="N132">
        <f t="shared" si="26"/>
        <v>0.59536567359672299</v>
      </c>
      <c r="O132">
        <f t="shared" si="27"/>
        <v>0.49729490803407755</v>
      </c>
      <c r="P132">
        <f t="shared" ref="P132:P147" si="29">STDEV(N123:N132)</f>
        <v>5.7487676103730942E-2</v>
      </c>
      <c r="Q132">
        <f>AVERAGE($N$39:N132)</f>
        <v>0.4607317756115179</v>
      </c>
    </row>
    <row r="133" spans="9:17" x14ac:dyDescent="0.2">
      <c r="I133">
        <v>1280000</v>
      </c>
      <c r="J133">
        <v>1.3133900000000001</v>
      </c>
      <c r="K133">
        <v>0.77454900000000004</v>
      </c>
      <c r="L133">
        <v>1917.88</v>
      </c>
      <c r="M133">
        <f t="shared" si="25"/>
        <v>5.2140905583248167E-4</v>
      </c>
      <c r="N133">
        <f t="shared" si="26"/>
        <v>0.52140905583248165</v>
      </c>
      <c r="O133">
        <f t="shared" si="27"/>
        <v>0.49417956275394681</v>
      </c>
      <c r="P133">
        <f t="shared" si="29"/>
        <v>5.4947881184624923E-2</v>
      </c>
      <c r="Q133">
        <f>AVERAGE($N$39:N133)</f>
        <v>0.46137048382437013</v>
      </c>
    </row>
    <row r="134" spans="9:17" x14ac:dyDescent="0.2">
      <c r="I134">
        <v>1290000</v>
      </c>
      <c r="J134">
        <v>1.3188800000000001</v>
      </c>
      <c r="K134">
        <v>0.90198199999999995</v>
      </c>
      <c r="L134">
        <v>2230.36</v>
      </c>
      <c r="M134">
        <f t="shared" si="25"/>
        <v>4.4835811259168922E-4</v>
      </c>
      <c r="N134">
        <f t="shared" si="26"/>
        <v>0.44835811259168923</v>
      </c>
      <c r="O134">
        <f t="shared" si="27"/>
        <v>0.4946005394583744</v>
      </c>
      <c r="P134">
        <f t="shared" si="29"/>
        <v>5.4536569999777566E-2</v>
      </c>
      <c r="Q134">
        <f>AVERAGE($N$39:N134)</f>
        <v>0.46123493829069639</v>
      </c>
    </row>
    <row r="135" spans="9:17" x14ac:dyDescent="0.2">
      <c r="I135">
        <v>1300000</v>
      </c>
      <c r="J135">
        <v>1.3198399999999999</v>
      </c>
      <c r="K135">
        <v>0.96229299999999995</v>
      </c>
      <c r="L135">
        <v>2378.79</v>
      </c>
      <c r="M135">
        <f t="shared" ref="M135:M147" si="30">1/L135</f>
        <v>4.2038179074235218E-4</v>
      </c>
      <c r="N135">
        <f t="shared" ref="N135:N147" si="31">M135*1000</f>
        <v>0.42038179074235216</v>
      </c>
      <c r="O135">
        <f t="shared" si="27"/>
        <v>0.49034499410989241</v>
      </c>
      <c r="P135">
        <f t="shared" si="29"/>
        <v>5.8777262175861107E-2</v>
      </c>
      <c r="Q135">
        <f>AVERAGE($N$39:N135)</f>
        <v>0.46081377182112587</v>
      </c>
    </row>
    <row r="136" spans="9:17" x14ac:dyDescent="0.2">
      <c r="I136">
        <v>1310000</v>
      </c>
      <c r="J136">
        <v>1.32169</v>
      </c>
      <c r="K136">
        <v>0.95354899999999998</v>
      </c>
      <c r="L136">
        <v>2356</v>
      </c>
      <c r="M136">
        <f t="shared" si="30"/>
        <v>4.2444821731748726E-4</v>
      </c>
      <c r="N136">
        <f t="shared" si="31"/>
        <v>0.42444821731748728</v>
      </c>
      <c r="O136">
        <f t="shared" si="27"/>
        <v>0.48226486156672471</v>
      </c>
      <c r="P136">
        <f t="shared" si="29"/>
        <v>6.1967960487071844E-2</v>
      </c>
      <c r="Q136">
        <f>AVERAGE($N$39:N136)</f>
        <v>0.46044269473435406</v>
      </c>
    </row>
    <row r="137" spans="9:17" x14ac:dyDescent="0.2">
      <c r="I137">
        <v>1320000</v>
      </c>
      <c r="J137">
        <v>1.31359</v>
      </c>
      <c r="K137">
        <v>0.92959499999999995</v>
      </c>
      <c r="L137">
        <v>2301.65</v>
      </c>
      <c r="M137">
        <f t="shared" si="30"/>
        <v>4.3447092303347599E-4</v>
      </c>
      <c r="N137">
        <f t="shared" si="31"/>
        <v>0.43447092303347601</v>
      </c>
      <c r="O137">
        <f t="shared" si="27"/>
        <v>0.46797690003213466</v>
      </c>
      <c r="P137">
        <f t="shared" si="29"/>
        <v>5.3501577671239794E-2</v>
      </c>
      <c r="Q137">
        <f>AVERAGE($N$39:N137)</f>
        <v>0.46018035360606235</v>
      </c>
    </row>
    <row r="138" spans="9:17" x14ac:dyDescent="0.2">
      <c r="I138">
        <v>1330000</v>
      </c>
      <c r="J138">
        <v>1.31454</v>
      </c>
      <c r="K138">
        <v>0.82518599999999998</v>
      </c>
      <c r="L138">
        <v>2042.72</v>
      </c>
      <c r="M138">
        <f t="shared" si="30"/>
        <v>4.895433539594266E-4</v>
      </c>
      <c r="N138">
        <f t="shared" si="31"/>
        <v>0.48954335395942661</v>
      </c>
      <c r="O138">
        <f t="shared" si="27"/>
        <v>0.4708183233515667</v>
      </c>
      <c r="P138">
        <f t="shared" si="29"/>
        <v>5.3850876717419213E-2</v>
      </c>
      <c r="Q138">
        <f>AVERAGE($N$39:N138)</f>
        <v>0.46047398360959596</v>
      </c>
    </row>
    <row r="139" spans="9:17" x14ac:dyDescent="0.2">
      <c r="I139">
        <v>1340000</v>
      </c>
      <c r="J139">
        <v>1.3102799999999999</v>
      </c>
      <c r="K139">
        <v>0.84948500000000005</v>
      </c>
      <c r="L139">
        <v>2104.91</v>
      </c>
      <c r="M139">
        <f t="shared" si="30"/>
        <v>4.7507969461877233E-4</v>
      </c>
      <c r="N139">
        <f t="shared" si="31"/>
        <v>0.47507969461877231</v>
      </c>
      <c r="O139">
        <f t="shared" si="27"/>
        <v>0.47197592108346276</v>
      </c>
      <c r="P139">
        <f t="shared" si="29"/>
        <v>5.380056568001592E-2</v>
      </c>
      <c r="Q139">
        <f>AVERAGE($N$39:N139)</f>
        <v>0.46061859460968679</v>
      </c>
    </row>
    <row r="140" spans="9:17" x14ac:dyDescent="0.2">
      <c r="I140">
        <v>1350000</v>
      </c>
      <c r="J140">
        <v>1.3223499999999999</v>
      </c>
      <c r="K140">
        <v>0.83036500000000002</v>
      </c>
      <c r="L140">
        <v>2051.4499999999998</v>
      </c>
      <c r="M140">
        <f t="shared" si="30"/>
        <v>4.8746008920519634E-4</v>
      </c>
      <c r="N140">
        <f t="shared" si="31"/>
        <v>0.48746008920519635</v>
      </c>
      <c r="O140">
        <f t="shared" si="27"/>
        <v>0.47695538077755606</v>
      </c>
      <c r="P140">
        <f t="shared" si="29"/>
        <v>5.2562250454550673E-2</v>
      </c>
      <c r="Q140">
        <f>AVERAGE($N$39:N140)</f>
        <v>0.46088174651748587</v>
      </c>
    </row>
    <row r="141" spans="9:17" x14ac:dyDescent="0.2">
      <c r="I141">
        <v>1360000</v>
      </c>
      <c r="J141">
        <v>1.3170599999999999</v>
      </c>
      <c r="K141">
        <v>0.98527399999999998</v>
      </c>
      <c r="L141">
        <v>2437.38</v>
      </c>
      <c r="M141">
        <f t="shared" si="30"/>
        <v>4.1027660848944357E-4</v>
      </c>
      <c r="N141">
        <f t="shared" si="31"/>
        <v>0.41027660848944358</v>
      </c>
      <c r="O141">
        <f t="shared" si="27"/>
        <v>0.47067935193870475</v>
      </c>
      <c r="P141">
        <f t="shared" si="29"/>
        <v>5.6668559118928867E-2</v>
      </c>
      <c r="Q141">
        <f>AVERAGE($N$39:N141)</f>
        <v>0.46039043449779621</v>
      </c>
    </row>
    <row r="142" spans="9:17" x14ac:dyDescent="0.2">
      <c r="I142">
        <v>1370000</v>
      </c>
      <c r="J142">
        <v>1.3253999999999999</v>
      </c>
      <c r="K142">
        <v>0.949237</v>
      </c>
      <c r="L142">
        <v>2343.29</v>
      </c>
      <c r="M142">
        <f t="shared" si="30"/>
        <v>4.2675042354979538E-4</v>
      </c>
      <c r="N142">
        <f t="shared" si="31"/>
        <v>0.42675042354979537</v>
      </c>
      <c r="O142">
        <f t="shared" si="27"/>
        <v>0.45381782693401201</v>
      </c>
      <c r="P142">
        <f t="shared" si="29"/>
        <v>3.7181076458463941E-2</v>
      </c>
      <c r="Q142">
        <f>AVERAGE($N$39:N142)</f>
        <v>0.46006697285406545</v>
      </c>
    </row>
    <row r="143" spans="9:17" x14ac:dyDescent="0.2">
      <c r="I143">
        <v>1380000</v>
      </c>
      <c r="J143">
        <v>1.3068</v>
      </c>
      <c r="K143">
        <v>0.92003000000000001</v>
      </c>
      <c r="L143">
        <v>2281.94</v>
      </c>
      <c r="M143">
        <f t="shared" si="30"/>
        <v>4.3822361674715374E-4</v>
      </c>
      <c r="N143">
        <f t="shared" si="31"/>
        <v>0.43822361674715371</v>
      </c>
      <c r="O143">
        <f t="shared" si="27"/>
        <v>0.4454992830254792</v>
      </c>
      <c r="P143">
        <f t="shared" si="29"/>
        <v>2.8721876020544952E-2</v>
      </c>
      <c r="Q143">
        <f>AVERAGE($N$39:N143)</f>
        <v>0.45985894089114243</v>
      </c>
    </row>
    <row r="144" spans="9:17" x14ac:dyDescent="0.2">
      <c r="I144">
        <v>1390000</v>
      </c>
      <c r="J144">
        <v>1.31924</v>
      </c>
      <c r="K144">
        <v>0.98051500000000003</v>
      </c>
      <c r="L144">
        <v>2424.35</v>
      </c>
      <c r="M144">
        <f t="shared" si="30"/>
        <v>4.1248169612473449E-4</v>
      </c>
      <c r="N144">
        <f t="shared" si="31"/>
        <v>0.41248169612473451</v>
      </c>
      <c r="O144">
        <f t="shared" si="27"/>
        <v>0.44191164137878375</v>
      </c>
      <c r="P144">
        <f t="shared" si="29"/>
        <v>3.0510092813989993E-2</v>
      </c>
      <c r="Q144">
        <f>AVERAGE($N$39:N144)</f>
        <v>0.45941198575183673</v>
      </c>
    </row>
    <row r="145" spans="9:17" x14ac:dyDescent="0.2">
      <c r="I145">
        <v>1400000</v>
      </c>
      <c r="J145">
        <v>1.3148200000000001</v>
      </c>
      <c r="K145">
        <v>0.82265299999999997</v>
      </c>
      <c r="L145">
        <v>2036.18</v>
      </c>
      <c r="M145">
        <f t="shared" si="30"/>
        <v>4.9111571668516529E-4</v>
      </c>
      <c r="N145">
        <f t="shared" si="31"/>
        <v>0.49111571668516529</v>
      </c>
      <c r="O145">
        <f t="shared" ref="O145:O147" si="32">AVERAGE(N136:N145)</f>
        <v>0.44898503397306505</v>
      </c>
      <c r="P145">
        <f t="shared" si="29"/>
        <v>3.3057138415620149E-2</v>
      </c>
      <c r="Q145">
        <f>AVERAGE($N$39:N145)</f>
        <v>0.45970828230261551</v>
      </c>
    </row>
    <row r="146" spans="9:17" x14ac:dyDescent="0.2">
      <c r="I146">
        <v>1410000</v>
      </c>
      <c r="J146">
        <v>1.31331</v>
      </c>
      <c r="K146">
        <v>0.99905600000000006</v>
      </c>
      <c r="L146">
        <v>2473.94</v>
      </c>
      <c r="M146">
        <f t="shared" si="30"/>
        <v>4.0421352175072959E-4</v>
      </c>
      <c r="N146">
        <f t="shared" si="31"/>
        <v>0.40421352175072961</v>
      </c>
      <c r="O146">
        <f t="shared" si="32"/>
        <v>0.44696156441638929</v>
      </c>
      <c r="P146">
        <f t="shared" si="29"/>
        <v>3.5271105969306729E-2</v>
      </c>
      <c r="Q146">
        <f>AVERAGE($N$39:N146)</f>
        <v>0.45919444192713504</v>
      </c>
    </row>
    <row r="147" spans="9:17" x14ac:dyDescent="0.2">
      <c r="I147">
        <v>1420000</v>
      </c>
      <c r="J147">
        <v>1.3154300000000001</v>
      </c>
      <c r="K147">
        <v>0.95699500000000004</v>
      </c>
      <c r="L147">
        <v>2368.31</v>
      </c>
      <c r="M147">
        <f t="shared" si="30"/>
        <v>4.2224202068141418E-4</v>
      </c>
      <c r="N147">
        <f t="shared" si="31"/>
        <v>0.4222420206814142</v>
      </c>
      <c r="O147">
        <f t="shared" si="32"/>
        <v>0.44573867418118313</v>
      </c>
      <c r="P147">
        <f t="shared" si="29"/>
        <v>3.5957603680071393E-2</v>
      </c>
      <c r="Q147">
        <f>AVERAGE($N$39:N147)</f>
        <v>0.45885542888818348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2026-05-21T18:14:21Z</dcterms:created>
  <dcterms:modified xsi:type="dcterms:W3CDTF">2026-05-28T11:55:55Z</dcterms:modified>
</cp:coreProperties>
</file>