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elbw/projects/spreadsheets/USHPRR/"/>
    </mc:Choice>
  </mc:AlternateContent>
  <xr:revisionPtr revIDLastSave="0" documentId="13_ncr:1_{2ED7AF07-C720-4F4A-998C-D8E243A79661}" xr6:coauthVersionLast="47" xr6:coauthVersionMax="47" xr10:uidLastSave="{00000000-0000-0000-0000-000000000000}"/>
  <bookViews>
    <workbookView xWindow="9220" yWindow="7520" windowWidth="35560" windowHeight="17420" activeTab="2" xr2:uid="{E6C385B5-DE39-C74D-9E54-74BB84BFBA62}"/>
  </bookViews>
  <sheets>
    <sheet name="Sheet1" sheetId="3" r:id="rId1"/>
    <sheet name="formation volume" sheetId="1" r:id="rId2"/>
    <sheet name="dipole tensor" sheetId="2" r:id="rId3"/>
  </sheets>
  <definedNames>
    <definedName name="solver_eng" localSheetId="1" hidden="1">1</definedName>
    <definedName name="solver_lin" localSheetId="1" hidden="1">2</definedName>
    <definedName name="solver_neg" localSheetId="1" hidden="1">1</definedName>
    <definedName name="solver_num" localSheetId="1" hidden="1">0</definedName>
    <definedName name="solver_opt" localSheetId="1" hidden="1">'formation volume'!$Y$10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4" i="2" l="1"/>
  <c r="X33" i="2"/>
  <c r="Y31" i="2"/>
  <c r="W31" i="2"/>
  <c r="Y26" i="2" a="1"/>
  <c r="Y26" i="2" s="1"/>
  <c r="Y25" i="2" a="1"/>
  <c r="Y25" i="2" s="1"/>
  <c r="Y24" i="2" a="1"/>
  <c r="Y24" i="2" s="1"/>
  <c r="Y23" i="2" a="1"/>
  <c r="Y23" i="2" s="1"/>
  <c r="Y22" i="2" a="1"/>
  <c r="Y22" i="2" s="1"/>
  <c r="Y21" i="2" a="1"/>
  <c r="Y21" i="2" s="1"/>
  <c r="Y20" i="2" a="1"/>
  <c r="Y20" i="2" s="1"/>
  <c r="Y19" i="2" a="1"/>
  <c r="Y19" i="2" s="1"/>
  <c r="W26" i="2" a="1"/>
  <c r="W26" i="2" s="1"/>
  <c r="W25" i="2" a="1"/>
  <c r="W25" i="2" s="1"/>
  <c r="W24" i="2" a="1"/>
  <c r="W24" i="2" s="1"/>
  <c r="W23" i="2" a="1"/>
  <c r="W23" i="2" s="1"/>
  <c r="W22" i="2" a="1"/>
  <c r="W22" i="2" s="1"/>
  <c r="W21" i="2" a="1"/>
  <c r="W21" i="2" s="1"/>
  <c r="W20" i="2" a="1"/>
  <c r="W20" i="2" s="1"/>
  <c r="W19" i="2" a="1"/>
  <c r="W19" i="2" s="1"/>
  <c r="Y13" i="2" a="1"/>
  <c r="Y13" i="2" s="1"/>
  <c r="Y12" i="2" a="1"/>
  <c r="Y12" i="2" s="1"/>
  <c r="Y11" i="2" a="1"/>
  <c r="Y11" i="2" s="1"/>
  <c r="Y10" i="2" a="1"/>
  <c r="Y10" i="2" s="1"/>
  <c r="Y9" i="2" a="1"/>
  <c r="Y9" i="2" s="1"/>
  <c r="Y8" i="2" a="1"/>
  <c r="Y8" i="2" s="1"/>
  <c r="Y7" i="2" a="1"/>
  <c r="Y7" i="2" s="1"/>
  <c r="Y6" i="2" a="1"/>
  <c r="Y6" i="2" s="1"/>
  <c r="Y15" i="2" s="1"/>
  <c r="W13" i="2" a="1"/>
  <c r="W13" i="2" s="1"/>
  <c r="W12" i="2" a="1"/>
  <c r="W12" i="2" s="1"/>
  <c r="W11" i="2" a="1"/>
  <c r="W11" i="2" s="1"/>
  <c r="W10" i="2" a="1"/>
  <c r="W10" i="2" s="1"/>
  <c r="W9" i="2" a="1"/>
  <c r="W9" i="2" s="1"/>
  <c r="W8" i="2" a="1"/>
  <c r="W8" i="2" s="1"/>
  <c r="W7" i="2" a="1"/>
  <c r="W7" i="2" s="1"/>
  <c r="W6" i="2" a="1"/>
  <c r="W6" i="2" s="1"/>
  <c r="W15" i="2" l="1"/>
  <c r="Y28" i="2"/>
  <c r="W28" i="2"/>
  <c r="Y10" i="1" l="1" a="1"/>
  <c r="Y10" i="1" s="1"/>
  <c r="C10" i="1" l="1" a="1"/>
  <c r="C10" i="1" s="1"/>
  <c r="R58" i="1" a="1"/>
  <c r="R58" i="1" s="1"/>
  <c r="R42" i="1" a="1"/>
  <c r="R42" i="1" s="1"/>
  <c r="R26" i="1" a="1"/>
  <c r="R26" i="1" s="1"/>
  <c r="R10" i="1" a="1"/>
  <c r="R10" i="1" s="1"/>
  <c r="O10" i="1" a="1"/>
  <c r="O10" i="1" s="1"/>
  <c r="B56" i="1" l="1"/>
  <c r="B55" i="1"/>
  <c r="B54" i="1"/>
  <c r="B53" i="1"/>
  <c r="B52" i="1"/>
  <c r="C58" i="1" s="1" a="1"/>
  <c r="C58" i="1" s="1"/>
  <c r="N56" i="1"/>
  <c r="N55" i="1"/>
  <c r="N54" i="1"/>
  <c r="N53" i="1"/>
  <c r="N52" i="1"/>
  <c r="O58" i="1" s="1" a="1"/>
  <c r="O58" i="1" s="1"/>
  <c r="N40" i="1"/>
  <c r="N39" i="1"/>
  <c r="N38" i="1"/>
  <c r="N37" i="1"/>
  <c r="N36" i="1"/>
  <c r="B40" i="1"/>
  <c r="B39" i="1"/>
  <c r="B38" i="1"/>
  <c r="B37" i="1"/>
  <c r="B36" i="1"/>
  <c r="B24" i="1"/>
  <c r="B23" i="1"/>
  <c r="B22" i="1"/>
  <c r="B21" i="1"/>
  <c r="B20" i="1"/>
  <c r="N24" i="1"/>
  <c r="N23" i="1"/>
  <c r="N22" i="1"/>
  <c r="N21" i="1"/>
  <c r="N20" i="1"/>
  <c r="N8" i="1"/>
  <c r="N7" i="1"/>
  <c r="N6" i="1"/>
  <c r="N5" i="1"/>
  <c r="N4" i="1"/>
  <c r="B5" i="1"/>
  <c r="B6" i="1"/>
  <c r="B7" i="1"/>
  <c r="B8" i="1"/>
  <c r="B4" i="1"/>
  <c r="C17" i="1" l="1" a="1"/>
  <c r="C17" i="1" s="1"/>
  <c r="C15" i="1" a="1"/>
  <c r="C15" i="1" s="1"/>
  <c r="O63" i="1" a="1"/>
  <c r="O63" i="1" s="1"/>
  <c r="O62" i="1" a="1"/>
  <c r="O62" i="1" s="1"/>
  <c r="O59" i="1" a="1"/>
  <c r="O59" i="1" s="1"/>
  <c r="O60" i="1" a="1"/>
  <c r="O60" i="1" s="1"/>
  <c r="O61" i="1" a="1"/>
  <c r="O61" i="1" s="1"/>
  <c r="C46" i="1" a="1"/>
  <c r="C46" i="1" s="1"/>
  <c r="C42" i="1" a="1"/>
  <c r="C42" i="1" s="1"/>
  <c r="O64" i="1" a="1"/>
  <c r="O64" i="1" s="1"/>
  <c r="O65" i="1" a="1"/>
  <c r="O65" i="1" s="1"/>
  <c r="C59" i="1" a="1"/>
  <c r="C59" i="1" s="1"/>
  <c r="O31" i="1" a="1"/>
  <c r="O31" i="1" s="1"/>
  <c r="C64" i="1" a="1"/>
  <c r="C64" i="1" s="1"/>
  <c r="C65" i="1" a="1"/>
  <c r="C65" i="1" s="1"/>
  <c r="C60" i="1" a="1"/>
  <c r="C60" i="1" s="1"/>
  <c r="C61" i="1" a="1"/>
  <c r="C61" i="1" s="1"/>
  <c r="C62" i="1" a="1"/>
  <c r="C62" i="1" s="1"/>
  <c r="C63" i="1" a="1"/>
  <c r="C63" i="1" s="1"/>
  <c r="O49" i="1" a="1"/>
  <c r="O49" i="1" s="1"/>
  <c r="C43" i="1" a="1"/>
  <c r="C43" i="1" s="1"/>
  <c r="C44" i="1" a="1"/>
  <c r="C44" i="1" s="1"/>
  <c r="C33" i="1" a="1"/>
  <c r="C33" i="1" s="1"/>
  <c r="C45" i="1" a="1"/>
  <c r="C45" i="1" s="1"/>
  <c r="O42" i="1" a="1"/>
  <c r="O42" i="1" s="1"/>
  <c r="O43" i="1" a="1"/>
  <c r="O43" i="1" s="1"/>
  <c r="C47" i="1" a="1"/>
  <c r="C47" i="1" s="1"/>
  <c r="C49" i="1" a="1"/>
  <c r="C49" i="1" s="1"/>
  <c r="O47" i="1" a="1"/>
  <c r="O47" i="1" s="1"/>
  <c r="O48" i="1" a="1"/>
  <c r="O48" i="1" s="1"/>
  <c r="C48" i="1" a="1"/>
  <c r="C48" i="1" s="1"/>
  <c r="O44" i="1" a="1"/>
  <c r="O44" i="1" s="1"/>
  <c r="O45" i="1" a="1"/>
  <c r="O45" i="1" s="1"/>
  <c r="O46" i="1" a="1"/>
  <c r="O46" i="1" s="1"/>
  <c r="O32" i="1" a="1"/>
  <c r="O32" i="1" s="1"/>
  <c r="O33" i="1" a="1"/>
  <c r="O33" i="1" s="1"/>
  <c r="C31" i="1" a="1"/>
  <c r="C31" i="1" s="1"/>
  <c r="C32" i="1" a="1"/>
  <c r="C32" i="1" s="1"/>
  <c r="C26" i="1" a="1"/>
  <c r="C26" i="1" s="1"/>
  <c r="C27" i="1" a="1"/>
  <c r="C27" i="1" s="1"/>
  <c r="C28" i="1" a="1"/>
  <c r="C28" i="1" s="1"/>
  <c r="O26" i="1" a="1"/>
  <c r="O26" i="1" s="1"/>
  <c r="C29" i="1" a="1"/>
  <c r="C29" i="1" s="1"/>
  <c r="O27" i="1" a="1"/>
  <c r="O27" i="1" s="1"/>
  <c r="O28" i="1" a="1"/>
  <c r="O28" i="1" s="1"/>
  <c r="C30" i="1" a="1"/>
  <c r="C30" i="1" s="1"/>
  <c r="O29" i="1" a="1"/>
  <c r="O29" i="1" s="1"/>
  <c r="O30" i="1" a="1"/>
  <c r="O30" i="1" s="1"/>
  <c r="O11" i="1" a="1"/>
  <c r="O11" i="1" s="1"/>
  <c r="O12" i="1" a="1"/>
  <c r="O12" i="1" s="1"/>
  <c r="O13" i="1" a="1"/>
  <c r="O13" i="1" s="1"/>
  <c r="O14" i="1" a="1"/>
  <c r="O14" i="1" s="1"/>
  <c r="O15" i="1" a="1"/>
  <c r="O15" i="1" s="1"/>
  <c r="O16" i="1" a="1"/>
  <c r="O16" i="1" s="1"/>
  <c r="O17" i="1" a="1"/>
  <c r="O17" i="1" s="1"/>
  <c r="C16" i="1" a="1"/>
  <c r="C16" i="1" s="1"/>
  <c r="C11" i="1" a="1"/>
  <c r="C11" i="1" s="1"/>
  <c r="C12" i="1" a="1"/>
  <c r="C12" i="1" s="1"/>
  <c r="C13" i="1" a="1"/>
  <c r="C13" i="1" s="1"/>
  <c r="C14" i="1" a="1"/>
  <c r="C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<sst xmlns="http://schemas.openxmlformats.org/spreadsheetml/2006/main" count="69" uniqueCount="36">
  <si>
    <t>P (eV/ang^3)</t>
  </si>
  <si>
    <t>P (kbar)</t>
  </si>
  <si>
    <t>interstitial</t>
  </si>
  <si>
    <t>1200K</t>
  </si>
  <si>
    <t>vacancy</t>
  </si>
  <si>
    <t>1000K</t>
  </si>
  <si>
    <t>800K</t>
  </si>
  <si>
    <t>600K</t>
  </si>
  <si>
    <t>stderr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</si>
  <si>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</si>
  <si>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</si>
  <si>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</si>
  <si>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</si>
  <si>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</si>
  <si>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</si>
  <si>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</si>
  <si>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</si>
  <si>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</si>
  <si>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</si>
  <si>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</si>
  <si>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</si>
  <si>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</si>
  <si>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</si>
  <si>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</si>
  <si>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</si>
  <si>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</si>
  <si>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</si>
  <si>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</si>
  <si>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</si>
  <si>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</si>
  <si>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</si>
  <si>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</si>
  <si>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</si>
  <si>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</si>
  <si>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int</t>
  </si>
  <si>
    <t>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</si>
</sst>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'formation volume'!$B$68:$B$75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'formation volume'!$C$68:$C$75</c:f>
              <c:numCache>
                <c:formatCode>General</c:formatCode>
                <c:ptCount val="8"/>
                <c:pt idx="0">
                  <c:v>6.7221342576000023</c:v>
                </c:pt>
                <c:pt idx="1">
                  <c:v>9.8971973315999957</c:v>
                </c:pt>
                <c:pt idx="2">
                  <c:v>9.6185316743999962</c:v>
                </c:pt>
                <c:pt idx="3">
                  <c:v>15.7922157852</c:v>
                </c:pt>
                <c:pt idx="4">
                  <c:v>25.746042214799999</c:v>
                </c:pt>
                <c:pt idx="5">
                  <c:v>28.385046611999996</c:v>
                </c:pt>
                <c:pt idx="6">
                  <c:v>24.70664571119999</c:v>
                </c:pt>
                <c:pt idx="7">
                  <c:v>28.872248774399999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08-7943-9BEB-BF155A40D6E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'formation volume'!$B$68:$B$75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'formation volume'!$D$68:$D$75</c:f>
              <c:numCache>
                <c:formatCode>General</c:formatCode>
                <c:ptCount val="8"/>
                <c:pt idx="0">
                  <c:v>3.747845426696744</c:v>
                </c:pt>
                <c:pt idx="1">
                  <c:v>13.261606135232352</c:v>
                </c:pt>
                <c:pt idx="2">
                  <c:v>12.437235378593794</c:v>
                </c:pt>
                <c:pt idx="3">
                  <c:v>15.925810656511739</c:v>
                </c:pt>
                <c:pt idx="4">
                  <c:v>29.465558414610893</c:v>
                </c:pt>
                <c:pt idx="5">
                  <c:v>24.336927954848239</c:v>
                </c:pt>
                <c:pt idx="6">
                  <c:v>25.060004714301485</c:v>
                </c:pt>
                <c:pt idx="7">
                  <c:v>26.954533877091752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08-7943-9BEB-BF155A40D6E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'formation volume'!$B$68:$B$75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'formation volume'!$E$68:$E$75</c:f>
              <c:numCache>
                <c:formatCode>General</c:formatCode>
                <c:ptCount val="8"/>
                <c:pt idx="0">
                  <c:v>-9.5096042381599553</c:v>
                </c:pt>
                <c:pt idx="1">
                  <c:v>7.4149017526229448</c:v>
                </c:pt>
                <c:pt idx="2">
                  <c:v>8.7958194688752176</c:v>
                </c:pt>
                <c:pt idx="3">
                  <c:v>14.326406806444314</c:v>
                </c:pt>
                <c:pt idx="4">
                  <c:v>24.743550636922844</c:v>
                </c:pt>
                <c:pt idx="5">
                  <c:v>25.930236881546346</c:v>
                </c:pt>
                <c:pt idx="6">
                  <c:v>27.283189457195682</c:v>
                </c:pt>
                <c:pt idx="7">
                  <c:v>26.124654122193459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08-7943-9BEB-BF155A40D6EC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'formation volume'!$B$68:$B$75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'formation volume'!$F$68:$F$75</c:f>
              <c:numCache>
                <c:formatCode>General</c:formatCode>
                <c:ptCount val="8"/>
                <c:pt idx="0">
                  <c:v>-16.790714084738429</c:v>
                </c:pt>
                <c:pt idx="1">
                  <c:v>8.7333007862074084</c:v>
                </c:pt>
                <c:pt idx="2">
                  <c:v>9.3290239187963415</c:v>
                </c:pt>
                <c:pt idx="3">
                  <c:v>16.35243686456575</c:v>
                </c:pt>
                <c:pt idx="4">
                  <c:v>25.579198991737801</c:v>
                </c:pt>
                <c:pt idx="5">
                  <c:v>26.901873643204269</c:v>
                </c:pt>
                <c:pt idx="6">
                  <c:v>27.145861171931568</c:v>
                </c:pt>
                <c:pt idx="7">
                  <c:v>25.350917595382779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08-7943-9BEB-BF155A40D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887567"/>
        <c:axId val="1417404495"/>
      </c:scatterChart>
      <c:valAx>
        <c:axId val="97088756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404495"/>
        <c:crosses val="autoZero"/>
        <c:crossBetween val="midCat"/>
      </c:valAx>
      <c:valAx>
        <c:axId val="141740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887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'formation volume'!$C$67:$F$67</c:f>
              <c:numCache>
                <c:formatCode>General</c:formatCode>
                <c:ptCount val="4"/>
                <c:pt idx="0">
                  <c:v>1200</c:v>
                </c:pt>
                <c:pt idx="1">
                  <c:v>1000</c:v>
                </c:pt>
                <c:pt idx="2">
                  <c:v>800</c:v>
                </c:pt>
                <c:pt idx="3">
                  <c:v>600</c:v>
                </c:pt>
              </c:numCache>
            </c:numRef>
          </c:xVal>
          <c:yVal>
            <c:numRef>
              <c:f>'formation volume'!$C$68:$F$68</c:f>
              <c:numCache>
                <c:formatCode>General</c:formatCode>
                <c:ptCount val="4"/>
                <c:pt idx="0">
                  <c:v>6.7221342576000023</c:v>
                </c:pt>
                <c:pt idx="1">
                  <c:v>3.747845426696744</c:v>
                </c:pt>
                <c:pt idx="2">
                  <c:v>-9.5096042381599553</c:v>
                </c:pt>
                <c:pt idx="3">
                  <c:v>-16.790714084738429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E0-AD43-9F7A-D1364A1CF47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'formation volume'!$C$67:$F$67</c:f>
              <c:numCache>
                <c:formatCode>General</c:formatCode>
                <c:ptCount val="4"/>
                <c:pt idx="0">
                  <c:v>1200</c:v>
                </c:pt>
                <c:pt idx="1">
                  <c:v>1000</c:v>
                </c:pt>
                <c:pt idx="2">
                  <c:v>800</c:v>
                </c:pt>
                <c:pt idx="3">
                  <c:v>600</c:v>
                </c:pt>
              </c:numCache>
            </c:numRef>
          </c:xVal>
          <c:yVal>
            <c:numRef>
              <c:f>'formation volume'!$C$69:$F$69</c:f>
              <c:numCache>
                <c:formatCode>General</c:formatCode>
                <c:ptCount val="4"/>
                <c:pt idx="0">
                  <c:v>9.8971973315999957</c:v>
                </c:pt>
                <c:pt idx="1">
                  <c:v>13.261606135232352</c:v>
                </c:pt>
                <c:pt idx="2">
                  <c:v>7.4149017526229448</c:v>
                </c:pt>
                <c:pt idx="3">
                  <c:v>8.7333007862074084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E0-AD43-9F7A-D1364A1CF47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'formation volume'!$C$67:$F$67</c:f>
              <c:numCache>
                <c:formatCode>General</c:formatCode>
                <c:ptCount val="4"/>
                <c:pt idx="0">
                  <c:v>1200</c:v>
                </c:pt>
                <c:pt idx="1">
                  <c:v>1000</c:v>
                </c:pt>
                <c:pt idx="2">
                  <c:v>800</c:v>
                </c:pt>
                <c:pt idx="3">
                  <c:v>600</c:v>
                </c:pt>
              </c:numCache>
            </c:numRef>
          </c:xVal>
          <c:yVal>
            <c:numRef>
              <c:f>'formation volume'!$C$70:$F$70</c:f>
              <c:numCache>
                <c:formatCode>General</c:formatCode>
                <c:ptCount val="4"/>
                <c:pt idx="0">
                  <c:v>9.6185316743999962</c:v>
                </c:pt>
                <c:pt idx="1">
                  <c:v>12.437235378593794</c:v>
                </c:pt>
                <c:pt idx="2">
                  <c:v>8.7958194688752176</c:v>
                </c:pt>
                <c:pt idx="3">
                  <c:v>9.3290239187963415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E0-AD43-9F7A-D1364A1CF47C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'formation volume'!$C$67:$F$67</c:f>
              <c:numCache>
                <c:formatCode>General</c:formatCode>
                <c:ptCount val="4"/>
                <c:pt idx="0">
                  <c:v>1200</c:v>
                </c:pt>
                <c:pt idx="1">
                  <c:v>1000</c:v>
                </c:pt>
                <c:pt idx="2">
                  <c:v>800</c:v>
                </c:pt>
                <c:pt idx="3">
                  <c:v>600</c:v>
                </c:pt>
              </c:numCache>
            </c:numRef>
          </c:xVal>
          <c:yVal>
            <c:numRef>
              <c:f>'formation volume'!$C$71:$F$71</c:f>
              <c:numCache>
                <c:formatCode>General</c:formatCode>
                <c:ptCount val="4"/>
                <c:pt idx="0">
                  <c:v>15.7922157852</c:v>
                </c:pt>
                <c:pt idx="1">
                  <c:v>15.925810656511739</c:v>
                </c:pt>
                <c:pt idx="2">
                  <c:v>14.326406806444314</c:v>
                </c:pt>
                <c:pt idx="3">
                  <c:v>16.35243686456575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E0-AD43-9F7A-D1364A1CF47C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'formation volume'!$C$67:$F$67</c:f>
              <c:numCache>
                <c:formatCode>General</c:formatCode>
                <c:ptCount val="4"/>
                <c:pt idx="0">
                  <c:v>1200</c:v>
                </c:pt>
                <c:pt idx="1">
                  <c:v>1000</c:v>
                </c:pt>
                <c:pt idx="2">
                  <c:v>800</c:v>
                </c:pt>
                <c:pt idx="3">
                  <c:v>600</c:v>
                </c:pt>
              </c:numCache>
            </c:numRef>
          </c:xVal>
          <c:yVal>
            <c:numRef>
              <c:f>'formation volume'!$C$72:$F$72</c:f>
              <c:numCache>
                <c:formatCode>General</c:formatCode>
                <c:ptCount val="4"/>
                <c:pt idx="0">
                  <c:v>25.746042214799999</c:v>
                </c:pt>
                <c:pt idx="1">
                  <c:v>29.465558414610893</c:v>
                </c:pt>
                <c:pt idx="2">
                  <c:v>24.743550636922844</c:v>
                </c:pt>
                <c:pt idx="3">
                  <c:v>25.579198991737801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E0-AD43-9F7A-D1364A1CF47C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'formation volume'!$C$67:$F$67</c:f>
              <c:numCache>
                <c:formatCode>General</c:formatCode>
                <c:ptCount val="4"/>
                <c:pt idx="0">
                  <c:v>1200</c:v>
                </c:pt>
                <c:pt idx="1">
                  <c:v>1000</c:v>
                </c:pt>
                <c:pt idx="2">
                  <c:v>800</c:v>
                </c:pt>
                <c:pt idx="3">
                  <c:v>600</c:v>
                </c:pt>
              </c:numCache>
            </c:numRef>
          </c:xVal>
          <c:yVal>
            <c:numRef>
              <c:f>'formation volume'!$C$73:$F$73</c:f>
              <c:numCache>
                <c:formatCode>General</c:formatCode>
                <c:ptCount val="4"/>
                <c:pt idx="0">
                  <c:v>28.385046611999996</c:v>
                </c:pt>
                <c:pt idx="1">
                  <c:v>24.336927954848239</c:v>
                </c:pt>
                <c:pt idx="2">
                  <c:v>25.930236881546346</c:v>
                </c:pt>
                <c:pt idx="3">
                  <c:v>26.901873643204269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8E0-AD43-9F7A-D1364A1CF47C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'formation volume'!$C$67:$F$67</c:f>
              <c:numCache>
                <c:formatCode>General</c:formatCode>
                <c:ptCount val="4"/>
                <c:pt idx="0">
                  <c:v>1200</c:v>
                </c:pt>
                <c:pt idx="1">
                  <c:v>1000</c:v>
                </c:pt>
                <c:pt idx="2">
                  <c:v>800</c:v>
                </c:pt>
                <c:pt idx="3">
                  <c:v>600</c:v>
                </c:pt>
              </c:numCache>
            </c:numRef>
          </c:xVal>
          <c:yVal>
            <c:numRef>
              <c:f>'formation volume'!$C$74:$F$74</c:f>
              <c:numCache>
                <c:formatCode>General</c:formatCode>
                <c:ptCount val="4"/>
                <c:pt idx="0">
                  <c:v>24.70664571119999</c:v>
                </c:pt>
                <c:pt idx="1">
                  <c:v>25.060004714301485</c:v>
                </c:pt>
                <c:pt idx="2">
                  <c:v>27.283189457195682</c:v>
                </c:pt>
                <c:pt idx="3">
                  <c:v>27.145861171931568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8E0-AD43-9F7A-D1364A1CF47C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'formation volume'!$C$67:$F$67</c:f>
              <c:numCache>
                <c:formatCode>General</c:formatCode>
                <c:ptCount val="4"/>
                <c:pt idx="0">
                  <c:v>1200</c:v>
                </c:pt>
                <c:pt idx="1">
                  <c:v>1000</c:v>
                </c:pt>
                <c:pt idx="2">
                  <c:v>800</c:v>
                </c:pt>
                <c:pt idx="3">
                  <c:v>600</c:v>
                </c:pt>
              </c:numCache>
            </c:numRef>
          </c:xVal>
          <c:yVal>
            <c:numRef>
              <c:f>'formation volume'!$C$75:$F$75</c:f>
              <c:numCache>
                <c:formatCode>General</c:formatCode>
                <c:ptCount val="4"/>
                <c:pt idx="0">
                  <c:v>28.872248774399999</c:v>
                </c:pt>
                <c:pt idx="1">
                  <c:v>26.954533877091752</c:v>
                </c:pt>
                <c:pt idx="2">
                  <c:v>26.124654122193459</c:v>
                </c:pt>
                <c:pt idx="3">
                  <c:v>25.350917595382779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11-9146-98F1-194DC6D96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913487"/>
        <c:axId val="1249265263"/>
      </c:scatterChart>
      <c:valAx>
        <c:axId val="1448913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65263"/>
        <c:crosses val="autoZero"/>
        <c:crossBetween val="midCat"/>
      </c:valAx>
      <c:valAx>
        <c:axId val="124926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913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'formation volume'!$T$68:$T$75</c:f>
                <c:numCache>
                  <c:formatCode>General</c:formatCode>
                  <c:ptCount val="8"/>
                  <c:pt idx="0">
                    <c:v>5.8111539883944259</c:v>
                  </c:pt>
                  <c:pt idx="1">
                    <c:v>1.1864683049159126</c:v>
                  </c:pt>
                  <c:pt idx="2">
                    <c:v>2.1464616355429862</c:v>
                  </c:pt>
                  <c:pt idx="3">
                    <c:v>1.7599307720130817</c:v>
                  </c:pt>
                  <c:pt idx="4">
                    <c:v>1.9374168880335076</c:v>
                  </c:pt>
                  <c:pt idx="5">
                    <c:v>3.743000017305711</c:v>
                  </c:pt>
                  <c:pt idx="6">
                    <c:v>2.5817260057765306</c:v>
                  </c:pt>
                  <c:pt idx="7">
                    <c:v>2.0107857736187498</c:v>
                  </c:pt>
                </c:numCache>
              </c:numRef>
            </c:plus>
            <c:minus>
              <c:numRef>
                <c:f>'formation volume'!$T$68:$T$75</c:f>
                <c:numCache>
                  <c:formatCode>General</c:formatCode>
                  <c:ptCount val="8"/>
                  <c:pt idx="0">
                    <c:v>5.8111539883944259</c:v>
                  </c:pt>
                  <c:pt idx="1">
                    <c:v>1.1864683049159126</c:v>
                  </c:pt>
                  <c:pt idx="2">
                    <c:v>2.1464616355429862</c:v>
                  </c:pt>
                  <c:pt idx="3">
                    <c:v>1.7599307720130817</c:v>
                  </c:pt>
                  <c:pt idx="4">
                    <c:v>1.9374168880335076</c:v>
                  </c:pt>
                  <c:pt idx="5">
                    <c:v>3.743000017305711</c:v>
                  </c:pt>
                  <c:pt idx="6">
                    <c:v>2.5817260057765306</c:v>
                  </c:pt>
                  <c:pt idx="7">
                    <c:v>2.0107857736187498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'formation volume'!$B$68:$B$75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'formation volume'!$O$68:$O$75</c:f>
              <c:numCache>
                <c:formatCode>General</c:formatCode>
                <c:ptCount val="8"/>
                <c:pt idx="0">
                  <c:v>-15.916722667856989</c:v>
                </c:pt>
                <c:pt idx="1">
                  <c:v>-17.992735995498602</c:v>
                </c:pt>
                <c:pt idx="2">
                  <c:v>-13.657054801644033</c:v>
                </c:pt>
                <c:pt idx="3">
                  <c:v>-7.4531094193225762</c:v>
                </c:pt>
                <c:pt idx="4">
                  <c:v>-6.5591412163100413</c:v>
                </c:pt>
                <c:pt idx="5">
                  <c:v>-5.5645211000646659</c:v>
                </c:pt>
                <c:pt idx="6">
                  <c:v>-2.820736593983681</c:v>
                </c:pt>
                <c:pt idx="7">
                  <c:v>-3.0737975088309626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51-F840-808D-73C4FEFAA86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'formation volume'!$B$68:$B$75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'formation volume'!$P$68:$P$75</c:f>
              <c:numCache>
                <c:formatCode>General</c:formatCode>
                <c:ptCount val="8"/>
                <c:pt idx="0">
                  <c:v>-10.451634703537144</c:v>
                </c:pt>
                <c:pt idx="1">
                  <c:v>-16.76875894504472</c:v>
                </c:pt>
                <c:pt idx="2">
                  <c:v>-9.742098941389111</c:v>
                </c:pt>
                <c:pt idx="3">
                  <c:v>-7.7414660842168734</c:v>
                </c:pt>
                <c:pt idx="4">
                  <c:v>-7.0034851315036217</c:v>
                </c:pt>
                <c:pt idx="5">
                  <c:v>-6.0552511655706338</c:v>
                </c:pt>
                <c:pt idx="6">
                  <c:v>-8.9157268655460751</c:v>
                </c:pt>
                <c:pt idx="7">
                  <c:v>-5.2789265721064291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51-F840-808D-73C4FEFAA86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'formation volume'!$V$68:$V$75</c:f>
                <c:numCache>
                  <c:formatCode>General</c:formatCode>
                  <c:ptCount val="8"/>
                  <c:pt idx="0">
                    <c:v>2.5667916844919119</c:v>
                  </c:pt>
                  <c:pt idx="1">
                    <c:v>2.9149827547535034</c:v>
                  </c:pt>
                  <c:pt idx="2">
                    <c:v>1.936258072318348</c:v>
                  </c:pt>
                  <c:pt idx="3">
                    <c:v>1.0986959411349166</c:v>
                  </c:pt>
                  <c:pt idx="4">
                    <c:v>0.8340785070091119</c:v>
                  </c:pt>
                  <c:pt idx="5">
                    <c:v>0.97033271543068467</c:v>
                  </c:pt>
                  <c:pt idx="6">
                    <c:v>0.91144196085043017</c:v>
                  </c:pt>
                  <c:pt idx="7">
                    <c:v>1.487292019488049</c:v>
                  </c:pt>
                </c:numCache>
              </c:numRef>
            </c:plus>
            <c:minus>
              <c:numRef>
                <c:f>'formation volume'!$V$68:$V$75</c:f>
                <c:numCache>
                  <c:formatCode>General</c:formatCode>
                  <c:ptCount val="8"/>
                  <c:pt idx="0">
                    <c:v>2.5667916844919119</c:v>
                  </c:pt>
                  <c:pt idx="1">
                    <c:v>2.9149827547535034</c:v>
                  </c:pt>
                  <c:pt idx="2">
                    <c:v>1.936258072318348</c:v>
                  </c:pt>
                  <c:pt idx="3">
                    <c:v>1.0986959411349166</c:v>
                  </c:pt>
                  <c:pt idx="4">
                    <c:v>0.8340785070091119</c:v>
                  </c:pt>
                  <c:pt idx="5">
                    <c:v>0.97033271543068467</c:v>
                  </c:pt>
                  <c:pt idx="6">
                    <c:v>0.91144196085043017</c:v>
                  </c:pt>
                  <c:pt idx="7">
                    <c:v>1.487292019488049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'formation volume'!$B$68:$B$75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'formation volume'!$Q$68:$Q$75</c:f>
              <c:numCache>
                <c:formatCode>General</c:formatCode>
                <c:ptCount val="8"/>
                <c:pt idx="0">
                  <c:v>-7.2827223584892158</c:v>
                </c:pt>
                <c:pt idx="1">
                  <c:v>-16.900702485977515</c:v>
                </c:pt>
                <c:pt idx="2">
                  <c:v>-10.698647713430244</c:v>
                </c:pt>
                <c:pt idx="3">
                  <c:v>-8.1354545890761081</c:v>
                </c:pt>
                <c:pt idx="4">
                  <c:v>-5.6579287178898783</c:v>
                </c:pt>
                <c:pt idx="5">
                  <c:v>-10.234508701639669</c:v>
                </c:pt>
                <c:pt idx="6">
                  <c:v>-9.7847141613646809</c:v>
                </c:pt>
                <c:pt idx="7">
                  <c:v>-6.0593627047414129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51-F840-808D-73C4FEFAA862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'formation volume'!$B$68:$B$75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'formation volume'!$R$68:$R$75</c:f>
              <c:numCache>
                <c:formatCode>General</c:formatCode>
                <c:ptCount val="8"/>
                <c:pt idx="0">
                  <c:v>-6.2699498101952464</c:v>
                </c:pt>
                <c:pt idx="1">
                  <c:v>-19.286045865769477</c:v>
                </c:pt>
                <c:pt idx="2">
                  <c:v>-11.608258483099872</c:v>
                </c:pt>
                <c:pt idx="3">
                  <c:v>-6.4460080605367809</c:v>
                </c:pt>
                <c:pt idx="4">
                  <c:v>-5.6821385093476362</c:v>
                </c:pt>
                <c:pt idx="5">
                  <c:v>-4.7414574855383744</c:v>
                </c:pt>
                <c:pt idx="6">
                  <c:v>-4.6724261981333353</c:v>
                </c:pt>
                <c:pt idx="7">
                  <c:v>-3.3444359608502738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51-F840-808D-73C4FEFAA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887567"/>
        <c:axId val="1417404495"/>
      </c:scatterChart>
      <c:valAx>
        <c:axId val="97088756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404495"/>
        <c:crosses val="autoZero"/>
        <c:crossBetween val="midCat"/>
      </c:valAx>
      <c:valAx>
        <c:axId val="141740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887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'formation volume'!$O$67:$R$67</c:f>
              <c:numCache>
                <c:formatCode>General</c:formatCode>
                <c:ptCount val="4"/>
                <c:pt idx="0">
                  <c:v>1200</c:v>
                </c:pt>
                <c:pt idx="1">
                  <c:v>1000</c:v>
                </c:pt>
                <c:pt idx="2">
                  <c:v>800</c:v>
                </c:pt>
                <c:pt idx="3">
                  <c:v>600</c:v>
                </c:pt>
              </c:numCache>
            </c:numRef>
          </c:xVal>
          <c:yVal>
            <c:numRef>
              <c:f>'formation volume'!$O$68:$R$68</c:f>
              <c:numCache>
                <c:formatCode>General</c:formatCode>
                <c:ptCount val="4"/>
                <c:pt idx="0">
                  <c:v>-15.916722667856989</c:v>
                </c:pt>
                <c:pt idx="1">
                  <c:v>-10.451634703537144</c:v>
                </c:pt>
                <c:pt idx="2">
                  <c:v>-7.2827223584892158</c:v>
                </c:pt>
                <c:pt idx="3">
                  <c:v>-6.2699498101952464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81-2945-930D-3DC9D49F905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'formation volume'!$O$67:$R$67</c:f>
              <c:numCache>
                <c:formatCode>General</c:formatCode>
                <c:ptCount val="4"/>
                <c:pt idx="0">
                  <c:v>1200</c:v>
                </c:pt>
                <c:pt idx="1">
                  <c:v>1000</c:v>
                </c:pt>
                <c:pt idx="2">
                  <c:v>800</c:v>
                </c:pt>
                <c:pt idx="3">
                  <c:v>600</c:v>
                </c:pt>
              </c:numCache>
            </c:numRef>
          </c:xVal>
          <c:yVal>
            <c:numRef>
              <c:f>'formation volume'!$O$69:$R$69</c:f>
              <c:numCache>
                <c:formatCode>General</c:formatCode>
                <c:ptCount val="4"/>
                <c:pt idx="0">
                  <c:v>-17.992735995498602</c:v>
                </c:pt>
                <c:pt idx="1">
                  <c:v>-16.76875894504472</c:v>
                </c:pt>
                <c:pt idx="2">
                  <c:v>-16.900702485977515</c:v>
                </c:pt>
                <c:pt idx="3">
                  <c:v>-19.286045865769477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81-2945-930D-3DC9D49F905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'formation volume'!$O$67:$R$67</c:f>
              <c:numCache>
                <c:formatCode>General</c:formatCode>
                <c:ptCount val="4"/>
                <c:pt idx="0">
                  <c:v>1200</c:v>
                </c:pt>
                <c:pt idx="1">
                  <c:v>1000</c:v>
                </c:pt>
                <c:pt idx="2">
                  <c:v>800</c:v>
                </c:pt>
                <c:pt idx="3">
                  <c:v>600</c:v>
                </c:pt>
              </c:numCache>
            </c:numRef>
          </c:xVal>
          <c:yVal>
            <c:numRef>
              <c:f>'formation volume'!$O$70:$R$70</c:f>
              <c:numCache>
                <c:formatCode>General</c:formatCode>
                <c:ptCount val="4"/>
                <c:pt idx="0">
                  <c:v>-13.657054801644033</c:v>
                </c:pt>
                <c:pt idx="1">
                  <c:v>-9.742098941389111</c:v>
                </c:pt>
                <c:pt idx="2">
                  <c:v>-10.698647713430244</c:v>
                </c:pt>
                <c:pt idx="3">
                  <c:v>-11.608258483099872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81-2945-930D-3DC9D49F9057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'formation volume'!$O$67:$R$67</c:f>
              <c:numCache>
                <c:formatCode>General</c:formatCode>
                <c:ptCount val="4"/>
                <c:pt idx="0">
                  <c:v>1200</c:v>
                </c:pt>
                <c:pt idx="1">
                  <c:v>1000</c:v>
                </c:pt>
                <c:pt idx="2">
                  <c:v>800</c:v>
                </c:pt>
                <c:pt idx="3">
                  <c:v>600</c:v>
                </c:pt>
              </c:numCache>
            </c:numRef>
          </c:xVal>
          <c:yVal>
            <c:numRef>
              <c:f>'formation volume'!$O$71:$R$71</c:f>
              <c:numCache>
                <c:formatCode>General</c:formatCode>
                <c:ptCount val="4"/>
                <c:pt idx="0">
                  <c:v>-7.4531094193225762</c:v>
                </c:pt>
                <c:pt idx="1">
                  <c:v>-7.7414660842168734</c:v>
                </c:pt>
                <c:pt idx="2">
                  <c:v>-8.1354545890761081</c:v>
                </c:pt>
                <c:pt idx="3">
                  <c:v>-6.4460080605367809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81-2945-930D-3DC9D49F9057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'formation volume'!$O$67:$R$67</c:f>
              <c:numCache>
                <c:formatCode>General</c:formatCode>
                <c:ptCount val="4"/>
                <c:pt idx="0">
                  <c:v>1200</c:v>
                </c:pt>
                <c:pt idx="1">
                  <c:v>1000</c:v>
                </c:pt>
                <c:pt idx="2">
                  <c:v>800</c:v>
                </c:pt>
                <c:pt idx="3">
                  <c:v>600</c:v>
                </c:pt>
              </c:numCache>
            </c:numRef>
          </c:xVal>
          <c:yVal>
            <c:numRef>
              <c:f>'formation volume'!$O$72:$R$72</c:f>
              <c:numCache>
                <c:formatCode>General</c:formatCode>
                <c:ptCount val="4"/>
                <c:pt idx="0">
                  <c:v>-6.5591412163100413</c:v>
                </c:pt>
                <c:pt idx="1">
                  <c:v>-7.0034851315036217</c:v>
                </c:pt>
                <c:pt idx="2">
                  <c:v>-5.6579287178898783</c:v>
                </c:pt>
                <c:pt idx="3">
                  <c:v>-5.6821385093476362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81-2945-930D-3DC9D49F9057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'formation volume'!$O$67:$R$67</c:f>
              <c:numCache>
                <c:formatCode>General</c:formatCode>
                <c:ptCount val="4"/>
                <c:pt idx="0">
                  <c:v>1200</c:v>
                </c:pt>
                <c:pt idx="1">
                  <c:v>1000</c:v>
                </c:pt>
                <c:pt idx="2">
                  <c:v>800</c:v>
                </c:pt>
                <c:pt idx="3">
                  <c:v>600</c:v>
                </c:pt>
              </c:numCache>
            </c:numRef>
          </c:xVal>
          <c:yVal>
            <c:numRef>
              <c:f>'formation volume'!$O$73:$R$73</c:f>
              <c:numCache>
                <c:formatCode>General</c:formatCode>
                <c:ptCount val="4"/>
                <c:pt idx="0">
                  <c:v>-5.5645211000646659</c:v>
                </c:pt>
                <c:pt idx="1">
                  <c:v>-6.0552511655706338</c:v>
                </c:pt>
                <c:pt idx="2">
                  <c:v>-10.234508701639669</c:v>
                </c:pt>
                <c:pt idx="3">
                  <c:v>-4.7414574855383744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981-2945-930D-3DC9D49F9057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'formation volume'!$O$67:$R$67</c:f>
              <c:numCache>
                <c:formatCode>General</c:formatCode>
                <c:ptCount val="4"/>
                <c:pt idx="0">
                  <c:v>1200</c:v>
                </c:pt>
                <c:pt idx="1">
                  <c:v>1000</c:v>
                </c:pt>
                <c:pt idx="2">
                  <c:v>800</c:v>
                </c:pt>
                <c:pt idx="3">
                  <c:v>600</c:v>
                </c:pt>
              </c:numCache>
            </c:numRef>
          </c:xVal>
          <c:yVal>
            <c:numRef>
              <c:f>'formation volume'!$O$74:$R$74</c:f>
              <c:numCache>
                <c:formatCode>General</c:formatCode>
                <c:ptCount val="4"/>
                <c:pt idx="0">
                  <c:v>-2.820736593983681</c:v>
                </c:pt>
                <c:pt idx="1">
                  <c:v>-8.9157268655460751</c:v>
                </c:pt>
                <c:pt idx="2">
                  <c:v>-9.7847141613646809</c:v>
                </c:pt>
                <c:pt idx="3">
                  <c:v>-4.6724261981333353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981-2945-930D-3DC9D49F9057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'formation volume'!$O$67:$R$67</c:f>
              <c:numCache>
                <c:formatCode>General</c:formatCode>
                <c:ptCount val="4"/>
                <c:pt idx="0">
                  <c:v>1200</c:v>
                </c:pt>
                <c:pt idx="1">
                  <c:v>1000</c:v>
                </c:pt>
                <c:pt idx="2">
                  <c:v>800</c:v>
                </c:pt>
                <c:pt idx="3">
                  <c:v>600</c:v>
                </c:pt>
              </c:numCache>
            </c:numRef>
          </c:xVal>
          <c:yVal>
            <c:numRef>
              <c:f>'formation volume'!$O$75:$R$75</c:f>
              <c:numCache>
                <c:formatCode>General</c:formatCode>
                <c:ptCount val="4"/>
                <c:pt idx="0">
                  <c:v>-3.0737975088309626</c:v>
                </c:pt>
                <c:pt idx="1">
                  <c:v>-5.2789265721064291</c:v>
                </c:pt>
                <c:pt idx="2">
                  <c:v>-6.0593627047414129</c:v>
                </c:pt>
                <c:pt idx="3">
                  <c:v>-3.3444359608502738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981-2945-930D-3DC9D49F9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913487"/>
        <c:axId val="1249265263"/>
      </c:scatterChart>
      <c:valAx>
        <c:axId val="1448913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65263"/>
        <c:crosses val="autoZero"/>
        <c:crossBetween val="midCat"/>
      </c:valAx>
      <c:valAx>
        <c:axId val="124926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913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586503494292128"/>
                  <c:y val="-0.359056855025474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'formation volume'!$N$4:$N$8</c:f>
              <c:numCache>
                <c:formatCode>General</c:formatCode>
                <c:ptCount val="5"/>
                <c:pt idx="0">
                  <c:v>0</c:v>
                </c:pt>
                <c:pt idx="1">
                  <c:v>3.1210986267166045E-3</c:v>
                </c:pt>
                <c:pt idx="2">
                  <c:v>6.242197253433209E-3</c:v>
                </c:pt>
                <c:pt idx="3">
                  <c:v>-3.1210986267166045E-3</c:v>
                </c:pt>
                <c:pt idx="4">
                  <c:v>-6.242197253433209E-3</c:v>
                </c:pt>
              </c:numCache>
            </c:numRef>
          </c:xVal>
          <c:yVal>
            <c:numRef>
              <c:f>'formation volume'!$P$4:$P$8</c:f>
              <c:numCache>
                <c:formatCode>General</c:formatCode>
                <c:ptCount val="5"/>
                <c:pt idx="0">
                  <c:v>2.1126915729790738</c:v>
                </c:pt>
                <c:pt idx="1">
                  <c:v>2.0366230293979299</c:v>
                </c:pt>
                <c:pt idx="2">
                  <c:v>2.0066693959799977</c:v>
                </c:pt>
                <c:pt idx="3">
                  <c:v>2.1607009289824788</c:v>
                </c:pt>
                <c:pt idx="4">
                  <c:v>2.2254159642198488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E0-EB4D-AE4B-C83FDF0F2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460944"/>
        <c:axId val="839823216"/>
      </c:scatterChart>
      <c:valAx>
        <c:axId val="46146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823216"/>
        <c:crosses val="autoZero"/>
        <c:crossBetween val="midCat"/>
      </c:valAx>
      <c:valAx>
        <c:axId val="83982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6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'dipole tensor'!$B$5:$I$5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'dipole tensor'!$B$6:$I$6</c:f>
              <c:numCache>
                <c:formatCode>General</c:formatCode>
                <c:ptCount val="8"/>
                <c:pt idx="0">
                  <c:v>3.7425905924362359</c:v>
                </c:pt>
                <c:pt idx="1">
                  <c:v>4.7241803686765698</c:v>
                </c:pt>
                <c:pt idx="2">
                  <c:v>5.5579632652712485</c:v>
                </c:pt>
                <c:pt idx="3">
                  <c:v>6.220368965201116</c:v>
                </c:pt>
                <c:pt idx="4">
                  <c:v>8.4790645889149427</c:v>
                </c:pt>
                <c:pt idx="5">
                  <c:v>10.378718543553211</c:v>
                </c:pt>
                <c:pt idx="6">
                  <c:v>11.338505431767672</c:v>
                </c:pt>
                <c:pt idx="7">
                  <c:v>13.038483137361268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2E-8E4F-8675-ED39CE58D16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'dipole tensor'!$B$13:$I$13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'dipole tensor'!$B$14:$I$14</c:f>
              <c:numCache>
                <c:formatCode>General</c:formatCode>
                <c:ptCount val="8"/>
                <c:pt idx="0">
                  <c:v>3.3861820213427776</c:v>
                </c:pt>
                <c:pt idx="1">
                  <c:v>4.325390139249131</c:v>
                </c:pt>
                <c:pt idx="2">
                  <c:v>5.2271740678029319</c:v>
                </c:pt>
                <c:pt idx="3">
                  <c:v>6.1059107850538128</c:v>
                </c:pt>
                <c:pt idx="4">
                  <c:v>8.900429857504184</c:v>
                </c:pt>
                <c:pt idx="5">
                  <c:v>10.777375332539592</c:v>
                </c:pt>
                <c:pt idx="6">
                  <c:v>11.664372540892341</c:v>
                </c:pt>
                <c:pt idx="7">
                  <c:v>13.260086447560637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B2E-8E4F-8675-ED39CE58D16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'dipole tensor'!$B$21:$I$21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'dipole tensor'!$B$22:$I$22</c:f>
              <c:numCache>
                <c:formatCode>General</c:formatCode>
                <c:ptCount val="8"/>
                <c:pt idx="0">
                  <c:v>2.9498713198785271</c:v>
                </c:pt>
                <c:pt idx="1">
                  <c:v>3.9211618980743164</c:v>
                </c:pt>
                <c:pt idx="2">
                  <c:v>4.9655455952864713</c:v>
                </c:pt>
                <c:pt idx="3">
                  <c:v>5.9447416593176756</c:v>
                </c:pt>
                <c:pt idx="4">
                  <c:v>9.3079954175579065</c:v>
                </c:pt>
                <c:pt idx="5">
                  <c:v>11.290646812681857</c:v>
                </c:pt>
                <c:pt idx="6">
                  <c:v>11.949031809501919</c:v>
                </c:pt>
                <c:pt idx="7">
                  <c:v>13.620688597559386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B2E-8E4F-8675-ED39CE58D166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'dipole tensor'!$B$29:$I$29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'dipole tensor'!$B$30:$I$30</c:f>
              <c:numCache>
                <c:formatCode>General</c:formatCode>
                <c:ptCount val="8"/>
                <c:pt idx="0">
                  <c:v>2.6262395093879198</c:v>
                </c:pt>
                <c:pt idx="1">
                  <c:v>3.3743382184238224</c:v>
                </c:pt>
                <c:pt idx="2">
                  <c:v>4.6285465607623832</c:v>
                </c:pt>
                <c:pt idx="3">
                  <c:v>5.9648041713410862</c:v>
                </c:pt>
                <c:pt idx="4">
                  <c:v>9.8145961304293579</c:v>
                </c:pt>
                <c:pt idx="5">
                  <c:v>11.707392097164558</c:v>
                </c:pt>
                <c:pt idx="6">
                  <c:v>12.354050635696813</c:v>
                </c:pt>
                <c:pt idx="7">
                  <c:v>13.921393303271563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B2E-8E4F-8675-ED39CE58D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103311"/>
        <c:axId val="1250381103"/>
      </c:scatterChart>
      <c:valAx>
        <c:axId val="179110331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381103"/>
        <c:crosses val="autoZero"/>
        <c:crossBetween val="midCat"/>
      </c:valAx>
      <c:valAx>
        <c:axId val="1250381103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103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3298337707786519E-3"/>
                  <c:y val="9.1794619422572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'dipole tensor'!$A$6:$A$10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'dipole tensor'!$B$6:$B$10</c:f>
              <c:numCache>
                <c:formatCode>General</c:formatCode>
                <c:ptCount val="5"/>
                <c:pt idx="0">
                  <c:v>3.7425905924362359</c:v>
                </c:pt>
                <c:pt idx="1">
                  <c:v>3.8128463790237257</c:v>
                </c:pt>
                <c:pt idx="2">
                  <c:v>3.9554418511133855</c:v>
                </c:pt>
                <c:pt idx="3">
                  <c:v>3.7555731326629469</c:v>
                </c:pt>
                <c:pt idx="4">
                  <c:v>3.7376695676899021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C2-764C-AE1E-CF7E066D684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'dipole tensor'!$A$6:$A$10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'dipole tensor'!$C$6:$C$10</c:f>
              <c:numCache>
                <c:formatCode>General</c:formatCode>
                <c:ptCount val="5"/>
                <c:pt idx="0">
                  <c:v>4.7241803686765698</c:v>
                </c:pt>
                <c:pt idx="1">
                  <c:v>4.9048260709114757</c:v>
                </c:pt>
                <c:pt idx="2">
                  <c:v>4.9286272390637169</c:v>
                </c:pt>
                <c:pt idx="3">
                  <c:v>4.6644002448762087</c:v>
                </c:pt>
                <c:pt idx="4">
                  <c:v>4.5004341654625843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C2-764C-AE1E-CF7E066D6845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'dipole tensor'!$A$6:$A$10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'dipole tensor'!$D$6:$D$10</c:f>
              <c:numCache>
                <c:formatCode>General</c:formatCode>
                <c:ptCount val="5"/>
                <c:pt idx="0">
                  <c:v>5.5579632652712485</c:v>
                </c:pt>
                <c:pt idx="1">
                  <c:v>5.5799116713960712</c:v>
                </c:pt>
                <c:pt idx="2">
                  <c:v>5.7766325805216496</c:v>
                </c:pt>
                <c:pt idx="3">
                  <c:v>5.472116835553976</c:v>
                </c:pt>
                <c:pt idx="4">
                  <c:v>5.3293952584021334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C2-764C-AE1E-CF7E066D6845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'dipole tensor'!$A$6:$A$10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'dipole tensor'!$E$6:$E$10</c:f>
              <c:numCache>
                <c:formatCode>General</c:formatCode>
                <c:ptCount val="5"/>
                <c:pt idx="0">
                  <c:v>6.220368965201116</c:v>
                </c:pt>
                <c:pt idx="1">
                  <c:v>6.3127939549293224</c:v>
                </c:pt>
                <c:pt idx="2">
                  <c:v>6.4540842345270448</c:v>
                </c:pt>
                <c:pt idx="3">
                  <c:v>6.0624820936464143</c:v>
                </c:pt>
                <c:pt idx="4">
                  <c:v>6.0039406706595422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C2-764C-AE1E-CF7E066D6845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'dipole tensor'!$A$6:$A$10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'dipole tensor'!$F$6:$F$10</c:f>
              <c:numCache>
                <c:formatCode>General</c:formatCode>
                <c:ptCount val="5"/>
                <c:pt idx="0">
                  <c:v>8.4790645889149427</c:v>
                </c:pt>
                <c:pt idx="1">
                  <c:v>8.5369356519952788</c:v>
                </c:pt>
                <c:pt idx="2">
                  <c:v>8.7999695463236627</c:v>
                </c:pt>
                <c:pt idx="3">
                  <c:v>8.3896096579335904</c:v>
                </c:pt>
                <c:pt idx="4">
                  <c:v>8.2792375139459757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C2-764C-AE1E-CF7E066D6845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'dipole tensor'!$A$6:$A$10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'dipole tensor'!$G$6:$G$10</c:f>
              <c:numCache>
                <c:formatCode>General</c:formatCode>
                <c:ptCount val="5"/>
                <c:pt idx="0">
                  <c:v>10.378718543553211</c:v>
                </c:pt>
                <c:pt idx="1">
                  <c:v>10.315597046671712</c:v>
                </c:pt>
                <c:pt idx="2">
                  <c:v>10.468992796953916</c:v>
                </c:pt>
                <c:pt idx="3">
                  <c:v>10.267073221960228</c:v>
                </c:pt>
                <c:pt idx="4">
                  <c:v>10.19808276962892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C2-764C-AE1E-CF7E066D6845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'dipole tensor'!$A$6:$A$10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'dipole tensor'!$H$6:$H$10</c:f>
              <c:numCache>
                <c:formatCode>General</c:formatCode>
                <c:ptCount val="5"/>
                <c:pt idx="0">
                  <c:v>11.338505431767672</c:v>
                </c:pt>
                <c:pt idx="1">
                  <c:v>11.374180318283793</c:v>
                </c:pt>
                <c:pt idx="2">
                  <c:v>11.441904216643238</c:v>
                </c:pt>
                <c:pt idx="3">
                  <c:v>11.26248667928996</c:v>
                </c:pt>
                <c:pt idx="4">
                  <c:v>11.181187372352827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5C2-764C-AE1E-CF7E066D6845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'dipole tensor'!$A$6:$A$10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'dipole tensor'!$I$6:$I$10</c:f>
              <c:numCache>
                <c:formatCode>General</c:formatCode>
                <c:ptCount val="5"/>
                <c:pt idx="0">
                  <c:v>13.038483137361268</c:v>
                </c:pt>
                <c:pt idx="1">
                  <c:v>13.089749688697218</c:v>
                </c:pt>
                <c:pt idx="2">
                  <c:v>13.141511970362025</c:v>
                </c:pt>
                <c:pt idx="3">
                  <c:v>12.983224414889881</c:v>
                </c:pt>
                <c:pt idx="4">
                  <c:v>12.893143952572544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5C2-764C-AE1E-CF7E066D6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103311"/>
        <c:axId val="1250381103"/>
      </c:scatterChart>
      <c:valAx>
        <c:axId val="179110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381103"/>
        <c:crosses val="autoZero"/>
        <c:crossBetween val="midCat"/>
      </c:valAx>
      <c:valAx>
        <c:axId val="125038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103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'dipole tensor'!$A$6:$A$10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'dipole tensor'!$L$6:$L$10</c:f>
              <c:numCache>
                <c:formatCode>General</c:formatCode>
                <c:ptCount val="5"/>
                <c:pt idx="0">
                  <c:v>-2.4899403189063274</c:v>
                </c:pt>
                <c:pt idx="1">
                  <c:v>-2.7592649137610068</c:v>
                </c:pt>
                <c:pt idx="2">
                  <c:v>-2.880258428866266</c:v>
                </c:pt>
                <c:pt idx="3">
                  <c:v>-2.3687055974035838</c:v>
                </c:pt>
                <c:pt idx="4">
                  <c:v>-2.1619605771547801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6F-6243-B891-42DAABDE82C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'dipole tensor'!$A$6:$A$10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'dipole tensor'!$M$6:$M$10</c:f>
              <c:numCache>
                <c:formatCode>General</c:formatCode>
                <c:ptCount val="5"/>
                <c:pt idx="0">
                  <c:v>-2.4656582333322543</c:v>
                </c:pt>
                <c:pt idx="1">
                  <c:v>-2.5576288702031529</c:v>
                </c:pt>
                <c:pt idx="2">
                  <c:v>-2.5655137456561019</c:v>
                </c:pt>
                <c:pt idx="3">
                  <c:v>-2.3975269823067751</c:v>
                </c:pt>
                <c:pt idx="4">
                  <c:v>-2.3155673127192165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6F-6243-B891-42DAABDE82C4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'dipole tensor'!$A$6:$A$10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'dipole tensor'!$N$6:$N$10</c:f>
              <c:numCache>
                <c:formatCode>General</c:formatCode>
                <c:ptCount val="5"/>
                <c:pt idx="0">
                  <c:v>-2.3975616176723062</c:v>
                </c:pt>
                <c:pt idx="1">
                  <c:v>-2.4600122899443888</c:v>
                </c:pt>
                <c:pt idx="2">
                  <c:v>-2.4475338841945145</c:v>
                </c:pt>
                <c:pt idx="3">
                  <c:v>-2.3255777644195539</c:v>
                </c:pt>
                <c:pt idx="4">
                  <c:v>-2.2364021032163444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6F-6243-B891-42DAABDE82C4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'dipole tensor'!$A$6:$A$10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'dipole tensor'!$O$6:$O$10</c:f>
              <c:numCache>
                <c:formatCode>General</c:formatCode>
                <c:ptCount val="5"/>
                <c:pt idx="0">
                  <c:v>-2.3282605137354708</c:v>
                </c:pt>
                <c:pt idx="1">
                  <c:v>-2.4719866252025406</c:v>
                </c:pt>
                <c:pt idx="2">
                  <c:v>-2.4415255256278359</c:v>
                </c:pt>
                <c:pt idx="3">
                  <c:v>-2.3437510338606109</c:v>
                </c:pt>
                <c:pt idx="4">
                  <c:v>-2.223745199530927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6F-6243-B891-42DAABDE82C4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'dipole tensor'!$A$6:$A$10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'dipole tensor'!$P$6:$P$10</c:f>
              <c:numCache>
                <c:formatCode>General</c:formatCode>
                <c:ptCount val="5"/>
                <c:pt idx="0">
                  <c:v>-2.5682504545691658</c:v>
                </c:pt>
                <c:pt idx="1">
                  <c:v>-2.6588994622188635</c:v>
                </c:pt>
                <c:pt idx="2">
                  <c:v>-2.7592714410131882</c:v>
                </c:pt>
                <c:pt idx="3">
                  <c:v>-2.4617236807435252</c:v>
                </c:pt>
                <c:pt idx="4">
                  <c:v>-2.4395775520026608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6F-6243-B891-42DAABDE82C4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'dipole tensor'!$A$6:$A$10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'dipole tensor'!$Q$6:$Q$10</c:f>
              <c:numCache>
                <c:formatCode>General</c:formatCode>
                <c:ptCount val="5"/>
                <c:pt idx="0">
                  <c:v>-2.7866414384495588</c:v>
                </c:pt>
                <c:pt idx="1">
                  <c:v>-2.8438149237153567</c:v>
                </c:pt>
                <c:pt idx="2">
                  <c:v>-2.9190960271188087</c:v>
                </c:pt>
                <c:pt idx="3">
                  <c:v>-2.6742769150856942</c:v>
                </c:pt>
                <c:pt idx="4">
                  <c:v>-2.657171099404489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6F-6243-B891-42DAABDE82C4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'dipole tensor'!$A$6:$A$10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'dipole tensor'!$R$6:$R$10</c:f>
              <c:numCache>
                <c:formatCode>General</c:formatCode>
                <c:ptCount val="5"/>
                <c:pt idx="0">
                  <c:v>-2.6607743384165565</c:v>
                </c:pt>
                <c:pt idx="1">
                  <c:v>-2.6598731326600302</c:v>
                </c:pt>
                <c:pt idx="2">
                  <c:v>-2.7011327491690684</c:v>
                </c:pt>
                <c:pt idx="3">
                  <c:v>-2.5935309413247789</c:v>
                </c:pt>
                <c:pt idx="4">
                  <c:v>-2.4480748935479051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B6F-6243-B891-42DAABDE82C4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'dipole tensor'!$A$6:$A$10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'dipole tensor'!$S$6:$S$10</c:f>
              <c:numCache>
                <c:formatCode>General</c:formatCode>
                <c:ptCount val="5"/>
                <c:pt idx="0">
                  <c:v>-2.0823076657564341</c:v>
                </c:pt>
                <c:pt idx="1">
                  <c:v>-2.1064387055167906</c:v>
                </c:pt>
                <c:pt idx="2">
                  <c:v>-2.1542082563185816</c:v>
                </c:pt>
                <c:pt idx="3">
                  <c:v>-1.9573986700422883</c:v>
                </c:pt>
                <c:pt idx="4">
                  <c:v>-2.029017596818731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B6F-6243-B891-42DAABDE8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103311"/>
        <c:axId val="1250381103"/>
      </c:scatterChart>
      <c:valAx>
        <c:axId val="179110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381103"/>
        <c:crosses val="autoZero"/>
        <c:crossBetween val="midCat"/>
      </c:valAx>
      <c:valAx>
        <c:axId val="125038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103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'dipole tensor'!$L$5:$S$5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'dipole tensor'!$L$6:$S$6</c:f>
              <c:numCache>
                <c:formatCode>General</c:formatCode>
                <c:ptCount val="8"/>
                <c:pt idx="0">
                  <c:v>-2.4899403189063274</c:v>
                </c:pt>
                <c:pt idx="1">
                  <c:v>-2.4656582333322543</c:v>
                </c:pt>
                <c:pt idx="2">
                  <c:v>-2.3975616176723062</c:v>
                </c:pt>
                <c:pt idx="3">
                  <c:v>-2.3282605137354708</c:v>
                </c:pt>
                <c:pt idx="4">
                  <c:v>-2.5682504545691658</c:v>
                </c:pt>
                <c:pt idx="5">
                  <c:v>-2.7866414384495588</c:v>
                </c:pt>
                <c:pt idx="6">
                  <c:v>-2.6607743384165565</c:v>
                </c:pt>
                <c:pt idx="7">
                  <c:v>-2.0823076657564341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E0-5E4D-9036-08D16243192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'dipole tensor'!$L$13:$S$13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'dipole tensor'!$L$14:$S$14</c:f>
              <c:numCache>
                <c:formatCode>General</c:formatCode>
                <c:ptCount val="8"/>
                <c:pt idx="0">
                  <c:v>-2.616583941344206</c:v>
                </c:pt>
                <c:pt idx="1">
                  <c:v>-2.6483499588312007</c:v>
                </c:pt>
                <c:pt idx="2">
                  <c:v>-2.5519342450535563</c:v>
                </c:pt>
                <c:pt idx="3">
                  <c:v>-2.3877146991243019</c:v>
                </c:pt>
                <c:pt idx="4">
                  <c:v>-2.4963231290846841</c:v>
                </c:pt>
                <c:pt idx="5">
                  <c:v>-2.8025443702963222</c:v>
                </c:pt>
                <c:pt idx="6">
                  <c:v>-2.6932504075005776</c:v>
                </c:pt>
                <c:pt idx="7">
                  <c:v>-2.0675007514945074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E0-5E4D-9036-08D16243192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'dipole tensor'!$L$21:$S$21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'dipole tensor'!$L$22:$S$22</c:f>
              <c:numCache>
                <c:formatCode>General</c:formatCode>
                <c:ptCount val="8"/>
                <c:pt idx="0">
                  <c:v>-2.5693036079400544</c:v>
                </c:pt>
                <c:pt idx="1">
                  <c:v>-2.9098658998942697</c:v>
                </c:pt>
                <c:pt idx="2">
                  <c:v>-2.5264142215134546</c:v>
                </c:pt>
                <c:pt idx="3">
                  <c:v>-2.4472209397502143</c:v>
                </c:pt>
                <c:pt idx="4">
                  <c:v>-2.6184355499103154</c:v>
                </c:pt>
                <c:pt idx="5">
                  <c:v>-2.8273737211139918</c:v>
                </c:pt>
                <c:pt idx="6">
                  <c:v>-2.7047508451981188</c:v>
                </c:pt>
                <c:pt idx="7">
                  <c:v>-2.0921482833895646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E0-5E4D-9036-08D162431926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'dipole tensor'!$L$29:$S$29</c:f>
              <c:numCache>
                <c:formatCode>General</c:formatCode>
                <c:ptCount val="8"/>
                <c:pt idx="0">
                  <c:v>0</c:v>
                </c:pt>
                <c:pt idx="1">
                  <c:v>0.12</c:v>
                </c:pt>
                <c:pt idx="2">
                  <c:v>0.22</c:v>
                </c:pt>
                <c:pt idx="3">
                  <c:v>0.3</c:v>
                </c:pt>
                <c:pt idx="4">
                  <c:v>0.52</c:v>
                </c:pt>
                <c:pt idx="5">
                  <c:v>0.71</c:v>
                </c:pt>
                <c:pt idx="6">
                  <c:v>0.85</c:v>
                </c:pt>
                <c:pt idx="7">
                  <c:v>1</c:v>
                </c:pt>
              </c:numCache>
            </c:numRef>
          </c:xVal>
          <c:yVal>
            <c:numRef>
              <c:f>'dipole tensor'!$L$30:$S$30</c:f>
              <c:numCache>
                <c:formatCode>General</c:formatCode>
                <c:ptCount val="8"/>
                <c:pt idx="0">
                  <c:v>-2.190369564400283</c:v>
                </c:pt>
                <c:pt idx="1">
                  <c:v>-2.9843968922475086</c:v>
                </c:pt>
                <c:pt idx="2">
                  <c:v>-2.5133993439089464</c:v>
                </c:pt>
                <c:pt idx="3">
                  <c:v>-2.3827702957922701</c:v>
                </c:pt>
                <c:pt idx="4">
                  <c:v>-2.634750060298984</c:v>
                </c:pt>
                <c:pt idx="5">
                  <c:v>-2.9465691799656137</c:v>
                </c:pt>
                <c:pt idx="6">
                  <c:v>-2.7847450628380135</c:v>
                </c:pt>
                <c:pt idx="7">
                  <c:v>-2.119093654357505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E0-5E4D-9036-08D162431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103311"/>
        <c:axId val="1250381103"/>
      </c:scatterChart>
      <c:valAx>
        <c:axId val="179110331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381103"/>
        <c:crosses val="autoZero"/>
        <c:crossBetween val="midCat"/>
      </c:valAx>
      <c:valAx>
        <c:axId val="1250381103"/>
        <c:scaling>
          <c:orientation val="minMax"/>
          <c:max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103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77</xdr:row>
      <xdr:rowOff>63500</xdr:rowOff>
    </xdr:from>
    <xdr:to>
      <xdr:col>6</xdr:col>
      <xdr:colOff>317500</xdr:colOff>
      <xdr:row>90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E94A2A2-B49C-10F8-4ECD-CB010D68F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165100</xdr:colOff>
      <xdr:row>78</xdr:row>
      <xdr:rowOff>12700</xdr:rowOff>
    </xdr:from>
    <xdr:to>
      <xdr:col>12</xdr:col>
      <xdr:colOff>609600</xdr:colOff>
      <xdr:row>91</xdr:row>
      <xdr:rowOff>114300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492A18E-74D6-026A-4900-68D2395045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584200</xdr:colOff>
      <xdr:row>76</xdr:row>
      <xdr:rowOff>12700</xdr:rowOff>
    </xdr:from>
    <xdr:to>
      <xdr:col>19</xdr:col>
      <xdr:colOff>203200</xdr:colOff>
      <xdr:row>89</xdr:row>
      <xdr:rowOff>114300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A6DCB59-F315-424B-AB62-15D209F774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609600</xdr:colOff>
      <xdr:row>75</xdr:row>
      <xdr:rowOff>76200</xdr:rowOff>
    </xdr:from>
    <xdr:to>
      <xdr:col>25</xdr:col>
      <xdr:colOff>228600</xdr:colOff>
      <xdr:row>88</xdr:row>
      <xdr:rowOff>177800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240F23B-EE7F-6349-BEAD-F4E04630DE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622300</xdr:colOff>
      <xdr:row>8</xdr:row>
      <xdr:rowOff>177800</xdr:rowOff>
    </xdr:from>
    <xdr:to>
      <xdr:col>23</xdr:col>
      <xdr:colOff>482600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018CD3-2A42-819D-2081-40FF392C2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196850</xdr:colOff>
      <xdr:row>34</xdr:row>
      <xdr:rowOff>152400</xdr:rowOff>
    </xdr:from>
    <xdr:to>
      <xdr:col>7</xdr:col>
      <xdr:colOff>641350</xdr:colOff>
      <xdr:row>48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FE8DAD-7090-ABED-4AD7-F4B05CDFC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139700</xdr:colOff>
      <xdr:row>49</xdr:row>
      <xdr:rowOff>63500</xdr:rowOff>
    </xdr:from>
    <xdr:to>
      <xdr:col>7</xdr:col>
      <xdr:colOff>584200</xdr:colOff>
      <xdr:row>62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4B6BB7-90E7-1447-AB5C-C045FA226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749300</xdr:colOff>
      <xdr:row>49</xdr:row>
      <xdr:rowOff>12700</xdr:rowOff>
    </xdr:from>
    <xdr:to>
      <xdr:col>16</xdr:col>
      <xdr:colOff>368300</xdr:colOff>
      <xdr:row>62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3AC07B-D010-EF45-9174-EDA73DD85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660400</xdr:colOff>
      <xdr:row>34</xdr:row>
      <xdr:rowOff>190500</xdr:rowOff>
    </xdr:from>
    <xdr:to>
      <xdr:col>16</xdr:col>
      <xdr:colOff>279400</xdr:colOff>
      <xdr:row>48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2FB919-EA6C-1F49-B5E5-660E9F3FB2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1C4D6-1AE6-7447-A072-674A9D9C293F}">
  <dimension ref="A1:I18"/>
  <sheetViews>
    <sheetView workbookViewId="0">
      <selection activeCell="C20" sqref="C20"/>
    </sheetView>
  </sheetViews>
  <sheetFormatPr baseColWidth="10" defaultRowHeight="16" x14ac:dyDescent="0.2"/>
  <sheetData>
    <row r="1" spans="1:9" x14ac:dyDescent="0.2">
      <c r="A1" t="s">
        <v>9</v>
      </c>
    </row>
    <row r="2" spans="1:9" ht="17" thickBot="1" x14ac:dyDescent="0.25"/>
    <row r="3" spans="1:9" x14ac:dyDescent="0.2">
      <c r="A3" s="4" t="s">
        <v>10</v>
      </c>
      <c r="B3" s="4"/>
    </row>
    <row r="4" spans="1:9" x14ac:dyDescent="0.2">
      <c r="A4" t="s">
        <v>11</v>
      </c>
      <c r="B4">
        <v>0.84518796504250548</v>
      </c>
    </row>
    <row r="5" spans="1:9" x14ac:dyDescent="0.2">
      <c r="A5" t="s">
        <v>12</v>
      </c>
      <c r="B5">
        <v>0.71434269625269153</v>
      </c>
    </row>
    <row r="6" spans="1:9" x14ac:dyDescent="0.2">
      <c r="A6" t="s">
        <v>13</v>
      </c>
      <c r="B6">
        <v>0.61912359500358871</v>
      </c>
    </row>
    <row r="7" spans="1:9" x14ac:dyDescent="0.2">
      <c r="A7" t="s">
        <v>14</v>
      </c>
      <c r="B7">
        <v>5.735481409893281E-2</v>
      </c>
    </row>
    <row r="8" spans="1:9" ht="17" thickBot="1" x14ac:dyDescent="0.25">
      <c r="A8" s="2" t="s">
        <v>15</v>
      </c>
      <c r="B8" s="2">
        <v>5</v>
      </c>
    </row>
    <row r="10" spans="1:9" ht="17" thickBot="1" x14ac:dyDescent="0.25">
      <c r="A10" t="s">
        <v>16</v>
      </c>
    </row>
    <row r="11" spans="1:9" x14ac:dyDescent="0.2">
      <c r="A11" s="3"/>
      <c r="B11" s="3" t="s">
        <v>21</v>
      </c>
      <c r="C11" s="3" t="s">
        <v>22</v>
      </c>
      <c r="D11" s="3" t="s">
        <v>23</v>
      </c>
      <c r="E11" s="3" t="s">
        <v>24</v>
      </c>
      <c r="F11" s="3" t="s">
        <v>25</v>
      </c>
    </row>
    <row r="12" spans="1:9" x14ac:dyDescent="0.2">
      <c r="A12" t="s">
        <v>17</v>
      </c>
      <c r="B12">
        <v>1</v>
      </c>
      <c r="C12">
        <v>2.4678700283107469E-2</v>
      </c>
      <c r="D12">
        <v>2.4678700283107469E-2</v>
      </c>
      <c r="E12">
        <v>7.5020945050079657</v>
      </c>
      <c r="F12">
        <v>7.1398596972900907E-2</v>
      </c>
    </row>
    <row r="13" spans="1:9" x14ac:dyDescent="0.2">
      <c r="A13" t="s">
        <v>18</v>
      </c>
      <c r="B13">
        <v>3</v>
      </c>
      <c r="C13">
        <v>9.8687241009694261E-3</v>
      </c>
      <c r="D13">
        <v>3.2895747003231419E-3</v>
      </c>
    </row>
    <row r="14" spans="1:9" ht="17" thickBot="1" x14ac:dyDescent="0.25">
      <c r="A14" s="2" t="s">
        <v>19</v>
      </c>
      <c r="B14" s="2">
        <v>4</v>
      </c>
      <c r="C14" s="2">
        <v>3.4547424384076895E-2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26</v>
      </c>
      <c r="C16" s="3" t="s">
        <v>14</v>
      </c>
      <c r="D16" s="3" t="s">
        <v>27</v>
      </c>
      <c r="E16" s="3" t="s">
        <v>28</v>
      </c>
      <c r="F16" s="3" t="s">
        <v>29</v>
      </c>
      <c r="G16" s="3" t="s">
        <v>30</v>
      </c>
      <c r="H16" s="3" t="s">
        <v>31</v>
      </c>
      <c r="I16" s="3" t="s">
        <v>32</v>
      </c>
    </row>
    <row r="17" spans="1:9" x14ac:dyDescent="0.2">
      <c r="A17" t="s">
        <v>20</v>
      </c>
      <c r="B17">
        <v>2.6311069970837302</v>
      </c>
      <c r="C17">
        <v>2.5649852632415423E-2</v>
      </c>
      <c r="D17">
        <v>102.57786018460884</v>
      </c>
      <c r="E17">
        <v>2.0424962770474888E-6</v>
      </c>
      <c r="F17">
        <v>2.549477718342628</v>
      </c>
      <c r="G17">
        <v>2.7127362758248323</v>
      </c>
      <c r="H17">
        <v>2.549477718342628</v>
      </c>
      <c r="I17">
        <v>2.7127362758248323</v>
      </c>
    </row>
    <row r="18" spans="1:9" ht="17" thickBot="1" x14ac:dyDescent="0.25">
      <c r="A18" s="2" t="s">
        <v>33</v>
      </c>
      <c r="B18" s="2">
        <v>-15.916722667856989</v>
      </c>
      <c r="C18" s="2">
        <v>5.8111539883944259</v>
      </c>
      <c r="D18" s="2">
        <v>-2.7389951633779797</v>
      </c>
      <c r="E18" s="2">
        <v>7.1398596972900907E-2</v>
      </c>
      <c r="F18" s="2">
        <v>-34.410408207657518</v>
      </c>
      <c r="G18" s="2">
        <v>2.5769628719435413</v>
      </c>
      <c r="H18" s="2">
        <v>-34.410408207657518</v>
      </c>
      <c r="I18" s="2">
        <v>2.5769628719435413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4969-AEE9-8246-8A8C-B6657B0C25D5}">
  <dimension ref="A1:Z75"/>
  <sheetViews>
    <sheetView topLeftCell="A37" workbookViewId="0">
      <selection activeCell="G60" sqref="G60"/>
    </sheetView>
  </sheetViews>
  <sheetFormatPr baseColWidth="10" defaultRowHeight="16" x14ac:dyDescent="0.2"/>
  <cols>
    <col min="5" max="6" width="11.83203125" bestFit="1" customWidth="1"/>
  </cols>
  <sheetData>
    <row r="1" spans="1:26" x14ac:dyDescent="0.2">
      <c r="B1" t="s">
        <v>2</v>
      </c>
      <c r="N1" t="s">
        <v>4</v>
      </c>
    </row>
    <row r="2" spans="1:26" x14ac:dyDescent="0.2">
      <c r="B2" t="s">
        <v>3</v>
      </c>
      <c r="N2" t="s">
        <v>3</v>
      </c>
    </row>
    <row r="3" spans="1:26" x14ac:dyDescent="0.2">
      <c r="A3" t="s">
        <v>1</v>
      </c>
      <c r="B3" t="s">
        <v>0</v>
      </c>
      <c r="C3">
        <v>0</v>
      </c>
      <c r="D3">
        <v>0.12</v>
      </c>
      <c r="E3">
        <v>0.22</v>
      </c>
      <c r="F3">
        <v>0.3</v>
      </c>
      <c r="G3">
        <v>0.52</v>
      </c>
      <c r="H3">
        <v>0.71</v>
      </c>
      <c r="I3">
        <v>0.85</v>
      </c>
      <c r="J3">
        <v>1</v>
      </c>
      <c r="N3" t="s">
        <v>0</v>
      </c>
      <c r="O3">
        <v>0</v>
      </c>
      <c r="P3">
        <v>0.12</v>
      </c>
      <c r="Q3">
        <v>0.22</v>
      </c>
      <c r="R3">
        <v>0.3</v>
      </c>
      <c r="S3">
        <v>0.52</v>
      </c>
      <c r="T3">
        <v>0.71</v>
      </c>
      <c r="U3">
        <v>0.85</v>
      </c>
      <c r="V3">
        <v>1</v>
      </c>
    </row>
    <row r="4" spans="1:26" x14ac:dyDescent="0.2">
      <c r="A4">
        <v>0</v>
      </c>
      <c r="B4">
        <f>A4*100000000/(1.602E-19)*1E-30</f>
        <v>0</v>
      </c>
      <c r="C4" s="1">
        <v>1.22186653</v>
      </c>
      <c r="D4" s="1">
        <v>0.78374971999999998</v>
      </c>
      <c r="E4" s="1">
        <v>0.62534853999999995</v>
      </c>
      <c r="F4" s="1">
        <v>0.57974837999999995</v>
      </c>
      <c r="G4" s="1">
        <v>0.82899877</v>
      </c>
      <c r="H4" s="1">
        <v>1.84778061</v>
      </c>
      <c r="I4" s="1">
        <v>3.0997224999999999</v>
      </c>
      <c r="J4" s="1">
        <v>5.17646753</v>
      </c>
      <c r="M4">
        <v>0</v>
      </c>
      <c r="N4">
        <f>M4*100000000/(1.602E-19)*1E-30</f>
        <v>0</v>
      </c>
      <c r="O4">
        <v>2.6051908892161864</v>
      </c>
      <c r="P4">
        <v>2.1126915729790738</v>
      </c>
      <c r="Q4">
        <v>1.9228658350205876</v>
      </c>
      <c r="R4">
        <v>1.9137755642165359</v>
      </c>
      <c r="S4">
        <v>2.138596998764001</v>
      </c>
      <c r="T4">
        <v>2.3929563156841596</v>
      </c>
      <c r="U4">
        <v>2.6898893063427067</v>
      </c>
      <c r="V4">
        <v>3.0626860697042244</v>
      </c>
    </row>
    <row r="5" spans="1:26" x14ac:dyDescent="0.2">
      <c r="A5">
        <v>5</v>
      </c>
      <c r="B5">
        <f t="shared" ref="B5:B8" si="0">A5*100000000/(1.602E-19)*1E-30</f>
        <v>3.1210986267166045E-3</v>
      </c>
      <c r="C5" s="1">
        <v>1.2141850599999999</v>
      </c>
      <c r="D5" s="1">
        <v>0.80499039999999999</v>
      </c>
      <c r="E5" s="1">
        <v>0.68963951000000001</v>
      </c>
      <c r="F5" s="1">
        <v>0.62841334000000004</v>
      </c>
      <c r="G5" s="1">
        <v>0.90185862999999999</v>
      </c>
      <c r="H5" s="1">
        <v>1.88468802</v>
      </c>
      <c r="I5" s="1">
        <v>3.1654064100000001</v>
      </c>
      <c r="J5" s="1">
        <v>5.2986360799999996</v>
      </c>
      <c r="M5">
        <v>5</v>
      </c>
      <c r="N5">
        <f t="shared" ref="N5:N8" si="1">M5*100000000/(1.602E-19)*1E-30</f>
        <v>3.1210986267166045E-3</v>
      </c>
      <c r="O5">
        <v>2.5604659894256505</v>
      </c>
      <c r="P5">
        <v>2.0366230293979299</v>
      </c>
      <c r="Q5">
        <v>1.9100917854018462</v>
      </c>
      <c r="R5">
        <v>1.9067378508767092</v>
      </c>
      <c r="S5">
        <v>2.0913104951658852</v>
      </c>
      <c r="T5">
        <v>2.365004605371837</v>
      </c>
      <c r="U5">
        <v>2.7019201568529638</v>
      </c>
      <c r="V5">
        <v>3.0683173924928213</v>
      </c>
    </row>
    <row r="6" spans="1:26" x14ac:dyDescent="0.2">
      <c r="A6">
        <v>10</v>
      </c>
      <c r="B6">
        <f t="shared" si="0"/>
        <v>6.242197253433209E-3</v>
      </c>
      <c r="C6" s="1">
        <v>1.3143653</v>
      </c>
      <c r="D6" s="1">
        <v>0.84828647000000001</v>
      </c>
      <c r="E6" s="1">
        <v>0.73086887</v>
      </c>
      <c r="F6" s="1">
        <v>0.70552651</v>
      </c>
      <c r="G6" s="1">
        <v>0.98740538</v>
      </c>
      <c r="H6" s="1">
        <v>1.98306413</v>
      </c>
      <c r="I6" s="1">
        <v>3.2476477199999998</v>
      </c>
      <c r="J6" s="1">
        <v>5.3756191700000002</v>
      </c>
      <c r="M6">
        <v>10</v>
      </c>
      <c r="N6">
        <f t="shared" si="1"/>
        <v>6.242197253433209E-3</v>
      </c>
      <c r="O6">
        <v>2.5746279610078191</v>
      </c>
      <c r="P6">
        <v>2.0066693959799977</v>
      </c>
      <c r="Q6">
        <v>1.8822050249324604</v>
      </c>
      <c r="R6">
        <v>1.8874253302798536</v>
      </c>
      <c r="S6">
        <v>2.0938953262376003</v>
      </c>
      <c r="T6">
        <v>2.4031192760738804</v>
      </c>
      <c r="U6">
        <v>2.6900827320917529</v>
      </c>
      <c r="V6">
        <v>3.0526851038607727</v>
      </c>
    </row>
    <row r="7" spans="1:26" x14ac:dyDescent="0.2">
      <c r="A7">
        <v>-5</v>
      </c>
      <c r="B7">
        <f t="shared" si="0"/>
        <v>-3.1210986267166045E-3</v>
      </c>
      <c r="C7" s="1">
        <v>1.2200043199999999</v>
      </c>
      <c r="D7" s="1">
        <v>0.75352819000000004</v>
      </c>
      <c r="E7" s="1">
        <v>0.65978654999999997</v>
      </c>
      <c r="F7" s="1">
        <v>0.55143125000000004</v>
      </c>
      <c r="G7" s="1">
        <v>0.76513987999999999</v>
      </c>
      <c r="H7" s="1">
        <v>1.6947181</v>
      </c>
      <c r="I7" s="1">
        <v>3.0258034500000002</v>
      </c>
      <c r="J7" s="1">
        <v>5.11911264</v>
      </c>
      <c r="M7">
        <v>-5</v>
      </c>
      <c r="N7">
        <f t="shared" si="1"/>
        <v>-3.1210986267166045E-3</v>
      </c>
      <c r="O7">
        <v>2.6240017674919298</v>
      </c>
      <c r="P7">
        <v>2.1607009289824788</v>
      </c>
      <c r="Q7">
        <v>1.9940501828849335</v>
      </c>
      <c r="R7">
        <v>1.9770478727998579</v>
      </c>
      <c r="S7">
        <v>2.1716304028955165</v>
      </c>
      <c r="T7">
        <v>2.4748878968288182</v>
      </c>
      <c r="U7">
        <v>2.6788863762242272</v>
      </c>
      <c r="V7">
        <v>3.1123429118105013</v>
      </c>
    </row>
    <row r="8" spans="1:26" x14ac:dyDescent="0.2">
      <c r="A8">
        <v>-10</v>
      </c>
      <c r="B8">
        <f t="shared" si="0"/>
        <v>-6.242197253433209E-3</v>
      </c>
      <c r="C8" s="1">
        <v>1.2065534499999999</v>
      </c>
      <c r="D8" s="1">
        <v>0.71956693000000005</v>
      </c>
      <c r="E8" s="1">
        <v>0.59569342000000003</v>
      </c>
      <c r="F8" s="1">
        <v>0.49757224</v>
      </c>
      <c r="G8" s="1">
        <v>0.65398506999999995</v>
      </c>
      <c r="H8" s="1">
        <v>1.63508644</v>
      </c>
      <c r="I8" s="1">
        <v>2.9318898099999999</v>
      </c>
      <c r="J8" s="1">
        <v>5.0148152100000001</v>
      </c>
      <c r="M8">
        <v>-10</v>
      </c>
      <c r="N8">
        <f t="shared" si="1"/>
        <v>-6.242197253433209E-3</v>
      </c>
      <c r="O8">
        <v>2.791248378277067</v>
      </c>
      <c r="P8">
        <v>2.2254159642198488</v>
      </c>
      <c r="Q8">
        <v>2.0533509011229398</v>
      </c>
      <c r="R8">
        <v>1.9685797671853607</v>
      </c>
      <c r="S8">
        <v>2.1560940055861124</v>
      </c>
      <c r="T8">
        <v>2.4350147261641268</v>
      </c>
      <c r="U8">
        <v>2.7456186079551799</v>
      </c>
      <c r="V8">
        <v>3.078640470120019</v>
      </c>
    </row>
    <row r="10" spans="1:26" x14ac:dyDescent="0.2">
      <c r="B10">
        <v>0</v>
      </c>
      <c r="C10" cm="1">
        <f t="array" ref="C10:D10">LINEST(C4:C8,B4:B8)</f>
        <v>6.7221342576000023</v>
      </c>
      <c r="D10">
        <v>1.2353949319999997</v>
      </c>
      <c r="N10">
        <v>0</v>
      </c>
      <c r="O10" cm="1">
        <f t="array" ref="O10:P10">LINEST(O4:O8,N4:N8)</f>
        <v>-15.916722667856989</v>
      </c>
      <c r="P10">
        <v>2.6311069970837302</v>
      </c>
      <c r="Q10">
        <v>5.8111539883944259</v>
      </c>
      <c r="R10" cm="1">
        <f t="array" ref="R10:S14">LINEST(V4:V8,N4:N8,TRUE, TRUE)</f>
        <v>-3.0737975088309626</v>
      </c>
      <c r="S10">
        <v>3.0749343895976677</v>
      </c>
      <c r="Y10" cm="1">
        <f t="array" ref="Y10:Z10">LINEST(O4:O8,N4:N8)</f>
        <v>-15.916722667856989</v>
      </c>
      <c r="Z10">
        <v>2.6311069970837302</v>
      </c>
    </row>
    <row r="11" spans="1:26" x14ac:dyDescent="0.2">
      <c r="B11">
        <v>0.12</v>
      </c>
      <c r="C11" cm="1">
        <f t="array" ref="C11:D11">LINEST(D4:D8,B4:B8)</f>
        <v>9.8971973315999957</v>
      </c>
      <c r="D11">
        <v>0.78202434199999993</v>
      </c>
      <c r="N11">
        <v>0.12</v>
      </c>
      <c r="O11" cm="1">
        <f t="array" ref="O11:P11">LINEST(P4:P8,N4:N8)</f>
        <v>-17.992735995498602</v>
      </c>
      <c r="P11">
        <v>2.1084201783118659</v>
      </c>
      <c r="Q11">
        <v>1.1864683049159126</v>
      </c>
      <c r="R11">
        <v>2.0107857736187498</v>
      </c>
      <c r="S11">
        <v>8.8754073410690151E-3</v>
      </c>
    </row>
    <row r="12" spans="1:26" x14ac:dyDescent="0.2">
      <c r="B12">
        <v>0.22</v>
      </c>
      <c r="C12" cm="1">
        <f t="array" ref="C12:D12">LINEST(E4:E8,B4:B8)</f>
        <v>9.6185316743999962</v>
      </c>
      <c r="D12">
        <v>0.66026737800000002</v>
      </c>
      <c r="N12">
        <v>0.22</v>
      </c>
      <c r="O12" cm="1">
        <f t="array" ref="O12:P12">LINEST(Q4:Q8,N4:N8)</f>
        <v>-13.657054801644033</v>
      </c>
      <c r="P12">
        <v>1.9525127458725535</v>
      </c>
      <c r="Q12">
        <v>2.1464616355429862</v>
      </c>
      <c r="R12">
        <v>0.43786388942947635</v>
      </c>
      <c r="S12">
        <v>1.9846014142630979E-2</v>
      </c>
    </row>
    <row r="13" spans="1:26" x14ac:dyDescent="0.2">
      <c r="B13">
        <v>0.3</v>
      </c>
      <c r="C13" cm="1">
        <f t="array" ref="C13:D13">LINEST(F4:F8,B4:B8)</f>
        <v>15.7922157852</v>
      </c>
      <c r="D13">
        <v>0.59253834400000005</v>
      </c>
      <c r="N13">
        <v>0.3</v>
      </c>
      <c r="O13" cm="1">
        <f t="array" ref="O13:P13">LINEST(R4:R8,N4:N8)</f>
        <v>-7.4531094193225762</v>
      </c>
      <c r="P13">
        <v>1.9307132770716635</v>
      </c>
      <c r="Q13">
        <v>1.7599307720130817</v>
      </c>
      <c r="R13">
        <v>2.3367857776566558</v>
      </c>
      <c r="S13">
        <v>3</v>
      </c>
    </row>
    <row r="14" spans="1:26" x14ac:dyDescent="0.2">
      <c r="B14">
        <v>0.52</v>
      </c>
      <c r="C14" cm="1">
        <f t="array" ref="C14:D14">LINEST(G4:G8,B4:B8)</f>
        <v>25.746042214799999</v>
      </c>
      <c r="D14">
        <v>0.8274775459999999</v>
      </c>
      <c r="N14">
        <v>0.52</v>
      </c>
      <c r="O14" cm="1">
        <f t="array" ref="O14:P14">LINEST(S4:S8,N4:N8)</f>
        <v>-6.5591412163100413</v>
      </c>
      <c r="P14">
        <v>2.1303054457298232</v>
      </c>
      <c r="Q14">
        <v>1.9374168880335076</v>
      </c>
      <c r="R14">
        <v>9.2037644163734875E-4</v>
      </c>
      <c r="S14">
        <v>1.1815928320485264E-3</v>
      </c>
    </row>
    <row r="15" spans="1:26" x14ac:dyDescent="0.2">
      <c r="B15">
        <v>0.71</v>
      </c>
      <c r="C15" cm="1">
        <f t="array" ref="C15:D15">LINEST(H4:H8,B4:B8)</f>
        <v>28.385046611999996</v>
      </c>
      <c r="D15">
        <v>1.8090674600000001</v>
      </c>
      <c r="N15">
        <v>0.71</v>
      </c>
      <c r="O15" cm="1">
        <f t="array" ref="O15:P15">LINEST(T4:T8,N4:N8)</f>
        <v>-5.5645211000646659</v>
      </c>
      <c r="P15">
        <v>2.4141965640245644</v>
      </c>
      <c r="Q15">
        <v>3.743000017305711</v>
      </c>
    </row>
    <row r="16" spans="1:26" x14ac:dyDescent="0.2">
      <c r="B16">
        <v>0.85</v>
      </c>
      <c r="C16" cm="1">
        <f t="array" ref="C16:D16">LINEST(I4:I8,B4:B8)</f>
        <v>24.70664571119999</v>
      </c>
      <c r="D16">
        <v>3.0940939779999996</v>
      </c>
      <c r="N16">
        <v>0.85</v>
      </c>
      <c r="O16" cm="1">
        <f t="array" ref="O16:P16">LINEST(U4:U8,N4:N8)</f>
        <v>-2.820736593983681</v>
      </c>
      <c r="P16">
        <v>2.7012794358933663</v>
      </c>
      <c r="Q16">
        <v>2.5817260057765306</v>
      </c>
    </row>
    <row r="17" spans="1:22" x14ac:dyDescent="0.2">
      <c r="B17">
        <v>1</v>
      </c>
      <c r="C17" cm="1">
        <f t="array" ref="C17:D17">LINEST(J4:J8,B4:B8)</f>
        <v>28.872248774399999</v>
      </c>
      <c r="D17">
        <v>5.1969301259999998</v>
      </c>
      <c r="N17">
        <v>1</v>
      </c>
      <c r="O17" cm="1">
        <f t="array" ref="O17:P17">LINEST(V4:V8,N4:N8)</f>
        <v>-3.0737975088309626</v>
      </c>
      <c r="P17">
        <v>3.0749343895976677</v>
      </c>
      <c r="Q17">
        <v>2.0107857736187498</v>
      </c>
    </row>
    <row r="19" spans="1:22" x14ac:dyDescent="0.2">
      <c r="A19" t="s">
        <v>5</v>
      </c>
      <c r="B19" t="s">
        <v>0</v>
      </c>
      <c r="M19" t="s">
        <v>5</v>
      </c>
      <c r="N19" t="s">
        <v>0</v>
      </c>
    </row>
    <row r="20" spans="1:22" x14ac:dyDescent="0.2">
      <c r="A20">
        <v>0</v>
      </c>
      <c r="B20">
        <f>A20*100000000/(1.602E-19)*1E-30</f>
        <v>0</v>
      </c>
      <c r="C20">
        <v>1.0720066873195435</v>
      </c>
      <c r="D20">
        <v>0.7412034265572629</v>
      </c>
      <c r="E20">
        <v>0.6227138204371272</v>
      </c>
      <c r="F20">
        <v>0.60211564507085313</v>
      </c>
      <c r="G20">
        <v>1.0706343029374921</v>
      </c>
      <c r="H20">
        <v>2.1233770350899022</v>
      </c>
      <c r="I20">
        <v>3.3040242246553362</v>
      </c>
      <c r="J20">
        <v>5.3264317875395193</v>
      </c>
      <c r="M20">
        <v>0</v>
      </c>
      <c r="N20">
        <f>M20*100000000/(1.602E-19)*1E-30</f>
        <v>0</v>
      </c>
      <c r="O20">
        <v>2.3284868870350124</v>
      </c>
      <c r="P20">
        <v>1.8698455682653048</v>
      </c>
      <c r="Q20">
        <v>1.7827798336464866</v>
      </c>
      <c r="R20">
        <v>1.8305923829536255</v>
      </c>
      <c r="S20">
        <v>2.1612473688865066</v>
      </c>
      <c r="T20">
        <v>2.4463782665910685</v>
      </c>
      <c r="U20">
        <v>2.6539323408245536</v>
      </c>
      <c r="V20">
        <v>3.0550105867324078</v>
      </c>
    </row>
    <row r="21" spans="1:22" x14ac:dyDescent="0.2">
      <c r="A21">
        <v>5</v>
      </c>
      <c r="B21">
        <f t="shared" ref="B21:B24" si="2">A21*100000000/(1.602E-19)*1E-30</f>
        <v>3.1210986267166045E-3</v>
      </c>
      <c r="C21">
        <v>1.1020971392111107</v>
      </c>
      <c r="D21">
        <v>0.78523387003991729</v>
      </c>
      <c r="E21">
        <v>0.66259828566080614</v>
      </c>
      <c r="F21">
        <v>0.6389103531711271</v>
      </c>
      <c r="G21">
        <v>1.1344050057349477</v>
      </c>
      <c r="H21">
        <v>2.1776401847486113</v>
      </c>
      <c r="I21">
        <v>3.3392064537491706</v>
      </c>
      <c r="J21">
        <v>5.4113222004760075</v>
      </c>
      <c r="M21">
        <v>5</v>
      </c>
      <c r="N21">
        <f t="shared" ref="N21:N24" si="3">M21*100000000/(1.602E-19)*1E-30</f>
        <v>3.1210986267166045E-3</v>
      </c>
      <c r="O21">
        <v>2.2587721246971171</v>
      </c>
      <c r="P21">
        <v>1.8406595630509059</v>
      </c>
      <c r="Q21">
        <v>1.7743301077620117</v>
      </c>
      <c r="R21">
        <v>1.8190328327195857</v>
      </c>
      <c r="S21">
        <v>2.1256635501227947</v>
      </c>
      <c r="T21">
        <v>2.4020061881606125</v>
      </c>
      <c r="U21">
        <v>2.6399808506098452</v>
      </c>
      <c r="V21">
        <v>3.0041299562657571</v>
      </c>
    </row>
    <row r="22" spans="1:22" x14ac:dyDescent="0.2">
      <c r="A22">
        <v>10</v>
      </c>
      <c r="B22">
        <f t="shared" si="2"/>
        <v>6.242197253433209E-3</v>
      </c>
      <c r="C22">
        <v>1.0933783254367597</v>
      </c>
      <c r="D22">
        <v>0.83191911171158495</v>
      </c>
      <c r="E22">
        <v>0.68402460418815281</v>
      </c>
      <c r="F22">
        <v>0.6911972569092768</v>
      </c>
      <c r="G22">
        <v>1.2302957791251856</v>
      </c>
      <c r="H22">
        <v>2.2895442071177285</v>
      </c>
      <c r="I22">
        <v>3.4693729964295699</v>
      </c>
      <c r="J22">
        <v>5.5068324890631857</v>
      </c>
      <c r="M22">
        <v>10</v>
      </c>
      <c r="N22">
        <f t="shared" si="3"/>
        <v>6.242197253433209E-3</v>
      </c>
      <c r="O22">
        <v>2.2959194515300965</v>
      </c>
      <c r="P22">
        <v>1.815746633930587</v>
      </c>
      <c r="Q22">
        <v>1.7454027507459955</v>
      </c>
      <c r="R22">
        <v>1.7902213175101451</v>
      </c>
      <c r="S22">
        <v>2.0925914807104391</v>
      </c>
      <c r="T22">
        <v>2.4015763221945008</v>
      </c>
      <c r="U22">
        <v>2.5997048460325232</v>
      </c>
      <c r="V22">
        <v>2.9644239703781352</v>
      </c>
    </row>
    <row r="23" spans="1:22" x14ac:dyDescent="0.2">
      <c r="A23">
        <v>-5</v>
      </c>
      <c r="B23">
        <f t="shared" si="2"/>
        <v>-3.1210986267166045E-3</v>
      </c>
      <c r="C23">
        <v>1.0809356688358207</v>
      </c>
      <c r="D23">
        <v>0.67944613378205077</v>
      </c>
      <c r="E23">
        <v>0.57485434685025893</v>
      </c>
      <c r="F23">
        <v>0.52639888223018261</v>
      </c>
      <c r="G23">
        <v>0.99823100764581341</v>
      </c>
      <c r="H23">
        <v>2.0570430855188988</v>
      </c>
      <c r="I23">
        <v>3.2304938777277812</v>
      </c>
      <c r="J23">
        <v>5.2770378173564723</v>
      </c>
      <c r="M23">
        <v>-5</v>
      </c>
      <c r="N23">
        <f t="shared" si="3"/>
        <v>-3.1210986267166045E-3</v>
      </c>
      <c r="O23">
        <v>2.3691662536476485</v>
      </c>
      <c r="P23">
        <v>1.951807578080718</v>
      </c>
      <c r="Q23">
        <v>1.8440169907098038</v>
      </c>
      <c r="R23">
        <v>1.8600362756189384</v>
      </c>
      <c r="S23">
        <v>2.1786040002001528</v>
      </c>
      <c r="T23">
        <v>2.4212980993402198</v>
      </c>
      <c r="U23">
        <v>2.7008427893742919</v>
      </c>
      <c r="V23">
        <v>3.0317205083870533</v>
      </c>
    </row>
    <row r="24" spans="1:22" x14ac:dyDescent="0.2">
      <c r="A24">
        <v>-10</v>
      </c>
      <c r="B24">
        <f t="shared" si="2"/>
        <v>-6.242197253433209E-3</v>
      </c>
      <c r="C24">
        <v>1.0454720845523582</v>
      </c>
      <c r="D24">
        <v>0.67785907635686726</v>
      </c>
      <c r="E24">
        <v>0.53380738229202507</v>
      </c>
      <c r="F24">
        <v>0.49892286353281179</v>
      </c>
      <c r="G24">
        <v>0.83855820865335318</v>
      </c>
      <c r="H24">
        <v>1.9700529946406959</v>
      </c>
      <c r="I24">
        <v>3.1326555529436746</v>
      </c>
      <c r="J24">
        <v>5.153335887285067</v>
      </c>
      <c r="M24">
        <v>-10</v>
      </c>
      <c r="N24">
        <f t="shared" si="3"/>
        <v>-6.242197253433209E-3</v>
      </c>
      <c r="O24">
        <v>2.4038253006555976</v>
      </c>
      <c r="P24">
        <v>2.0218573789912853</v>
      </c>
      <c r="Q24">
        <v>1.8625895674086337</v>
      </c>
      <c r="R24">
        <v>1.8905289918815811</v>
      </c>
      <c r="S24">
        <v>2.1754140948025906</v>
      </c>
      <c r="T24">
        <v>2.4864255470911303</v>
      </c>
      <c r="U24">
        <v>2.7084081910314808</v>
      </c>
      <c r="V24">
        <v>3.0330089466911829</v>
      </c>
    </row>
    <row r="26" spans="1:22" x14ac:dyDescent="0.2">
      <c r="B26">
        <v>0</v>
      </c>
      <c r="C26" cm="1">
        <f t="array" ref="C26:D26">LINEST(C20:C24,B20:B24)</f>
        <v>3.747845426696744</v>
      </c>
      <c r="D26">
        <v>1.0787779810711187</v>
      </c>
      <c r="N26">
        <v>0</v>
      </c>
      <c r="O26" cm="1">
        <f t="array" ref="O26:P26">LINEST(O20:O24,N20:N24)</f>
        <v>-10.451634703537144</v>
      </c>
      <c r="P26">
        <v>2.3312340035130945</v>
      </c>
      <c r="Q26">
        <v>2.9670700562758832</v>
      </c>
      <c r="R26" cm="1">
        <f t="array" ref="R26:S30">LINEST(V20:V24,N20:N24,TRUE, TRUE)</f>
        <v>-5.2789265721064291</v>
      </c>
      <c r="S26">
        <v>3.0176587936909072</v>
      </c>
    </row>
    <row r="27" spans="1:22" x14ac:dyDescent="0.2">
      <c r="B27">
        <v>0.12</v>
      </c>
      <c r="C27" cm="1">
        <f t="array" ref="C27:D27">LINEST(D20:D24,B20:B24)</f>
        <v>13.261606135232352</v>
      </c>
      <c r="D27">
        <v>0.74313232368953663</v>
      </c>
      <c r="N27">
        <v>0.12</v>
      </c>
      <c r="O27" cm="1">
        <f t="array" ref="O27:P27">LINEST(P20:P24,N20:N24)</f>
        <v>-16.76875894504472</v>
      </c>
      <c r="P27">
        <v>1.8999833444637602</v>
      </c>
      <c r="Q27">
        <v>2.3911427074767491</v>
      </c>
      <c r="R27">
        <v>2.7003016761896967</v>
      </c>
      <c r="S27">
        <v>1.1918861588533931E-2</v>
      </c>
    </row>
    <row r="28" spans="1:22" x14ac:dyDescent="0.2">
      <c r="B28">
        <v>0.22</v>
      </c>
      <c r="C28" cm="1">
        <f t="array" ref="C28:D28">LINEST(E20:E24,B20:B24)</f>
        <v>12.437235378593794</v>
      </c>
      <c r="D28">
        <v>0.61559968788567399</v>
      </c>
      <c r="N28">
        <v>0.22</v>
      </c>
      <c r="O28" cm="1">
        <f t="array" ref="O28:P28">LINEST(Q20:Q24,N20:N24)</f>
        <v>-9.742098941389111</v>
      </c>
      <c r="P28">
        <v>1.8018238500545862</v>
      </c>
      <c r="Q28">
        <v>1.34590202609377</v>
      </c>
      <c r="R28">
        <v>0.56023264008742946</v>
      </c>
      <c r="S28">
        <v>2.6651384726372997E-2</v>
      </c>
    </row>
    <row r="29" spans="1:22" x14ac:dyDescent="0.2">
      <c r="B29">
        <v>0.3</v>
      </c>
      <c r="C29" cm="1">
        <f t="array" ref="C29:D29">LINEST(F20:F24,B20:B24)</f>
        <v>15.925810656511739</v>
      </c>
      <c r="D29">
        <v>0.59150900018285024</v>
      </c>
      <c r="N29">
        <v>0.3</v>
      </c>
      <c r="O29" cm="1">
        <f t="array" ref="O29:P29">LINEST(R20:R24,N20:N24)</f>
        <v>-7.7414660842168734</v>
      </c>
      <c r="P29">
        <v>1.8380823601367751</v>
      </c>
      <c r="Q29">
        <v>0.59747854680694545</v>
      </c>
      <c r="R29">
        <v>3.8217886852640115</v>
      </c>
      <c r="S29">
        <v>3</v>
      </c>
    </row>
    <row r="30" spans="1:22" x14ac:dyDescent="0.2">
      <c r="B30">
        <v>0.52</v>
      </c>
      <c r="C30" cm="1">
        <f t="array" ref="C30:D30">LINEST(G20:G24,B20:B24)</f>
        <v>29.465558414610893</v>
      </c>
      <c r="D30">
        <v>1.0544248608193585</v>
      </c>
      <c r="N30">
        <v>0.52</v>
      </c>
      <c r="O30" cm="1">
        <f t="array" ref="O30:P30">LINEST(S20:S24,N20:N24)</f>
        <v>-7.0034851315036217</v>
      </c>
      <c r="P30">
        <v>2.1467040989444968</v>
      </c>
      <c r="Q30">
        <v>1.4871122878170449</v>
      </c>
      <c r="R30">
        <v>2.7146023924615277E-3</v>
      </c>
      <c r="S30">
        <v>2.1308889234994436E-3</v>
      </c>
    </row>
    <row r="31" spans="1:22" x14ac:dyDescent="0.2">
      <c r="B31">
        <v>0.71</v>
      </c>
      <c r="C31" cm="1">
        <f t="array" ref="C31:D31">LINEST(H20:H24,B20:B24)</f>
        <v>24.336927954848239</v>
      </c>
      <c r="D31">
        <v>2.1235315014231673</v>
      </c>
      <c r="N31">
        <v>0.71</v>
      </c>
      <c r="O31" cm="1">
        <f t="array" ref="O31:P31">LINEST(T20:T24,N20:N24)</f>
        <v>-6.0552511655706338</v>
      </c>
      <c r="P31">
        <v>2.4315368846755065</v>
      </c>
      <c r="Q31">
        <v>2.292466135305371</v>
      </c>
    </row>
    <row r="32" spans="1:22" x14ac:dyDescent="0.2">
      <c r="B32">
        <v>0.85</v>
      </c>
      <c r="C32" cm="1">
        <f t="array" ref="C32:D32">LINEST(I20:I24,B20:B24)</f>
        <v>25.060004714301485</v>
      </c>
      <c r="D32">
        <v>3.2951506211011066</v>
      </c>
      <c r="N32">
        <v>0.85</v>
      </c>
      <c r="O32" cm="1">
        <f t="array" ref="O32:P32">LINEST(U20:U24,N20:N24)</f>
        <v>-8.9157268655460751</v>
      </c>
      <c r="P32">
        <v>2.6605738035745388</v>
      </c>
      <c r="Q32">
        <v>1.0779695940380418</v>
      </c>
    </row>
    <row r="33" spans="1:22" x14ac:dyDescent="0.2">
      <c r="B33">
        <v>1</v>
      </c>
      <c r="C33" cm="1">
        <f t="array" ref="C33:D33">LINEST(J20:J24,B20:B24)</f>
        <v>26.954533877091752</v>
      </c>
      <c r="D33">
        <v>5.3349920363440502</v>
      </c>
      <c r="N33">
        <v>1</v>
      </c>
      <c r="O33" cm="1">
        <f t="array" ref="O33:P33">LINEST(V20:V24,N20:N24)</f>
        <v>-5.2789265721064291</v>
      </c>
      <c r="P33">
        <v>3.0176587936909072</v>
      </c>
      <c r="Q33">
        <v>2.7003016761896967</v>
      </c>
    </row>
    <row r="35" spans="1:22" x14ac:dyDescent="0.2">
      <c r="A35" t="s">
        <v>6</v>
      </c>
      <c r="B35" t="s">
        <v>0</v>
      </c>
      <c r="M35" t="s">
        <v>6</v>
      </c>
      <c r="N35" t="s">
        <v>0</v>
      </c>
    </row>
    <row r="36" spans="1:22" x14ac:dyDescent="0.2">
      <c r="A36">
        <v>0</v>
      </c>
      <c r="B36">
        <f>A36*100000000/(1.602E-19)*1E-30</f>
        <v>0</v>
      </c>
      <c r="C36">
        <v>1.0605268950421305</v>
      </c>
      <c r="D36">
        <v>0.69695224695882985</v>
      </c>
      <c r="E36">
        <v>0.52544532575703329</v>
      </c>
      <c r="F36">
        <v>0.58025120706361122</v>
      </c>
      <c r="G36">
        <v>1.293145540337548</v>
      </c>
      <c r="H36">
        <v>2.4471737314814845</v>
      </c>
      <c r="I36">
        <v>3.483641200061129</v>
      </c>
      <c r="J36">
        <v>5.4832317783293547</v>
      </c>
      <c r="M36">
        <v>0</v>
      </c>
      <c r="N36">
        <f>M36*100000000/(1.602E-19)*1E-30</f>
        <v>0</v>
      </c>
      <c r="O36">
        <v>2.1803703170540496</v>
      </c>
      <c r="P36">
        <v>1.7225687938592955</v>
      </c>
      <c r="Q36">
        <v>1.6770022307706824</v>
      </c>
      <c r="R36">
        <v>1.7605887510305251</v>
      </c>
      <c r="S36">
        <v>2.1399286397053743</v>
      </c>
      <c r="T36">
        <v>2.411193383824866</v>
      </c>
      <c r="U36">
        <v>2.6134883543519436</v>
      </c>
      <c r="V36">
        <v>2.9880624727686431</v>
      </c>
    </row>
    <row r="37" spans="1:22" x14ac:dyDescent="0.2">
      <c r="A37">
        <v>5</v>
      </c>
      <c r="B37">
        <f t="shared" ref="B37:B40" si="4">A37*100000000/(1.602E-19)*1E-30</f>
        <v>3.1210986267166045E-3</v>
      </c>
      <c r="C37">
        <v>1.0374759201877168</v>
      </c>
      <c r="D37">
        <v>0.68374795890535722</v>
      </c>
      <c r="E37">
        <v>0.56290253151547631</v>
      </c>
      <c r="F37">
        <v>0.6081754377482298</v>
      </c>
      <c r="G37">
        <v>1.3680871920157642</v>
      </c>
      <c r="H37">
        <v>2.4888489550060058</v>
      </c>
      <c r="I37">
        <v>3.5904753360686641</v>
      </c>
      <c r="J37">
        <v>5.5938226857615518</v>
      </c>
      <c r="M37">
        <v>5</v>
      </c>
      <c r="N37">
        <f t="shared" ref="N37:N40" si="5">M37*100000000/(1.602E-19)*1E-30</f>
        <v>3.1210986267166045E-3</v>
      </c>
      <c r="O37">
        <v>2.1646741800282885</v>
      </c>
      <c r="P37">
        <v>1.6743347949602594</v>
      </c>
      <c r="Q37">
        <v>1.6147646203415889</v>
      </c>
      <c r="R37">
        <v>1.724291497437008</v>
      </c>
      <c r="S37">
        <v>2.1413234091339746</v>
      </c>
      <c r="T37">
        <v>2.3793210617457135</v>
      </c>
      <c r="U37">
        <v>2.600916989749976</v>
      </c>
      <c r="V37">
        <v>2.9477774143520592</v>
      </c>
    </row>
    <row r="38" spans="1:22" x14ac:dyDescent="0.2">
      <c r="A38">
        <v>10</v>
      </c>
      <c r="B38">
        <f t="shared" si="4"/>
        <v>6.242197253433209E-3</v>
      </c>
      <c r="C38">
        <v>0.99689898870201432</v>
      </c>
      <c r="D38">
        <v>0.70373268732960526</v>
      </c>
      <c r="E38">
        <v>0.61167556492955555</v>
      </c>
      <c r="F38">
        <v>0.65746454574025393</v>
      </c>
      <c r="G38">
        <v>1.3946391309820001</v>
      </c>
      <c r="H38">
        <v>2.6037071726159411</v>
      </c>
      <c r="I38">
        <v>3.6652671835661863</v>
      </c>
      <c r="J38">
        <v>5.6965527060019667</v>
      </c>
      <c r="M38">
        <v>10</v>
      </c>
      <c r="N38">
        <f t="shared" si="5"/>
        <v>6.242197253433209E-3</v>
      </c>
      <c r="O38">
        <v>2.0888978407447949</v>
      </c>
      <c r="P38">
        <v>1.6117688324268045</v>
      </c>
      <c r="Q38">
        <v>1.6105762850218355</v>
      </c>
      <c r="R38">
        <v>1.7224954049749783</v>
      </c>
      <c r="S38">
        <v>2.115256638981009</v>
      </c>
      <c r="T38">
        <v>2.364209100619405</v>
      </c>
      <c r="U38">
        <v>2.566204935245878</v>
      </c>
      <c r="V38">
        <v>2.9239010568426131</v>
      </c>
    </row>
    <row r="39" spans="1:22" x14ac:dyDescent="0.2">
      <c r="A39">
        <v>-5</v>
      </c>
      <c r="B39">
        <f t="shared" si="4"/>
        <v>-3.1210986267166045E-3</v>
      </c>
      <c r="C39">
        <v>1.088333582461928</v>
      </c>
      <c r="D39">
        <v>0.64345020243229101</v>
      </c>
      <c r="E39">
        <v>0.51833169505707133</v>
      </c>
      <c r="F39">
        <v>0.49760115765570845</v>
      </c>
      <c r="G39">
        <v>1.1878688847301646</v>
      </c>
      <c r="H39">
        <v>2.3283822489132717</v>
      </c>
      <c r="I39">
        <v>3.4053028982880846</v>
      </c>
      <c r="J39">
        <v>5.4453321427645278</v>
      </c>
      <c r="M39">
        <v>-5</v>
      </c>
      <c r="N39">
        <f t="shared" si="5"/>
        <v>-3.1210986267166045E-3</v>
      </c>
      <c r="O39">
        <v>2.1779136297360235</v>
      </c>
      <c r="P39">
        <v>1.7287166661952824</v>
      </c>
      <c r="Q39">
        <v>1.7220803211572218</v>
      </c>
      <c r="R39">
        <v>1.7964393174814859</v>
      </c>
      <c r="S39">
        <v>2.1725262731103498</v>
      </c>
      <c r="T39">
        <v>2.4465771310624405</v>
      </c>
      <c r="U39">
        <v>2.6639890848021537</v>
      </c>
      <c r="V39">
        <v>2.9963191872219062</v>
      </c>
    </row>
    <row r="40" spans="1:22" x14ac:dyDescent="0.2">
      <c r="A40">
        <v>-10</v>
      </c>
      <c r="B40">
        <f t="shared" si="4"/>
        <v>-6.242197253433209E-3</v>
      </c>
      <c r="C40">
        <v>1.1198722212066059</v>
      </c>
      <c r="D40">
        <v>0.60816836717938827</v>
      </c>
      <c r="E40">
        <v>0.49669788283298999</v>
      </c>
      <c r="F40">
        <v>0.48918104273963081</v>
      </c>
      <c r="G40">
        <v>1.0986129750598366</v>
      </c>
      <c r="H40">
        <v>2.2792863920551554</v>
      </c>
      <c r="I40">
        <v>3.3320857767199641</v>
      </c>
      <c r="J40">
        <v>5.3631098669793573</v>
      </c>
      <c r="M40">
        <v>-10</v>
      </c>
      <c r="N40">
        <f t="shared" si="5"/>
        <v>-6.242197253433209E-3</v>
      </c>
      <c r="O40">
        <v>2.1959285896501224</v>
      </c>
      <c r="P40">
        <v>1.8483216934069446</v>
      </c>
      <c r="Q40">
        <v>1.7238761080445784</v>
      </c>
      <c r="R40">
        <v>1.8133792756811431</v>
      </c>
      <c r="S40">
        <v>2.1879499747501541</v>
      </c>
      <c r="T40">
        <v>2.4902956212300751</v>
      </c>
      <c r="U40">
        <v>2.6873641773790382</v>
      </c>
      <c r="V40">
        <v>2.9941895134904208</v>
      </c>
    </row>
    <row r="42" spans="1:22" x14ac:dyDescent="0.2">
      <c r="B42">
        <v>0</v>
      </c>
      <c r="C42" cm="1">
        <f t="array" ref="C42:D42">LINEST(C36:C40,B36:B40)</f>
        <v>-9.5096042381599553</v>
      </c>
      <c r="D42">
        <v>1.0606215215200792</v>
      </c>
      <c r="N42">
        <v>0</v>
      </c>
      <c r="O42" cm="1">
        <f t="array" ref="O42:P42">LINEST(O36:O40,N36:N40)</f>
        <v>-7.2827223584892158</v>
      </c>
      <c r="P42">
        <v>2.1615569114426556</v>
      </c>
      <c r="Q42">
        <v>2.5667916844919119</v>
      </c>
      <c r="R42" cm="1">
        <f t="array" ref="R42:S46">LINEST(V36:V40,N36:N40,TRUE, TRUE)</f>
        <v>-6.0593627047414129</v>
      </c>
      <c r="S42">
        <v>2.9700499289351283</v>
      </c>
    </row>
    <row r="43" spans="1:22" x14ac:dyDescent="0.2">
      <c r="B43">
        <v>0.12</v>
      </c>
      <c r="C43" cm="1">
        <f t="array" ref="C43:D43">LINEST(D36:D40,B36:B40)</f>
        <v>7.4149017526229448</v>
      </c>
      <c r="D43">
        <v>0.66721029256109432</v>
      </c>
      <c r="N43">
        <v>0.12</v>
      </c>
      <c r="O43" cm="1">
        <f t="array" ref="O43:P43">LINEST(P36:P40,N36:N40)</f>
        <v>-16.900702485977515</v>
      </c>
      <c r="P43">
        <v>1.7171421561697173</v>
      </c>
      <c r="Q43">
        <v>2.9149827547535034</v>
      </c>
      <c r="R43">
        <v>1.487292019488049</v>
      </c>
      <c r="S43">
        <v>6.564758255834172E-3</v>
      </c>
    </row>
    <row r="44" spans="1:22" x14ac:dyDescent="0.2">
      <c r="B44">
        <v>0.22</v>
      </c>
      <c r="C44" cm="1">
        <f t="array" ref="C44:D44">LINEST(E36:E40,B36:B40)</f>
        <v>8.7958194688752176</v>
      </c>
      <c r="D44">
        <v>0.54301060001842527</v>
      </c>
      <c r="N44">
        <v>0.22</v>
      </c>
      <c r="O44" cm="1">
        <f t="array" ref="O44:P44">LINEST(Q36:Q40,N36:N40)</f>
        <v>-10.698647713430244</v>
      </c>
      <c r="P44">
        <v>1.6696599130671814</v>
      </c>
      <c r="Q44">
        <v>1.936258072318348</v>
      </c>
      <c r="R44">
        <v>0.84692484011806168</v>
      </c>
      <c r="S44">
        <v>1.4679245715898164E-2</v>
      </c>
    </row>
    <row r="45" spans="1:22" x14ac:dyDescent="0.2">
      <c r="B45">
        <v>0.3</v>
      </c>
      <c r="C45" cm="1">
        <f t="array" ref="C45:D45">LINEST(F36:F40,B36:B40)</f>
        <v>14.326406806444314</v>
      </c>
      <c r="D45">
        <v>0.56653467818948688</v>
      </c>
      <c r="N45">
        <v>0.3</v>
      </c>
      <c r="O45" cm="1">
        <f t="array" ref="O45:P45">LINEST(R36:R40,N36:N40)</f>
        <v>-8.1354545890761081</v>
      </c>
      <c r="P45">
        <v>1.763438849321028</v>
      </c>
      <c r="Q45">
        <v>1.0986959411349166</v>
      </c>
      <c r="R45">
        <v>16.598215689036671</v>
      </c>
      <c r="S45">
        <v>3</v>
      </c>
    </row>
    <row r="46" spans="1:22" x14ac:dyDescent="0.2">
      <c r="B46">
        <v>0.52</v>
      </c>
      <c r="C46" cm="1">
        <f t="array" ref="C46:D46">LINEST(G36:G40,B36:B40)</f>
        <v>24.743550636922844</v>
      </c>
      <c r="D46">
        <v>1.2684707446250627</v>
      </c>
      <c r="N46">
        <v>0.52</v>
      </c>
      <c r="O46" cm="1">
        <f t="array" ref="O46:P46">LINEST(S36:S40,N36:N40)</f>
        <v>-5.6579287178898783</v>
      </c>
      <c r="P46">
        <v>2.1513969871361724</v>
      </c>
      <c r="Q46">
        <v>0.8340785070091119</v>
      </c>
      <c r="R46">
        <v>3.5765877456950639E-3</v>
      </c>
      <c r="S46">
        <v>6.4644076436314382E-4</v>
      </c>
    </row>
    <row r="47" spans="1:22" x14ac:dyDescent="0.2">
      <c r="B47">
        <v>0.71</v>
      </c>
      <c r="C47" cm="1">
        <f t="array" ref="C47:D47">LINEST(H36:H40,B36:B40)</f>
        <v>25.930236881546346</v>
      </c>
      <c r="D47">
        <v>2.4294797000143715</v>
      </c>
      <c r="N47">
        <v>0.71</v>
      </c>
      <c r="O47" cm="1">
        <f t="array" ref="O47:P47">LINEST(T36:T40,N36:N40)</f>
        <v>-10.234508701639669</v>
      </c>
      <c r="P47">
        <v>2.4183192596965002</v>
      </c>
      <c r="Q47">
        <v>0.97033271543068467</v>
      </c>
    </row>
    <row r="48" spans="1:22" x14ac:dyDescent="0.2">
      <c r="B48">
        <v>0.85</v>
      </c>
      <c r="C48" cm="1">
        <f t="array" ref="C48:D48">LINEST(I36:I40,B36:B40)</f>
        <v>27.283189457195682</v>
      </c>
      <c r="D48">
        <v>3.4953544789408055</v>
      </c>
      <c r="N48">
        <v>0.85</v>
      </c>
      <c r="O48" cm="1">
        <f t="array" ref="O48:P48">LINEST(U36:U40,N36:N40)</f>
        <v>-9.7847141613646809</v>
      </c>
      <c r="P48">
        <v>2.6263927083057981</v>
      </c>
      <c r="Q48">
        <v>0.91144196085043017</v>
      </c>
    </row>
    <row r="49" spans="1:22" x14ac:dyDescent="0.2">
      <c r="B49">
        <v>1</v>
      </c>
      <c r="C49" cm="1">
        <f t="array" ref="C49:D49">LINEST(J36:J40,B36:B40)</f>
        <v>26.124654122193459</v>
      </c>
      <c r="D49">
        <v>5.5164098359673517</v>
      </c>
      <c r="N49">
        <v>1</v>
      </c>
      <c r="O49" cm="1">
        <f t="array" ref="O49:P49">LINEST(V36:V40,N36:N40)</f>
        <v>-6.0593627047414129</v>
      </c>
      <c r="P49">
        <v>2.9700499289351283</v>
      </c>
      <c r="Q49">
        <v>1.487292019488049</v>
      </c>
    </row>
    <row r="51" spans="1:22" x14ac:dyDescent="0.2">
      <c r="A51" t="s">
        <v>7</v>
      </c>
      <c r="B51" t="s">
        <v>0</v>
      </c>
      <c r="M51" t="s">
        <v>7</v>
      </c>
      <c r="N51" t="s">
        <v>0</v>
      </c>
    </row>
    <row r="52" spans="1:22" x14ac:dyDescent="0.2">
      <c r="A52">
        <v>0</v>
      </c>
      <c r="B52">
        <f>A52*100000000/(1.602E-19)*1E-30</f>
        <v>0</v>
      </c>
      <c r="C52">
        <v>1.0269245717936428</v>
      </c>
      <c r="D52">
        <v>0.67029547121245514</v>
      </c>
      <c r="E52">
        <v>0.48559046752166068</v>
      </c>
      <c r="F52">
        <v>0.58215987720205931</v>
      </c>
      <c r="G52">
        <v>1.4956444823372976</v>
      </c>
      <c r="H52">
        <v>2.7315095981811055</v>
      </c>
      <c r="I52">
        <v>3.7826383744964573</v>
      </c>
      <c r="J52">
        <v>5.655027286913537</v>
      </c>
      <c r="M52">
        <v>0</v>
      </c>
      <c r="N52">
        <f>M52*100000000/(1.602E-19)*1E-30</f>
        <v>0</v>
      </c>
      <c r="O52">
        <v>2.0234233144032157</v>
      </c>
      <c r="P52">
        <v>1.5551999923041535</v>
      </c>
      <c r="Q52">
        <v>1.5921141352016264</v>
      </c>
      <c r="R52">
        <v>1.7179005607975455</v>
      </c>
      <c r="S52">
        <v>2.1358587478793538</v>
      </c>
      <c r="T52">
        <v>2.4002026034496566</v>
      </c>
      <c r="U52">
        <v>2.5693590565074942</v>
      </c>
      <c r="V52">
        <v>2.9468692965500458</v>
      </c>
    </row>
    <row r="53" spans="1:22" x14ac:dyDescent="0.2">
      <c r="A53">
        <v>5</v>
      </c>
      <c r="B53">
        <f t="shared" ref="B53:B56" si="6">A53*100000000/(1.602E-19)*1E-30</f>
        <v>3.1210986267166045E-3</v>
      </c>
      <c r="C53">
        <v>0.95973390123617719</v>
      </c>
      <c r="D53">
        <v>0.70056459828693107</v>
      </c>
      <c r="E53">
        <v>0.50612023202720025</v>
      </c>
      <c r="F53">
        <v>0.64527158192223055</v>
      </c>
      <c r="G53">
        <v>1.5617100704928362</v>
      </c>
      <c r="H53">
        <v>2.7930711086180509</v>
      </c>
      <c r="I53">
        <v>3.8557206755299944</v>
      </c>
      <c r="J53">
        <v>5.7502002094479394</v>
      </c>
      <c r="M53">
        <v>5</v>
      </c>
      <c r="N53">
        <f t="shared" ref="N53:N56" si="7">M53*100000000/(1.602E-19)*1E-30</f>
        <v>3.1210986267166045E-3</v>
      </c>
      <c r="O53">
        <v>1.9940158892090241</v>
      </c>
      <c r="P53">
        <v>1.5071782921132097</v>
      </c>
      <c r="Q53">
        <v>1.5599280337335983</v>
      </c>
      <c r="R53">
        <v>1.7233308011236375</v>
      </c>
      <c r="S53">
        <v>2.1420629654831487</v>
      </c>
      <c r="T53">
        <v>2.3696384112505484</v>
      </c>
      <c r="U53">
        <v>2.5626588484457216</v>
      </c>
      <c r="V53">
        <v>2.9210503007555606</v>
      </c>
    </row>
    <row r="54" spans="1:22" x14ac:dyDescent="0.2">
      <c r="A54">
        <v>10</v>
      </c>
      <c r="B54">
        <f t="shared" si="6"/>
        <v>6.242197253433209E-3</v>
      </c>
      <c r="C54">
        <v>0.94379702077640104</v>
      </c>
      <c r="D54">
        <v>0.67706053082281414</v>
      </c>
      <c r="E54">
        <v>0.54880539037878862</v>
      </c>
      <c r="F54">
        <v>0.68194962174263196</v>
      </c>
      <c r="G54">
        <v>1.6579951501052506</v>
      </c>
      <c r="H54">
        <v>2.9057994186749738</v>
      </c>
      <c r="I54">
        <v>3.9450427829244177</v>
      </c>
      <c r="J54">
        <v>5.8340143769237329</v>
      </c>
      <c r="M54">
        <v>10</v>
      </c>
      <c r="N54">
        <f t="shared" si="7"/>
        <v>6.242197253433209E-3</v>
      </c>
      <c r="O54">
        <v>1.937356095117521</v>
      </c>
      <c r="P54">
        <v>1.4552250340307467</v>
      </c>
      <c r="Q54">
        <v>1.5162178215559265</v>
      </c>
      <c r="R54">
        <v>1.668829662940766</v>
      </c>
      <c r="S54">
        <v>2.0981803352908628</v>
      </c>
      <c r="T54">
        <v>2.3622873484926004</v>
      </c>
      <c r="U54">
        <v>2.5531976442543396</v>
      </c>
      <c r="V54">
        <v>2.9219834730335803</v>
      </c>
    </row>
    <row r="55" spans="1:22" x14ac:dyDescent="0.2">
      <c r="A55">
        <v>-5</v>
      </c>
      <c r="B55">
        <f t="shared" si="6"/>
        <v>-3.1210986267166045E-3</v>
      </c>
      <c r="C55">
        <v>1.0861119533510646</v>
      </c>
      <c r="D55">
        <v>0.6148610007605555</v>
      </c>
      <c r="E55">
        <v>0.44341563456416111</v>
      </c>
      <c r="F55">
        <v>0.53987929562191539</v>
      </c>
      <c r="G55">
        <v>1.4176737972483693</v>
      </c>
      <c r="H55">
        <v>2.6637658599699989</v>
      </c>
      <c r="I55">
        <v>3.6949213698169387</v>
      </c>
      <c r="J55">
        <v>5.6029575619540992</v>
      </c>
      <c r="M55">
        <v>-5</v>
      </c>
      <c r="N55">
        <f t="shared" si="7"/>
        <v>-3.1210986267166045E-3</v>
      </c>
      <c r="O55">
        <v>2.0120882561974005</v>
      </c>
      <c r="P55">
        <v>1.6332526512026107</v>
      </c>
      <c r="Q55">
        <v>1.6103173411793819</v>
      </c>
      <c r="R55">
        <v>1.7430663020853103</v>
      </c>
      <c r="S55">
        <v>2.162296012601189</v>
      </c>
      <c r="T55">
        <v>2.4321463983741296</v>
      </c>
      <c r="U55">
        <v>2.5963676703535725</v>
      </c>
      <c r="V55">
        <v>2.9468471848685676</v>
      </c>
    </row>
    <row r="56" spans="1:22" x14ac:dyDescent="0.2">
      <c r="A56">
        <v>-10</v>
      </c>
      <c r="B56">
        <f t="shared" si="6"/>
        <v>-6.242197253433209E-3</v>
      </c>
      <c r="C56">
        <v>1.1426353680762986</v>
      </c>
      <c r="D56">
        <v>0.58362486413332704</v>
      </c>
      <c r="E56">
        <v>0.43457367040250006</v>
      </c>
      <c r="F56">
        <v>0.47945792368545881</v>
      </c>
      <c r="G56">
        <v>1.330837272499366</v>
      </c>
      <c r="H56">
        <v>2.5506350385794576</v>
      </c>
      <c r="I56">
        <v>3.6018178856571694</v>
      </c>
      <c r="J56">
        <v>5.5120221302058781</v>
      </c>
      <c r="M56">
        <v>-10</v>
      </c>
      <c r="N56">
        <f t="shared" si="7"/>
        <v>-6.242197253433209E-3</v>
      </c>
      <c r="O56">
        <v>2.0261655703342449</v>
      </c>
      <c r="P56">
        <v>1.6931561108182791</v>
      </c>
      <c r="Q56">
        <v>1.6721757658839067</v>
      </c>
      <c r="R56">
        <v>1.7595550469876571</v>
      </c>
      <c r="S56">
        <v>2.1767363852235349</v>
      </c>
      <c r="T56">
        <v>2.4050261371645547</v>
      </c>
      <c r="U56">
        <v>2.6092587482525573</v>
      </c>
      <c r="V56">
        <v>2.9612766033998339</v>
      </c>
    </row>
    <row r="58" spans="1:22" x14ac:dyDescent="0.2">
      <c r="B58">
        <v>0</v>
      </c>
      <c r="C58" cm="1">
        <f t="array" ref="C58:D58">LINEST(C52:C56,B52:B56)</f>
        <v>-16.790714084738429</v>
      </c>
      <c r="D58">
        <v>1.0318405630467169</v>
      </c>
      <c r="N58">
        <v>0</v>
      </c>
      <c r="O58" cm="1">
        <f t="array" ref="O58:P58">LINEST(O52:O56,N52:N56)</f>
        <v>-6.2699498101952464</v>
      </c>
      <c r="P58">
        <v>1.9986098250522812</v>
      </c>
      <c r="Q58">
        <v>2.2658049516461833</v>
      </c>
      <c r="R58" cm="1">
        <f t="array" ref="R58:S62">LINEST(V52:V56,N52:N56,TRUE, TRUE)</f>
        <v>-3.3444359608502738</v>
      </c>
      <c r="S58">
        <v>2.9396053717215174</v>
      </c>
    </row>
    <row r="59" spans="1:22" x14ac:dyDescent="0.2">
      <c r="B59">
        <v>0.12</v>
      </c>
      <c r="C59" cm="1">
        <f t="array" ref="C59:D59">LINEST(D52:D56,B52:B56)</f>
        <v>8.7333007862074084</v>
      </c>
      <c r="D59">
        <v>0.64928129304321658</v>
      </c>
      <c r="N59">
        <v>0.12</v>
      </c>
      <c r="O59" cm="1">
        <f t="array" ref="O59:P59">LINEST(P52:P56,N52:N56)</f>
        <v>-19.286045865769477</v>
      </c>
      <c r="P59">
        <v>1.5688024160937999</v>
      </c>
      <c r="Q59">
        <v>0.95637830182601302</v>
      </c>
      <c r="R59">
        <v>0.69236214304174593</v>
      </c>
      <c r="S59">
        <v>3.0560172683000561E-3</v>
      </c>
    </row>
    <row r="60" spans="1:22" x14ac:dyDescent="0.2">
      <c r="B60">
        <v>0.22</v>
      </c>
      <c r="C60" cm="1">
        <f t="array" ref="C60:D60">LINEST(E52:E56,B52:B56)</f>
        <v>9.3290239187963415</v>
      </c>
      <c r="D60">
        <v>0.48370107897886216</v>
      </c>
      <c r="N60">
        <v>0.22</v>
      </c>
      <c r="O60" cm="1">
        <f t="array" ref="O60:P60">LINEST(Q52:Q56,N52:N56)</f>
        <v>-11.608258483099872</v>
      </c>
      <c r="P60">
        <v>1.5901506195108879</v>
      </c>
      <c r="Q60">
        <v>1.1576368531006664</v>
      </c>
      <c r="R60">
        <v>0.88607649714791803</v>
      </c>
      <c r="S60">
        <v>6.8334623523321385E-3</v>
      </c>
    </row>
    <row r="61" spans="1:22" x14ac:dyDescent="0.2">
      <c r="B61">
        <v>0.3</v>
      </c>
      <c r="C61" cm="1">
        <f t="array" ref="C61:D61">LINEST(F52:F56,B52:B56)</f>
        <v>16.35243686456575</v>
      </c>
      <c r="D61">
        <v>0.58574366003485923</v>
      </c>
      <c r="N61">
        <v>0.3</v>
      </c>
      <c r="O61" cm="1">
        <f t="array" ref="O61:P61">LINEST(R52:R56,N52:N56)</f>
        <v>-6.4460080605367809</v>
      </c>
      <c r="P61">
        <v>1.7225364747869834</v>
      </c>
      <c r="Q61">
        <v>1.4922998206793858</v>
      </c>
      <c r="R61">
        <v>23.33345995246647</v>
      </c>
      <c r="S61">
        <v>3</v>
      </c>
    </row>
    <row r="62" spans="1:22" x14ac:dyDescent="0.2">
      <c r="B62">
        <v>0.52</v>
      </c>
      <c r="C62" cm="1">
        <f t="array" ref="C62:D62">LINEST(G52:G56,B52:B56)</f>
        <v>25.579198991737801</v>
      </c>
      <c r="D62">
        <v>1.4927721545366239</v>
      </c>
      <c r="N62">
        <v>0.52</v>
      </c>
      <c r="O62" cm="1">
        <f t="array" ref="O62:P62">LINEST(S52:S56,N52:N56)</f>
        <v>-5.6821385093476362</v>
      </c>
      <c r="P62">
        <v>2.1430268892956179</v>
      </c>
      <c r="Q62">
        <v>1.2073936065517579</v>
      </c>
      <c r="R62">
        <v>1.0895840927839585E-3</v>
      </c>
      <c r="S62">
        <v>1.4008862316222206E-4</v>
      </c>
    </row>
    <row r="63" spans="1:22" x14ac:dyDescent="0.2">
      <c r="B63">
        <v>0.71</v>
      </c>
      <c r="C63" cm="1">
        <f t="array" ref="C63:D63">LINEST(H52:H56,B52:B56)</f>
        <v>26.901873643204269</v>
      </c>
      <c r="D63">
        <v>2.7289562048047173</v>
      </c>
      <c r="N63">
        <v>0.71</v>
      </c>
      <c r="O63" cm="1">
        <f t="array" ref="O63:P63">LINEST(T52:T56,N52:N56)</f>
        <v>-4.7414574855383744</v>
      </c>
      <c r="P63">
        <v>2.3938601797462979</v>
      </c>
      <c r="Q63">
        <v>1.8721749027237637</v>
      </c>
    </row>
    <row r="64" spans="1:22" x14ac:dyDescent="0.2">
      <c r="B64">
        <v>0.85</v>
      </c>
      <c r="C64" cm="1">
        <f t="array" ref="C64:D64">LINEST(I52:I56,B52:B56)</f>
        <v>27.145861171931568</v>
      </c>
      <c r="D64">
        <v>3.7760282176849955</v>
      </c>
      <c r="N64">
        <v>0.85</v>
      </c>
      <c r="O64" cm="1">
        <f t="array" ref="O64:P64">LINEST(U52:U56,N52:N56)</f>
        <v>-4.6724261981333353</v>
      </c>
      <c r="P64">
        <v>2.5781683935627369</v>
      </c>
      <c r="Q64">
        <v>0.62139879757697414</v>
      </c>
    </row>
    <row r="65" spans="2:23" x14ac:dyDescent="0.2">
      <c r="B65">
        <v>1</v>
      </c>
      <c r="C65" cm="1">
        <f t="array" ref="C65:D65">LINEST(J52:J56,B52:B56)</f>
        <v>25.350917595382779</v>
      </c>
      <c r="D65">
        <v>5.6708443130890371</v>
      </c>
      <c r="N65">
        <v>1</v>
      </c>
      <c r="O65" cm="1">
        <f t="array" ref="O65:P65">LINEST(V52:V56,N52:N56)</f>
        <v>-3.3444359608502738</v>
      </c>
      <c r="P65">
        <v>2.9396053717215174</v>
      </c>
      <c r="Q65">
        <v>0.69236214304174593</v>
      </c>
    </row>
    <row r="66" spans="2:23" x14ac:dyDescent="0.2">
      <c r="H66" t="s">
        <v>8</v>
      </c>
      <c r="T66" t="s">
        <v>8</v>
      </c>
    </row>
    <row r="67" spans="2:23" x14ac:dyDescent="0.2">
      <c r="C67">
        <v>1200</v>
      </c>
      <c r="D67">
        <v>1000</v>
      </c>
      <c r="E67">
        <v>800</v>
      </c>
      <c r="F67">
        <v>600</v>
      </c>
      <c r="O67">
        <v>1200</v>
      </c>
      <c r="P67">
        <v>1000</v>
      </c>
      <c r="Q67">
        <v>800</v>
      </c>
      <c r="R67">
        <v>600</v>
      </c>
      <c r="T67">
        <v>1200</v>
      </c>
      <c r="U67">
        <v>1000</v>
      </c>
      <c r="V67">
        <v>800</v>
      </c>
      <c r="W67">
        <v>600</v>
      </c>
    </row>
    <row r="68" spans="2:23" x14ac:dyDescent="0.2">
      <c r="B68">
        <v>0</v>
      </c>
      <c r="C68">
        <v>6.7221342576000023</v>
      </c>
      <c r="D68">
        <v>3.747845426696744</v>
      </c>
      <c r="E68">
        <v>-9.5096042381599553</v>
      </c>
      <c r="F68">
        <v>-16.790714084738429</v>
      </c>
      <c r="N68">
        <v>0</v>
      </c>
      <c r="O68">
        <v>-15.916722667856989</v>
      </c>
      <c r="P68">
        <v>-10.451634703537144</v>
      </c>
      <c r="Q68">
        <v>-7.2827223584892158</v>
      </c>
      <c r="R68">
        <v>-6.2699498101952464</v>
      </c>
      <c r="T68">
        <v>5.8111539883944259</v>
      </c>
      <c r="U68">
        <v>2.9670700562758832</v>
      </c>
      <c r="V68">
        <v>2.5667916844919119</v>
      </c>
      <c r="W68">
        <v>2.2658049516461833</v>
      </c>
    </row>
    <row r="69" spans="2:23" x14ac:dyDescent="0.2">
      <c r="B69">
        <v>0.12</v>
      </c>
      <c r="C69">
        <v>9.8971973315999957</v>
      </c>
      <c r="D69">
        <v>13.261606135232352</v>
      </c>
      <c r="E69">
        <v>7.4149017526229448</v>
      </c>
      <c r="F69">
        <v>8.7333007862074084</v>
      </c>
      <c r="N69">
        <v>0.12</v>
      </c>
      <c r="O69">
        <v>-17.992735995498602</v>
      </c>
      <c r="P69">
        <v>-16.76875894504472</v>
      </c>
      <c r="Q69">
        <v>-16.900702485977515</v>
      </c>
      <c r="R69">
        <v>-19.286045865769477</v>
      </c>
      <c r="T69">
        <v>1.1864683049159126</v>
      </c>
      <c r="U69">
        <v>2.3911427074767491</v>
      </c>
      <c r="V69">
        <v>2.9149827547535034</v>
      </c>
      <c r="W69">
        <v>0.95637830182601302</v>
      </c>
    </row>
    <row r="70" spans="2:23" x14ac:dyDescent="0.2">
      <c r="B70">
        <v>0.22</v>
      </c>
      <c r="C70">
        <v>9.6185316743999962</v>
      </c>
      <c r="D70">
        <v>12.437235378593794</v>
      </c>
      <c r="E70">
        <v>8.7958194688752176</v>
      </c>
      <c r="F70">
        <v>9.3290239187963415</v>
      </c>
      <c r="N70">
        <v>0.22</v>
      </c>
      <c r="O70">
        <v>-13.657054801644033</v>
      </c>
      <c r="P70">
        <v>-9.742098941389111</v>
      </c>
      <c r="Q70">
        <v>-10.698647713430244</v>
      </c>
      <c r="R70">
        <v>-11.608258483099872</v>
      </c>
      <c r="T70">
        <v>2.1464616355429862</v>
      </c>
      <c r="U70">
        <v>1.34590202609377</v>
      </c>
      <c r="V70">
        <v>1.936258072318348</v>
      </c>
      <c r="W70">
        <v>1.1576368531006664</v>
      </c>
    </row>
    <row r="71" spans="2:23" x14ac:dyDescent="0.2">
      <c r="B71">
        <v>0.3</v>
      </c>
      <c r="C71">
        <v>15.7922157852</v>
      </c>
      <c r="D71">
        <v>15.925810656511739</v>
      </c>
      <c r="E71">
        <v>14.326406806444314</v>
      </c>
      <c r="F71">
        <v>16.35243686456575</v>
      </c>
      <c r="N71">
        <v>0.3</v>
      </c>
      <c r="O71">
        <v>-7.4531094193225762</v>
      </c>
      <c r="P71">
        <v>-7.7414660842168734</v>
      </c>
      <c r="Q71">
        <v>-8.1354545890761081</v>
      </c>
      <c r="R71">
        <v>-6.4460080605367809</v>
      </c>
      <c r="T71">
        <v>1.7599307720130817</v>
      </c>
      <c r="U71">
        <v>0.59747854680694545</v>
      </c>
      <c r="V71">
        <v>1.0986959411349166</v>
      </c>
      <c r="W71">
        <v>1.4922998206793858</v>
      </c>
    </row>
    <row r="72" spans="2:23" x14ac:dyDescent="0.2">
      <c r="B72">
        <v>0.52</v>
      </c>
      <c r="C72">
        <v>25.746042214799999</v>
      </c>
      <c r="D72">
        <v>29.465558414610893</v>
      </c>
      <c r="E72">
        <v>24.743550636922844</v>
      </c>
      <c r="F72">
        <v>25.579198991737801</v>
      </c>
      <c r="N72">
        <v>0.52</v>
      </c>
      <c r="O72">
        <v>-6.5591412163100413</v>
      </c>
      <c r="P72">
        <v>-7.0034851315036217</v>
      </c>
      <c r="Q72">
        <v>-5.6579287178898783</v>
      </c>
      <c r="R72">
        <v>-5.6821385093476362</v>
      </c>
      <c r="T72">
        <v>1.9374168880335076</v>
      </c>
      <c r="U72">
        <v>1.4871122878170449</v>
      </c>
      <c r="V72">
        <v>0.8340785070091119</v>
      </c>
      <c r="W72">
        <v>1.2073936065517579</v>
      </c>
    </row>
    <row r="73" spans="2:23" x14ac:dyDescent="0.2">
      <c r="B73">
        <v>0.71</v>
      </c>
      <c r="C73">
        <v>28.385046611999996</v>
      </c>
      <c r="D73">
        <v>24.336927954848239</v>
      </c>
      <c r="E73">
        <v>25.930236881546346</v>
      </c>
      <c r="F73">
        <v>26.901873643204269</v>
      </c>
      <c r="N73">
        <v>0.71</v>
      </c>
      <c r="O73">
        <v>-5.5645211000646659</v>
      </c>
      <c r="P73">
        <v>-6.0552511655706338</v>
      </c>
      <c r="Q73">
        <v>-10.234508701639669</v>
      </c>
      <c r="R73">
        <v>-4.7414574855383744</v>
      </c>
      <c r="T73">
        <v>3.743000017305711</v>
      </c>
      <c r="U73">
        <v>2.292466135305371</v>
      </c>
      <c r="V73">
        <v>0.97033271543068467</v>
      </c>
      <c r="W73">
        <v>1.8721749027237637</v>
      </c>
    </row>
    <row r="74" spans="2:23" x14ac:dyDescent="0.2">
      <c r="B74">
        <v>0.85</v>
      </c>
      <c r="C74">
        <v>24.70664571119999</v>
      </c>
      <c r="D74">
        <v>25.060004714301485</v>
      </c>
      <c r="E74">
        <v>27.283189457195682</v>
      </c>
      <c r="F74">
        <v>27.145861171931568</v>
      </c>
      <c r="N74">
        <v>0.85</v>
      </c>
      <c r="O74">
        <v>-2.820736593983681</v>
      </c>
      <c r="P74">
        <v>-8.9157268655460751</v>
      </c>
      <c r="Q74">
        <v>-9.7847141613646809</v>
      </c>
      <c r="R74">
        <v>-4.6724261981333353</v>
      </c>
      <c r="T74">
        <v>2.5817260057765306</v>
      </c>
      <c r="U74">
        <v>1.0779695940380418</v>
      </c>
      <c r="V74">
        <v>0.91144196085043017</v>
      </c>
      <c r="W74">
        <v>0.62139879757697414</v>
      </c>
    </row>
    <row r="75" spans="2:23" x14ac:dyDescent="0.2">
      <c r="B75">
        <v>1</v>
      </c>
      <c r="C75">
        <v>28.872248774399999</v>
      </c>
      <c r="D75">
        <v>26.954533877091752</v>
      </c>
      <c r="E75">
        <v>26.124654122193459</v>
      </c>
      <c r="F75">
        <v>25.350917595382779</v>
      </c>
      <c r="N75">
        <v>1</v>
      </c>
      <c r="O75">
        <v>-3.0737975088309626</v>
      </c>
      <c r="P75">
        <v>-5.2789265721064291</v>
      </c>
      <c r="Q75">
        <v>-6.0593627047414129</v>
      </c>
      <c r="R75">
        <v>-3.3444359608502738</v>
      </c>
      <c r="T75">
        <v>2.0107857736187498</v>
      </c>
      <c r="U75">
        <v>2.7003016761896967</v>
      </c>
      <c r="V75">
        <v>1.487292019488049</v>
      </c>
      <c r="W75">
        <v>0.69236214304174593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C775-EDBC-4442-AEE1-A262CA73F074}">
  <dimension ref="A3:Z34"/>
  <sheetViews>
    <sheetView tabSelected="1" topLeftCell="A25" workbookViewId="0">
      <selection activeCell="R40" sqref="R40"/>
    </sheetView>
  </sheetViews>
  <sheetFormatPr baseColWidth="10" defaultRowHeight="16" x14ac:dyDescent="0.2"/>
  <sheetData>
    <row r="3" spans="1:26" x14ac:dyDescent="0.2">
      <c r="B3" t="s">
        <v>2</v>
      </c>
      <c r="L3" t="s">
        <v>4</v>
      </c>
    </row>
    <row r="4" spans="1:26" x14ac:dyDescent="0.2">
      <c r="B4" t="s">
        <v>3</v>
      </c>
      <c r="L4" t="s">
        <v>3</v>
      </c>
      <c r="V4">
        <v>1200</v>
      </c>
      <c r="W4" t="s">
        <v>34</v>
      </c>
      <c r="Y4" t="s">
        <v>35</v>
      </c>
    </row>
    <row r="5" spans="1:26" x14ac:dyDescent="0.2">
      <c r="A5" t="s">
        <v>1</v>
      </c>
      <c r="B5">
        <v>0</v>
      </c>
      <c r="C5">
        <v>0.12</v>
      </c>
      <c r="D5">
        <v>0.22</v>
      </c>
      <c r="E5">
        <v>0.3</v>
      </c>
      <c r="F5">
        <v>0.52</v>
      </c>
      <c r="G5">
        <v>0.71</v>
      </c>
      <c r="H5">
        <v>0.85</v>
      </c>
      <c r="I5">
        <v>1</v>
      </c>
      <c r="K5" t="s">
        <v>1</v>
      </c>
      <c r="L5">
        <v>0</v>
      </c>
      <c r="M5">
        <v>0.12</v>
      </c>
      <c r="N5">
        <v>0.22</v>
      </c>
      <c r="O5">
        <v>0.3</v>
      </c>
      <c r="P5">
        <v>0.52</v>
      </c>
      <c r="Q5">
        <v>0.71</v>
      </c>
      <c r="R5">
        <v>0.85</v>
      </c>
      <c r="S5">
        <v>1</v>
      </c>
    </row>
    <row r="6" spans="1:26" x14ac:dyDescent="0.2">
      <c r="A6">
        <v>0</v>
      </c>
      <c r="B6">
        <v>3.7425905924362359</v>
      </c>
      <c r="C6">
        <v>4.7241803686765698</v>
      </c>
      <c r="D6">
        <v>5.5579632652712485</v>
      </c>
      <c r="E6">
        <v>6.220368965201116</v>
      </c>
      <c r="F6">
        <v>8.4790645889149427</v>
      </c>
      <c r="G6">
        <v>10.378718543553211</v>
      </c>
      <c r="H6">
        <v>11.338505431767672</v>
      </c>
      <c r="I6">
        <v>13.038483137361268</v>
      </c>
      <c r="K6">
        <v>0</v>
      </c>
      <c r="L6">
        <v>-2.4899403189063274</v>
      </c>
      <c r="M6">
        <v>-2.4656582333322543</v>
      </c>
      <c r="N6">
        <v>-2.3975616176723062</v>
      </c>
      <c r="O6">
        <v>-2.3282605137354708</v>
      </c>
      <c r="P6">
        <v>-2.5682504545691658</v>
      </c>
      <c r="Q6">
        <v>-2.7866414384495588</v>
      </c>
      <c r="R6">
        <v>-2.6607743384165565</v>
      </c>
      <c r="S6">
        <v>-2.0823076657564341</v>
      </c>
      <c r="V6">
        <v>0</v>
      </c>
      <c r="W6" cm="1">
        <f t="array" ref="W6:X6">LINEST(B6:B10,A6:A10)</f>
        <v>9.8563562641549116E-3</v>
      </c>
      <c r="X6">
        <v>3.8008243045852388</v>
      </c>
      <c r="Y6" cm="1">
        <f t="array" ref="Y6:Z6">LINEST(L$6:L$10,$A$6:$A$10)</f>
        <v>-3.6543100395607903E-2</v>
      </c>
      <c r="Z6">
        <v>-2.5320259672183929</v>
      </c>
    </row>
    <row r="7" spans="1:26" x14ac:dyDescent="0.2">
      <c r="A7">
        <v>5</v>
      </c>
      <c r="B7">
        <v>3.8128463790237257</v>
      </c>
      <c r="C7">
        <v>4.9048260709114757</v>
      </c>
      <c r="D7">
        <v>5.5799116713960712</v>
      </c>
      <c r="E7">
        <v>6.3127939549293224</v>
      </c>
      <c r="F7">
        <v>8.5369356519952788</v>
      </c>
      <c r="G7">
        <v>10.315597046671712</v>
      </c>
      <c r="H7">
        <v>11.374180318283793</v>
      </c>
      <c r="I7">
        <v>13.089749688697218</v>
      </c>
      <c r="K7">
        <v>5</v>
      </c>
      <c r="L7">
        <v>-2.7592649137610068</v>
      </c>
      <c r="M7">
        <v>-2.5576288702031529</v>
      </c>
      <c r="N7">
        <v>-2.4600122899443888</v>
      </c>
      <c r="O7">
        <v>-2.4719866252025406</v>
      </c>
      <c r="P7">
        <v>-2.6588994622188635</v>
      </c>
      <c r="Q7">
        <v>-2.8438149237153567</v>
      </c>
      <c r="R7">
        <v>-2.6598731326600302</v>
      </c>
      <c r="S7">
        <v>-2.1064387055167906</v>
      </c>
      <c r="V7">
        <v>0.12</v>
      </c>
      <c r="W7" cm="1">
        <f t="array" ref="W7:X7">LINEST(C$6:C$10,$A$6:$A$10)</f>
        <v>2.1936239464750651E-2</v>
      </c>
      <c r="X7">
        <v>4.7444936177981116</v>
      </c>
      <c r="Y7" cm="1">
        <f t="array" ref="Y7:Z7">LINEST(M$6:M$10,$A$6:$A$10)</f>
        <v>-1.3199895075402975E-2</v>
      </c>
      <c r="Z7">
        <v>-2.4603790288435001</v>
      </c>
    </row>
    <row r="8" spans="1:26" x14ac:dyDescent="0.2">
      <c r="A8">
        <v>10</v>
      </c>
      <c r="B8">
        <v>3.9554418511133855</v>
      </c>
      <c r="C8">
        <v>4.9286272390637169</v>
      </c>
      <c r="D8">
        <v>5.7766325805216496</v>
      </c>
      <c r="E8">
        <v>6.4540842345270448</v>
      </c>
      <c r="F8">
        <v>8.7999695463236627</v>
      </c>
      <c r="G8">
        <v>10.468992796953916</v>
      </c>
      <c r="H8">
        <v>11.441904216643238</v>
      </c>
      <c r="I8">
        <v>13.141511970362025</v>
      </c>
      <c r="K8">
        <v>10</v>
      </c>
      <c r="L8">
        <v>-2.880258428866266</v>
      </c>
      <c r="M8">
        <v>-2.5655137456561019</v>
      </c>
      <c r="N8">
        <v>-2.4475338841945145</v>
      </c>
      <c r="O8">
        <v>-2.4415255256278359</v>
      </c>
      <c r="P8">
        <v>-2.7592714410131882</v>
      </c>
      <c r="Q8">
        <v>-2.9190960271188087</v>
      </c>
      <c r="R8">
        <v>-2.7011327491690684</v>
      </c>
      <c r="S8">
        <v>-2.1542082563185816</v>
      </c>
      <c r="V8">
        <v>0.22</v>
      </c>
      <c r="W8" cm="1">
        <f t="array" ref="W8:X8">LINEST(D$6:D$10,$A$6:$A$10)</f>
        <v>2.0045389601622558E-2</v>
      </c>
      <c r="X8">
        <v>5.5432039222290159</v>
      </c>
      <c r="Y8" cm="1">
        <f t="array" ref="Y8:Z8">LINEST(N$6:N$10,$A$6:$A$10)</f>
        <v>-1.1133961749623507E-2</v>
      </c>
      <c r="Z8">
        <v>-2.3734175318894217</v>
      </c>
    </row>
    <row r="9" spans="1:26" x14ac:dyDescent="0.2">
      <c r="A9">
        <v>-5</v>
      </c>
      <c r="B9">
        <v>3.7555731326629469</v>
      </c>
      <c r="C9">
        <v>4.6644002448762087</v>
      </c>
      <c r="D9">
        <v>5.472116835553976</v>
      </c>
      <c r="E9">
        <v>6.0624820936464143</v>
      </c>
      <c r="F9">
        <v>8.3896096579335904</v>
      </c>
      <c r="G9">
        <v>10.267073221960228</v>
      </c>
      <c r="H9">
        <v>11.26248667928996</v>
      </c>
      <c r="I9">
        <v>12.983224414889881</v>
      </c>
      <c r="K9">
        <v>-5</v>
      </c>
      <c r="L9">
        <v>-2.3687055974035838</v>
      </c>
      <c r="M9">
        <v>-2.3975269823067751</v>
      </c>
      <c r="N9">
        <v>-2.3255777644195539</v>
      </c>
      <c r="O9">
        <v>-2.3437510338606109</v>
      </c>
      <c r="P9">
        <v>-2.4617236807435252</v>
      </c>
      <c r="Q9">
        <v>-2.6742769150856942</v>
      </c>
      <c r="R9">
        <v>-2.5935309413247789</v>
      </c>
      <c r="S9">
        <v>-1.9573986700422883</v>
      </c>
      <c r="V9">
        <v>0.3</v>
      </c>
      <c r="W9" cm="1">
        <f t="array" ref="W9:X9">LINEST(E$6:E$10,$A$6:$A$10)</f>
        <v>2.3011979780358266E-2</v>
      </c>
      <c r="X9">
        <v>6.2107339837926876</v>
      </c>
      <c r="Y9" cm="1">
        <f t="array" ref="Y9:Z9">LINEST(O$6:O$10,$A$6:$A$10)</f>
        <v>-1.1275924870714951E-2</v>
      </c>
      <c r="Z9">
        <v>-2.3618537795914767</v>
      </c>
    </row>
    <row r="10" spans="1:26" x14ac:dyDescent="0.2">
      <c r="A10">
        <v>-10</v>
      </c>
      <c r="B10">
        <v>3.7376695676899021</v>
      </c>
      <c r="C10">
        <v>4.5004341654625843</v>
      </c>
      <c r="D10">
        <v>5.3293952584021334</v>
      </c>
      <c r="E10">
        <v>6.0039406706595422</v>
      </c>
      <c r="F10">
        <v>8.2792375139459757</v>
      </c>
      <c r="G10">
        <v>10.19808276962892</v>
      </c>
      <c r="H10">
        <v>11.181187372352827</v>
      </c>
      <c r="I10">
        <v>12.893143952572544</v>
      </c>
      <c r="K10">
        <v>-10</v>
      </c>
      <c r="L10">
        <v>-2.1619605771547801</v>
      </c>
      <c r="M10">
        <v>-2.3155673127192165</v>
      </c>
      <c r="N10">
        <v>-2.2364021032163444</v>
      </c>
      <c r="O10">
        <v>-2.223745199530927</v>
      </c>
      <c r="P10">
        <v>-2.4395775520026608</v>
      </c>
      <c r="Q10">
        <v>-2.657171099404489</v>
      </c>
      <c r="R10">
        <v>-2.4480748935479051</v>
      </c>
      <c r="S10">
        <v>-2.029017596818731</v>
      </c>
      <c r="V10">
        <v>0.52</v>
      </c>
      <c r="W10" cm="1">
        <f t="array" ref="W10:X10">LINEST(F$6:F$10,$A$6:$A$10)</f>
        <v>2.3775801176341246E-2</v>
      </c>
      <c r="X10">
        <v>8.496963391822689</v>
      </c>
      <c r="Y10" cm="1">
        <f t="array" ref="Y10:Z10">LINEST(P$6:P$10,$A$6:$A$10)</f>
        <v>-1.6731271189927868E-2</v>
      </c>
      <c r="Z10">
        <v>-2.5775445181094807</v>
      </c>
    </row>
    <row r="11" spans="1:26" x14ac:dyDescent="0.2">
      <c r="V11">
        <v>0.71</v>
      </c>
      <c r="W11" cm="1">
        <f t="array" ref="W11:X11">LINEST(G$6:G$10,$A$6:$A$10)</f>
        <v>1.1806877587229536E-2</v>
      </c>
      <c r="X11">
        <v>10.325692875753598</v>
      </c>
      <c r="Y11" cm="1">
        <f t="array" ref="Y11:Z11">LINEST(Q$6:Q$10,$A$6:$A$10)</f>
        <v>-1.3867757281166038E-2</v>
      </c>
      <c r="Z11">
        <v>-2.7762000807547813</v>
      </c>
    </row>
    <row r="12" spans="1:26" x14ac:dyDescent="0.2">
      <c r="B12" t="s">
        <v>5</v>
      </c>
      <c r="L12" t="s">
        <v>5</v>
      </c>
      <c r="V12">
        <v>0.85</v>
      </c>
      <c r="W12" cm="1">
        <f t="array" ref="W12:X12">LINEST(H$6:H$10,$A$6:$A$10)</f>
        <v>1.2662546551493072E-2</v>
      </c>
      <c r="X12">
        <v>11.319652803667498</v>
      </c>
      <c r="Y12" cm="1">
        <f t="array" ref="Y12:Z12">LINEST(R$6:R$10,$A$6:$A$10)</f>
        <v>-1.1449158051551564E-2</v>
      </c>
      <c r="Z12">
        <v>-2.612677211023668</v>
      </c>
    </row>
    <row r="13" spans="1:26" x14ac:dyDescent="0.2">
      <c r="A13" t="s">
        <v>1</v>
      </c>
      <c r="B13">
        <v>0</v>
      </c>
      <c r="C13">
        <v>0.12</v>
      </c>
      <c r="D13">
        <v>0.22</v>
      </c>
      <c r="E13">
        <v>0.3</v>
      </c>
      <c r="F13">
        <v>0.52</v>
      </c>
      <c r="G13">
        <v>0.71</v>
      </c>
      <c r="H13">
        <v>0.85</v>
      </c>
      <c r="I13">
        <v>1</v>
      </c>
      <c r="K13" t="s">
        <v>1</v>
      </c>
      <c r="L13">
        <v>0</v>
      </c>
      <c r="M13">
        <v>0.12</v>
      </c>
      <c r="N13">
        <v>0.22</v>
      </c>
      <c r="O13">
        <v>0.3</v>
      </c>
      <c r="P13">
        <v>0.52</v>
      </c>
      <c r="Q13">
        <v>0.71</v>
      </c>
      <c r="R13">
        <v>0.85</v>
      </c>
      <c r="S13">
        <v>1</v>
      </c>
      <c r="V13">
        <v>1</v>
      </c>
      <c r="W13" cm="1">
        <f t="array" ref="W13:X13">LINEST(I$6:I$10,$A$6:$A$10)</f>
        <v>1.2065226187725995E-2</v>
      </c>
      <c r="X13">
        <v>13.029222632776589</v>
      </c>
      <c r="Y13" cm="1">
        <f t="array" ref="Y13:Z13">LINEST(S$6:S$10,$A$6:$A$10)</f>
        <v>-7.9884270894840757E-3</v>
      </c>
      <c r="Z13">
        <v>-2.065874178890565</v>
      </c>
    </row>
    <row r="14" spans="1:26" x14ac:dyDescent="0.2">
      <c r="A14">
        <v>0</v>
      </c>
      <c r="B14">
        <v>3.3861820213427776</v>
      </c>
      <c r="C14">
        <v>4.325390139249131</v>
      </c>
      <c r="D14">
        <v>5.2271740678029319</v>
      </c>
      <c r="E14">
        <v>6.1059107850538128</v>
      </c>
      <c r="F14">
        <v>8.900429857504184</v>
      </c>
      <c r="G14">
        <v>10.777375332539592</v>
      </c>
      <c r="H14">
        <v>11.664372540892341</v>
      </c>
      <c r="I14">
        <v>13.260086447560637</v>
      </c>
      <c r="K14">
        <v>0</v>
      </c>
      <c r="L14">
        <v>-2.616583941344206</v>
      </c>
      <c r="M14">
        <v>-2.6483499588312007</v>
      </c>
      <c r="N14">
        <v>-2.5519342450535563</v>
      </c>
      <c r="O14">
        <v>-2.3877146991243019</v>
      </c>
      <c r="P14">
        <v>-2.4963231290846841</v>
      </c>
      <c r="Q14">
        <v>-2.8025443702963222</v>
      </c>
      <c r="R14">
        <v>-2.6932504075005776</v>
      </c>
      <c r="S14">
        <v>-2.0675007514945074</v>
      </c>
    </row>
    <row r="15" spans="1:26" x14ac:dyDescent="0.2">
      <c r="A15">
        <v>5</v>
      </c>
      <c r="B15">
        <v>3.399658825245413</v>
      </c>
      <c r="C15">
        <v>4.3800037900609308</v>
      </c>
      <c r="D15">
        <v>5.3643015633843039</v>
      </c>
      <c r="E15">
        <v>6.1733987156909853</v>
      </c>
      <c r="F15">
        <v>8.997691193474159</v>
      </c>
      <c r="G15">
        <v>10.831687357162666</v>
      </c>
      <c r="H15">
        <v>11.655610087709249</v>
      </c>
      <c r="I15">
        <v>13.289720404842791</v>
      </c>
      <c r="K15">
        <v>5</v>
      </c>
      <c r="L15">
        <v>-2.8512189954314797</v>
      </c>
      <c r="M15">
        <v>-2.8032838399988034</v>
      </c>
      <c r="N15">
        <v>-2.5893950426443997</v>
      </c>
      <c r="O15">
        <v>-2.4724988214816661</v>
      </c>
      <c r="P15">
        <v>-2.5803795769492104</v>
      </c>
      <c r="Q15">
        <v>-2.9190141619221337</v>
      </c>
      <c r="R15">
        <v>-2.7059735200605308</v>
      </c>
      <c r="S15">
        <v>-2.1343414754721781</v>
      </c>
      <c r="W15">
        <f>AVERAGE(W6:W13)</f>
        <v>1.6895052076709528E-2</v>
      </c>
      <c r="Y15">
        <f>AVERAGE(Y6:Y13)</f>
        <v>-1.5273686962934864E-2</v>
      </c>
    </row>
    <row r="16" spans="1:26" x14ac:dyDescent="0.2">
      <c r="A16">
        <v>10</v>
      </c>
      <c r="B16">
        <v>3.4035416279378299</v>
      </c>
      <c r="C16">
        <v>4.5779204552579866</v>
      </c>
      <c r="D16">
        <v>5.5267248882854556</v>
      </c>
      <c r="E16">
        <v>6.3121695283061001</v>
      </c>
      <c r="F16">
        <v>9.1183007448306803</v>
      </c>
      <c r="G16">
        <v>10.904935994333046</v>
      </c>
      <c r="H16">
        <v>11.732374429032522</v>
      </c>
      <c r="I16">
        <v>13.401100289723027</v>
      </c>
      <c r="K16">
        <v>10</v>
      </c>
      <c r="L16">
        <v>-3.1033065163773581</v>
      </c>
      <c r="M16">
        <v>-2.8958045888626964</v>
      </c>
      <c r="N16">
        <v>-2.5820381509869268</v>
      </c>
      <c r="O16">
        <v>-2.4926585601692084</v>
      </c>
      <c r="P16">
        <v>-2.7462211196206958</v>
      </c>
      <c r="Q16">
        <v>-3.0182280069036747</v>
      </c>
      <c r="R16">
        <v>-2.8236201415294606</v>
      </c>
      <c r="S16">
        <v>-2.2048206662493843</v>
      </c>
    </row>
    <row r="17" spans="1:26" x14ac:dyDescent="0.2">
      <c r="A17">
        <v>-5</v>
      </c>
      <c r="B17">
        <v>3.2592610244291604</v>
      </c>
      <c r="C17">
        <v>4.3112659256371328</v>
      </c>
      <c r="D17">
        <v>5.1239796832049223</v>
      </c>
      <c r="E17">
        <v>5.8999895732567076</v>
      </c>
      <c r="F17">
        <v>8.740564864107867</v>
      </c>
      <c r="G17">
        <v>10.704436086865515</v>
      </c>
      <c r="H17">
        <v>11.6554305547561</v>
      </c>
      <c r="I17">
        <v>13.269414801605803</v>
      </c>
      <c r="K17">
        <v>-5</v>
      </c>
      <c r="L17">
        <v>-2.447283307897953</v>
      </c>
      <c r="M17">
        <v>-2.6048831880298402</v>
      </c>
      <c r="N17">
        <v>-2.4480286321067211</v>
      </c>
      <c r="O17">
        <v>-2.3403404854896306</v>
      </c>
      <c r="P17">
        <v>-2.4767101367229181</v>
      </c>
      <c r="Q17">
        <v>-2.7551647472173628</v>
      </c>
      <c r="R17">
        <v>-2.6262804360796408</v>
      </c>
      <c r="S17">
        <v>-2.0097577796647075</v>
      </c>
      <c r="V17">
        <v>600</v>
      </c>
      <c r="W17" t="s">
        <v>34</v>
      </c>
      <c r="Y17" t="s">
        <v>35</v>
      </c>
    </row>
    <row r="18" spans="1:26" x14ac:dyDescent="0.2">
      <c r="A18">
        <v>-10</v>
      </c>
      <c r="B18">
        <v>3.3127451289548571</v>
      </c>
      <c r="C18">
        <v>4.1453892060728581</v>
      </c>
      <c r="D18">
        <v>5.053928337266365</v>
      </c>
      <c r="E18">
        <v>5.8509401448474652</v>
      </c>
      <c r="F18">
        <v>8.5942641887432334</v>
      </c>
      <c r="G18">
        <v>10.664854345309097</v>
      </c>
      <c r="H18">
        <v>11.596835708332231</v>
      </c>
      <c r="I18">
        <v>13.162350058048327</v>
      </c>
      <c r="K18">
        <v>-10</v>
      </c>
      <c r="L18">
        <v>-2.2615120004360092</v>
      </c>
      <c r="M18">
        <v>-2.5755907326883158</v>
      </c>
      <c r="N18">
        <v>-2.3292600891583435</v>
      </c>
      <c r="O18">
        <v>-2.2665360059702779</v>
      </c>
      <c r="P18">
        <v>-2.4064071011051316</v>
      </c>
      <c r="Q18">
        <v>-2.6266232088848471</v>
      </c>
      <c r="R18">
        <v>-2.5423317607151037</v>
      </c>
      <c r="S18">
        <v>-2.0039307589565438</v>
      </c>
    </row>
    <row r="19" spans="1:26" x14ac:dyDescent="0.2">
      <c r="V19">
        <v>0</v>
      </c>
      <c r="W19" cm="1">
        <f t="array" ref="W19:X19">LINEST(B$30:B$34,$A$30:$A$34)</f>
        <v>-7.8572240902262201E-3</v>
      </c>
      <c r="X19">
        <v>2.6089102798354666</v>
      </c>
      <c r="Y19" cm="1">
        <f t="array" ref="Y19:Z19">LINEST(L$30:L$34,$A$30:$A$34)</f>
        <v>-7.2278931023643564E-2</v>
      </c>
      <c r="Z19">
        <v>-2.2476834515602588</v>
      </c>
    </row>
    <row r="20" spans="1:26" x14ac:dyDescent="0.2">
      <c r="B20" t="s">
        <v>6</v>
      </c>
      <c r="L20" t="s">
        <v>6</v>
      </c>
      <c r="V20">
        <v>0.12</v>
      </c>
      <c r="W20" cm="1">
        <f t="array" ref="W20:X20">LINEST(C$30:C$34,$A$30:$A$34)</f>
        <v>2.4569576191792133E-2</v>
      </c>
      <c r="X20">
        <v>3.3748630070965149</v>
      </c>
      <c r="Y20" cm="1">
        <f t="array" ref="Y20:Z20">LINEST(M$30:M$34,$A$30:$A$34)</f>
        <v>-1.4027458621788098E-2</v>
      </c>
      <c r="Z20">
        <v>-2.9743679182844853</v>
      </c>
    </row>
    <row r="21" spans="1:26" x14ac:dyDescent="0.2">
      <c r="A21" t="s">
        <v>1</v>
      </c>
      <c r="B21">
        <v>0</v>
      </c>
      <c r="C21">
        <v>0.12</v>
      </c>
      <c r="D21">
        <v>0.22</v>
      </c>
      <c r="E21">
        <v>0.3</v>
      </c>
      <c r="F21">
        <v>0.52</v>
      </c>
      <c r="G21">
        <v>0.71</v>
      </c>
      <c r="H21">
        <v>0.85</v>
      </c>
      <c r="I21">
        <v>1</v>
      </c>
      <c r="K21" t="s">
        <v>1</v>
      </c>
      <c r="L21">
        <v>0</v>
      </c>
      <c r="M21">
        <v>0.12</v>
      </c>
      <c r="N21">
        <v>0.22</v>
      </c>
      <c r="O21">
        <v>0.3</v>
      </c>
      <c r="P21">
        <v>0.52</v>
      </c>
      <c r="Q21">
        <v>0.71</v>
      </c>
      <c r="R21">
        <v>0.85</v>
      </c>
      <c r="S21">
        <v>1</v>
      </c>
      <c r="V21">
        <v>0.22</v>
      </c>
      <c r="W21" cm="1">
        <f t="array" ref="W21:X21">LINEST(D$30:D$34,$A$30:$A$34)</f>
        <v>2.9644143651536229E-2</v>
      </c>
      <c r="X21">
        <v>4.6627270093351196</v>
      </c>
      <c r="Y21" cm="1">
        <f t="array" ref="Y21:Z21">LINEST(N$30:N$34,$A$30:$A$34)</f>
        <v>-6.9103618031381682E-3</v>
      </c>
      <c r="Z21">
        <v>-2.5312686150193846</v>
      </c>
    </row>
    <row r="22" spans="1:26" x14ac:dyDescent="0.2">
      <c r="A22">
        <v>0</v>
      </c>
      <c r="B22">
        <v>2.9498713198785271</v>
      </c>
      <c r="C22">
        <v>3.9211618980743164</v>
      </c>
      <c r="D22">
        <v>4.9655455952864713</v>
      </c>
      <c r="E22">
        <v>5.9447416593176756</v>
      </c>
      <c r="F22">
        <v>9.3079954175579065</v>
      </c>
      <c r="G22">
        <v>11.290646812681857</v>
      </c>
      <c r="H22">
        <v>11.949031809501919</v>
      </c>
      <c r="I22">
        <v>13.620688597559386</v>
      </c>
      <c r="K22">
        <v>0</v>
      </c>
      <c r="L22">
        <v>-2.5693036079400544</v>
      </c>
      <c r="M22">
        <v>-2.9098658998942697</v>
      </c>
      <c r="N22">
        <v>-2.5264142215134546</v>
      </c>
      <c r="O22">
        <v>-2.4472209397502143</v>
      </c>
      <c r="P22">
        <v>-2.6184355499103154</v>
      </c>
      <c r="Q22">
        <v>-2.8273737211139918</v>
      </c>
      <c r="R22">
        <v>-2.7047508451981188</v>
      </c>
      <c r="S22">
        <v>-2.0921482833895646</v>
      </c>
      <c r="V22">
        <v>0.3</v>
      </c>
      <c r="W22" cm="1">
        <f t="array" ref="W22:X22">LINEST(E$30:E$34,$A$30:$A$34)</f>
        <v>3.1052040418446725E-2</v>
      </c>
      <c r="X22">
        <v>5.9405391973176505</v>
      </c>
      <c r="Y22" cm="1">
        <f t="array" ref="Y22:Z22">LINEST(O$30:O$34,$A$30:$A$34)</f>
        <v>-9.835233814286231E-3</v>
      </c>
      <c r="Z22">
        <v>-2.3824652163505369</v>
      </c>
    </row>
    <row r="23" spans="1:26" x14ac:dyDescent="0.2">
      <c r="A23">
        <v>5</v>
      </c>
      <c r="B23">
        <v>2.9282844461199145</v>
      </c>
      <c r="C23">
        <v>3.9933821297093992</v>
      </c>
      <c r="D23">
        <v>5.0404390029580055</v>
      </c>
      <c r="E23">
        <v>6.030511366646353</v>
      </c>
      <c r="F23">
        <v>9.4742593483794213</v>
      </c>
      <c r="G23">
        <v>11.235380574143662</v>
      </c>
      <c r="H23">
        <v>12.005333474088768</v>
      </c>
      <c r="I23">
        <v>13.639254150260017</v>
      </c>
      <c r="K23">
        <v>5</v>
      </c>
      <c r="L23">
        <v>-2.9123915382539534</v>
      </c>
      <c r="M23">
        <v>-2.9228068210524203</v>
      </c>
      <c r="N23">
        <v>-2.6091728928153639</v>
      </c>
      <c r="O23">
        <v>-2.4855162264024284</v>
      </c>
      <c r="P23">
        <v>-2.6761441573079772</v>
      </c>
      <c r="Q23">
        <v>-2.9786389310477244</v>
      </c>
      <c r="R23">
        <v>-2.8129998608130027</v>
      </c>
      <c r="S23">
        <v>-2.1635988709355982</v>
      </c>
      <c r="V23">
        <v>0.52</v>
      </c>
      <c r="W23" cm="1">
        <f t="array" ref="W23:X23">LINEST(F$30:F$34,$A$30:$A$34)</f>
        <v>2.6181204504806561E-2</v>
      </c>
      <c r="X23">
        <v>9.80145322635558</v>
      </c>
      <c r="Y23" cm="1">
        <f t="array" ref="Y23:Z23">LINEST(P$30:P$34,$A$30:$A$34)</f>
        <v>-1.642480504670514E-2</v>
      </c>
      <c r="Z23">
        <v>-2.6609001387694158</v>
      </c>
    </row>
    <row r="24" spans="1:26" x14ac:dyDescent="0.2">
      <c r="A24">
        <v>10</v>
      </c>
      <c r="B24">
        <v>3.0704251628949226</v>
      </c>
      <c r="C24">
        <v>4.1983212279887567</v>
      </c>
      <c r="D24">
        <v>5.1880242468292588</v>
      </c>
      <c r="E24">
        <v>6.196464993425975</v>
      </c>
      <c r="F24">
        <v>9.5529472715498898</v>
      </c>
      <c r="G24">
        <v>11.396460436030468</v>
      </c>
      <c r="H24">
        <v>12.043163033747186</v>
      </c>
      <c r="I24">
        <v>13.734906271787359</v>
      </c>
      <c r="K24">
        <v>10</v>
      </c>
      <c r="L24">
        <v>-3.0729220255977734</v>
      </c>
      <c r="M24">
        <v>-2.9635931933292827</v>
      </c>
      <c r="N24">
        <v>-2.6153420226686168</v>
      </c>
      <c r="O24">
        <v>-2.516968120273968</v>
      </c>
      <c r="P24">
        <v>-2.7280618109171293</v>
      </c>
      <c r="Q24">
        <v>-3.0322565833935413</v>
      </c>
      <c r="R24">
        <v>-2.8383311457742773</v>
      </c>
      <c r="S24">
        <v>-2.2511494830333501</v>
      </c>
      <c r="V24">
        <v>0.71</v>
      </c>
      <c r="W24" cm="1">
        <f t="array" ref="W24:X24">LINEST(G$30:G$34,$A$30:$A$34)</f>
        <v>7.7570817037625178E-3</v>
      </c>
      <c r="X24">
        <v>11.711308191935512</v>
      </c>
      <c r="Y24" cm="1">
        <f t="array" ref="Y24:Z24">LINEST(Q$30:Q$34,$A$30:$A$34)</f>
        <v>-1.0948395289141327E-2</v>
      </c>
      <c r="Z24">
        <v>-2.9572423890184059</v>
      </c>
    </row>
    <row r="25" spans="1:26" x14ac:dyDescent="0.2">
      <c r="A25">
        <v>-5</v>
      </c>
      <c r="B25">
        <v>2.9776208059615739</v>
      </c>
      <c r="C25">
        <v>3.8357418557779677</v>
      </c>
      <c r="D25">
        <v>4.8203648548573197</v>
      </c>
      <c r="E25">
        <v>5.7212256763106097</v>
      </c>
      <c r="F25">
        <v>9.116462264355782</v>
      </c>
      <c r="G25">
        <v>11.223902396469127</v>
      </c>
      <c r="H25">
        <v>11.951790545774504</v>
      </c>
      <c r="I25">
        <v>13.595903589235789</v>
      </c>
      <c r="K25">
        <v>-5</v>
      </c>
      <c r="L25">
        <v>-2.2297050666433766</v>
      </c>
      <c r="M25">
        <v>-2.7816592424687734</v>
      </c>
      <c r="N25">
        <v>-2.5210832727234922</v>
      </c>
      <c r="O25">
        <v>-2.3538552632460061</v>
      </c>
      <c r="P25">
        <v>-2.5001611986538288</v>
      </c>
      <c r="Q25">
        <v>-2.8020476882617706</v>
      </c>
      <c r="R25">
        <v>-2.5946177304272364</v>
      </c>
      <c r="S25">
        <v>-2.0516465627052902</v>
      </c>
      <c r="V25">
        <v>0.85</v>
      </c>
      <c r="W25" cm="1">
        <f t="array" ref="W25:X25">LINEST(H$30:H$34,$A$30:$A$34)</f>
        <v>1.0011490898758349E-2</v>
      </c>
      <c r="X25">
        <v>12.383179143223806</v>
      </c>
      <c r="Y25" cm="1">
        <f t="array" ref="Y25:Z25">LINEST(R$30:R$34,$A$30:$A$34)</f>
        <v>-8.7636336012856825E-3</v>
      </c>
      <c r="Z25">
        <v>-2.7668802749216708</v>
      </c>
    </row>
    <row r="26" spans="1:26" x14ac:dyDescent="0.2">
      <c r="A26">
        <v>-10</v>
      </c>
      <c r="B26">
        <v>2.9379101105359853</v>
      </c>
      <c r="C26">
        <v>3.7405833646919966</v>
      </c>
      <c r="D26">
        <v>4.7236508115309768</v>
      </c>
      <c r="E26">
        <v>5.6953392226708228</v>
      </c>
      <c r="F26">
        <v>8.9886104383557583</v>
      </c>
      <c r="G26">
        <v>11.158030032321786</v>
      </c>
      <c r="H26">
        <v>11.887072099781598</v>
      </c>
      <c r="I26">
        <v>13.575774338394389</v>
      </c>
      <c r="K26">
        <v>-10</v>
      </c>
      <c r="L26">
        <v>-1.9923860289170505</v>
      </c>
      <c r="M26">
        <v>-2.7469143712019575</v>
      </c>
      <c r="N26">
        <v>-2.5431251019680414</v>
      </c>
      <c r="O26">
        <v>-2.2701572611730501</v>
      </c>
      <c r="P26">
        <v>-2.47754631503261</v>
      </c>
      <c r="Q26">
        <v>-2.7048244740861911</v>
      </c>
      <c r="R26">
        <v>-2.5568245530184934</v>
      </c>
      <c r="S26">
        <v>-2.0211393231300403</v>
      </c>
      <c r="V26">
        <v>1</v>
      </c>
      <c r="W26" cm="1">
        <f t="array" ref="W26:X26">LINEST(I$30:I$34,$A$30:$A$34)</f>
        <v>1.0423468893522846E-2</v>
      </c>
      <c r="X26">
        <v>13.958746343622053</v>
      </c>
      <c r="Y26" cm="1">
        <f t="array" ref="Y26:Z26">LINEST(S$30:S$34,$A$30:$A$34)</f>
        <v>-6.6293593756430172E-3</v>
      </c>
      <c r="Z26">
        <v>-2.1043832148392863</v>
      </c>
    </row>
    <row r="28" spans="1:26" x14ac:dyDescent="0.2">
      <c r="B28" t="s">
        <v>7</v>
      </c>
      <c r="L28" t="s">
        <v>7</v>
      </c>
      <c r="W28">
        <f>AVERAGE(W19:W26)</f>
        <v>1.6472722771549892E-2</v>
      </c>
      <c r="Y28">
        <f>AVERAGE(Y19:Y26)</f>
        <v>-1.8227272321953904E-2</v>
      </c>
    </row>
    <row r="29" spans="1:26" x14ac:dyDescent="0.2">
      <c r="A29" t="s">
        <v>1</v>
      </c>
      <c r="B29">
        <v>0</v>
      </c>
      <c r="C29">
        <v>0.12</v>
      </c>
      <c r="D29">
        <v>0.22</v>
      </c>
      <c r="E29">
        <v>0.3</v>
      </c>
      <c r="F29">
        <v>0.52</v>
      </c>
      <c r="G29">
        <v>0.71</v>
      </c>
      <c r="H29">
        <v>0.85</v>
      </c>
      <c r="I29">
        <v>1</v>
      </c>
      <c r="K29" t="s">
        <v>1</v>
      </c>
      <c r="L29">
        <v>0</v>
      </c>
      <c r="M29">
        <v>0.12</v>
      </c>
      <c r="N29">
        <v>0.22</v>
      </c>
      <c r="O29">
        <v>0.3</v>
      </c>
      <c r="P29">
        <v>0.52</v>
      </c>
      <c r="Q29">
        <v>0.71</v>
      </c>
      <c r="R29">
        <v>0.85</v>
      </c>
      <c r="S29">
        <v>1</v>
      </c>
    </row>
    <row r="30" spans="1:26" x14ac:dyDescent="0.2">
      <c r="A30">
        <v>0</v>
      </c>
      <c r="B30">
        <v>2.6262395093879198</v>
      </c>
      <c r="C30">
        <v>3.3743382184238224</v>
      </c>
      <c r="D30">
        <v>4.6285465607623832</v>
      </c>
      <c r="E30">
        <v>5.9648041713410862</v>
      </c>
      <c r="F30">
        <v>9.8145961304293579</v>
      </c>
      <c r="G30">
        <v>11.707392097164558</v>
      </c>
      <c r="H30">
        <v>12.354050635696813</v>
      </c>
      <c r="I30">
        <v>13.921393303271563</v>
      </c>
      <c r="K30">
        <v>0</v>
      </c>
      <c r="L30">
        <v>-2.190369564400283</v>
      </c>
      <c r="M30">
        <v>-2.9843968922475086</v>
      </c>
      <c r="N30">
        <v>-2.5133993439089464</v>
      </c>
      <c r="O30">
        <v>-2.3827702957922701</v>
      </c>
      <c r="P30">
        <v>-2.634750060298984</v>
      </c>
      <c r="Q30">
        <v>-2.9465691799656137</v>
      </c>
      <c r="R30">
        <v>-2.7847450628380135</v>
      </c>
      <c r="S30">
        <v>-2.119093654357505</v>
      </c>
    </row>
    <row r="31" spans="1:26" x14ac:dyDescent="0.2">
      <c r="A31">
        <v>5</v>
      </c>
      <c r="B31">
        <v>2.5471962856225594</v>
      </c>
      <c r="C31">
        <v>3.461560692959528</v>
      </c>
      <c r="D31">
        <v>4.8018516218697718</v>
      </c>
      <c r="E31">
        <v>6.0883189196819671</v>
      </c>
      <c r="F31">
        <v>9.9391720568755684</v>
      </c>
      <c r="G31">
        <v>11.709679796003448</v>
      </c>
      <c r="H31">
        <v>12.444904003884535</v>
      </c>
      <c r="I31">
        <v>14.008834066640413</v>
      </c>
      <c r="K31">
        <v>5</v>
      </c>
      <c r="L31">
        <v>-2.6133017392559577</v>
      </c>
      <c r="M31">
        <v>-3.0666559793906933</v>
      </c>
      <c r="N31">
        <v>-2.5628470888460693</v>
      </c>
      <c r="O31">
        <v>-2.4577060322331956</v>
      </c>
      <c r="P31">
        <v>-2.7089880221957179</v>
      </c>
      <c r="Q31">
        <v>-3.0638591858927691</v>
      </c>
      <c r="R31">
        <v>-2.7898815283578666</v>
      </c>
      <c r="S31">
        <v>-2.1386780768923352</v>
      </c>
      <c r="W31">
        <f>AVERAGE(W28,W15)</f>
        <v>1.6683887424129712E-2</v>
      </c>
      <c r="Y31">
        <f>AVERAGE(Y28,Y15)</f>
        <v>-1.6750479642444385E-2</v>
      </c>
    </row>
    <row r="32" spans="1:26" x14ac:dyDescent="0.2">
      <c r="A32">
        <v>10</v>
      </c>
      <c r="B32">
        <v>2.5433358901793333</v>
      </c>
      <c r="C32">
        <v>3.6500875178972483</v>
      </c>
      <c r="D32">
        <v>4.9830174915253247</v>
      </c>
      <c r="E32">
        <v>6.2517076886853822</v>
      </c>
      <c r="F32">
        <v>10.056964419564148</v>
      </c>
      <c r="G32">
        <v>11.815525711642726</v>
      </c>
      <c r="H32">
        <v>12.48440839496406</v>
      </c>
      <c r="I32">
        <v>14.091631864430003</v>
      </c>
      <c r="K32">
        <v>10</v>
      </c>
      <c r="L32">
        <v>-3.0163252120835784</v>
      </c>
      <c r="M32">
        <v>-3.0989480132732936</v>
      </c>
      <c r="N32">
        <v>-2.6130924093474133</v>
      </c>
      <c r="O32">
        <v>-2.4588291150749058</v>
      </c>
      <c r="P32">
        <v>-2.8639502724081032</v>
      </c>
      <c r="Q32">
        <v>-3.0448634794693326</v>
      </c>
      <c r="R32">
        <v>-2.8639688038744393</v>
      </c>
      <c r="S32">
        <v>-2.1645918562916502</v>
      </c>
    </row>
    <row r="33" spans="1:24" x14ac:dyDescent="0.2">
      <c r="A33">
        <v>-5</v>
      </c>
      <c r="B33">
        <v>2.6288301574825055</v>
      </c>
      <c r="C33">
        <v>3.2434002932395307</v>
      </c>
      <c r="D33">
        <v>4.514759322692627</v>
      </c>
      <c r="E33">
        <v>5.7565981376292346</v>
      </c>
      <c r="F33">
        <v>9.6490263790541064</v>
      </c>
      <c r="G33">
        <v>11.695009575632874</v>
      </c>
      <c r="H33">
        <v>12.351919114272528</v>
      </c>
      <c r="I33">
        <v>13.872820616712303</v>
      </c>
      <c r="K33">
        <v>-5</v>
      </c>
      <c r="L33">
        <v>-1.8048358718820134</v>
      </c>
      <c r="M33">
        <v>-2.8804983381739881</v>
      </c>
      <c r="N33">
        <v>-2.4904946486050008</v>
      </c>
      <c r="O33">
        <v>-2.3424387056359319</v>
      </c>
      <c r="P33">
        <v>-2.5779763632118775</v>
      </c>
      <c r="Q33">
        <v>-2.8556738191542608</v>
      </c>
      <c r="R33">
        <v>-2.7119745030336095</v>
      </c>
      <c r="S33">
        <v>-2.062711152616397</v>
      </c>
      <c r="X33">
        <f>(W31-Y31)/2</f>
        <v>1.671718353328705E-2</v>
      </c>
    </row>
    <row r="34" spans="1:24" x14ac:dyDescent="0.2">
      <c r="A34">
        <v>-10</v>
      </c>
      <c r="B34">
        <v>2.6989495565050157</v>
      </c>
      <c r="C34">
        <v>3.1449283129624437</v>
      </c>
      <c r="D34">
        <v>4.3854600498254914</v>
      </c>
      <c r="E34">
        <v>5.6412670692505804</v>
      </c>
      <c r="F34">
        <v>9.5475071458547145</v>
      </c>
      <c r="G34">
        <v>11.62893377923395</v>
      </c>
      <c r="H34">
        <v>12.280613567301105</v>
      </c>
      <c r="I34">
        <v>13.899051867055986</v>
      </c>
      <c r="K34">
        <v>-10</v>
      </c>
      <c r="L34">
        <v>-1.6135848701794622</v>
      </c>
      <c r="M34">
        <v>-2.8413403683369438</v>
      </c>
      <c r="N34">
        <v>-2.4765095843894933</v>
      </c>
      <c r="O34">
        <v>-2.2705819330163819</v>
      </c>
      <c r="P34">
        <v>-2.518835975732395</v>
      </c>
      <c r="Q34">
        <v>-2.8752462806100536</v>
      </c>
      <c r="R34">
        <v>-2.6838314765044258</v>
      </c>
      <c r="S34">
        <v>-2.0368413340385438</v>
      </c>
      <c r="X34">
        <f>X33*20</f>
        <v>0.334343670665741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formation volume</vt:lpstr>
      <vt:lpstr>dipole tensor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W. Beeler</dc:creator>
  <cp:lastModifiedBy>Benjamin Beeler</cp:lastModifiedBy>
  <dcterms:created xsi:type="dcterms:W3CDTF">2024-02-21T21:19:21Z</dcterms:created>
  <dcterms:modified xsi:type="dcterms:W3CDTF">2025-08-13T19:52:42Z</dcterms:modified>
</cp:coreProperties>
</file>