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beeler/projects/spreadsheets/USHPRR/"/>
    </mc:Choice>
  </mc:AlternateContent>
  <xr:revisionPtr revIDLastSave="0" documentId="13_ncr:1_{0B14F3DF-8775-2044-A1D0-C1CB498BCD4A}" xr6:coauthVersionLast="47" xr6:coauthVersionMax="47" xr10:uidLastSave="{00000000-0000-0000-0000-000000000000}"/>
  <bookViews>
    <workbookView xWindow="0" yWindow="500" windowWidth="26800" windowHeight="20760" xr2:uid="{722D8BD5-8471-1043-985F-97373411828A}"/>
  </bookViews>
  <sheets>
    <sheet name="u10mo" sheetId="1" r:id="rId1"/>
    <sheet name="u5mo" sheetId="2" r:id="rId2"/>
    <sheet name="u15mo" sheetId="3" r:id="rId3"/>
    <sheet name="bccU" sheetId="4" r:id="rId4"/>
    <sheet name="bccMo" sheetId="5" r:id="rId5"/>
    <sheet name="u30mo" sheetId="7" r:id="rId6"/>
    <sheet name="u50mo" sheetId="8" r:id="rId7"/>
    <sheet name="summary" sheetId="6" r:id="rId8"/>
    <sheet name="summary fi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87" i="1" l="1"/>
  <c r="AQ87" i="1"/>
  <c r="AQ73" i="1"/>
  <c r="AT73" i="1"/>
  <c r="AT31" i="1"/>
  <c r="AQ31" i="1"/>
  <c r="T12" i="1"/>
  <c r="W3" i="1" s="1" a="1"/>
  <c r="W3" i="1" s="1"/>
  <c r="U12" i="1"/>
  <c r="W2" i="1" l="1" a="1"/>
  <c r="W2" i="1" s="1"/>
  <c r="U45" i="1"/>
  <c r="X45" i="1"/>
  <c r="X59" i="1"/>
  <c r="U59" i="1"/>
  <c r="X73" i="1"/>
  <c r="U73" i="1"/>
  <c r="X87" i="1"/>
  <c r="U87" i="1"/>
  <c r="J13" i="1"/>
  <c r="K13" i="1"/>
  <c r="J14" i="1"/>
  <c r="K14" i="1"/>
  <c r="J15" i="1"/>
  <c r="K15" i="1"/>
  <c r="J16" i="1"/>
  <c r="K16" i="1"/>
  <c r="J12" i="1"/>
  <c r="K12" i="1"/>
  <c r="X31" i="1"/>
  <c r="U31" i="1"/>
  <c r="R31" i="1"/>
  <c r="AD116" i="9"/>
  <c r="AB116" i="9"/>
  <c r="Z116" i="9"/>
  <c r="X116" i="9"/>
  <c r="V116" i="9"/>
  <c r="AD100" i="9"/>
  <c r="AB100" i="9"/>
  <c r="Z100" i="9"/>
  <c r="X100" i="9"/>
  <c r="V100" i="9"/>
  <c r="AD84" i="9"/>
  <c r="AB84" i="9"/>
  <c r="Z84" i="9"/>
  <c r="X84" i="9"/>
  <c r="V84" i="9"/>
  <c r="AD67" i="9"/>
  <c r="AB67" i="9"/>
  <c r="Z67" i="9"/>
  <c r="X67" i="9"/>
  <c r="V67" i="9"/>
  <c r="AD51" i="9"/>
  <c r="AB51" i="9"/>
  <c r="Z51" i="9"/>
  <c r="X51" i="9"/>
  <c r="V51" i="9"/>
  <c r="AD35" i="9"/>
  <c r="AB35" i="9"/>
  <c r="Z35" i="9"/>
  <c r="X35" i="9"/>
  <c r="V35" i="9"/>
  <c r="AD19" i="9"/>
  <c r="AB19" i="9"/>
  <c r="Z19" i="9"/>
  <c r="X19" i="9"/>
  <c r="V19" i="9"/>
  <c r="E96" i="9" a="1"/>
  <c r="E96" i="9" s="1"/>
  <c r="C96" i="9" a="1"/>
  <c r="C96" i="9" s="1"/>
  <c r="K112" i="9" a="1"/>
  <c r="K112" i="9" s="1"/>
  <c r="I112" i="9" a="1"/>
  <c r="I112" i="9" s="1"/>
  <c r="G112" i="9" a="1"/>
  <c r="G112" i="9" s="1"/>
  <c r="E112" i="9" a="1"/>
  <c r="E112" i="9" s="1"/>
  <c r="C112" i="9" a="1"/>
  <c r="C112" i="9" s="1"/>
  <c r="L19" i="9"/>
  <c r="J19" i="9"/>
  <c r="H19" i="9"/>
  <c r="F19" i="9"/>
  <c r="D19" i="9"/>
  <c r="L35" i="9"/>
  <c r="J35" i="9"/>
  <c r="H35" i="9"/>
  <c r="F35" i="9"/>
  <c r="D35" i="9"/>
  <c r="L51" i="9"/>
  <c r="J51" i="9"/>
  <c r="H51" i="9"/>
  <c r="F51" i="9"/>
  <c r="D51" i="9"/>
  <c r="L117" i="9"/>
  <c r="J117" i="9"/>
  <c r="H117" i="9"/>
  <c r="F117" i="9"/>
  <c r="D117" i="9"/>
  <c r="L101" i="9"/>
  <c r="J101" i="9"/>
  <c r="H101" i="9"/>
  <c r="F101" i="9"/>
  <c r="D101" i="9"/>
  <c r="L83" i="9"/>
  <c r="J83" i="9"/>
  <c r="H83" i="9"/>
  <c r="F83" i="9"/>
  <c r="D83" i="9"/>
  <c r="AB71" i="4"/>
  <c r="AR43" i="9" a="1"/>
  <c r="AR43" i="9" s="1"/>
  <c r="AT44" i="9" s="1"/>
  <c r="AU43" i="9"/>
  <c r="BE11" i="9" a="1"/>
  <c r="BE11" i="9" s="1"/>
  <c r="BG12" i="9" s="1"/>
  <c r="AT12" i="9"/>
  <c r="AU11" i="9"/>
  <c r="L67" i="9"/>
  <c r="J67" i="9"/>
  <c r="H67" i="9"/>
  <c r="F67" i="9"/>
  <c r="D67" i="9"/>
  <c r="BG33" i="9"/>
  <c r="V89" i="5" l="1"/>
  <c r="AJ11" i="9"/>
  <c r="AC79" i="9" a="1"/>
  <c r="AC79" i="9" s="1"/>
  <c r="AA79" i="9" a="1"/>
  <c r="AA79" i="9" s="1"/>
  <c r="Y79" i="9" a="1"/>
  <c r="Y79" i="9" s="1"/>
  <c r="AC70" i="9"/>
  <c r="W79" i="9" a="1"/>
  <c r="W79" i="9" s="1"/>
  <c r="U79" i="9" a="1"/>
  <c r="U79" i="9" s="1"/>
  <c r="AA70" i="9"/>
  <c r="AB70" i="9"/>
  <c r="AD70" i="9"/>
  <c r="AE70" i="9"/>
  <c r="P12" i="7"/>
  <c r="M12" i="7"/>
  <c r="N12" i="7"/>
  <c r="O12" i="7"/>
  <c r="Q12" i="7"/>
  <c r="AH31" i="7"/>
  <c r="AE31" i="7"/>
  <c r="AB31" i="7"/>
  <c r="Y31" i="7"/>
  <c r="V31" i="7"/>
  <c r="R31" i="7"/>
  <c r="O31" i="7"/>
  <c r="T70" i="9"/>
  <c r="L31" i="7"/>
  <c r="I31" i="7"/>
  <c r="B53" i="6"/>
  <c r="E12" i="7"/>
  <c r="F12" i="7"/>
  <c r="G12" i="7"/>
  <c r="H12" i="7"/>
  <c r="I12" i="7"/>
  <c r="F46" i="7"/>
  <c r="F31" i="7"/>
  <c r="BH51" i="9" l="1"/>
  <c r="BH50" i="9"/>
  <c r="BH49" i="9"/>
  <c r="BH48" i="9"/>
  <c r="BH45" i="9"/>
  <c r="BH44" i="9"/>
  <c r="BH43" i="9"/>
  <c r="BH42" i="9"/>
  <c r="BH41" i="9"/>
  <c r="BH38" i="9"/>
  <c r="BH37" i="9"/>
  <c r="BH36" i="9"/>
  <c r="BH35" i="9"/>
  <c r="BH32" i="9"/>
  <c r="BH31" i="9"/>
  <c r="BH30" i="9"/>
  <c r="BH29" i="9"/>
  <c r="BH28" i="9"/>
  <c r="BH25" i="9"/>
  <c r="BH24" i="9"/>
  <c r="BH23" i="9"/>
  <c r="BH22" i="9"/>
  <c r="BH21" i="9"/>
  <c r="BH18" i="9"/>
  <c r="BH17" i="9"/>
  <c r="BH16" i="9"/>
  <c r="BH15" i="9"/>
  <c r="BH14" i="9"/>
  <c r="BH7" i="9"/>
  <c r="BH11" i="9"/>
  <c r="BH10" i="9"/>
  <c r="BH9" i="9"/>
  <c r="BH8" i="9"/>
  <c r="AU49" i="9"/>
  <c r="AU48" i="9"/>
  <c r="AU47" i="9"/>
  <c r="AU46" i="9"/>
  <c r="AU42" i="9"/>
  <c r="AU41" i="9"/>
  <c r="AU40" i="9"/>
  <c r="AU37" i="9"/>
  <c r="AU36" i="9"/>
  <c r="AU35" i="9"/>
  <c r="AU34" i="9"/>
  <c r="AU31" i="9"/>
  <c r="AU30" i="9"/>
  <c r="AU29" i="9"/>
  <c r="AU28" i="9"/>
  <c r="AU27" i="9"/>
  <c r="AU24" i="9"/>
  <c r="AU23" i="9"/>
  <c r="AU22" i="9"/>
  <c r="AU21" i="9"/>
  <c r="AU18" i="9"/>
  <c r="AU17" i="9"/>
  <c r="AU16" i="9"/>
  <c r="AU15" i="9"/>
  <c r="AU14" i="9"/>
  <c r="AU8" i="9"/>
  <c r="AU9" i="9"/>
  <c r="AU10" i="9"/>
  <c r="AU7" i="9"/>
  <c r="BE45" i="9" a="1"/>
  <c r="BE45" i="9" s="1"/>
  <c r="BE25" i="9" a="1"/>
  <c r="BE25" i="9" s="1"/>
  <c r="BE51" i="9" a="1"/>
  <c r="BE51" i="9" s="1"/>
  <c r="BE50" i="9" a="1"/>
  <c r="BE50" i="9" s="1"/>
  <c r="BE49" i="9" a="1"/>
  <c r="BE49" i="9" s="1"/>
  <c r="BE48" i="9" a="1"/>
  <c r="BE48" i="9" s="1"/>
  <c r="BG52" i="9" s="1"/>
  <c r="BE44" i="9" a="1"/>
  <c r="BE44" i="9" s="1"/>
  <c r="BE43" i="9" a="1"/>
  <c r="BE43" i="9" s="1"/>
  <c r="BE42" i="9" a="1"/>
  <c r="BE42" i="9" s="1"/>
  <c r="BE41" i="9" a="1"/>
  <c r="BE41" i="9" s="1"/>
  <c r="BE38" i="9" a="1"/>
  <c r="BE38" i="9" s="1"/>
  <c r="BE37" i="9" a="1"/>
  <c r="BE37" i="9" s="1"/>
  <c r="BE36" i="9" a="1"/>
  <c r="BE36" i="9" s="1"/>
  <c r="BE35" i="9" a="1"/>
  <c r="BE35" i="9" s="1"/>
  <c r="BE32" i="9" a="1"/>
  <c r="BE32" i="9" s="1"/>
  <c r="BE31" i="9" a="1"/>
  <c r="BE31" i="9" s="1"/>
  <c r="BE30" i="9" a="1"/>
  <c r="BE30" i="9" s="1"/>
  <c r="BE29" i="9" a="1"/>
  <c r="BE29" i="9" s="1"/>
  <c r="BE28" i="9" a="1"/>
  <c r="BE28" i="9" s="1"/>
  <c r="BE24" i="9" a="1"/>
  <c r="BE24" i="9" s="1"/>
  <c r="BE23" i="9" a="1"/>
  <c r="BE23" i="9" s="1"/>
  <c r="BE22" i="9" a="1"/>
  <c r="BE22" i="9" s="1"/>
  <c r="BE21" i="9" a="1"/>
  <c r="BE21" i="9" s="1"/>
  <c r="BE18" i="9" a="1"/>
  <c r="BE18" i="9" s="1"/>
  <c r="BE17" i="9" a="1"/>
  <c r="BE17" i="9" s="1"/>
  <c r="BE16" i="9" a="1"/>
  <c r="BE16" i="9" s="1"/>
  <c r="BE15" i="9" a="1"/>
  <c r="BE15" i="9" s="1"/>
  <c r="BE14" i="9" a="1"/>
  <c r="BE14" i="9" s="1"/>
  <c r="BE10" i="9" a="1"/>
  <c r="BE10" i="9" s="1"/>
  <c r="BE9" i="9" a="1"/>
  <c r="BE9" i="9" s="1"/>
  <c r="BE8" i="9" a="1"/>
  <c r="BE8" i="9" s="1"/>
  <c r="BE7" i="9" a="1"/>
  <c r="BE7" i="9" s="1"/>
  <c r="AR49" i="9" a="1"/>
  <c r="AR49" i="9" s="1"/>
  <c r="AR48" i="9" a="1"/>
  <c r="AR48" i="9" s="1"/>
  <c r="AR47" i="9" a="1"/>
  <c r="AR47" i="9" s="1"/>
  <c r="AR46" i="9" a="1"/>
  <c r="AR46" i="9" s="1"/>
  <c r="AT50" i="9" s="1"/>
  <c r="AR42" i="9" a="1"/>
  <c r="AR42" i="9" s="1"/>
  <c r="AR41" i="9" a="1"/>
  <c r="AR41" i="9" s="1"/>
  <c r="AR40" i="9" a="1"/>
  <c r="AR40" i="9" s="1"/>
  <c r="AR37" i="9" a="1"/>
  <c r="AR37" i="9" s="1"/>
  <c r="AR36" i="9" a="1"/>
  <c r="AR36" i="9" s="1"/>
  <c r="AR35" i="9" a="1"/>
  <c r="AR35" i="9" s="1"/>
  <c r="AR34" i="9" a="1"/>
  <c r="AR34" i="9" s="1"/>
  <c r="AR31" i="9" a="1"/>
  <c r="AR31" i="9" s="1"/>
  <c r="AT31" i="9" s="1"/>
  <c r="AR30" i="9" a="1"/>
  <c r="AR30" i="9" s="1"/>
  <c r="AT30" i="9" s="1"/>
  <c r="AR29" i="9" a="1"/>
  <c r="AR29" i="9" s="1"/>
  <c r="AT29" i="9" s="1"/>
  <c r="AR28" i="9" a="1"/>
  <c r="AR28" i="9" s="1"/>
  <c r="AT28" i="9" s="1"/>
  <c r="AR27" i="9" a="1"/>
  <c r="AR27" i="9" s="1"/>
  <c r="AT27" i="9" s="1"/>
  <c r="AR24" i="9" a="1"/>
  <c r="AR24" i="9" s="1"/>
  <c r="AT24" i="9" s="1"/>
  <c r="AR23" i="9" a="1"/>
  <c r="AR23" i="9" s="1"/>
  <c r="AT23" i="9" s="1"/>
  <c r="AR22" i="9" a="1"/>
  <c r="AR22" i="9" s="1"/>
  <c r="AT22" i="9" s="1"/>
  <c r="AR21" i="9" a="1"/>
  <c r="AR21" i="9" s="1"/>
  <c r="AR18" i="9" a="1"/>
  <c r="AR18" i="9" s="1"/>
  <c r="AT18" i="9" s="1"/>
  <c r="AR17" i="9" a="1"/>
  <c r="AR17" i="9" s="1"/>
  <c r="AT17" i="9" s="1"/>
  <c r="AR16" i="9" a="1"/>
  <c r="AR16" i="9" s="1"/>
  <c r="AT16" i="9" s="1"/>
  <c r="AR15" i="9" a="1"/>
  <c r="AR15" i="9" s="1"/>
  <c r="AT15" i="9" s="1"/>
  <c r="AR14" i="9" a="1"/>
  <c r="AR14" i="9" s="1"/>
  <c r="AT14" i="9" s="1"/>
  <c r="AR8" i="9" a="1"/>
  <c r="AR8" i="9" s="1"/>
  <c r="AT8" i="9" s="1"/>
  <c r="AR9" i="9" a="1"/>
  <c r="AR9" i="9" s="1"/>
  <c r="AT9" i="9" s="1"/>
  <c r="AR10" i="9" a="1"/>
  <c r="AR10" i="9" s="1"/>
  <c r="AT10" i="9" s="1"/>
  <c r="AR11" i="9" a="1"/>
  <c r="AR11" i="9" s="1"/>
  <c r="AT11" i="9" s="1"/>
  <c r="AR7" i="9" a="1"/>
  <c r="AR7" i="9" s="1"/>
  <c r="AT7" i="9" s="1"/>
  <c r="AE106" i="9"/>
  <c r="AD106" i="9"/>
  <c r="AC106" i="9"/>
  <c r="AB106" i="9"/>
  <c r="AA106" i="9"/>
  <c r="T106" i="9"/>
  <c r="AE105" i="9"/>
  <c r="AD105" i="9"/>
  <c r="AC105" i="9"/>
  <c r="AB105" i="9"/>
  <c r="AA105" i="9"/>
  <c r="T105" i="9"/>
  <c r="AE104" i="9"/>
  <c r="AD104" i="9"/>
  <c r="AC104" i="9"/>
  <c r="AB104" i="9"/>
  <c r="AA104" i="9"/>
  <c r="T104" i="9"/>
  <c r="AE103" i="9"/>
  <c r="AD103" i="9"/>
  <c r="AC103" i="9"/>
  <c r="AB103" i="9"/>
  <c r="AA103" i="9"/>
  <c r="T103" i="9"/>
  <c r="T88" i="9"/>
  <c r="T89" i="9"/>
  <c r="T90" i="9"/>
  <c r="T87" i="9"/>
  <c r="T7" i="9"/>
  <c r="T8" i="9"/>
  <c r="T9" i="9"/>
  <c r="T10" i="9"/>
  <c r="T6" i="9"/>
  <c r="T23" i="9"/>
  <c r="T24" i="9"/>
  <c r="T25" i="9"/>
  <c r="T26" i="9"/>
  <c r="T22" i="9"/>
  <c r="T39" i="9"/>
  <c r="T40" i="9"/>
  <c r="T41" i="9"/>
  <c r="T42" i="9"/>
  <c r="T38" i="9"/>
  <c r="T74" i="9"/>
  <c r="T73" i="9"/>
  <c r="T72" i="9"/>
  <c r="T71" i="9"/>
  <c r="T55" i="9"/>
  <c r="T56" i="9"/>
  <c r="T57" i="9"/>
  <c r="T58" i="9"/>
  <c r="T54" i="9"/>
  <c r="AE90" i="9"/>
  <c r="AD90" i="9"/>
  <c r="AC90" i="9"/>
  <c r="AB90" i="9"/>
  <c r="AA90" i="9"/>
  <c r="AE89" i="9"/>
  <c r="AD89" i="9"/>
  <c r="AC89" i="9"/>
  <c r="AB89" i="9"/>
  <c r="AA89" i="9"/>
  <c r="AE88" i="9"/>
  <c r="AD88" i="9"/>
  <c r="AC88" i="9"/>
  <c r="AB88" i="9"/>
  <c r="AA88" i="9"/>
  <c r="AE87" i="9"/>
  <c r="AD87" i="9"/>
  <c r="AC87" i="9"/>
  <c r="AB87" i="9"/>
  <c r="AA87" i="9"/>
  <c r="AE74" i="9"/>
  <c r="AD74" i="9"/>
  <c r="AC74" i="9"/>
  <c r="AB74" i="9"/>
  <c r="AA74" i="9"/>
  <c r="AE73" i="9"/>
  <c r="AD73" i="9"/>
  <c r="AC73" i="9"/>
  <c r="AB73" i="9"/>
  <c r="AA73" i="9"/>
  <c r="AE72" i="9"/>
  <c r="AD72" i="9"/>
  <c r="AC72" i="9"/>
  <c r="AB72" i="9"/>
  <c r="AA72" i="9"/>
  <c r="AE71" i="9"/>
  <c r="AD71" i="9"/>
  <c r="AC71" i="9"/>
  <c r="AB71" i="9"/>
  <c r="AA71" i="9"/>
  <c r="AA54" i="9"/>
  <c r="AA58" i="9"/>
  <c r="AB58" i="9"/>
  <c r="AC58" i="9"/>
  <c r="AD58" i="9"/>
  <c r="AE58" i="9"/>
  <c r="AE57" i="9"/>
  <c r="AD57" i="9"/>
  <c r="AC57" i="9"/>
  <c r="AB57" i="9"/>
  <c r="AA57" i="9"/>
  <c r="AE56" i="9"/>
  <c r="AD56" i="9"/>
  <c r="AC56" i="9"/>
  <c r="AB56" i="9"/>
  <c r="AA56" i="9"/>
  <c r="AE55" i="9"/>
  <c r="AD55" i="9"/>
  <c r="AC55" i="9"/>
  <c r="AB55" i="9"/>
  <c r="AA55" i="9"/>
  <c r="AE54" i="9"/>
  <c r="AD54" i="9"/>
  <c r="AC54" i="9"/>
  <c r="AB54" i="9"/>
  <c r="I6" i="9"/>
  <c r="AA62" i="9" l="1" a="1"/>
  <c r="AA62" i="9" s="1"/>
  <c r="AT25" i="9"/>
  <c r="BE3" i="9"/>
  <c r="BG46" i="9"/>
  <c r="AT21" i="9"/>
  <c r="AC62" i="9" a="1"/>
  <c r="AC62" i="9" s="1"/>
  <c r="BG26" i="9"/>
  <c r="BG19" i="9"/>
  <c r="AT19" i="9"/>
  <c r="AT38" i="9"/>
  <c r="AC95" i="9" a="1"/>
  <c r="AC95" i="9" s="1"/>
  <c r="W111" i="9" a="1"/>
  <c r="W111" i="9" s="1"/>
  <c r="BG39" i="9"/>
  <c r="Y62" i="9" a="1"/>
  <c r="Y62" i="9" s="1"/>
  <c r="AT32" i="9"/>
  <c r="U111" i="9" a="1"/>
  <c r="U111" i="9" s="1"/>
  <c r="W95" i="9" a="1"/>
  <c r="W95" i="9" s="1"/>
  <c r="AR3" i="9"/>
  <c r="U62" i="9" a="1"/>
  <c r="U62" i="9" s="1"/>
  <c r="AA95" i="9" a="1"/>
  <c r="AA95" i="9" s="1"/>
  <c r="W62" i="9" a="1"/>
  <c r="W62" i="9" s="1"/>
  <c r="U95" i="9" a="1"/>
  <c r="U95" i="9" s="1"/>
  <c r="Y95" i="9" a="1"/>
  <c r="Y95" i="9" s="1"/>
  <c r="AC111" i="9" a="1"/>
  <c r="AC111" i="9" s="1"/>
  <c r="AA111" i="9" a="1"/>
  <c r="AA111" i="9" s="1"/>
  <c r="Y111" i="9" a="1"/>
  <c r="Y111" i="9" s="1"/>
  <c r="M106" i="9"/>
  <c r="L106" i="9"/>
  <c r="K106" i="9"/>
  <c r="J106" i="9"/>
  <c r="I106" i="9"/>
  <c r="M105" i="9"/>
  <c r="L105" i="9"/>
  <c r="K105" i="9"/>
  <c r="J105" i="9"/>
  <c r="I105" i="9"/>
  <c r="J104" i="9"/>
  <c r="I104" i="9"/>
  <c r="M107" i="9"/>
  <c r="L107" i="9"/>
  <c r="K107" i="9"/>
  <c r="J107" i="9"/>
  <c r="I107" i="9"/>
  <c r="B107" i="9"/>
  <c r="B106" i="9"/>
  <c r="B105" i="9"/>
  <c r="M104" i="9"/>
  <c r="L104" i="9"/>
  <c r="K104" i="9"/>
  <c r="B104" i="9"/>
  <c r="I86" i="9"/>
  <c r="J86" i="9"/>
  <c r="K86" i="9"/>
  <c r="L86" i="9"/>
  <c r="M86" i="9"/>
  <c r="I87" i="9"/>
  <c r="J87" i="9"/>
  <c r="K87" i="9"/>
  <c r="L87" i="9"/>
  <c r="M87" i="9"/>
  <c r="B87" i="9"/>
  <c r="B88" i="9"/>
  <c r="B89" i="9"/>
  <c r="B90" i="9"/>
  <c r="B91" i="9"/>
  <c r="B92" i="9"/>
  <c r="B86" i="9"/>
  <c r="E13" i="5"/>
  <c r="F13" i="5"/>
  <c r="G13" i="5"/>
  <c r="H13" i="5"/>
  <c r="I13" i="5"/>
  <c r="B64" i="6"/>
  <c r="B63" i="6"/>
  <c r="B62" i="6"/>
  <c r="B61" i="6"/>
  <c r="N12" i="8"/>
  <c r="O12" i="8"/>
  <c r="P12" i="8"/>
  <c r="Q12" i="8"/>
  <c r="N13" i="8"/>
  <c r="O13" i="8"/>
  <c r="P13" i="8"/>
  <c r="Q13" i="8"/>
  <c r="N14" i="8"/>
  <c r="O14" i="8"/>
  <c r="P14" i="8"/>
  <c r="Q14" i="8"/>
  <c r="N15" i="8"/>
  <c r="O15" i="8"/>
  <c r="P15" i="8"/>
  <c r="Q15" i="8"/>
  <c r="M13" i="8"/>
  <c r="M14" i="8"/>
  <c r="M15" i="8"/>
  <c r="M12" i="8"/>
  <c r="F12" i="8"/>
  <c r="G12" i="8"/>
  <c r="H12" i="8"/>
  <c r="I12" i="8"/>
  <c r="F13" i="8"/>
  <c r="G13" i="8"/>
  <c r="H13" i="8"/>
  <c r="I13" i="8"/>
  <c r="F14" i="8"/>
  <c r="G14" i="8"/>
  <c r="H14" i="8"/>
  <c r="I14" i="8"/>
  <c r="F15" i="8"/>
  <c r="G15" i="8"/>
  <c r="H15" i="8"/>
  <c r="I15" i="8"/>
  <c r="E13" i="8"/>
  <c r="E14" i="8"/>
  <c r="E15" i="8"/>
  <c r="E12" i="8"/>
  <c r="M12" i="5"/>
  <c r="N12" i="5"/>
  <c r="O12" i="5"/>
  <c r="P12" i="5"/>
  <c r="Q12" i="5"/>
  <c r="AE42" i="9"/>
  <c r="AD42" i="9"/>
  <c r="AC42" i="9"/>
  <c r="AB42" i="9"/>
  <c r="AA42" i="9"/>
  <c r="AE41" i="9"/>
  <c r="AD41" i="9"/>
  <c r="AC41" i="9"/>
  <c r="AB41" i="9"/>
  <c r="AA41" i="9"/>
  <c r="AE40" i="9"/>
  <c r="AD40" i="9"/>
  <c r="AC40" i="9"/>
  <c r="AB40" i="9"/>
  <c r="AA40" i="9"/>
  <c r="AE39" i="9"/>
  <c r="AD39" i="9"/>
  <c r="AC39" i="9"/>
  <c r="AB39" i="9"/>
  <c r="AA39" i="9"/>
  <c r="AE38" i="9"/>
  <c r="AD38" i="9"/>
  <c r="AC38" i="9"/>
  <c r="AB38" i="9"/>
  <c r="AA38" i="9"/>
  <c r="AE26" i="9"/>
  <c r="AD26" i="9"/>
  <c r="AC26" i="9"/>
  <c r="AB26" i="9"/>
  <c r="AA26" i="9"/>
  <c r="AE25" i="9"/>
  <c r="AD25" i="9"/>
  <c r="AC25" i="9"/>
  <c r="AB25" i="9"/>
  <c r="AA25" i="9"/>
  <c r="AE24" i="9"/>
  <c r="AD24" i="9"/>
  <c r="AC24" i="9"/>
  <c r="AB24" i="9"/>
  <c r="AA24" i="9"/>
  <c r="AE23" i="9"/>
  <c r="AD23" i="9"/>
  <c r="AC23" i="9"/>
  <c r="AB23" i="9"/>
  <c r="AA23" i="9"/>
  <c r="AE22" i="9"/>
  <c r="AD22" i="9"/>
  <c r="AC22" i="9"/>
  <c r="AB22" i="9"/>
  <c r="AA22" i="9"/>
  <c r="AJ12" i="9"/>
  <c r="AJ10" i="9"/>
  <c r="AJ9" i="9"/>
  <c r="AJ8" i="9"/>
  <c r="AJ7" i="9"/>
  <c r="AJ6" i="9"/>
  <c r="AE10" i="9"/>
  <c r="AD10" i="9"/>
  <c r="AC10" i="9"/>
  <c r="AB10" i="9"/>
  <c r="AA10" i="9"/>
  <c r="AE9" i="9"/>
  <c r="AD9" i="9"/>
  <c r="AC9" i="9"/>
  <c r="AB9" i="9"/>
  <c r="AA9" i="9"/>
  <c r="AE8" i="9"/>
  <c r="AD8" i="9"/>
  <c r="AC8" i="9"/>
  <c r="AB8" i="9"/>
  <c r="AA8" i="9"/>
  <c r="AE7" i="9"/>
  <c r="AD7" i="9"/>
  <c r="AC7" i="9"/>
  <c r="AB7" i="9"/>
  <c r="AA7" i="9"/>
  <c r="AE6" i="9"/>
  <c r="AD6" i="9"/>
  <c r="AC6" i="9"/>
  <c r="AB6" i="9"/>
  <c r="AA6" i="9"/>
  <c r="M92" i="9"/>
  <c r="L92" i="9"/>
  <c r="K92" i="9"/>
  <c r="J92" i="9"/>
  <c r="I92" i="9"/>
  <c r="M91" i="9"/>
  <c r="L91" i="9"/>
  <c r="K91" i="9"/>
  <c r="J91" i="9"/>
  <c r="I91" i="9"/>
  <c r="M90" i="9"/>
  <c r="L90" i="9"/>
  <c r="K90" i="9"/>
  <c r="J90" i="9"/>
  <c r="I90" i="9"/>
  <c r="M89" i="9"/>
  <c r="L89" i="9"/>
  <c r="K89" i="9"/>
  <c r="J89" i="9"/>
  <c r="I89" i="9"/>
  <c r="M88" i="9"/>
  <c r="L88" i="9"/>
  <c r="K88" i="9"/>
  <c r="J88" i="9"/>
  <c r="I88" i="9"/>
  <c r="R10" i="9"/>
  <c r="R11" i="9"/>
  <c r="R12" i="9"/>
  <c r="J38" i="9"/>
  <c r="M74" i="9"/>
  <c r="L74" i="9"/>
  <c r="K74" i="9"/>
  <c r="J74" i="9"/>
  <c r="I74" i="9"/>
  <c r="M73" i="9"/>
  <c r="L73" i="9"/>
  <c r="K73" i="9"/>
  <c r="J73" i="9"/>
  <c r="I73" i="9"/>
  <c r="M72" i="9"/>
  <c r="L72" i="9"/>
  <c r="K72" i="9"/>
  <c r="J72" i="9"/>
  <c r="I72" i="9"/>
  <c r="M71" i="9"/>
  <c r="L71" i="9"/>
  <c r="K71" i="9"/>
  <c r="J71" i="9"/>
  <c r="I71" i="9"/>
  <c r="M70" i="9"/>
  <c r="L70" i="9"/>
  <c r="K70" i="9"/>
  <c r="J70" i="9"/>
  <c r="I70" i="9"/>
  <c r="B74" i="9"/>
  <c r="B73" i="9"/>
  <c r="B72" i="9"/>
  <c r="B71" i="9"/>
  <c r="B70" i="9"/>
  <c r="R7" i="9"/>
  <c r="R8" i="9"/>
  <c r="R9" i="9"/>
  <c r="R6" i="9"/>
  <c r="M58" i="9"/>
  <c r="L58" i="9"/>
  <c r="K58" i="9"/>
  <c r="J58" i="9"/>
  <c r="I58" i="9"/>
  <c r="M57" i="9"/>
  <c r="L57" i="9"/>
  <c r="K57" i="9"/>
  <c r="J57" i="9"/>
  <c r="I57" i="9"/>
  <c r="M56" i="9"/>
  <c r="L56" i="9"/>
  <c r="K56" i="9"/>
  <c r="J56" i="9"/>
  <c r="I56" i="9"/>
  <c r="M55" i="9"/>
  <c r="L55" i="9"/>
  <c r="K55" i="9"/>
  <c r="J55" i="9"/>
  <c r="I55" i="9"/>
  <c r="M54" i="9"/>
  <c r="L54" i="9"/>
  <c r="K54" i="9"/>
  <c r="J54" i="9"/>
  <c r="I54" i="9"/>
  <c r="M42" i="9"/>
  <c r="L42" i="9"/>
  <c r="K42" i="9"/>
  <c r="J42" i="9"/>
  <c r="I42" i="9"/>
  <c r="M41" i="9"/>
  <c r="L41" i="9"/>
  <c r="K41" i="9"/>
  <c r="J41" i="9"/>
  <c r="I41" i="9"/>
  <c r="M40" i="9"/>
  <c r="L40" i="9"/>
  <c r="K40" i="9"/>
  <c r="J40" i="9"/>
  <c r="I40" i="9"/>
  <c r="M39" i="9"/>
  <c r="L39" i="9"/>
  <c r="K39" i="9"/>
  <c r="J39" i="9"/>
  <c r="I39" i="9"/>
  <c r="M38" i="9"/>
  <c r="L38" i="9"/>
  <c r="K38" i="9"/>
  <c r="I38" i="9"/>
  <c r="I22" i="9"/>
  <c r="M26" i="9"/>
  <c r="L26" i="9"/>
  <c r="K26" i="9"/>
  <c r="J26" i="9"/>
  <c r="I26" i="9"/>
  <c r="M25" i="9"/>
  <c r="L25" i="9"/>
  <c r="K25" i="9"/>
  <c r="J25" i="9"/>
  <c r="I25" i="9"/>
  <c r="M24" i="9"/>
  <c r="L24" i="9"/>
  <c r="K24" i="9"/>
  <c r="J24" i="9"/>
  <c r="I24" i="9"/>
  <c r="M23" i="9"/>
  <c r="L23" i="9"/>
  <c r="K23" i="9"/>
  <c r="J23" i="9"/>
  <c r="I23" i="9"/>
  <c r="M22" i="9"/>
  <c r="L22" i="9"/>
  <c r="K22" i="9"/>
  <c r="J22" i="9"/>
  <c r="J6" i="9"/>
  <c r="K6" i="9"/>
  <c r="L6" i="9"/>
  <c r="M6" i="9"/>
  <c r="J7" i="9"/>
  <c r="K7" i="9"/>
  <c r="L7" i="9"/>
  <c r="M7" i="9"/>
  <c r="J8" i="9"/>
  <c r="K8" i="9"/>
  <c r="L8" i="9"/>
  <c r="M8" i="9"/>
  <c r="J9" i="9"/>
  <c r="K9" i="9"/>
  <c r="L9" i="9"/>
  <c r="M9" i="9"/>
  <c r="J10" i="9"/>
  <c r="K10" i="9"/>
  <c r="L10" i="9"/>
  <c r="M10" i="9"/>
  <c r="I7" i="9"/>
  <c r="I8" i="9"/>
  <c r="I9" i="9"/>
  <c r="I10" i="9"/>
  <c r="E12" i="5"/>
  <c r="F12" i="5"/>
  <c r="G12" i="5"/>
  <c r="H12" i="5"/>
  <c r="I12" i="5"/>
  <c r="B54" i="6"/>
  <c r="B55" i="6"/>
  <c r="B56" i="6"/>
  <c r="B57" i="6"/>
  <c r="M13" i="5"/>
  <c r="N13" i="5"/>
  <c r="O13" i="5"/>
  <c r="P13" i="5"/>
  <c r="Q13" i="5"/>
  <c r="C78" i="9" l="1" a="1"/>
  <c r="C78" i="9" s="1"/>
  <c r="E78" i="9" a="1"/>
  <c r="E78" i="9" s="1"/>
  <c r="K78" i="9" a="1"/>
  <c r="K78" i="9" s="1"/>
  <c r="G78" i="9" a="1"/>
  <c r="G78" i="9" s="1"/>
  <c r="I78" i="9" a="1"/>
  <c r="I78" i="9" s="1"/>
  <c r="AA46" i="9" a="1"/>
  <c r="AA46" i="9" s="1"/>
  <c r="C14" i="9" a="1"/>
  <c r="C14" i="9" s="1"/>
  <c r="AA30" i="9" a="1"/>
  <c r="AA30" i="9" s="1"/>
  <c r="K96" i="9" a="1"/>
  <c r="K96" i="9" s="1"/>
  <c r="W30" i="9" a="1"/>
  <c r="W30" i="9" s="1"/>
  <c r="I14" i="9" a="1"/>
  <c r="I14" i="9" s="1"/>
  <c r="G14" i="9" a="1"/>
  <c r="G14" i="9" s="1"/>
  <c r="Y30" i="9" a="1"/>
  <c r="Y30" i="9" s="1"/>
  <c r="K14" i="9" a="1"/>
  <c r="K14" i="9" s="1"/>
  <c r="G96" i="9" a="1"/>
  <c r="G96" i="9" s="1"/>
  <c r="U46" i="9" a="1"/>
  <c r="U46" i="9" s="1"/>
  <c r="I96" i="9" a="1"/>
  <c r="I96" i="9" s="1"/>
  <c r="W46" i="9" a="1"/>
  <c r="W46" i="9" s="1"/>
  <c r="E62" i="9" a="1"/>
  <c r="E62" i="9" s="1"/>
  <c r="I62" i="9" a="1"/>
  <c r="I62" i="9" s="1"/>
  <c r="G62" i="9" a="1"/>
  <c r="G62" i="9" s="1"/>
  <c r="E30" i="9" a="1"/>
  <c r="E30" i="9" s="1"/>
  <c r="W14" i="9" a="1"/>
  <c r="W14" i="9" s="1"/>
  <c r="AC46" i="9" a="1"/>
  <c r="AC46" i="9" s="1"/>
  <c r="E14" i="9" a="1"/>
  <c r="E14" i="9" s="1"/>
  <c r="G30" i="9" a="1"/>
  <c r="G30" i="9" s="1"/>
  <c r="C62" i="9" a="1"/>
  <c r="C62" i="9" s="1"/>
  <c r="Y14" i="9" a="1"/>
  <c r="Y14" i="9" s="1"/>
  <c r="U30" i="9" a="1"/>
  <c r="U30" i="9" s="1"/>
  <c r="Y46" i="9" a="1"/>
  <c r="Y46" i="9" s="1"/>
  <c r="K46" i="9" a="1"/>
  <c r="K46" i="9" s="1"/>
  <c r="K62" i="9" a="1"/>
  <c r="K62" i="9" s="1"/>
  <c r="AC30" i="9" a="1"/>
  <c r="AC30" i="9" s="1"/>
  <c r="K30" i="9" a="1"/>
  <c r="K30" i="9" s="1"/>
  <c r="U14" i="9" a="1"/>
  <c r="U14" i="9" s="1"/>
  <c r="AC14" i="9" a="1"/>
  <c r="AC14" i="9" s="1"/>
  <c r="AA14" i="9" a="1"/>
  <c r="AA14" i="9" s="1"/>
  <c r="G46" i="9" a="1"/>
  <c r="G46" i="9" s="1"/>
  <c r="C46" i="9" a="1"/>
  <c r="C46" i="9" s="1"/>
  <c r="E46" i="9" a="1"/>
  <c r="E46" i="9" s="1"/>
  <c r="I46" i="9" a="1"/>
  <c r="I46" i="9" s="1"/>
  <c r="I30" i="9" a="1"/>
  <c r="I30" i="9" s="1"/>
  <c r="C30" i="9" a="1"/>
  <c r="C30" i="9" s="1"/>
  <c r="B43" i="6" l="1"/>
  <c r="B44" i="6"/>
  <c r="AH73" i="8"/>
  <c r="AE73" i="8"/>
  <c r="AB73" i="8"/>
  <c r="Y73" i="8"/>
  <c r="V73" i="8"/>
  <c r="R73" i="8"/>
  <c r="O73" i="8"/>
  <c r="L73" i="8"/>
  <c r="I73" i="8"/>
  <c r="F73" i="8"/>
  <c r="AH59" i="8"/>
  <c r="AE59" i="8"/>
  <c r="AB59" i="8"/>
  <c r="Y59" i="8"/>
  <c r="V59" i="8"/>
  <c r="R59" i="8"/>
  <c r="O59" i="8"/>
  <c r="L59" i="8"/>
  <c r="I59" i="8"/>
  <c r="F59" i="8"/>
  <c r="AH45" i="8"/>
  <c r="AE45" i="8"/>
  <c r="AB45" i="8"/>
  <c r="Y45" i="8"/>
  <c r="V45" i="8"/>
  <c r="R45" i="8"/>
  <c r="O45" i="8"/>
  <c r="L45" i="8"/>
  <c r="I45" i="8"/>
  <c r="F45" i="8"/>
  <c r="AH31" i="8"/>
  <c r="AE31" i="8"/>
  <c r="AB31" i="8"/>
  <c r="Y31" i="8"/>
  <c r="V31" i="8"/>
  <c r="R31" i="8"/>
  <c r="O31" i="8"/>
  <c r="L31" i="8"/>
  <c r="I31" i="8"/>
  <c r="F31" i="8"/>
  <c r="C10" i="8"/>
  <c r="C9" i="8"/>
  <c r="C8" i="8"/>
  <c r="B8" i="8"/>
  <c r="B9" i="8" s="1"/>
  <c r="C7" i="8"/>
  <c r="C6" i="8"/>
  <c r="C5" i="8"/>
  <c r="C4" i="8"/>
  <c r="AH88" i="7"/>
  <c r="AE88" i="7"/>
  <c r="AB88" i="7"/>
  <c r="Y88" i="7"/>
  <c r="V88" i="7"/>
  <c r="R88" i="7"/>
  <c r="O88" i="7"/>
  <c r="L88" i="7"/>
  <c r="I88" i="7"/>
  <c r="F88" i="7"/>
  <c r="AH74" i="7"/>
  <c r="AE74" i="7"/>
  <c r="AB74" i="7"/>
  <c r="Y74" i="7"/>
  <c r="V74" i="7"/>
  <c r="R74" i="7"/>
  <c r="O74" i="7"/>
  <c r="L74" i="7"/>
  <c r="I74" i="7"/>
  <c r="F74" i="7"/>
  <c r="AH60" i="7"/>
  <c r="AE60" i="7"/>
  <c r="AB60" i="7"/>
  <c r="Y60" i="7"/>
  <c r="V60" i="7"/>
  <c r="R60" i="7"/>
  <c r="O60" i="7"/>
  <c r="L60" i="7"/>
  <c r="I60" i="7"/>
  <c r="F60" i="7"/>
  <c r="AH46" i="7"/>
  <c r="AE46" i="7"/>
  <c r="AB46" i="7"/>
  <c r="Y46" i="7"/>
  <c r="V46" i="7"/>
  <c r="R46" i="7"/>
  <c r="O46" i="7"/>
  <c r="L46" i="7"/>
  <c r="I46" i="7"/>
  <c r="C10" i="7"/>
  <c r="C9" i="7"/>
  <c r="C8" i="7"/>
  <c r="B8" i="7"/>
  <c r="B9" i="7" s="1"/>
  <c r="C7" i="7"/>
  <c r="C6" i="7"/>
  <c r="C5" i="7"/>
  <c r="C4" i="7"/>
  <c r="C4" i="5"/>
  <c r="AH33" i="5"/>
  <c r="AE33" i="5"/>
  <c r="AB33" i="5"/>
  <c r="Y33" i="5"/>
  <c r="V33" i="5"/>
  <c r="R33" i="5"/>
  <c r="O33" i="5"/>
  <c r="L33" i="5"/>
  <c r="I33" i="5"/>
  <c r="F33" i="5"/>
  <c r="AH90" i="5"/>
  <c r="AE90" i="5"/>
  <c r="AB90" i="5"/>
  <c r="Y90" i="5"/>
  <c r="V90" i="5"/>
  <c r="AH47" i="5"/>
  <c r="AE47" i="5"/>
  <c r="AB47" i="5"/>
  <c r="Y47" i="5"/>
  <c r="V47" i="5"/>
  <c r="R47" i="5"/>
  <c r="O47" i="5"/>
  <c r="L47" i="5"/>
  <c r="I47" i="5"/>
  <c r="F47" i="5"/>
  <c r="C5" i="5"/>
  <c r="N10" i="4"/>
  <c r="O10" i="4"/>
  <c r="P10" i="4"/>
  <c r="Q10" i="4"/>
  <c r="N11" i="4"/>
  <c r="O11" i="4"/>
  <c r="P11" i="4"/>
  <c r="Q11" i="4"/>
  <c r="N12" i="4"/>
  <c r="O12" i="4"/>
  <c r="P12" i="4"/>
  <c r="Q12" i="4"/>
  <c r="N13" i="4"/>
  <c r="O13" i="4"/>
  <c r="P13" i="4"/>
  <c r="Q13" i="4"/>
  <c r="N14" i="4"/>
  <c r="O14" i="4"/>
  <c r="P14" i="4"/>
  <c r="Q14" i="4"/>
  <c r="M11" i="4"/>
  <c r="M12" i="4"/>
  <c r="M13" i="4"/>
  <c r="M14" i="4"/>
  <c r="M10" i="4"/>
  <c r="C14" i="3"/>
  <c r="C13" i="3"/>
  <c r="C12" i="3"/>
  <c r="C11" i="3"/>
  <c r="C10" i="3"/>
  <c r="C16" i="2"/>
  <c r="C15" i="2"/>
  <c r="C14" i="2"/>
  <c r="C13" i="2"/>
  <c r="C12" i="2"/>
  <c r="C16" i="1"/>
  <c r="C15" i="1"/>
  <c r="C14" i="1"/>
  <c r="C13" i="1"/>
  <c r="C12" i="1"/>
  <c r="E13" i="7" l="1"/>
  <c r="N13" i="7"/>
  <c r="Q13" i="7"/>
  <c r="N16" i="7"/>
  <c r="O16" i="7"/>
  <c r="F13" i="7"/>
  <c r="G13" i="7"/>
  <c r="Q16" i="7"/>
  <c r="H13" i="7"/>
  <c r="I13" i="7"/>
  <c r="M13" i="7"/>
  <c r="O13" i="7"/>
  <c r="P13" i="7"/>
  <c r="P16" i="7"/>
  <c r="M16" i="7"/>
  <c r="E14" i="7"/>
  <c r="O15" i="7"/>
  <c r="G14" i="7"/>
  <c r="P15" i="7"/>
  <c r="H15" i="7"/>
  <c r="I15" i="7"/>
  <c r="M15" i="7"/>
  <c r="N15" i="7"/>
  <c r="F14" i="7"/>
  <c r="H14" i="7"/>
  <c r="Q15" i="7"/>
  <c r="I14" i="7"/>
  <c r="E16" i="7"/>
  <c r="M14" i="7"/>
  <c r="N14" i="7"/>
  <c r="O14" i="7"/>
  <c r="H16" i="7"/>
  <c r="P14" i="7"/>
  <c r="I16" i="7"/>
  <c r="Q14" i="7"/>
  <c r="F16" i="7"/>
  <c r="G16" i="7"/>
  <c r="E15" i="7"/>
  <c r="F15" i="7"/>
  <c r="G15" i="7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E11" i="4"/>
  <c r="E12" i="4"/>
  <c r="E13" i="4"/>
  <c r="E14" i="4"/>
  <c r="E10" i="4"/>
  <c r="O85" i="4"/>
  <c r="R85" i="4"/>
  <c r="V85" i="4"/>
  <c r="Y85" i="4"/>
  <c r="AB85" i="4"/>
  <c r="AE85" i="4"/>
  <c r="AH85" i="4"/>
  <c r="N10" i="3"/>
  <c r="O10" i="3"/>
  <c r="P10" i="3"/>
  <c r="Q10" i="3"/>
  <c r="N11" i="3"/>
  <c r="O11" i="3"/>
  <c r="P11" i="3"/>
  <c r="Q11" i="3"/>
  <c r="N12" i="3"/>
  <c r="O12" i="3"/>
  <c r="P12" i="3"/>
  <c r="Q12" i="3"/>
  <c r="N13" i="3"/>
  <c r="O13" i="3"/>
  <c r="P13" i="3"/>
  <c r="Q13" i="3"/>
  <c r="N14" i="3"/>
  <c r="O14" i="3"/>
  <c r="P14" i="3"/>
  <c r="Q14" i="3"/>
  <c r="M11" i="3"/>
  <c r="M12" i="3"/>
  <c r="M13" i="3"/>
  <c r="M14" i="3"/>
  <c r="M10" i="3"/>
  <c r="F10" i="3"/>
  <c r="G10" i="3"/>
  <c r="H10" i="3"/>
  <c r="I10" i="3"/>
  <c r="F11" i="3"/>
  <c r="G11" i="3"/>
  <c r="H11" i="3"/>
  <c r="I11" i="3"/>
  <c r="F12" i="3"/>
  <c r="G12" i="3"/>
  <c r="H12" i="3"/>
  <c r="I12" i="3"/>
  <c r="F13" i="3"/>
  <c r="G13" i="3"/>
  <c r="H13" i="3"/>
  <c r="I13" i="3"/>
  <c r="F14" i="3"/>
  <c r="G14" i="3"/>
  <c r="H14" i="3"/>
  <c r="I14" i="3"/>
  <c r="E11" i="3"/>
  <c r="E12" i="3"/>
  <c r="E13" i="3"/>
  <c r="E14" i="3"/>
  <c r="E10" i="3"/>
  <c r="M12" i="2" l="1"/>
  <c r="M13" i="2"/>
  <c r="M14" i="2"/>
  <c r="AH117" i="5"/>
  <c r="AE117" i="5"/>
  <c r="AB117" i="5"/>
  <c r="Y117" i="5"/>
  <c r="V117" i="5"/>
  <c r="R117" i="5"/>
  <c r="O117" i="5"/>
  <c r="L117" i="5"/>
  <c r="I117" i="5"/>
  <c r="F117" i="5"/>
  <c r="AH103" i="5"/>
  <c r="AE103" i="5"/>
  <c r="AB103" i="5"/>
  <c r="Y103" i="5"/>
  <c r="V103" i="5"/>
  <c r="R103" i="5"/>
  <c r="O103" i="5"/>
  <c r="L103" i="5"/>
  <c r="I103" i="5"/>
  <c r="F103" i="5"/>
  <c r="AH89" i="5"/>
  <c r="AE89" i="5"/>
  <c r="AB89" i="5"/>
  <c r="Y89" i="5"/>
  <c r="R89" i="5"/>
  <c r="O89" i="5"/>
  <c r="L89" i="5"/>
  <c r="I89" i="5"/>
  <c r="F89" i="5"/>
  <c r="AH75" i="5"/>
  <c r="AE75" i="5"/>
  <c r="AB75" i="5"/>
  <c r="Y75" i="5"/>
  <c r="V75" i="5"/>
  <c r="R75" i="5"/>
  <c r="O75" i="5"/>
  <c r="L75" i="5"/>
  <c r="I75" i="5"/>
  <c r="F75" i="5"/>
  <c r="AH61" i="5"/>
  <c r="AE61" i="5"/>
  <c r="AB61" i="5"/>
  <c r="Y61" i="5"/>
  <c r="V61" i="5"/>
  <c r="R61" i="5"/>
  <c r="O61" i="5"/>
  <c r="L61" i="5"/>
  <c r="I61" i="5"/>
  <c r="F61" i="5"/>
  <c r="C10" i="5"/>
  <c r="C9" i="5"/>
  <c r="C8" i="5"/>
  <c r="B8" i="5"/>
  <c r="B9" i="5" s="1"/>
  <c r="C7" i="5"/>
  <c r="C6" i="5"/>
  <c r="L85" i="4"/>
  <c r="I85" i="4"/>
  <c r="F85" i="4"/>
  <c r="AH71" i="4"/>
  <c r="AE71" i="4"/>
  <c r="Y71" i="4"/>
  <c r="V71" i="4"/>
  <c r="R71" i="4"/>
  <c r="O71" i="4"/>
  <c r="L71" i="4"/>
  <c r="I71" i="4"/>
  <c r="F71" i="4"/>
  <c r="AH57" i="4"/>
  <c r="AE57" i="4"/>
  <c r="AB57" i="4"/>
  <c r="Y57" i="4"/>
  <c r="V57" i="4"/>
  <c r="R57" i="4"/>
  <c r="O57" i="4"/>
  <c r="L57" i="4"/>
  <c r="I57" i="4"/>
  <c r="F57" i="4"/>
  <c r="AH43" i="4"/>
  <c r="AE43" i="4"/>
  <c r="AB43" i="4"/>
  <c r="Y43" i="4"/>
  <c r="V43" i="4"/>
  <c r="R43" i="4"/>
  <c r="O43" i="4"/>
  <c r="L43" i="4"/>
  <c r="I43" i="4"/>
  <c r="F43" i="4"/>
  <c r="AH29" i="4"/>
  <c r="AE29" i="4"/>
  <c r="AB29" i="4"/>
  <c r="Y29" i="4"/>
  <c r="V29" i="4"/>
  <c r="R29" i="4"/>
  <c r="O29" i="4"/>
  <c r="L29" i="4"/>
  <c r="I29" i="4"/>
  <c r="F29" i="4"/>
  <c r="C8" i="4"/>
  <c r="C7" i="4"/>
  <c r="C6" i="4"/>
  <c r="B6" i="4"/>
  <c r="B7" i="4" s="1"/>
  <c r="C5" i="4"/>
  <c r="C4" i="4"/>
  <c r="AH85" i="3"/>
  <c r="AE85" i="3"/>
  <c r="AB85" i="3"/>
  <c r="Y85" i="3"/>
  <c r="V85" i="3"/>
  <c r="R85" i="3"/>
  <c r="O85" i="3"/>
  <c r="L85" i="3"/>
  <c r="I85" i="3"/>
  <c r="F85" i="3"/>
  <c r="AH71" i="3"/>
  <c r="AE71" i="3"/>
  <c r="AB71" i="3"/>
  <c r="Y71" i="3"/>
  <c r="V71" i="3"/>
  <c r="R71" i="3"/>
  <c r="O71" i="3"/>
  <c r="L71" i="3"/>
  <c r="I71" i="3"/>
  <c r="F71" i="3"/>
  <c r="AH57" i="3"/>
  <c r="AE57" i="3"/>
  <c r="AB57" i="3"/>
  <c r="Y57" i="3"/>
  <c r="V57" i="3"/>
  <c r="R57" i="3"/>
  <c r="O57" i="3"/>
  <c r="L57" i="3"/>
  <c r="I57" i="3"/>
  <c r="F57" i="3"/>
  <c r="AH43" i="3"/>
  <c r="AE43" i="3"/>
  <c r="AB43" i="3"/>
  <c r="Y43" i="3"/>
  <c r="V43" i="3"/>
  <c r="R43" i="3"/>
  <c r="O43" i="3"/>
  <c r="L43" i="3"/>
  <c r="I43" i="3"/>
  <c r="F43" i="3"/>
  <c r="AH29" i="3"/>
  <c r="AE29" i="3"/>
  <c r="AB29" i="3"/>
  <c r="Y29" i="3"/>
  <c r="V29" i="3"/>
  <c r="R29" i="3"/>
  <c r="O29" i="3"/>
  <c r="L29" i="3"/>
  <c r="I29" i="3"/>
  <c r="F29" i="3"/>
  <c r="C8" i="3"/>
  <c r="C7" i="3"/>
  <c r="B7" i="3"/>
  <c r="C6" i="3"/>
  <c r="B6" i="3"/>
  <c r="C5" i="3"/>
  <c r="C4" i="3"/>
  <c r="N14" i="5" l="1"/>
  <c r="I15" i="5"/>
  <c r="E18" i="5"/>
  <c r="F16" i="5"/>
  <c r="E14" i="5"/>
  <c r="P14" i="5"/>
  <c r="G16" i="5"/>
  <c r="Q14" i="5"/>
  <c r="H16" i="5"/>
  <c r="N15" i="5"/>
  <c r="M15" i="5"/>
  <c r="I16" i="5"/>
  <c r="O15" i="5"/>
  <c r="M14" i="5"/>
  <c r="I17" i="5"/>
  <c r="F18" i="5"/>
  <c r="G14" i="5"/>
  <c r="G18" i="5"/>
  <c r="H18" i="5"/>
  <c r="I14" i="5"/>
  <c r="E15" i="5"/>
  <c r="G15" i="5"/>
  <c r="E17" i="5"/>
  <c r="O14" i="5"/>
  <c r="F17" i="5"/>
  <c r="P15" i="5"/>
  <c r="G17" i="5"/>
  <c r="Q15" i="5"/>
  <c r="H17" i="5"/>
  <c r="F14" i="5"/>
  <c r="H14" i="5"/>
  <c r="I18" i="5"/>
  <c r="F15" i="5"/>
  <c r="E16" i="5"/>
  <c r="H15" i="5"/>
  <c r="F87" i="2"/>
  <c r="AH87" i="2"/>
  <c r="AE87" i="2"/>
  <c r="AB87" i="2"/>
  <c r="Y87" i="2"/>
  <c r="V87" i="2"/>
  <c r="R87" i="2"/>
  <c r="O87" i="2"/>
  <c r="L87" i="2"/>
  <c r="I87" i="2"/>
  <c r="AH73" i="2"/>
  <c r="AE73" i="2"/>
  <c r="AB73" i="2"/>
  <c r="Y73" i="2"/>
  <c r="V73" i="2"/>
  <c r="R73" i="2"/>
  <c r="O73" i="2"/>
  <c r="L73" i="2"/>
  <c r="I73" i="2"/>
  <c r="F73" i="2"/>
  <c r="AH59" i="2"/>
  <c r="AE59" i="2"/>
  <c r="AB59" i="2"/>
  <c r="Y59" i="2"/>
  <c r="V59" i="2"/>
  <c r="R59" i="2"/>
  <c r="O59" i="2"/>
  <c r="L59" i="2"/>
  <c r="I59" i="2"/>
  <c r="F59" i="2"/>
  <c r="AH45" i="2"/>
  <c r="AE45" i="2"/>
  <c r="AB45" i="2"/>
  <c r="Y45" i="2"/>
  <c r="V45" i="2"/>
  <c r="R45" i="2"/>
  <c r="O45" i="2"/>
  <c r="L45" i="2"/>
  <c r="I45" i="2"/>
  <c r="F45" i="2"/>
  <c r="AH31" i="2"/>
  <c r="AE31" i="2"/>
  <c r="AB31" i="2"/>
  <c r="Y31" i="2"/>
  <c r="V31" i="2"/>
  <c r="R31" i="2"/>
  <c r="O31" i="2"/>
  <c r="L31" i="2"/>
  <c r="I31" i="2"/>
  <c r="F31" i="2"/>
  <c r="C10" i="2"/>
  <c r="C9" i="2"/>
  <c r="C8" i="2"/>
  <c r="B8" i="2"/>
  <c r="B9" i="2" s="1"/>
  <c r="C7" i="2"/>
  <c r="C6" i="2"/>
  <c r="R73" i="1"/>
  <c r="AN87" i="1"/>
  <c r="AK87" i="1"/>
  <c r="AH87" i="1"/>
  <c r="AE87" i="1"/>
  <c r="AB87" i="1"/>
  <c r="R87" i="1"/>
  <c r="O87" i="1"/>
  <c r="L87" i="1"/>
  <c r="I87" i="1"/>
  <c r="F87" i="1"/>
  <c r="AN73" i="1"/>
  <c r="AK73" i="1"/>
  <c r="AH73" i="1"/>
  <c r="AE73" i="1"/>
  <c r="AB73" i="1"/>
  <c r="O73" i="1"/>
  <c r="L73" i="1"/>
  <c r="I73" i="1"/>
  <c r="F73" i="1"/>
  <c r="AN59" i="1"/>
  <c r="AK59" i="1"/>
  <c r="AH59" i="1"/>
  <c r="AE59" i="1"/>
  <c r="AB59" i="1"/>
  <c r="R59" i="1"/>
  <c r="O59" i="1"/>
  <c r="L59" i="1"/>
  <c r="I59" i="1"/>
  <c r="F59" i="1"/>
  <c r="AN45" i="1"/>
  <c r="AK45" i="1"/>
  <c r="AH45" i="1"/>
  <c r="AE45" i="1"/>
  <c r="AB45" i="1"/>
  <c r="R45" i="1"/>
  <c r="O45" i="1"/>
  <c r="L45" i="1"/>
  <c r="I45" i="1"/>
  <c r="F45" i="1"/>
  <c r="AN31" i="1"/>
  <c r="AK31" i="1"/>
  <c r="AH31" i="1"/>
  <c r="AE31" i="1"/>
  <c r="AB31" i="1"/>
  <c r="O31" i="1"/>
  <c r="L31" i="1"/>
  <c r="I31" i="1"/>
  <c r="F31" i="1"/>
  <c r="C10" i="1"/>
  <c r="C9" i="1"/>
  <c r="C8" i="1"/>
  <c r="B8" i="1"/>
  <c r="B9" i="1" s="1"/>
  <c r="E12" i="1" s="1"/>
  <c r="C7" i="1"/>
  <c r="C6" i="1"/>
  <c r="G16" i="2" l="1"/>
  <c r="N14" i="2"/>
  <c r="E13" i="2"/>
  <c r="Q12" i="2"/>
  <c r="E16" i="2"/>
  <c r="I14" i="2"/>
  <c r="P12" i="2"/>
  <c r="Q15" i="2"/>
  <c r="H14" i="2"/>
  <c r="O12" i="2"/>
  <c r="P15" i="2"/>
  <c r="G14" i="2"/>
  <c r="N12" i="2"/>
  <c r="O15" i="2"/>
  <c r="F14" i="2"/>
  <c r="N15" i="2"/>
  <c r="E14" i="2"/>
  <c r="I12" i="2"/>
  <c r="M15" i="2"/>
  <c r="Q13" i="2"/>
  <c r="H12" i="2"/>
  <c r="I15" i="2"/>
  <c r="P13" i="2"/>
  <c r="G12" i="2"/>
  <c r="Q16" i="2"/>
  <c r="H15" i="2"/>
  <c r="O13" i="2"/>
  <c r="F12" i="2"/>
  <c r="P16" i="2"/>
  <c r="G15" i="2"/>
  <c r="N13" i="2"/>
  <c r="E12" i="2"/>
  <c r="O16" i="2"/>
  <c r="F15" i="2"/>
  <c r="N16" i="2"/>
  <c r="E15" i="2"/>
  <c r="I13" i="2"/>
  <c r="M16" i="2"/>
  <c r="Q14" i="2"/>
  <c r="H13" i="2"/>
  <c r="I16" i="2"/>
  <c r="P14" i="2"/>
  <c r="G13" i="2"/>
  <c r="H16" i="2"/>
  <c r="O14" i="2"/>
  <c r="F16" i="2"/>
  <c r="F13" i="2"/>
  <c r="P16" i="1"/>
  <c r="Q16" i="1"/>
  <c r="F12" i="1"/>
  <c r="O12" i="1"/>
  <c r="S12" i="1"/>
  <c r="H13" i="1"/>
  <c r="Q13" i="1"/>
  <c r="F14" i="1"/>
  <c r="S14" i="1"/>
  <c r="H15" i="1"/>
  <c r="Q15" i="1"/>
  <c r="F16" i="1"/>
  <c r="O16" i="1"/>
  <c r="G12" i="1"/>
  <c r="P12" i="1"/>
  <c r="E13" i="1"/>
  <c r="I13" i="1"/>
  <c r="R13" i="1"/>
  <c r="G14" i="1"/>
  <c r="P14" i="1"/>
  <c r="E15" i="1"/>
  <c r="I15" i="1"/>
  <c r="R15" i="1"/>
  <c r="G16" i="1"/>
  <c r="H12" i="1"/>
  <c r="Q12" i="1"/>
  <c r="F13" i="1"/>
  <c r="O13" i="1"/>
  <c r="S13" i="1"/>
  <c r="H14" i="1"/>
  <c r="Q14" i="1"/>
  <c r="F15" i="1"/>
  <c r="O15" i="1"/>
  <c r="S15" i="1"/>
  <c r="H16" i="1"/>
  <c r="I12" i="1"/>
  <c r="R12" i="1"/>
  <c r="G13" i="1"/>
  <c r="P13" i="1"/>
  <c r="E14" i="1"/>
  <c r="I14" i="1"/>
  <c r="R14" i="1"/>
  <c r="G15" i="1"/>
  <c r="P15" i="1"/>
  <c r="E16" i="1"/>
  <c r="I16" i="1"/>
  <c r="R16" i="1"/>
  <c r="O14" i="1"/>
  <c r="S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<sst xmlns="http://schemas.openxmlformats.org/spreadsheetml/2006/main" count="1314" uniqueCount="56">
  <si>
    <t>int0</t>
  </si>
  <si>
    <t>int5</t>
  </si>
  <si>
    <t>int10</t>
  </si>
  <si>
    <t>int-5</t>
  </si>
  <si>
    <t>int-10</t>
  </si>
  <si>
    <t>vac0</t>
  </si>
  <si>
    <t>vac5</t>
  </si>
  <si>
    <t>vac10</t>
  </si>
  <si>
    <t>vac-5</t>
  </si>
  <si>
    <t>vac-10</t>
  </si>
  <si>
    <t>stdev</t>
  </si>
  <si>
    <t>u10Mo</t>
  </si>
  <si>
    <t>pressure kb</t>
  </si>
  <si>
    <t>1/kT</t>
  </si>
  <si>
    <t>INT</t>
  </si>
  <si>
    <t>VAC</t>
  </si>
  <si>
    <t>Ang^2/dt</t>
  </si>
  <si>
    <t>Ang^2/ps</t>
  </si>
  <si>
    <t>cm^s</t>
  </si>
  <si>
    <t>cm2/s</t>
  </si>
  <si>
    <t>1200K</t>
  </si>
  <si>
    <t>Avg/Stdev:</t>
  </si>
  <si>
    <t>1100K</t>
  </si>
  <si>
    <t>800K</t>
  </si>
  <si>
    <t>900K</t>
  </si>
  <si>
    <t>1000K</t>
  </si>
  <si>
    <t>bccMo</t>
  </si>
  <si>
    <t>bccU</t>
  </si>
  <si>
    <t>u10mo</t>
  </si>
  <si>
    <t>u15mo</t>
  </si>
  <si>
    <t>u5mo</t>
  </si>
  <si>
    <t>1300K</t>
  </si>
  <si>
    <t>frac stdev</t>
  </si>
  <si>
    <t>frac stderr</t>
  </si>
  <si>
    <t>1400K</t>
  </si>
  <si>
    <t>u30mo</t>
  </si>
  <si>
    <t>u50mo</t>
  </si>
  <si>
    <t>ln transformed</t>
  </si>
  <si>
    <t>Em</t>
  </si>
  <si>
    <t>lnD0</t>
  </si>
  <si>
    <t>D0</t>
  </si>
  <si>
    <t>interstitials</t>
  </si>
  <si>
    <t>vacancies</t>
  </si>
  <si>
    <t>Avg/Stdev</t>
  </si>
  <si>
    <t xml:space="preserve">slope </t>
  </si>
  <si>
    <t>intercept</t>
  </si>
  <si>
    <t>IDEENTIFYING PRESSURE DEPENDENCE</t>
  </si>
  <si>
    <t>fraction</t>
  </si>
  <si>
    <t>int40</t>
  </si>
  <si>
    <t>int-40</t>
  </si>
  <si>
    <t>D_int vs P</t>
  </si>
  <si>
    <t>D=A*P+B</t>
  </si>
  <si>
    <t>D_vac vs P</t>
  </si>
  <si>
    <t>units of cm^2/s</t>
  </si>
  <si>
    <t>vac40</t>
  </si>
  <si>
    <t>vac-40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</si>
</sst>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"/>
    <numFmt numFmtId="166" formatCode="0.000E+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9031342957130359"/>
                  <c:y val="-1.6356809565470983E-3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u10mo!$C$6:$C$10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u10mo!$O$12:$O$16</c:f>
              <c:numCache>
                <c:formatCode>0.0000E+00</c:formatCode>
                <c:ptCount val="5"/>
                <c:pt idx="0">
                  <c:v>1.1442407913988637E-5</c:v>
                </c:pt>
                <c:pt idx="1">
                  <c:v>6.5568306538249988E-6</c:v>
                </c:pt>
                <c:pt idx="2">
                  <c:v>3.4644447232094606E-6</c:v>
                </c:pt>
                <c:pt idx="3">
                  <c:v>1.2603767193242319E-6</c:v>
                </c:pt>
                <c:pt idx="4">
                  <c:v>4.1439451426586226E-7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86-BB49-8791-4712093D18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091207349081365E-2"/>
                  <c:y val="-0.16557815689705455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u10mo!$C$6:$C$10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u10mo!$E$12:$E$16</c:f>
              <c:numCache>
                <c:formatCode>0.0000E+00</c:formatCode>
                <c:ptCount val="5"/>
                <c:pt idx="0">
                  <c:v>5.092410388168946E-5</c:v>
                </c:pt>
                <c:pt idx="1">
                  <c:v>3.8297706636324131E-5</c:v>
                </c:pt>
                <c:pt idx="2">
                  <c:v>2.8193587665254488E-5</c:v>
                </c:pt>
                <c:pt idx="3">
                  <c:v>1.7402578741961171E-5</c:v>
                </c:pt>
                <c:pt idx="4">
                  <c:v>1.0680069107916754E-5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86-BB49-8791-4712093D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416032"/>
        <c:axId val="1140835920"/>
      </c:scatterChart>
      <c:valAx>
        <c:axId val="824416032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35920"/>
        <c:crosses val="autoZero"/>
        <c:crossBetween val="midCat"/>
      </c:valAx>
      <c:valAx>
        <c:axId val="1140835920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4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6815907199961414E-2"/>
                  <c:y val="-0.13963809812235009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u10mo!$E$4:$K$4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u10mo!$E$6:$K$6</c:f>
              <c:numCache>
                <c:formatCode>0.00E+00</c:formatCode>
                <c:ptCount val="7"/>
                <c:pt idx="0">
                  <c:v>1.11329795332533E-6</c:v>
                </c:pt>
                <c:pt idx="1">
                  <c:v>1.0777424149339701E-6</c:v>
                </c:pt>
                <c:pt idx="2">
                  <c:v>1.0199556085954399E-6</c:v>
                </c:pt>
                <c:pt idx="3">
                  <c:v>1.13947597493397E-6</c:v>
                </c:pt>
                <c:pt idx="4">
                  <c:v>1.15925182693878E-6</c:v>
                </c:pt>
                <c:pt idx="5">
                  <c:v>9.0358816941176504E-7</c:v>
                </c:pt>
                <c:pt idx="6">
                  <c:v>1.3326659102040801E-6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7-E546-A4EE-26F1CCF0821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001651975738866"/>
                  <c:y val="-5.9518852210781348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u10mo!$E$4:$K$4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u10mo!$E$7:$K$7</c:f>
              <c:numCache>
                <c:formatCode>0.00E+00</c:formatCode>
                <c:ptCount val="7"/>
                <c:pt idx="0">
                  <c:v>8.3726084830732301E-7</c:v>
                </c:pt>
                <c:pt idx="1">
                  <c:v>8.4453658650660296E-7</c:v>
                </c:pt>
                <c:pt idx="2">
                  <c:v>7.9545096192076805E-7</c:v>
                </c:pt>
                <c:pt idx="3">
                  <c:v>8.7969210448979603E-7</c:v>
                </c:pt>
                <c:pt idx="4">
                  <c:v>9.0119544749099604E-7</c:v>
                </c:pt>
                <c:pt idx="5">
                  <c:v>6.5323770352941203E-7</c:v>
                </c:pt>
                <c:pt idx="6">
                  <c:v>1.0432410526290499E-6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C7-E546-A4EE-26F1CCF0821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1243322762296363E-2"/>
                  <c:y val="-2.997198667474258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u10mo!$E$4:$K$4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u10mo!$E$8:$K$8</c:f>
              <c:numCache>
                <c:formatCode>0.00E+00</c:formatCode>
                <c:ptCount val="7"/>
                <c:pt idx="0">
                  <c:v>6.1636555289315698E-7</c:v>
                </c:pt>
                <c:pt idx="1">
                  <c:v>5.8258230103241299E-7</c:v>
                </c:pt>
                <c:pt idx="2">
                  <c:v>5.6338940840336099E-7</c:v>
                </c:pt>
                <c:pt idx="3">
                  <c:v>6.0942371313325298E-7</c:v>
                </c:pt>
                <c:pt idx="4">
                  <c:v>6.5117995202881195E-7</c:v>
                </c:pt>
                <c:pt idx="5">
                  <c:v>4.6214297704681899E-7</c:v>
                </c:pt>
                <c:pt idx="6">
                  <c:v>7.8926903130852297E-7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0C7-E546-A4EE-26F1CCF0821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957241562262604"/>
                  <c:y val="-3.8025817686250754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u10mo!$E$4:$K$4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u10mo!$E$9:$K$9</c:f>
              <c:numCache>
                <c:formatCode>0.00E+00</c:formatCode>
                <c:ptCount val="7"/>
                <c:pt idx="0">
                  <c:v>3.8045353416566599E-7</c:v>
                </c:pt>
                <c:pt idx="1">
                  <c:v>3.7568822132052802E-7</c:v>
                </c:pt>
                <c:pt idx="2">
                  <c:v>3.60274824345738E-7</c:v>
                </c:pt>
                <c:pt idx="3">
                  <c:v>4.1585059932773098E-7</c:v>
                </c:pt>
                <c:pt idx="4">
                  <c:v>4.24116154669868E-7</c:v>
                </c:pt>
                <c:pt idx="5">
                  <c:v>2.6119212332392498E-7</c:v>
                </c:pt>
                <c:pt idx="6">
                  <c:v>5.2093807308523396E-7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0C7-E546-A4EE-26F1CCF0821E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u10mo!$E$4:$K$4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u10mo!$E$10:$K$10</c:f>
              <c:numCache>
                <c:formatCode>0.00E+00</c:formatCode>
                <c:ptCount val="7"/>
                <c:pt idx="0">
                  <c:v>2.33486662953181E-7</c:v>
                </c:pt>
                <c:pt idx="1">
                  <c:v>1.78807689651861E-7</c:v>
                </c:pt>
                <c:pt idx="2">
                  <c:v>2.0245470775510199E-7</c:v>
                </c:pt>
                <c:pt idx="3">
                  <c:v>2.3817029512605E-7</c:v>
                </c:pt>
                <c:pt idx="4">
                  <c:v>2.52499794333733E-7</c:v>
                </c:pt>
                <c:pt idx="5">
                  <c:v>1.73226103913565E-7</c:v>
                </c:pt>
                <c:pt idx="6">
                  <c:v>3.3855813320528202E-7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0C7-E546-A4EE-26F1CCF08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416032"/>
        <c:axId val="1140835920"/>
      </c:scatterChart>
      <c:valAx>
        <c:axId val="8244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35920"/>
        <c:crosses val="autoZero"/>
        <c:crossBetween val="midCat"/>
      </c:valAx>
      <c:valAx>
        <c:axId val="1140835920"/>
        <c:scaling>
          <c:orientation val="minMax"/>
          <c:max val="1.5999999999999999E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4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876077703150811"/>
                  <c:y val="-9.9650590551181098E-2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u10mo!$O$4:$U$4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u10mo!$O$6:$U$6</c:f>
              <c:numCache>
                <c:formatCode>0.00E+00</c:formatCode>
                <c:ptCount val="7"/>
                <c:pt idx="0">
                  <c:v>2.5024402217580399E-7</c:v>
                </c:pt>
                <c:pt idx="1">
                  <c:v>2.52651821219531E-7</c:v>
                </c:pt>
                <c:pt idx="2">
                  <c:v>2.53342456378159E-7</c:v>
                </c:pt>
                <c:pt idx="3">
                  <c:v>2.5728060049426198E-7</c:v>
                </c:pt>
                <c:pt idx="4">
                  <c:v>2.71646397518938E-7</c:v>
                </c:pt>
                <c:pt idx="5">
                  <c:v>2.19024020475512E-7</c:v>
                </c:pt>
                <c:pt idx="6">
                  <c:v>3.16900458245706E-7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34-F543-B818-47207AD418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257394701619419"/>
                  <c:y val="4.24700938824954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u10mo!$O$4:$U$4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u10mo!$O$7:$U$7</c:f>
              <c:numCache>
                <c:formatCode>0.00E+00</c:formatCode>
                <c:ptCount val="7"/>
                <c:pt idx="0">
                  <c:v>1.4339706186604699E-7</c:v>
                </c:pt>
                <c:pt idx="1">
                  <c:v>1.43843291266782E-7</c:v>
                </c:pt>
                <c:pt idx="2">
                  <c:v>1.3767151154728899E-7</c:v>
                </c:pt>
                <c:pt idx="3">
                  <c:v>1.54890222621316E-7</c:v>
                </c:pt>
                <c:pt idx="4">
                  <c:v>1.4975911524563101E-7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34-F543-B818-47207AD4187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u10mo!$O$4:$U$4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u10mo!$O$8:$U$8</c:f>
              <c:numCache>
                <c:formatCode>0.00E+00</c:formatCode>
                <c:ptCount val="7"/>
                <c:pt idx="0">
                  <c:v>7.5766970436510902E-8</c:v>
                </c:pt>
                <c:pt idx="1">
                  <c:v>6.4400101777887004E-8</c:v>
                </c:pt>
                <c:pt idx="2">
                  <c:v>6.4093417879696994E-8</c:v>
                </c:pt>
                <c:pt idx="3">
                  <c:v>6.6530254183604604E-8</c:v>
                </c:pt>
                <c:pt idx="4">
                  <c:v>6.8396062658816495E-8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34-F543-B818-47207AD4187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u10mo!$O$4:$U$4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u10mo!$O$9:$U$9</c:f>
              <c:numCache>
                <c:formatCode>0.00E+00</c:formatCode>
                <c:ptCount val="7"/>
                <c:pt idx="0">
                  <c:v>2.75642803570089E-8</c:v>
                </c:pt>
                <c:pt idx="1">
                  <c:v>2.61388441701042E-8</c:v>
                </c:pt>
                <c:pt idx="2">
                  <c:v>2.0284068832220799E-8</c:v>
                </c:pt>
                <c:pt idx="3">
                  <c:v>2.9048263897847401E-8</c:v>
                </c:pt>
                <c:pt idx="4">
                  <c:v>3.16526050011251E-8</c:v>
                </c:pt>
                <c:pt idx="5">
                  <c:v>2.3654310194907999E-8</c:v>
                </c:pt>
                <c:pt idx="6">
                  <c:v>3.4228405073876897E-8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34-F543-B818-47207AD41876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u10mo!$O$4:$U$4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  <c:pt idx="5">
                  <c:v>40</c:v>
                </c:pt>
                <c:pt idx="6">
                  <c:v>-40</c:v>
                </c:pt>
              </c:numCache>
            </c:numRef>
          </c:xVal>
          <c:yVal>
            <c:numRef>
              <c:f>u10mo!$O$10:$U$10</c:f>
              <c:numCache>
                <c:formatCode>0.00E+00</c:formatCode>
                <c:ptCount val="7"/>
                <c:pt idx="0">
                  <c:v>9.0627559161478905E-9</c:v>
                </c:pt>
                <c:pt idx="1">
                  <c:v>6.4151084969624403E-9</c:v>
                </c:pt>
                <c:pt idx="2">
                  <c:v>1.18659055456386E-8</c:v>
                </c:pt>
                <c:pt idx="3">
                  <c:v>1.09261694877372E-8</c:v>
                </c:pt>
                <c:pt idx="4">
                  <c:v>6.6495730285757098E-9</c:v>
                </c:pt>
                <c:pt idx="5">
                  <c:v>7.9870609235288698E-9</c:v>
                </c:pt>
                <c:pt idx="6">
                  <c:v>8.3725787902197404E-9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34-F543-B818-47207AD41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416032"/>
        <c:axId val="1140835920"/>
      </c:scatterChart>
      <c:valAx>
        <c:axId val="82441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835920"/>
        <c:crosses val="autoZero"/>
        <c:crossBetween val="midCat"/>
      </c:valAx>
      <c:valAx>
        <c:axId val="1140835920"/>
        <c:scaling>
          <c:logBase val="10"/>
          <c:orientation val="minMax"/>
          <c:max val="9.9999999999999995E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41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6772528433945756E-2"/>
                  <c:y val="-0.22592483231262758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u5mo!$C$6:$C$10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u5mo!$E$12:$E$16</c:f>
              <c:numCache>
                <c:formatCode>0.0000E+00</c:formatCode>
                <c:ptCount val="5"/>
                <c:pt idx="0">
                  <c:v>7.0292110269245284E-5</c:v>
                </c:pt>
                <c:pt idx="1">
                  <c:v>5.7726662497692633E-5</c:v>
                </c:pt>
                <c:pt idx="2">
                  <c:v>4.5272222595012799E-5</c:v>
                </c:pt>
                <c:pt idx="3">
                  <c:v>3.449843313696236E-5</c:v>
                </c:pt>
                <c:pt idx="4">
                  <c:v>2.3852480048624229E-5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9-8A47-BFB3-BE25D20AB5D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822747156605424"/>
                  <c:y val="-4.7685185185185183E-3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u5mo!$C$6:$C$10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u5mo!$M$12:$M$16</c:f>
              <c:numCache>
                <c:formatCode>0.0000E+00</c:formatCode>
                <c:ptCount val="5"/>
                <c:pt idx="0">
                  <c:v>2.2285298619643835E-5</c:v>
                </c:pt>
                <c:pt idx="1">
                  <c:v>1.373286170522294E-5</c:v>
                </c:pt>
                <c:pt idx="2">
                  <c:v>7.652595909558241E-6</c:v>
                </c:pt>
                <c:pt idx="3">
                  <c:v>3.3437046266936902E-6</c:v>
                </c:pt>
                <c:pt idx="4">
                  <c:v>1.3105446660263599E-6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79-8A47-BFB3-BE25D20AB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407104"/>
        <c:axId val="1656493408"/>
      </c:scatterChart>
      <c:valAx>
        <c:axId val="1656407104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93408"/>
        <c:crosses val="autoZero"/>
        <c:crossBetween val="midCat"/>
      </c:valAx>
      <c:valAx>
        <c:axId val="1656493408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40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u15mo!$C$4:$C$8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u15mo!$E$10:$E$14</c:f>
              <c:numCache>
                <c:formatCode>0.0000E+00</c:formatCode>
                <c:ptCount val="5"/>
                <c:pt idx="0">
                  <c:v>3.6165074159986403E-5</c:v>
                </c:pt>
                <c:pt idx="1">
                  <c:v>2.5651353223214911E-5</c:v>
                </c:pt>
                <c:pt idx="2">
                  <c:v>1.7258581231892761E-5</c:v>
                </c:pt>
                <c:pt idx="3">
                  <c:v>8.8595803743289309E-6</c:v>
                </c:pt>
                <c:pt idx="4">
                  <c:v>4.3579437216786673E-6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1-2341-BBDF-39F05B6033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383005249343833"/>
                  <c:y val="-5.454578594342288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u15mo!$C$4:$C$8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u15mo!$M$10:$M$13</c:f>
              <c:numCache>
                <c:formatCode>0.0000E+00</c:formatCode>
                <c:ptCount val="4"/>
                <c:pt idx="0">
                  <c:v>6.7597090931927742E-6</c:v>
                </c:pt>
                <c:pt idx="1">
                  <c:v>3.4843752250606368E-6</c:v>
                </c:pt>
                <c:pt idx="2">
                  <c:v>1.449640271449526E-6</c:v>
                </c:pt>
                <c:pt idx="3">
                  <c:v>6.1174613663423452E-7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41-2341-BBDF-39F05B603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369920"/>
        <c:axId val="895371632"/>
      </c:scatterChart>
      <c:valAx>
        <c:axId val="895369920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371632"/>
        <c:crosses val="autoZero"/>
        <c:crossBetween val="midCat"/>
      </c:valAx>
      <c:valAx>
        <c:axId val="895371632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36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4.0439632545931758E-3"/>
                  <c:y val="-0.11436060075823855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bccU!$C$4:$C$8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bccU!$E$10:$E$14</c:f>
              <c:numCache>
                <c:formatCode>0.0000E+00</c:formatCode>
                <c:ptCount val="5"/>
                <c:pt idx="0">
                  <c:v>9.8026754291291685E-5</c:v>
                </c:pt>
                <c:pt idx="1">
                  <c:v>8.3521400362929999E-5</c:v>
                </c:pt>
                <c:pt idx="2">
                  <c:v>7.2439812613873478E-5</c:v>
                </c:pt>
                <c:pt idx="3">
                  <c:v>6.2745913987516554E-5</c:v>
                </c:pt>
                <c:pt idx="4">
                  <c:v>5.3009568274002203E-5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6-6046-8F75-DB7F413B672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bccU!$C$4:$C$8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bccU!$M$10:$M$14</c:f>
              <c:numCache>
                <c:formatCode>0.0000E+00</c:formatCode>
                <c:ptCount val="5"/>
                <c:pt idx="0">
                  <c:v>3.8185053867159656E-5</c:v>
                </c:pt>
                <c:pt idx="1">
                  <c:v>2.5130812277979265E-5</c:v>
                </c:pt>
                <c:pt idx="2">
                  <c:v>1.618303401020813E-5</c:v>
                </c:pt>
                <c:pt idx="3">
                  <c:v>9.5472221640766253E-6</c:v>
                </c:pt>
                <c:pt idx="4">
                  <c:v>4.9406300800514721E-6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06-6046-8F75-DB7F413B6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717984"/>
        <c:axId val="708683664"/>
      </c:scatterChart>
      <c:valAx>
        <c:axId val="708717984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683664"/>
        <c:crosses val="autoZero"/>
        <c:crossBetween val="midCat"/>
      </c:valAx>
      <c:valAx>
        <c:axId val="708683664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71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u10mo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summary!$B$7:$B$11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summary!$D$7:$D$11</c:f>
              <c:numCache>
                <c:formatCode>General</c:formatCode>
                <c:ptCount val="5"/>
                <c:pt idx="0">
                  <c:v>5.092410388168946E-5</c:v>
                </c:pt>
                <c:pt idx="1">
                  <c:v>3.8297706636324131E-5</c:v>
                </c:pt>
                <c:pt idx="2">
                  <c:v>2.8193587665254488E-5</c:v>
                </c:pt>
                <c:pt idx="3">
                  <c:v>1.7402578741961171E-5</c:v>
                </c:pt>
                <c:pt idx="4">
                  <c:v>1.0680069107916754E-5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7-CF47-A560-26DDF2456FB0}"/>
            </c:ext>
          </c:extLst>
        </c:ser>
        <c:ser>
          <c:idx val="1"/>
          <c:order val="1"/>
          <c:tx>
            <c:v>u5mo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summary!$B$16:$B$20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summary!$D$16:$D$20</c:f>
              <c:numCache>
                <c:formatCode>General</c:formatCode>
                <c:ptCount val="5"/>
                <c:pt idx="0">
                  <c:v>7.0292110269245284E-5</c:v>
                </c:pt>
                <c:pt idx="1">
                  <c:v>5.7726662497692633E-5</c:v>
                </c:pt>
                <c:pt idx="2">
                  <c:v>4.5272222595012799E-5</c:v>
                </c:pt>
                <c:pt idx="3">
                  <c:v>3.449843313696236E-5</c:v>
                </c:pt>
                <c:pt idx="4">
                  <c:v>2.3852480048624229E-5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7-CF47-A560-26DDF2456FB0}"/>
            </c:ext>
          </c:extLst>
        </c:ser>
        <c:ser>
          <c:idx val="2"/>
          <c:order val="2"/>
          <c:tx>
            <c:v>u15mo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summary!$B$25:$B$29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summary!$D$25:$D$29</c:f>
              <c:numCache>
                <c:formatCode>General</c:formatCode>
                <c:ptCount val="5"/>
                <c:pt idx="0">
                  <c:v>3.6165074159986403E-5</c:v>
                </c:pt>
                <c:pt idx="1">
                  <c:v>2.5651353223214911E-5</c:v>
                </c:pt>
                <c:pt idx="2">
                  <c:v>1.7258581231892761E-5</c:v>
                </c:pt>
                <c:pt idx="3">
                  <c:v>8.8595803743289309E-6</c:v>
                </c:pt>
                <c:pt idx="4">
                  <c:v>4.3579437216786673E-6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A7-CF47-A560-26DDF2456FB0}"/>
            </c:ext>
          </c:extLst>
        </c:ser>
        <c:ser>
          <c:idx val="3"/>
          <c:order val="3"/>
          <c:tx>
            <c:v>bccU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summary!$B$34:$B$38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summary!$D$34:$D$38</c:f>
              <c:numCache>
                <c:formatCode>General</c:formatCode>
                <c:ptCount val="5"/>
                <c:pt idx="0">
                  <c:v>9.8026754291291685E-5</c:v>
                </c:pt>
                <c:pt idx="1">
                  <c:v>8.3521400362929999E-5</c:v>
                </c:pt>
                <c:pt idx="2">
                  <c:v>7.2439812613873478E-5</c:v>
                </c:pt>
                <c:pt idx="3">
                  <c:v>6.2745913987516554E-5</c:v>
                </c:pt>
                <c:pt idx="4">
                  <c:v>5.3009568274002203E-5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A7-CF47-A560-26DDF2456FB0}"/>
            </c:ext>
          </c:extLst>
        </c:ser>
        <c:ser>
          <c:idx val="4"/>
          <c:order val="4"/>
          <c:tx>
            <c:v>bccMo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summary!$B$43:$B$49</c:f>
              <c:numCache>
                <c:formatCode>General</c:formatCode>
                <c:ptCount val="7"/>
                <c:pt idx="0">
                  <c:v>8.2889735100984563</c:v>
                </c:pt>
                <c:pt idx="1">
                  <c:v>8.9265868570291058</c:v>
                </c:pt>
                <c:pt idx="2">
                  <c:v>9.670469095114866</c:v>
                </c:pt>
                <c:pt idx="3">
                  <c:v>10.549602649216217</c:v>
                </c:pt>
                <c:pt idx="4">
                  <c:v>11.604562914137839</c:v>
                </c:pt>
                <c:pt idx="5">
                  <c:v>12.893958793486487</c:v>
                </c:pt>
                <c:pt idx="6">
                  <c:v>14.5057036426723</c:v>
                </c:pt>
              </c:numCache>
            </c:numRef>
          </c:xVal>
          <c:yVal>
            <c:numRef>
              <c:f>summary!$D$43:$D$49</c:f>
              <c:numCache>
                <c:formatCode>0.0000E+00</c:formatCode>
                <c:ptCount val="7"/>
                <c:pt idx="0">
                  <c:v>7.5884125235989867E-5</c:v>
                </c:pt>
                <c:pt idx="1">
                  <c:v>6.4743437417344248E-5</c:v>
                </c:pt>
                <c:pt idx="2" formatCode="General">
                  <c:v>5.3494445944211557E-5</c:v>
                </c:pt>
                <c:pt idx="3" formatCode="General">
                  <c:v>4.2470246687356521E-5</c:v>
                </c:pt>
                <c:pt idx="4" formatCode="General">
                  <c:v>3.2353460134435369E-5</c:v>
                </c:pt>
                <c:pt idx="5" formatCode="General">
                  <c:v>2.2127145426235138E-5</c:v>
                </c:pt>
                <c:pt idx="6" formatCode="General">
                  <c:v>1.3925379483171542E-5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A7-CF47-A560-26DDF2456FB0}"/>
            </c:ext>
          </c:extLst>
        </c:ser>
        <c:ser>
          <c:idx val="5"/>
          <c:order val="5"/>
          <c:tx>
            <c:v>u50mo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summary!$B$61:$B$64</c:f>
              <c:numCache>
                <c:formatCode>General</c:formatCode>
                <c:ptCount val="4"/>
                <c:pt idx="0">
                  <c:v>8.2889735100984563</c:v>
                </c:pt>
                <c:pt idx="1">
                  <c:v>8.9265868570291058</c:v>
                </c:pt>
                <c:pt idx="2">
                  <c:v>9.670469095114866</c:v>
                </c:pt>
                <c:pt idx="3">
                  <c:v>10.549602649216217</c:v>
                </c:pt>
              </c:numCache>
            </c:numRef>
          </c:xVal>
          <c:yVal>
            <c:numRef>
              <c:f>summary!$D$61:$D$64</c:f>
              <c:numCache>
                <c:formatCode>General</c:formatCode>
                <c:ptCount val="4"/>
                <c:pt idx="0">
                  <c:v>3.1373093779462575E-5</c:v>
                </c:pt>
                <c:pt idx="1">
                  <c:v>2.0800802227676657E-5</c:v>
                </c:pt>
                <c:pt idx="2">
                  <c:v>1.1370818584925558E-5</c:v>
                </c:pt>
                <c:pt idx="3">
                  <c:v>5.9061611863109262E-6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A-784B-BDDF-F3A312643DF8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summary!$B$53:$B$57</c:f>
              <c:numCache>
                <c:formatCode>General</c:formatCode>
                <c:ptCount val="5"/>
                <c:pt idx="0">
                  <c:v>8.2889735100984563</c:v>
                </c:pt>
                <c:pt idx="1">
                  <c:v>8.9265868570291058</c:v>
                </c:pt>
                <c:pt idx="2">
                  <c:v>9.670469095114866</c:v>
                </c:pt>
                <c:pt idx="3">
                  <c:v>10.549602649216217</c:v>
                </c:pt>
                <c:pt idx="4">
                  <c:v>11.604562914137839</c:v>
                </c:pt>
              </c:numCache>
            </c:numRef>
          </c:xVal>
          <c:yVal>
            <c:numRef>
              <c:f>summary!$D$53:$D$57</c:f>
              <c:numCache>
                <c:formatCode>General</c:formatCode>
                <c:ptCount val="5"/>
                <c:pt idx="0" formatCode="0.0000E+00">
                  <c:v>4.1261161631671457E-5</c:v>
                </c:pt>
                <c:pt idx="1">
                  <c:v>2.9944514031675467E-5</c:v>
                </c:pt>
                <c:pt idx="2">
                  <c:v>1.8590684784734281E-5</c:v>
                </c:pt>
                <c:pt idx="3">
                  <c:v>1.1063711765148486E-5</c:v>
                </c:pt>
                <c:pt idx="4">
                  <c:v>5.4404033921933006E-6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EA-784B-BDDF-F3A31264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76384"/>
        <c:axId val="541218432"/>
      </c:scatterChart>
      <c:valAx>
        <c:axId val="555376384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18432"/>
        <c:crosses val="autoZero"/>
        <c:crossBetween val="midCat"/>
      </c:valAx>
      <c:valAx>
        <c:axId val="541218432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summary!$B$7:$B$11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summary!$L$7:$L$11</c:f>
              <c:numCache>
                <c:formatCode>General</c:formatCode>
                <c:ptCount val="5"/>
                <c:pt idx="0">
                  <c:v>1.1442407913988637E-5</c:v>
                </c:pt>
                <c:pt idx="1">
                  <c:v>6.5568306538249988E-6</c:v>
                </c:pt>
                <c:pt idx="2">
                  <c:v>3.4644447232094606E-6</c:v>
                </c:pt>
                <c:pt idx="3">
                  <c:v>1.2603767193242319E-6</c:v>
                </c:pt>
                <c:pt idx="4">
                  <c:v>4.1439451426586226E-7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33-0040-BBE5-D61CB273827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summary!$B$16:$B$20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summary!$L$16:$L$20</c:f>
              <c:numCache>
                <c:formatCode>General</c:formatCode>
                <c:ptCount val="5"/>
                <c:pt idx="0">
                  <c:v>2.2285298619643835E-5</c:v>
                </c:pt>
                <c:pt idx="1">
                  <c:v>1.373286170522294E-5</c:v>
                </c:pt>
                <c:pt idx="2">
                  <c:v>7.652595909558241E-6</c:v>
                </c:pt>
                <c:pt idx="3">
                  <c:v>3.3437046266936902E-6</c:v>
                </c:pt>
                <c:pt idx="4">
                  <c:v>1.3105446660263599E-6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33-0040-BBE5-D61CB273827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summary!$B$25:$B$29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summary!$L$25:$L$29</c:f>
              <c:numCache>
                <c:formatCode>General</c:formatCode>
                <c:ptCount val="5"/>
                <c:pt idx="0">
                  <c:v>6.7597090931927742E-6</c:v>
                </c:pt>
                <c:pt idx="1">
                  <c:v>3.4843752250606368E-6</c:v>
                </c:pt>
                <c:pt idx="2">
                  <c:v>1.449640271449526E-6</c:v>
                </c:pt>
                <c:pt idx="3">
                  <c:v>6.1174613663423452E-7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33-0040-BBE5-D61CB273827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summary!$B$34:$B$38</c:f>
              <c:numCache>
                <c:formatCode>General</c:formatCode>
                <c:ptCount val="5"/>
                <c:pt idx="0">
                  <c:v>9.670469095114866</c:v>
                </c:pt>
                <c:pt idx="1">
                  <c:v>10.549602649216217</c:v>
                </c:pt>
                <c:pt idx="2">
                  <c:v>11.604562914137839</c:v>
                </c:pt>
                <c:pt idx="3">
                  <c:v>12.893958793486487</c:v>
                </c:pt>
                <c:pt idx="4">
                  <c:v>14.5057036426723</c:v>
                </c:pt>
              </c:numCache>
            </c:numRef>
          </c:xVal>
          <c:yVal>
            <c:numRef>
              <c:f>summary!$L$34:$L$38</c:f>
              <c:numCache>
                <c:formatCode>General</c:formatCode>
                <c:ptCount val="5"/>
                <c:pt idx="0">
                  <c:v>3.8185053867159656E-5</c:v>
                </c:pt>
                <c:pt idx="1">
                  <c:v>2.5130812277979265E-5</c:v>
                </c:pt>
                <c:pt idx="2">
                  <c:v>1.618303401020813E-5</c:v>
                </c:pt>
                <c:pt idx="3">
                  <c:v>9.5472221640766253E-6</c:v>
                </c:pt>
                <c:pt idx="4">
                  <c:v>4.9406300800514721E-6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C-1B47-88B3-34FCBE9FDF5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summary!$B$43:$B$46</c:f>
              <c:numCache>
                <c:formatCode>General</c:formatCode>
                <c:ptCount val="4"/>
                <c:pt idx="0">
                  <c:v>8.2889735100984563</c:v>
                </c:pt>
                <c:pt idx="1">
                  <c:v>8.9265868570291058</c:v>
                </c:pt>
                <c:pt idx="2">
                  <c:v>9.670469095114866</c:v>
                </c:pt>
                <c:pt idx="3">
                  <c:v>10.549602649216217</c:v>
                </c:pt>
              </c:numCache>
            </c:numRef>
          </c:xVal>
          <c:yVal>
            <c:numRef>
              <c:f>summary!$L$43:$L$46</c:f>
              <c:numCache>
                <c:formatCode>0.0000E+00</c:formatCode>
                <c:ptCount val="4"/>
                <c:pt idx="0" formatCode="General">
                  <c:v>7.8808866842946179E-7</c:v>
                </c:pt>
                <c:pt idx="1">
                  <c:v>3.2864401233649184E-7</c:v>
                </c:pt>
                <c:pt idx="2">
                  <c:v>1.2612578636346326E-7</c:v>
                </c:pt>
                <c:pt idx="3">
                  <c:v>3.0493259034065925E-8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C-1B47-88B3-34FCBE9FDF55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summary!$B$54:$B$57</c:f>
              <c:numCache>
                <c:formatCode>General</c:formatCode>
                <c:ptCount val="4"/>
                <c:pt idx="0">
                  <c:v>8.9265868570291058</c:v>
                </c:pt>
                <c:pt idx="1">
                  <c:v>9.670469095114866</c:v>
                </c:pt>
                <c:pt idx="2">
                  <c:v>10.549602649216217</c:v>
                </c:pt>
                <c:pt idx="3">
                  <c:v>11.604562914137839</c:v>
                </c:pt>
              </c:numCache>
            </c:numRef>
          </c:xVal>
          <c:yVal>
            <c:numRef>
              <c:f>summary!$L$54:$L$57</c:f>
              <c:numCache>
                <c:formatCode>General</c:formatCode>
                <c:ptCount val="4"/>
                <c:pt idx="0">
                  <c:v>5.0519884583828364E-6</c:v>
                </c:pt>
                <c:pt idx="1">
                  <c:v>2.4493781143774093E-6</c:v>
                </c:pt>
                <c:pt idx="2">
                  <c:v>1.2200763002237876E-6</c:v>
                </c:pt>
                <c:pt idx="3">
                  <c:v>2.8946406962465296E-7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B3-6A41-AB5D-2A66BF59BD20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summary!$B$61:$B$64</c:f>
              <c:numCache>
                <c:formatCode>General</c:formatCode>
                <c:ptCount val="4"/>
                <c:pt idx="0">
                  <c:v>8.2889735100984563</c:v>
                </c:pt>
                <c:pt idx="1">
                  <c:v>8.9265868570291058</c:v>
                </c:pt>
                <c:pt idx="2">
                  <c:v>9.670469095114866</c:v>
                </c:pt>
                <c:pt idx="3">
                  <c:v>10.549602649216217</c:v>
                </c:pt>
              </c:numCache>
            </c:numRef>
          </c:xVal>
          <c:yVal>
            <c:numRef>
              <c:f>summary!$L$61:$L$64</c:f>
              <c:numCache>
                <c:formatCode>General</c:formatCode>
                <c:ptCount val="4"/>
                <c:pt idx="0">
                  <c:v>4.6908850250579452E-6</c:v>
                </c:pt>
                <c:pt idx="1">
                  <c:v>2.6151851043396464E-6</c:v>
                </c:pt>
                <c:pt idx="2">
                  <c:v>1.199583045128404E-6</c:v>
                </c:pt>
                <c:pt idx="3">
                  <c:v>6.3925628867080076E-7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B3-6A41-AB5D-2A66BF59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376384"/>
        <c:axId val="541218432"/>
      </c:scatterChart>
      <c:valAx>
        <c:axId val="555376384"/>
        <c:scaling>
          <c:orientation val="minMax"/>
          <c:min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218432"/>
        <c:crosses val="autoZero"/>
        <c:crossBetween val="midCat"/>
      </c:valAx>
      <c:valAx>
        <c:axId val="541218432"/>
        <c:scaling>
          <c:logBase val="10"/>
          <c:orientation val="minMax"/>
          <c:max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3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Interstitial Diffusivity vs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summary!$D$7:$H$7</c:f>
              <c:numCache>
                <c:formatCode>General</c:formatCode>
                <c:ptCount val="5"/>
                <c:pt idx="0">
                  <c:v>5.092410388168946E-5</c:v>
                </c:pt>
                <c:pt idx="1">
                  <c:v>4.9297734296438011E-5</c:v>
                </c:pt>
                <c:pt idx="2">
                  <c:v>4.6654469463169739E-5</c:v>
                </c:pt>
                <c:pt idx="3">
                  <c:v>5.2121530220104684E-5</c:v>
                </c:pt>
                <c:pt idx="4">
                  <c:v>5.3026110650558022E-5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8-A54D-AA2E-0FA6A824E59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summary!$D$8:$H$8</c:f>
              <c:numCache>
                <c:formatCode>General</c:formatCode>
                <c:ptCount val="5"/>
                <c:pt idx="0">
                  <c:v>3.8297706636324131E-5</c:v>
                </c:pt>
                <c:pt idx="1">
                  <c:v>3.8630511027789524E-5</c:v>
                </c:pt>
                <c:pt idx="2">
                  <c:v>3.6385252749859133E-5</c:v>
                </c:pt>
                <c:pt idx="3">
                  <c:v>4.0238583012870752E-5</c:v>
                </c:pt>
                <c:pt idx="4">
                  <c:v>4.1222181760650638E-5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F8-A54D-AA2E-0FA6A824E59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301076919702586E-3"/>
                  <c:y val="-6.89867233749066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summary!$D$9:$H$9</c:f>
              <c:numCache>
                <c:formatCode>General</c:formatCode>
                <c:ptCount val="5"/>
                <c:pt idx="0">
                  <c:v>2.8193587665254488E-5</c:v>
                </c:pt>
                <c:pt idx="1">
                  <c:v>2.6648285419724289E-5</c:v>
                </c:pt>
                <c:pt idx="2">
                  <c:v>2.577037052271707E-5</c:v>
                </c:pt>
                <c:pt idx="3">
                  <c:v>2.7876056344903544E-5</c:v>
                </c:pt>
                <c:pt idx="4">
                  <c:v>2.9786056305717903E-5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F8-A54D-AA2E-0FA6A824E59E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summary!$D$10:$H$10</c:f>
              <c:numCache>
                <c:formatCode>General</c:formatCode>
                <c:ptCount val="5"/>
                <c:pt idx="0">
                  <c:v>1.7402578741961171E-5</c:v>
                </c:pt>
                <c:pt idx="1">
                  <c:v>1.7184605390236487E-5</c:v>
                </c:pt>
                <c:pt idx="2">
                  <c:v>1.6479570923614631E-5</c:v>
                </c:pt>
                <c:pt idx="3">
                  <c:v>1.9021699497582625E-5</c:v>
                </c:pt>
                <c:pt idx="4">
                  <c:v>1.9399779774857544E-5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F8-A54D-AA2E-0FA6A824E59E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summary!$D$11:$H$11</c:f>
              <c:numCache>
                <c:formatCode>General</c:formatCode>
                <c:ptCount val="5"/>
                <c:pt idx="0">
                  <c:v>1.0680069107916754E-5</c:v>
                </c:pt>
                <c:pt idx="1">
                  <c:v>8.1789617374922078E-6</c:v>
                </c:pt>
                <c:pt idx="2">
                  <c:v>9.2606157572312902E-6</c:v>
                </c:pt>
                <c:pt idx="3">
                  <c:v>1.0894306249557404E-5</c:v>
                </c:pt>
                <c:pt idx="4">
                  <c:v>1.1549761425815505E-5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F8-A54D-AA2E-0FA6A824E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7440"/>
        <c:axId val="163733184"/>
      </c:scatterChart>
      <c:valAx>
        <c:axId val="1636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184"/>
        <c:crosses val="autoZero"/>
        <c:crossBetween val="midCat"/>
      </c:valAx>
      <c:valAx>
        <c:axId val="163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summary!$L$7:$P$7</c:f>
              <c:numCache>
                <c:formatCode>General</c:formatCode>
                <c:ptCount val="5"/>
                <c:pt idx="0">
                  <c:v>1.1442407913988637E-5</c:v>
                </c:pt>
                <c:pt idx="1">
                  <c:v>1.1552504525263053E-5</c:v>
                </c:pt>
                <c:pt idx="2">
                  <c:v>1.1584083817891319E-5</c:v>
                </c:pt>
                <c:pt idx="3">
                  <c:v>1.1764155457600128E-5</c:v>
                </c:pt>
                <c:pt idx="4">
                  <c:v>1.2421031526553439E-5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3-1840-BA43-92787478E7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summary!$L$8:$P$8</c:f>
              <c:numCache>
                <c:formatCode>General</c:formatCode>
                <c:ptCount val="5"/>
                <c:pt idx="0">
                  <c:v>6.5568306538249988E-6</c:v>
                </c:pt>
                <c:pt idx="1">
                  <c:v>6.5772344931736062E-6</c:v>
                </c:pt>
                <c:pt idx="2">
                  <c:v>6.2950298654997885E-6</c:v>
                </c:pt>
                <c:pt idx="3">
                  <c:v>7.0823554293596741E-6</c:v>
                </c:pt>
                <c:pt idx="4">
                  <c:v>6.847735544606478E-6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3-1840-BA43-92787478E76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summary!$L$9:$P$9</c:f>
              <c:numCache>
                <c:formatCode>General</c:formatCode>
                <c:ptCount val="5"/>
                <c:pt idx="0">
                  <c:v>3.4644447232094606E-6</c:v>
                </c:pt>
                <c:pt idx="1">
                  <c:v>2.9446946537938828E-6</c:v>
                </c:pt>
                <c:pt idx="2">
                  <c:v>2.9306715325491448E-6</c:v>
                </c:pt>
                <c:pt idx="3">
                  <c:v>3.0420958725453197E-6</c:v>
                </c:pt>
                <c:pt idx="4">
                  <c:v>3.1274099650743838E-6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A3-1840-BA43-92787478E76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summary!$L$10:$P$10</c:f>
              <c:numCache>
                <c:formatCode>General</c:formatCode>
                <c:ptCount val="5"/>
                <c:pt idx="0">
                  <c:v>1.2603767193242319E-6</c:v>
                </c:pt>
                <c:pt idx="1">
                  <c:v>1.1951986496780146E-6</c:v>
                </c:pt>
                <c:pt idx="2">
                  <c:v>9.2748904735329595E-7</c:v>
                </c:pt>
                <c:pt idx="3">
                  <c:v>1.3282318667290722E-6</c:v>
                </c:pt>
                <c:pt idx="4">
                  <c:v>1.4473153636764452E-6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A3-1840-BA43-92787478E76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summary!$L$11:$P$11</c:f>
              <c:numCache>
                <c:formatCode>General</c:formatCode>
                <c:ptCount val="5"/>
                <c:pt idx="0">
                  <c:v>4.1439451426586226E-7</c:v>
                </c:pt>
                <c:pt idx="1">
                  <c:v>2.9333083602360756E-7</c:v>
                </c:pt>
                <c:pt idx="2">
                  <c:v>5.425685310743249E-7</c:v>
                </c:pt>
                <c:pt idx="3">
                  <c:v>4.9959909982678342E-7</c:v>
                </c:pt>
                <c:pt idx="4">
                  <c:v>3.0405172673162427E-7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A3-1840-BA43-92787478E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7440"/>
        <c:axId val="163733184"/>
      </c:scatterChart>
      <c:valAx>
        <c:axId val="1636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184"/>
        <c:crosses val="autoZero"/>
        <c:crossBetween val="midCat"/>
      </c:valAx>
      <c:valAx>
        <c:axId val="163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summary!$L$34:$P$34</c:f>
              <c:numCache>
                <c:formatCode>General</c:formatCode>
                <c:ptCount val="5"/>
                <c:pt idx="0">
                  <c:v>3.8185053867159656E-5</c:v>
                </c:pt>
                <c:pt idx="1">
                  <c:v>3.9408700690619492E-5</c:v>
                </c:pt>
                <c:pt idx="2">
                  <c:v>4.0975197785162475E-5</c:v>
                </c:pt>
                <c:pt idx="3">
                  <c:v>3.7556347785381837E-5</c:v>
                </c:pt>
                <c:pt idx="4">
                  <c:v>3.4467827910375239E-5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C-6F42-8648-3BBB8CCA69D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summary!$L$35:$P$35</c:f>
              <c:numCache>
                <c:formatCode>General</c:formatCode>
                <c:ptCount val="5"/>
                <c:pt idx="0">
                  <c:v>2.5130812277979265E-5</c:v>
                </c:pt>
                <c:pt idx="1">
                  <c:v>2.7281548597583104E-5</c:v>
                </c:pt>
                <c:pt idx="2">
                  <c:v>2.765430093688068E-5</c:v>
                </c:pt>
                <c:pt idx="3">
                  <c:v>2.3388615266771722E-5</c:v>
                </c:pt>
                <c:pt idx="4">
                  <c:v>2.2439377029509901E-5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C-6F42-8648-3BBB8CCA69D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summary!$L$36:$P$36</c:f>
              <c:numCache>
                <c:formatCode>General</c:formatCode>
                <c:ptCount val="5"/>
                <c:pt idx="0">
                  <c:v>1.618303401020813E-5</c:v>
                </c:pt>
                <c:pt idx="1">
                  <c:v>1.7644664360604235E-5</c:v>
                </c:pt>
                <c:pt idx="2">
                  <c:v>1.9153751597177373E-5</c:v>
                </c:pt>
                <c:pt idx="3">
                  <c:v>1.4868331188061309E-5</c:v>
                </c:pt>
                <c:pt idx="4">
                  <c:v>1.2665068168531416E-5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6C-6F42-8648-3BBB8CCA69D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summary!$L$37:$P$37</c:f>
              <c:numCache>
                <c:formatCode>General</c:formatCode>
                <c:ptCount val="5"/>
                <c:pt idx="0">
                  <c:v>9.5472221640766253E-6</c:v>
                </c:pt>
                <c:pt idx="1">
                  <c:v>1.0790344080630763E-5</c:v>
                </c:pt>
                <c:pt idx="2">
                  <c:v>1.1743817371919544E-5</c:v>
                </c:pt>
                <c:pt idx="3">
                  <c:v>8.1725187107412813E-6</c:v>
                </c:pt>
                <c:pt idx="4">
                  <c:v>6.8428590319316646E-6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6C-6F42-8648-3BBB8CCA69D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summary!$L$38:$P$38</c:f>
              <c:numCache>
                <c:formatCode>General</c:formatCode>
                <c:ptCount val="5"/>
                <c:pt idx="0">
                  <c:v>4.9406300800514721E-6</c:v>
                </c:pt>
                <c:pt idx="1">
                  <c:v>5.6243985886654158E-6</c:v>
                </c:pt>
                <c:pt idx="2">
                  <c:v>6.3429044430872249E-6</c:v>
                </c:pt>
                <c:pt idx="3">
                  <c:v>3.9635189022310939E-6</c:v>
                </c:pt>
                <c:pt idx="4">
                  <c:v>3.0580680085073494E-6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6C-6F42-8648-3BBB8CCA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7440"/>
        <c:axId val="163733184"/>
      </c:scatterChart>
      <c:valAx>
        <c:axId val="1636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184"/>
        <c:crosses val="autoZero"/>
        <c:crossBetween val="midCat"/>
      </c:valAx>
      <c:valAx>
        <c:axId val="163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summary!$L$45:$P$45</c:f>
              <c:numCache>
                <c:formatCode>0.0000E+00</c:formatCode>
                <c:ptCount val="5"/>
                <c:pt idx="0">
                  <c:v>1.2612578636346326E-7</c:v>
                </c:pt>
                <c:pt idx="1">
                  <c:v>1.3969904171191634E-7</c:v>
                </c:pt>
                <c:pt idx="2">
                  <c:v>1.3558738779643227E-7</c:v>
                </c:pt>
                <c:pt idx="3">
                  <c:v>1.4077348021367264E-7</c:v>
                </c:pt>
                <c:pt idx="4">
                  <c:v>1.3290061557646655E-7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3-ED43-891F-1FC5C9377B1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summary!$L$46:$P$46</c:f>
              <c:numCache>
                <c:formatCode>0.0000E+00</c:formatCode>
                <c:ptCount val="5"/>
                <c:pt idx="0">
                  <c:v>3.0493259034065925E-8</c:v>
                </c:pt>
                <c:pt idx="1">
                  <c:v>4.8764950470394749E-8</c:v>
                </c:pt>
                <c:pt idx="2">
                  <c:v>5.0985225900536523E-8</c:v>
                </c:pt>
                <c:pt idx="3">
                  <c:v>4.5706272843210552E-8</c:v>
                </c:pt>
                <c:pt idx="4">
                  <c:v>4.2061947300048467E-8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A3-ED43-891F-1FC5C9377B1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summary!$L$47:$P$47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A3-ED43-891F-1FC5C9377B14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summary!$L$48:$P$48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A3-ED43-891F-1FC5C9377B14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summary!$L$5:$P$5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summary!$L$49:$P$49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A3-ED43-891F-1FC5C9377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7440"/>
        <c:axId val="163733184"/>
      </c:scatterChart>
      <c:valAx>
        <c:axId val="1636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184"/>
        <c:crosses val="autoZero"/>
        <c:crossBetween val="midCat"/>
      </c:valAx>
      <c:valAx>
        <c:axId val="163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summary!$D$34:$H$34</c:f>
              <c:numCache>
                <c:formatCode>General</c:formatCode>
                <c:ptCount val="5"/>
                <c:pt idx="0">
                  <c:v>9.8026754291291685E-5</c:v>
                </c:pt>
                <c:pt idx="1">
                  <c:v>9.788330473454093E-5</c:v>
                </c:pt>
                <c:pt idx="2">
                  <c:v>9.7337688784131436E-5</c:v>
                </c:pt>
                <c:pt idx="3">
                  <c:v>9.8148347416613283E-5</c:v>
                </c:pt>
                <c:pt idx="4">
                  <c:v>9.4530524519482662E-5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6-DC4A-82FB-DD284442CF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summary!$D$35:$H$35</c:f>
              <c:numCache>
                <c:formatCode>General</c:formatCode>
                <c:ptCount val="5"/>
                <c:pt idx="0">
                  <c:v>8.3521400362929999E-5</c:v>
                </c:pt>
                <c:pt idx="1">
                  <c:v>8.3969169816670459E-5</c:v>
                </c:pt>
                <c:pt idx="2">
                  <c:v>8.3979337447858586E-5</c:v>
                </c:pt>
                <c:pt idx="3">
                  <c:v>8.2953906864146321E-5</c:v>
                </c:pt>
                <c:pt idx="4">
                  <c:v>8.2638996467713686E-5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D6-DC4A-82FB-DD284442CF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689338275612482E-3"/>
                  <c:y val="0.211344042761078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summary!$D$36:$H$36</c:f>
              <c:numCache>
                <c:formatCode>General</c:formatCode>
                <c:ptCount val="5"/>
                <c:pt idx="0">
                  <c:v>7.2439812613873478E-5</c:v>
                </c:pt>
                <c:pt idx="1">
                  <c:v>7.3417840184800156E-5</c:v>
                </c:pt>
                <c:pt idx="2">
                  <c:v>7.3961755988295651E-5</c:v>
                </c:pt>
                <c:pt idx="3">
                  <c:v>7.3801573444577041E-5</c:v>
                </c:pt>
                <c:pt idx="4">
                  <c:v>7.1361276789823114E-5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D6-DC4A-82FB-DD284442CFC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summary!$D$37:$H$37</c:f>
              <c:numCache>
                <c:formatCode>General</c:formatCode>
                <c:ptCount val="5"/>
                <c:pt idx="0">
                  <c:v>6.2745913987516554E-5</c:v>
                </c:pt>
                <c:pt idx="1">
                  <c:v>6.3080383281199841E-5</c:v>
                </c:pt>
                <c:pt idx="2">
                  <c:v>6.4003210527041645E-5</c:v>
                </c:pt>
                <c:pt idx="3">
                  <c:v>6.2698212565542345E-5</c:v>
                </c:pt>
                <c:pt idx="4">
                  <c:v>6.1839846196209974E-5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D6-DC4A-82FB-DD284442CFC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summary!$D$38:$H$38</c:f>
              <c:numCache>
                <c:formatCode>General</c:formatCode>
                <c:ptCount val="5"/>
                <c:pt idx="0">
                  <c:v>5.3009568274002203E-5</c:v>
                </c:pt>
                <c:pt idx="1">
                  <c:v>5.3737250310694221E-5</c:v>
                </c:pt>
                <c:pt idx="2">
                  <c:v>5.3433096818922869E-5</c:v>
                </c:pt>
                <c:pt idx="3">
                  <c:v>5.1951283859561979E-5</c:v>
                </c:pt>
                <c:pt idx="4">
                  <c:v>5.2221238763927792E-5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D6-DC4A-82FB-DD284442C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7440"/>
        <c:axId val="163733184"/>
      </c:scatterChart>
      <c:valAx>
        <c:axId val="1636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184"/>
        <c:crosses val="autoZero"/>
        <c:crossBetween val="midCat"/>
      </c:valAx>
      <c:valAx>
        <c:axId val="163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summary!$D$45:$H$45</c:f>
              <c:numCache>
                <c:formatCode>General</c:formatCode>
                <c:ptCount val="5"/>
                <c:pt idx="0">
                  <c:v>5.3494445944211557E-5</c:v>
                </c:pt>
                <c:pt idx="1">
                  <c:v>5.4235848396445759E-5</c:v>
                </c:pt>
                <c:pt idx="2">
                  <c:v>5.3909285880964689E-5</c:v>
                </c:pt>
                <c:pt idx="3">
                  <c:v>5.3615921751218695E-5</c:v>
                </c:pt>
                <c:pt idx="4">
                  <c:v>5.3249748022089621E-5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1-4E49-A6D7-CF2AE76C90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summary!$D$46:$H$46</c:f>
              <c:numCache>
                <c:formatCode>General</c:formatCode>
                <c:ptCount val="5"/>
                <c:pt idx="0">
                  <c:v>4.2470246687356521E-5</c:v>
                </c:pt>
                <c:pt idx="1">
                  <c:v>4.2671183810671855E-5</c:v>
                </c:pt>
                <c:pt idx="2">
                  <c:v>4.3569370518182463E-5</c:v>
                </c:pt>
                <c:pt idx="3">
                  <c:v>4.209888481209641E-5</c:v>
                </c:pt>
                <c:pt idx="4">
                  <c:v>4.2993999142461786E-5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81-4E49-A6D7-CF2AE76C90F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5544491478955105E-3"/>
                  <c:y val="-3.90401747226852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summary!$D$47:$H$47</c:f>
              <c:numCache>
                <c:formatCode>General</c:formatCode>
                <c:ptCount val="5"/>
                <c:pt idx="0">
                  <c:v>3.2353460134435369E-5</c:v>
                </c:pt>
                <c:pt idx="1">
                  <c:v>3.221247198673789E-5</c:v>
                </c:pt>
                <c:pt idx="2">
                  <c:v>3.3084024372763509E-5</c:v>
                </c:pt>
                <c:pt idx="3">
                  <c:v>3.1588570499403371E-5</c:v>
                </c:pt>
                <c:pt idx="4">
                  <c:v>3.1632991098414152E-5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81-4E49-A6D7-CF2AE76C90F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summary!$D$48:$H$48</c:f>
              <c:numCache>
                <c:formatCode>General</c:formatCode>
                <c:ptCount val="5"/>
                <c:pt idx="0">
                  <c:v>2.2127145426235138E-5</c:v>
                </c:pt>
                <c:pt idx="1">
                  <c:v>2.2816865903542848E-5</c:v>
                </c:pt>
                <c:pt idx="2">
                  <c:v>2.2991526033781998E-5</c:v>
                </c:pt>
                <c:pt idx="3">
                  <c:v>2.2240381713792757E-5</c:v>
                </c:pt>
                <c:pt idx="4">
                  <c:v>2.2103707869795913E-5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81-4E49-A6D7-CF2AE76C90F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summary!$D$5:$H$5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summary!$D$49:$H$49</c:f>
              <c:numCache>
                <c:formatCode>General</c:formatCode>
                <c:ptCount val="5"/>
                <c:pt idx="0">
                  <c:v>1.3925379483171542E-5</c:v>
                </c:pt>
                <c:pt idx="1">
                  <c:v>1.4701755471208739E-5</c:v>
                </c:pt>
                <c:pt idx="2">
                  <c:v>1.4558723751898416E-5</c:v>
                </c:pt>
                <c:pt idx="3">
                  <c:v>1.3891755416151417E-5</c:v>
                </c:pt>
                <c:pt idx="4">
                  <c:v>1.3678028037874853E-5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81-4E49-A6D7-CF2AE76C9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7440"/>
        <c:axId val="163733184"/>
      </c:scatterChart>
      <c:valAx>
        <c:axId val="16360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184"/>
        <c:crosses val="autoZero"/>
        <c:crossBetween val="midCat"/>
      </c:valAx>
      <c:valAx>
        <c:axId val="1637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summary!$R$7:$R$13</c:f>
              <c:numCache>
                <c:formatCode>General</c:formatCode>
                <c:ptCount val="7"/>
                <c:pt idx="0">
                  <c:v>0.22</c:v>
                </c:pt>
                <c:pt idx="1">
                  <c:v>0.12</c:v>
                </c:pt>
                <c:pt idx="2">
                  <c:v>0.3</c:v>
                </c:pt>
                <c:pt idx="3">
                  <c:v>0</c:v>
                </c:pt>
                <c:pt idx="4">
                  <c:v>1</c:v>
                </c:pt>
                <c:pt idx="5">
                  <c:v>0.52</c:v>
                </c:pt>
                <c:pt idx="6">
                  <c:v>0.71</c:v>
                </c:pt>
              </c:numCache>
            </c:numRef>
          </c:xVal>
          <c:yVal>
            <c:numRef>
              <c:f>summary!$S$7:$S$13</c:f>
              <c:numCache>
                <c:formatCode>General</c:formatCode>
                <c:ptCount val="7"/>
                <c:pt idx="0">
                  <c:v>5.092410388168946E-5</c:v>
                </c:pt>
                <c:pt idx="1">
                  <c:v>7.0292110269245284E-5</c:v>
                </c:pt>
                <c:pt idx="2">
                  <c:v>3.6165074159986403E-5</c:v>
                </c:pt>
                <c:pt idx="3">
                  <c:v>9.8026754291291685E-5</c:v>
                </c:pt>
                <c:pt idx="4">
                  <c:v>5.3494445944211557E-5</c:v>
                </c:pt>
                <c:pt idx="5">
                  <c:v>1.8590684784734281E-5</c:v>
                </c:pt>
                <c:pt idx="6">
                  <c:v>1.1370818584925558E-5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0-5749-A4B9-FEF58BC6CE6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summary!$R$7:$R$13</c:f>
              <c:numCache>
                <c:formatCode>General</c:formatCode>
                <c:ptCount val="7"/>
                <c:pt idx="0">
                  <c:v>0.22</c:v>
                </c:pt>
                <c:pt idx="1">
                  <c:v>0.12</c:v>
                </c:pt>
                <c:pt idx="2">
                  <c:v>0.3</c:v>
                </c:pt>
                <c:pt idx="3">
                  <c:v>0</c:v>
                </c:pt>
                <c:pt idx="4">
                  <c:v>1</c:v>
                </c:pt>
                <c:pt idx="5">
                  <c:v>0.52</c:v>
                </c:pt>
                <c:pt idx="6">
                  <c:v>0.71</c:v>
                </c:pt>
              </c:numCache>
            </c:numRef>
          </c:xVal>
          <c:yVal>
            <c:numRef>
              <c:f>summary!$T$7:$T$13</c:f>
              <c:numCache>
                <c:formatCode>General</c:formatCode>
                <c:ptCount val="7"/>
                <c:pt idx="0">
                  <c:v>1.1442407913988637E-5</c:v>
                </c:pt>
                <c:pt idx="1">
                  <c:v>2.2285298619643835E-5</c:v>
                </c:pt>
                <c:pt idx="2">
                  <c:v>6.7597090931927742E-6</c:v>
                </c:pt>
                <c:pt idx="3">
                  <c:v>3.8185053867159656E-5</c:v>
                </c:pt>
                <c:pt idx="4" formatCode="0.0000E+00">
                  <c:v>1.2612578636346326E-7</c:v>
                </c:pt>
                <c:pt idx="5">
                  <c:v>2.4493781143774093E-6</c:v>
                </c:pt>
                <c:pt idx="6">
                  <c:v>1.199583045128404E-6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0-5749-A4B9-FEF58BC6C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457583"/>
        <c:axId val="2051665119"/>
      </c:scatterChart>
      <c:valAx>
        <c:axId val="12444575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65119"/>
        <c:crosses val="autoZero"/>
        <c:crossBetween val="midCat"/>
      </c:valAx>
      <c:valAx>
        <c:axId val="2051665119"/>
        <c:scaling>
          <c:logBase val="10"/>
          <c:orientation val="minMax"/>
          <c:max val="1E-3"/>
          <c:min val="1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45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fits'!$O$6:$O$12</c:f>
              <c:numCache>
                <c:formatCode>General</c:formatCode>
                <c:ptCount val="7"/>
                <c:pt idx="0">
                  <c:v>0.22</c:v>
                </c:pt>
                <c:pt idx="1">
                  <c:v>0.15</c:v>
                </c:pt>
                <c:pt idx="2">
                  <c:v>0.3</c:v>
                </c:pt>
                <c:pt idx="3">
                  <c:v>0</c:v>
                </c:pt>
                <c:pt idx="4">
                  <c:v>1</c:v>
                </c:pt>
                <c:pt idx="5">
                  <c:v>0.52</c:v>
                </c:pt>
                <c:pt idx="6">
                  <c:v>0.71</c:v>
                </c:pt>
              </c:numCache>
            </c:numRef>
          </c:xVal>
          <c:yVal>
            <c:numRef>
              <c:f>'summary fits'!$R$6:$R$12</c:f>
              <c:numCache>
                <c:formatCode>0.000E+00</c:formatCode>
                <c:ptCount val="7"/>
                <c:pt idx="0">
                  <c:v>1.1966836456386361E-3</c:v>
                </c:pt>
                <c:pt idx="1">
                  <c:v>6.0483210278370106E-4</c:v>
                </c:pt>
                <c:pt idx="2">
                  <c:v>2.7274478944634252E-3</c:v>
                </c:pt>
                <c:pt idx="3">
                  <c:v>3.1597696053197399E-4</c:v>
                </c:pt>
                <c:pt idx="4">
                  <c:v>7.4263491773062125E-4</c:v>
                </c:pt>
                <c:pt idx="5">
                  <c:v>8.5543547807331484E-3</c:v>
                </c:pt>
                <c:pt idx="6">
                  <c:v>1.5758492347564556E-2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7-D045-B17E-82DAC63FF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1424"/>
        <c:axId val="160118320"/>
      </c:scatterChart>
      <c:valAx>
        <c:axId val="160361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8320"/>
        <c:crosses val="autoZero"/>
        <c:crossBetween val="midCat"/>
      </c:valAx>
      <c:valAx>
        <c:axId val="1601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'summary fits'!$N$29:$R$29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-5</c:v>
                </c:pt>
                <c:pt idx="4">
                  <c:v>-10</c:v>
                </c:pt>
              </c:numCache>
            </c:numRef>
          </c:xVal>
          <c:yVal>
            <c:numRef>
              <c:f>'summary fits'!$N$30:$R$30</c:f>
              <c:numCache>
                <c:formatCode>General</c:formatCode>
                <c:ptCount val="5"/>
                <c:pt idx="0">
                  <c:v>-0.12453809661969778</c:v>
                </c:pt>
                <c:pt idx="1">
                  <c:v>-0.12215546255457164</c:v>
                </c:pt>
                <c:pt idx="2">
                  <c:v>-0.1214482101770919</c:v>
                </c:pt>
                <c:pt idx="3">
                  <c:v>-0.12814339785599374</c:v>
                </c:pt>
                <c:pt idx="4">
                  <c:v>-0.12172447248027196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9-224C-BD96-2D1BFA0F7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215568"/>
        <c:axId val="917251056"/>
      </c:scatterChart>
      <c:valAx>
        <c:axId val="917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51056"/>
        <c:crosses val="autoZero"/>
        <c:crossBetween val="midCat"/>
      </c:valAx>
      <c:valAx>
        <c:axId val="9172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fits'!$AG$6:$AG$12</c:f>
              <c:numCache>
                <c:formatCode>General</c:formatCode>
                <c:ptCount val="7"/>
                <c:pt idx="0">
                  <c:v>0.22</c:v>
                </c:pt>
                <c:pt idx="1">
                  <c:v>0.15</c:v>
                </c:pt>
                <c:pt idx="2">
                  <c:v>0.3</c:v>
                </c:pt>
                <c:pt idx="3">
                  <c:v>0</c:v>
                </c:pt>
                <c:pt idx="4">
                  <c:v>1</c:v>
                </c:pt>
                <c:pt idx="5">
                  <c:v>0.52</c:v>
                </c:pt>
                <c:pt idx="6">
                  <c:v>0.71</c:v>
                </c:pt>
              </c:numCache>
            </c:numRef>
          </c:xVal>
          <c:yVal>
            <c:numRef>
              <c:f>'summary fits'!$AJ$6:$AJ$12</c:f>
              <c:numCache>
                <c:formatCode>0.000E+00</c:formatCode>
                <c:ptCount val="7"/>
                <c:pt idx="0">
                  <c:v>9.7018995885251539E-3</c:v>
                </c:pt>
                <c:pt idx="1">
                  <c:v>6.9061340602424954E-3</c:v>
                </c:pt>
                <c:pt idx="2">
                  <c:v>9.5398297521739981E-3</c:v>
                </c:pt>
                <c:pt idx="3">
                  <c:v>2.1498556107724452E-3</c:v>
                </c:pt>
                <c:pt idx="4">
                  <c:v>0.11325582846207408</c:v>
                </c:pt>
                <c:pt idx="5">
                  <c:v>8.7966804282293021E-3</c:v>
                </c:pt>
                <c:pt idx="6">
                  <c:v>7.5502925302396301E-3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8-BB46-B7AB-06F02089A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1424"/>
        <c:axId val="160118320"/>
      </c:scatterChart>
      <c:valAx>
        <c:axId val="160361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8320"/>
        <c:crosses val="autoZero"/>
        <c:crossBetween val="midCat"/>
      </c:valAx>
      <c:valAx>
        <c:axId val="1601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fits'!$AW$7:$AW$13</c:f>
              <c:numCache>
                <c:formatCode>General</c:formatCode>
                <c:ptCount val="7"/>
                <c:pt idx="0">
                  <c:v>0.22</c:v>
                </c:pt>
                <c:pt idx="1">
                  <c:v>0.15</c:v>
                </c:pt>
                <c:pt idx="2">
                  <c:v>0.3</c:v>
                </c:pt>
                <c:pt idx="3">
                  <c:v>0</c:v>
                </c:pt>
                <c:pt idx="4">
                  <c:v>0.52</c:v>
                </c:pt>
                <c:pt idx="5">
                  <c:v>1</c:v>
                </c:pt>
                <c:pt idx="6">
                  <c:v>0.71</c:v>
                </c:pt>
              </c:numCache>
            </c:numRef>
          </c:xVal>
          <c:yVal>
            <c:numRef>
              <c:f>'summary fits'!$AX$7:$AX$13</c:f>
              <c:numCache>
                <c:formatCode>General</c:formatCode>
                <c:ptCount val="7"/>
                <c:pt idx="0">
                  <c:v>-1.9555508930711228E-8</c:v>
                </c:pt>
                <c:pt idx="1">
                  <c:v>-2.0114747349890359E-8</c:v>
                </c:pt>
                <c:pt idx="2">
                  <c:v>-1.5943764102244538E-8</c:v>
                </c:pt>
                <c:pt idx="3">
                  <c:v>2.6237547374263697E-7</c:v>
                </c:pt>
                <c:pt idx="4">
                  <c:v>-9.9074242017826737E-9</c:v>
                </c:pt>
                <c:pt idx="5">
                  <c:v>6.7158894608013773E-10</c:v>
                </c:pt>
                <c:pt idx="6">
                  <c:v>-2.4464593829941192E-9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7-A54C-98E5-F28C4671D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1424"/>
        <c:axId val="160118320"/>
      </c:scatterChart>
      <c:valAx>
        <c:axId val="160361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8320"/>
        <c:crosses val="autoZero"/>
        <c:crossBetween val="midCat"/>
      </c:valAx>
      <c:valAx>
        <c:axId val="1601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'summary fits'!$BJ$7:$BJ$13</c:f>
              <c:numCache>
                <c:formatCode>General</c:formatCode>
                <c:ptCount val="7"/>
                <c:pt idx="0">
                  <c:v>0.22</c:v>
                </c:pt>
                <c:pt idx="1">
                  <c:v>0.15</c:v>
                </c:pt>
                <c:pt idx="2">
                  <c:v>0.3</c:v>
                </c:pt>
                <c:pt idx="3">
                  <c:v>0</c:v>
                </c:pt>
                <c:pt idx="4">
                  <c:v>0.52</c:v>
                </c:pt>
                <c:pt idx="5">
                  <c:v>1</c:v>
                </c:pt>
                <c:pt idx="6">
                  <c:v>0.71</c:v>
                </c:pt>
              </c:numCache>
            </c:numRef>
          </c:xVal>
          <c:yVal>
            <c:numRef>
              <c:f>'summary fits'!$BK$7:$BK$13</c:f>
              <c:numCache>
                <c:formatCode>General</c:formatCode>
                <c:ptCount val="7"/>
                <c:pt idx="0">
                  <c:v>-2.0431719382141597E-7</c:v>
                </c:pt>
                <c:pt idx="1">
                  <c:v>-1.3736656924807227E-7</c:v>
                </c:pt>
                <c:pt idx="2">
                  <c:v>-1.8675242354416351E-7</c:v>
                </c:pt>
                <c:pt idx="3">
                  <c:v>9.1124151342602243E-8</c:v>
                </c:pt>
                <c:pt idx="4">
                  <c:v>-1.2976602531205245E-7</c:v>
                </c:pt>
                <c:pt idx="5">
                  <c:v>2.7744271492817047E-8</c:v>
                </c:pt>
                <c:pt idx="6">
                  <c:v>-1.2712559969533403E-7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89-3E4F-93D4-CC36BB48F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1424"/>
        <c:axId val="160118320"/>
      </c:scatterChart>
      <c:valAx>
        <c:axId val="1603614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8320"/>
        <c:crosses val="autoZero"/>
        <c:crossBetween val="midCat"/>
      </c:valAx>
      <c:valAx>
        <c:axId val="1601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311150</xdr:colOff>
      <xdr:row>3</xdr:row>
      <xdr:rowOff>139700</xdr:rowOff>
    </xdr:from>
    <xdr:to>
      <xdr:col>28</xdr:col>
      <xdr:colOff>330200</xdr:colOff>
      <xdr:row>16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9EDD5-2F9E-3123-BD6D-C4AAD0D5B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76200</xdr:colOff>
      <xdr:row>3</xdr:row>
      <xdr:rowOff>152400</xdr:rowOff>
    </xdr:from>
    <xdr:to>
      <xdr:col>34</xdr:col>
      <xdr:colOff>95250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13017-F152-ED4A-882A-92C6F6C658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546100</xdr:colOff>
      <xdr:row>3</xdr:row>
      <xdr:rowOff>139700</xdr:rowOff>
    </xdr:from>
    <xdr:to>
      <xdr:col>39</xdr:col>
      <xdr:colOff>565150</xdr:colOff>
      <xdr:row>16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833B01-CEE0-2244-98EA-16AE9826A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184150</xdr:colOff>
      <xdr:row>3</xdr:row>
      <xdr:rowOff>25400</xdr:rowOff>
    </xdr:from>
    <xdr:to>
      <xdr:col>22</xdr:col>
      <xdr:colOff>628650</xdr:colOff>
      <xdr:row>16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59A13C-ECAC-106E-30D5-F8B5F4BD9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590550</xdr:colOff>
      <xdr:row>0</xdr:row>
      <xdr:rowOff>190500</xdr:rowOff>
    </xdr:from>
    <xdr:to>
      <xdr:col>23</xdr:col>
      <xdr:colOff>209550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931BB9-4E97-F8E5-61EA-123C48267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425450</xdr:colOff>
      <xdr:row>1</xdr:row>
      <xdr:rowOff>38100</xdr:rowOff>
    </xdr:from>
    <xdr:to>
      <xdr:col>23</xdr:col>
      <xdr:colOff>44450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32817-7CD4-0C8A-ADF4-96DF972DF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158750</xdr:colOff>
      <xdr:row>3</xdr:row>
      <xdr:rowOff>38100</xdr:rowOff>
    </xdr:from>
    <xdr:to>
      <xdr:col>26</xdr:col>
      <xdr:colOff>533400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2936A-56A9-3F4E-E1A2-4A8FDF7D1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190500</xdr:colOff>
      <xdr:row>21</xdr:row>
      <xdr:rowOff>165100</xdr:rowOff>
    </xdr:from>
    <xdr:to>
      <xdr:col>26</xdr:col>
      <xdr:colOff>565150</xdr:colOff>
      <xdr:row>39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EE90C-9F7B-0E45-994A-C8E1AC55B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736600</xdr:colOff>
      <xdr:row>3</xdr:row>
      <xdr:rowOff>38100</xdr:rowOff>
    </xdr:from>
    <xdr:to>
      <xdr:col>32</xdr:col>
      <xdr:colOff>342900</xdr:colOff>
      <xdr:row>20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20A2AD-3DEC-79BB-9BED-2B2DF132C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0</xdr:colOff>
      <xdr:row>3</xdr:row>
      <xdr:rowOff>0</xdr:rowOff>
    </xdr:from>
    <xdr:to>
      <xdr:col>38</xdr:col>
      <xdr:colOff>431800</xdr:colOff>
      <xdr:row>20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F2FCABD-FF20-A44C-BFF6-A60C2C963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21</xdr:row>
      <xdr:rowOff>0</xdr:rowOff>
    </xdr:from>
    <xdr:to>
      <xdr:col>38</xdr:col>
      <xdr:colOff>431800</xdr:colOff>
      <xdr:row>38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AEA20D-879F-6642-9119-E7F789424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40</xdr:row>
      <xdr:rowOff>0</xdr:rowOff>
    </xdr:from>
    <xdr:to>
      <xdr:col>38</xdr:col>
      <xdr:colOff>431800</xdr:colOff>
      <xdr:row>58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3072C98-C243-0945-96CE-0D6464CD8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32</xdr:col>
      <xdr:colOff>431800</xdr:colOff>
      <xdr:row>39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095123-E313-4244-8275-218C3F771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41</xdr:row>
      <xdr:rowOff>0</xdr:rowOff>
    </xdr:from>
    <xdr:to>
      <xdr:col>32</xdr:col>
      <xdr:colOff>431800</xdr:colOff>
      <xdr:row>59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29E2FD-A7AC-AD43-9179-690203826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165100</xdr:colOff>
      <xdr:row>15</xdr:row>
      <xdr:rowOff>63500</xdr:rowOff>
    </xdr:from>
    <xdr:to>
      <xdr:col>20</xdr:col>
      <xdr:colOff>781050</xdr:colOff>
      <xdr:row>28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D814C5-15DA-2756-FEFC-FFA1B2971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482600</xdr:colOff>
      <xdr:row>13</xdr:row>
      <xdr:rowOff>114300</xdr:rowOff>
    </xdr:from>
    <xdr:to>
      <xdr:col>18</xdr:col>
      <xdr:colOff>381000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2328E7-61BE-4BB9-BEEB-46E3964B9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812800</xdr:colOff>
      <xdr:row>31</xdr:row>
      <xdr:rowOff>63500</xdr:rowOff>
    </xdr:from>
    <xdr:to>
      <xdr:col>18</xdr:col>
      <xdr:colOff>387350</xdr:colOff>
      <xdr:row>42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5AC34-AF71-EFD0-C092-27565473A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14</xdr:row>
      <xdr:rowOff>0</xdr:rowOff>
    </xdr:from>
    <xdr:to>
      <xdr:col>36</xdr:col>
      <xdr:colOff>723900</xdr:colOff>
      <xdr:row>27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406A37-6406-9B45-AF4C-C2B4ADF90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304800</xdr:colOff>
      <xdr:row>19</xdr:row>
      <xdr:rowOff>50800</xdr:rowOff>
    </xdr:from>
    <xdr:to>
      <xdr:col>44</xdr:col>
      <xdr:colOff>76200</xdr:colOff>
      <xdr:row>32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FD82DE-F917-F24C-82F6-C1FDBA76B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596900</xdr:colOff>
      <xdr:row>14</xdr:row>
      <xdr:rowOff>12700</xdr:rowOff>
    </xdr:from>
    <xdr:to>
      <xdr:col>55</xdr:col>
      <xdr:colOff>495300</xdr:colOff>
      <xdr:row>27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0451A4-DE7E-D046-93E4-8F3AD241F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3FAC-5150-1240-AFA1-6C4775590509}">
  <dimension ref="A1:AT87"/>
  <sheetViews>
    <sheetView tabSelected="1" topLeftCell="AD12" workbookViewId="0">
      <selection activeCell="AS35" sqref="AS35"/>
    </sheetView>
  </sheetViews>
  <sheetFormatPr baseColWidth="10" defaultRowHeight="16" x14ac:dyDescent="0.2"/>
  <cols>
    <col min="23" max="23" width="12.83203125" bestFit="1" customWidth="1"/>
  </cols>
  <sheetData>
    <row r="1" spans="1:24" x14ac:dyDescent="0.2">
      <c r="E1" t="s">
        <v>0</v>
      </c>
      <c r="F1" t="s">
        <v>1</v>
      </c>
      <c r="G1" t="s">
        <v>2</v>
      </c>
      <c r="H1" t="s">
        <v>3</v>
      </c>
      <c r="I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W1" t="s">
        <v>51</v>
      </c>
      <c r="X1" t="s">
        <v>53</v>
      </c>
    </row>
    <row r="2" spans="1:24" x14ac:dyDescent="0.2">
      <c r="B2" t="s">
        <v>11</v>
      </c>
      <c r="E2" s="1"/>
      <c r="F2" s="1"/>
      <c r="G2" s="1"/>
      <c r="H2" s="1"/>
      <c r="I2" s="1"/>
      <c r="O2" s="1"/>
      <c r="P2" s="1"/>
      <c r="Q2" s="1"/>
      <c r="V2" t="s">
        <v>50</v>
      </c>
      <c r="W2" s="2" cm="1">
        <f t="array" ref="W2:X2">LINEST(E12:K12,E4:K4)</f>
        <v>-2.5011728441407408E-7</v>
      </c>
      <c r="X2" s="2">
        <v>5.0616276743388769E-5</v>
      </c>
    </row>
    <row r="3" spans="1:24" x14ac:dyDescent="0.2">
      <c r="E3" s="2"/>
      <c r="F3" s="2"/>
      <c r="G3" s="2"/>
      <c r="H3" s="2"/>
      <c r="I3" s="2"/>
      <c r="J3" s="1"/>
      <c r="M3" s="1"/>
      <c r="O3" s="2"/>
      <c r="P3" s="2"/>
      <c r="Q3" s="2"/>
      <c r="R3" s="2"/>
      <c r="S3" s="2"/>
      <c r="T3" s="1"/>
      <c r="U3" s="1"/>
      <c r="V3" s="1" t="s">
        <v>52</v>
      </c>
      <c r="W3" s="2" cm="1">
        <f t="array" ref="W3:X3">LINEST(O12:U12,O4:U4)</f>
        <v>-5.462137287825837E-8</v>
      </c>
      <c r="X3" s="2">
        <v>1.1895618575832038E-5</v>
      </c>
    </row>
    <row r="4" spans="1:24" x14ac:dyDescent="0.2">
      <c r="D4" t="s">
        <v>12</v>
      </c>
      <c r="E4">
        <v>0</v>
      </c>
      <c r="F4">
        <v>5</v>
      </c>
      <c r="G4">
        <v>10</v>
      </c>
      <c r="H4">
        <v>-5</v>
      </c>
      <c r="I4">
        <v>-10</v>
      </c>
      <c r="J4">
        <v>40</v>
      </c>
      <c r="K4">
        <v>-40</v>
      </c>
      <c r="N4" t="s">
        <v>12</v>
      </c>
      <c r="O4">
        <v>0</v>
      </c>
      <c r="P4">
        <v>5</v>
      </c>
      <c r="Q4">
        <v>10</v>
      </c>
      <c r="R4">
        <v>-5</v>
      </c>
      <c r="S4">
        <v>-10</v>
      </c>
      <c r="T4">
        <v>40</v>
      </c>
      <c r="U4">
        <v>-40</v>
      </c>
    </row>
    <row r="5" spans="1:24" x14ac:dyDescent="0.2">
      <c r="C5" t="s">
        <v>13</v>
      </c>
      <c r="D5" t="s">
        <v>14</v>
      </c>
      <c r="N5" t="s">
        <v>15</v>
      </c>
    </row>
    <row r="6" spans="1:24" x14ac:dyDescent="0.2">
      <c r="C6">
        <f>1/((0.000086173)*D6)</f>
        <v>9.670469095114866</v>
      </c>
      <c r="D6">
        <v>1200</v>
      </c>
      <c r="E6" s="1">
        <v>1.11329795332533E-6</v>
      </c>
      <c r="F6" s="1">
        <v>1.0777424149339701E-6</v>
      </c>
      <c r="G6" s="1">
        <v>1.0199556085954399E-6</v>
      </c>
      <c r="H6" s="1">
        <v>1.13947597493397E-6</v>
      </c>
      <c r="I6" s="1">
        <v>1.15925182693878E-6</v>
      </c>
      <c r="J6" s="1">
        <v>9.0358816941176504E-7</v>
      </c>
      <c r="K6" s="1">
        <v>1.3326659102040801E-6</v>
      </c>
      <c r="M6">
        <v>1200</v>
      </c>
      <c r="N6">
        <v>1200</v>
      </c>
      <c r="O6" s="1">
        <v>2.5024402217580399E-7</v>
      </c>
      <c r="P6" s="1">
        <v>2.52651821219531E-7</v>
      </c>
      <c r="Q6" s="1">
        <v>2.53342456378159E-7</v>
      </c>
      <c r="R6" s="1">
        <v>2.5728060049426198E-7</v>
      </c>
      <c r="S6" s="1">
        <v>2.71646397518938E-7</v>
      </c>
      <c r="T6" s="1">
        <v>2.19024020475512E-7</v>
      </c>
      <c r="U6" s="1">
        <v>3.16900458245706E-7</v>
      </c>
      <c r="V6" s="1"/>
      <c r="W6" s="1"/>
      <c r="X6" s="1"/>
    </row>
    <row r="7" spans="1:24" x14ac:dyDescent="0.2">
      <c r="A7" t="s">
        <v>16</v>
      </c>
      <c r="B7">
        <v>1</v>
      </c>
      <c r="C7">
        <f t="shared" ref="C7:C10" si="0">1/((0.000086173)*D7)</f>
        <v>10.549602649216217</v>
      </c>
      <c r="D7">
        <v>1100</v>
      </c>
      <c r="E7" s="1">
        <v>8.3726084830732301E-7</v>
      </c>
      <c r="F7" s="1">
        <v>8.4453658650660296E-7</v>
      </c>
      <c r="G7" s="1">
        <v>7.9545096192076805E-7</v>
      </c>
      <c r="H7" s="1">
        <v>8.7969210448979603E-7</v>
      </c>
      <c r="I7" s="1">
        <v>9.0119544749099604E-7</v>
      </c>
      <c r="J7" s="1">
        <v>6.5323770352941203E-7</v>
      </c>
      <c r="K7" s="1">
        <v>1.0432410526290499E-6</v>
      </c>
      <c r="N7">
        <v>1100</v>
      </c>
      <c r="O7" s="1">
        <v>1.4339706186604699E-7</v>
      </c>
      <c r="P7" s="1">
        <v>1.43843291266782E-7</v>
      </c>
      <c r="Q7" s="1">
        <v>1.3767151154728899E-7</v>
      </c>
      <c r="R7" s="1">
        <v>1.54890222621316E-7</v>
      </c>
      <c r="S7" s="1">
        <v>1.4975911524563101E-7</v>
      </c>
      <c r="T7" s="1"/>
      <c r="U7" s="1"/>
      <c r="V7" s="1"/>
      <c r="W7" s="1"/>
      <c r="X7" s="1"/>
    </row>
    <row r="8" spans="1:24" x14ac:dyDescent="0.2">
      <c r="A8" t="s">
        <v>17</v>
      </c>
      <c r="B8">
        <f>B7/0.002</f>
        <v>500</v>
      </c>
      <c r="C8">
        <f t="shared" si="0"/>
        <v>11.604562914137839</v>
      </c>
      <c r="D8">
        <v>1000</v>
      </c>
      <c r="E8" s="1">
        <v>6.1636555289315698E-7</v>
      </c>
      <c r="F8" s="1">
        <v>5.8258230103241299E-7</v>
      </c>
      <c r="G8" s="1">
        <v>5.6338940840336099E-7</v>
      </c>
      <c r="H8" s="1">
        <v>6.0942371313325298E-7</v>
      </c>
      <c r="I8" s="1">
        <v>6.5117995202881195E-7</v>
      </c>
      <c r="J8" s="1">
        <v>4.6214297704681899E-7</v>
      </c>
      <c r="K8" s="1">
        <v>7.8926903130852297E-7</v>
      </c>
      <c r="N8">
        <v>1000</v>
      </c>
      <c r="O8" s="1">
        <v>7.5766970436510902E-8</v>
      </c>
      <c r="P8" s="1">
        <v>6.4400101777887004E-8</v>
      </c>
      <c r="Q8" s="1">
        <v>6.4093417879696994E-8</v>
      </c>
      <c r="R8" s="1">
        <v>6.6530254183604604E-8</v>
      </c>
      <c r="S8" s="1">
        <v>6.8396062658816495E-8</v>
      </c>
      <c r="T8" s="1"/>
      <c r="U8" s="1"/>
      <c r="V8" s="1"/>
      <c r="W8" s="1"/>
      <c r="X8" s="1"/>
    </row>
    <row r="9" spans="1:24" x14ac:dyDescent="0.2">
      <c r="A9" t="s">
        <v>18</v>
      </c>
      <c r="B9">
        <f>B8/(0.000000000001)*(0.0000000000000001)</f>
        <v>4.9999999999999996E-2</v>
      </c>
      <c r="C9">
        <f t="shared" si="0"/>
        <v>12.893958793486487</v>
      </c>
      <c r="D9">
        <v>900</v>
      </c>
      <c r="E9" s="1">
        <v>3.8045353416566599E-7</v>
      </c>
      <c r="F9" s="1">
        <v>3.7568822132052802E-7</v>
      </c>
      <c r="G9" s="1">
        <v>3.60274824345738E-7</v>
      </c>
      <c r="H9" s="1">
        <v>4.1585059932773098E-7</v>
      </c>
      <c r="I9" s="1">
        <v>4.24116154669868E-7</v>
      </c>
      <c r="J9" s="1">
        <v>2.6119212332392498E-7</v>
      </c>
      <c r="K9" s="1">
        <v>5.2093807308523396E-7</v>
      </c>
      <c r="N9">
        <v>900</v>
      </c>
      <c r="O9" s="1">
        <v>2.75642803570089E-8</v>
      </c>
      <c r="P9" s="1">
        <v>2.61388441701042E-8</v>
      </c>
      <c r="Q9" s="1">
        <v>2.0284068832220799E-8</v>
      </c>
      <c r="R9" s="1">
        <v>2.9048263897847401E-8</v>
      </c>
      <c r="S9" s="1">
        <v>3.16526050011251E-8</v>
      </c>
      <c r="T9" s="1">
        <v>2.3654310194907999E-8</v>
      </c>
      <c r="U9" s="1">
        <v>3.4228405073876897E-8</v>
      </c>
      <c r="V9" s="1"/>
      <c r="W9" s="1"/>
      <c r="X9" s="1"/>
    </row>
    <row r="10" spans="1:24" x14ac:dyDescent="0.2">
      <c r="C10">
        <f t="shared" si="0"/>
        <v>14.5057036426723</v>
      </c>
      <c r="D10">
        <v>800</v>
      </c>
      <c r="E10" s="1">
        <v>2.33486662953181E-7</v>
      </c>
      <c r="F10" s="1">
        <v>1.78807689651861E-7</v>
      </c>
      <c r="G10" s="1">
        <v>2.0245470775510199E-7</v>
      </c>
      <c r="H10" s="1">
        <v>2.3817029512605E-7</v>
      </c>
      <c r="I10" s="1">
        <v>2.52499794333733E-7</v>
      </c>
      <c r="J10" s="1">
        <v>1.73226103913565E-7</v>
      </c>
      <c r="K10" s="1">
        <v>3.3855813320528202E-7</v>
      </c>
      <c r="N10">
        <v>800</v>
      </c>
      <c r="O10" s="1">
        <v>9.0627559161478905E-9</v>
      </c>
      <c r="P10" s="1">
        <v>6.4151084969624403E-9</v>
      </c>
      <c r="Q10" s="1">
        <v>1.18659055456386E-8</v>
      </c>
      <c r="R10" s="1">
        <v>1.09261694877372E-8</v>
      </c>
      <c r="S10" s="1">
        <v>6.6495730285757098E-9</v>
      </c>
      <c r="T10" s="1">
        <v>7.9870609235288698E-9</v>
      </c>
      <c r="U10" s="1">
        <v>8.3725787902197404E-9</v>
      </c>
      <c r="V10" s="1"/>
      <c r="W10" s="1"/>
      <c r="X10" s="1"/>
    </row>
    <row r="11" spans="1:24" x14ac:dyDescent="0.2">
      <c r="D11" t="s">
        <v>19</v>
      </c>
      <c r="E11" s="1"/>
      <c r="F11" s="1"/>
      <c r="G11" s="1"/>
      <c r="H11" s="1"/>
      <c r="I11" s="1"/>
      <c r="J11" s="1"/>
      <c r="N11" t="s">
        <v>19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C12">
        <f>1/((0.000086173)*D12)</f>
        <v>9.670469095114866</v>
      </c>
      <c r="D12">
        <v>1200</v>
      </c>
      <c r="E12" s="2">
        <f>E6*5489*$B$9/6</f>
        <v>5.092410388168946E-5</v>
      </c>
      <c r="F12" s="2">
        <f t="shared" ref="E12:K16" si="1">F6*5489*$B$9/6</f>
        <v>4.9297734296438011E-5</v>
      </c>
      <c r="G12" s="2">
        <f t="shared" si="1"/>
        <v>4.6654469463169739E-5</v>
      </c>
      <c r="H12" s="2">
        <f t="shared" si="1"/>
        <v>5.2121530220104684E-5</v>
      </c>
      <c r="I12" s="2">
        <f t="shared" si="1"/>
        <v>5.3026110650558022E-5</v>
      </c>
      <c r="J12" s="2">
        <f t="shared" si="1"/>
        <v>4.1331628849176482E-5</v>
      </c>
      <c r="K12" s="2">
        <f t="shared" si="1"/>
        <v>6.0958359842584964E-5</v>
      </c>
      <c r="N12">
        <v>1200</v>
      </c>
      <c r="O12" s="2">
        <f>O6*5487*$B$9/6</f>
        <v>1.1442407913988637E-5</v>
      </c>
      <c r="P12" s="2">
        <f t="shared" ref="P12:U12" si="2">P6*5487*$B$9/6</f>
        <v>1.1552504525263053E-5</v>
      </c>
      <c r="Q12" s="2">
        <f t="shared" si="2"/>
        <v>1.1584083817891319E-5</v>
      </c>
      <c r="R12" s="2">
        <f t="shared" si="2"/>
        <v>1.1764155457600128E-5</v>
      </c>
      <c r="S12" s="2">
        <f t="shared" si="2"/>
        <v>1.2421031526553439E-5</v>
      </c>
      <c r="T12" s="2">
        <f t="shared" si="2"/>
        <v>1.0014873336242785E-5</v>
      </c>
      <c r="U12" s="2">
        <f t="shared" si="2"/>
        <v>1.4490273453284905E-5</v>
      </c>
      <c r="V12" s="1"/>
      <c r="W12" s="1"/>
      <c r="X12" s="1"/>
    </row>
    <row r="13" spans="1:24" x14ac:dyDescent="0.2">
      <c r="C13">
        <f t="shared" ref="C13:C16" si="3">1/((0.000086173)*D13)</f>
        <v>10.549602649216217</v>
      </c>
      <c r="D13">
        <v>1100</v>
      </c>
      <c r="E13" s="2">
        <f t="shared" si="1"/>
        <v>3.8297706636324131E-5</v>
      </c>
      <c r="F13" s="2">
        <f t="shared" si="1"/>
        <v>3.8630511027789524E-5</v>
      </c>
      <c r="G13" s="2">
        <f t="shared" si="1"/>
        <v>3.6385252749859133E-5</v>
      </c>
      <c r="H13" s="2">
        <f t="shared" si="1"/>
        <v>4.0238583012870752E-5</v>
      </c>
      <c r="I13" s="2">
        <f t="shared" si="1"/>
        <v>4.1222181760650638E-5</v>
      </c>
      <c r="J13" s="2">
        <f t="shared" ref="J13:K13" si="4">J7*5489*$B$9/6</f>
        <v>2.9880181288941184E-5</v>
      </c>
      <c r="K13" s="2">
        <f t="shared" si="4"/>
        <v>4.7719584482340451E-5</v>
      </c>
      <c r="N13">
        <v>1100</v>
      </c>
      <c r="O13" s="2">
        <f t="shared" ref="O13:S16" si="5">O7*5487*$B$9/6</f>
        <v>6.5568306538249988E-6</v>
      </c>
      <c r="P13" s="2">
        <f t="shared" si="5"/>
        <v>6.5772344931736062E-6</v>
      </c>
      <c r="Q13" s="2">
        <f t="shared" si="5"/>
        <v>6.2950298654997885E-6</v>
      </c>
      <c r="R13" s="2">
        <f t="shared" si="5"/>
        <v>7.0823554293596741E-6</v>
      </c>
      <c r="S13" s="2">
        <f t="shared" si="5"/>
        <v>6.847735544606478E-6</v>
      </c>
      <c r="T13" s="1"/>
      <c r="U13" s="1"/>
      <c r="V13" s="1"/>
      <c r="W13" s="1"/>
      <c r="X13" s="1"/>
    </row>
    <row r="14" spans="1:24" x14ac:dyDescent="0.2">
      <c r="C14">
        <f t="shared" si="3"/>
        <v>11.604562914137839</v>
      </c>
      <c r="D14">
        <v>1000</v>
      </c>
      <c r="E14" s="2">
        <f t="shared" si="1"/>
        <v>2.8193587665254488E-5</v>
      </c>
      <c r="F14" s="2">
        <f t="shared" si="1"/>
        <v>2.6648285419724289E-5</v>
      </c>
      <c r="G14" s="2">
        <f t="shared" si="1"/>
        <v>2.577037052271707E-5</v>
      </c>
      <c r="H14" s="2">
        <f t="shared" si="1"/>
        <v>2.7876056344903544E-5</v>
      </c>
      <c r="I14" s="2">
        <f t="shared" si="1"/>
        <v>2.9786056305717903E-5</v>
      </c>
      <c r="J14" s="2">
        <f t="shared" ref="J14:K14" si="6">J8*5489*$B$9/6</f>
        <v>2.1139190008416579E-5</v>
      </c>
      <c r="K14" s="2">
        <f t="shared" si="6"/>
        <v>3.6102480940437351E-5</v>
      </c>
      <c r="N14">
        <v>1000</v>
      </c>
      <c r="O14" s="2">
        <f t="shared" si="5"/>
        <v>3.4644447232094606E-6</v>
      </c>
      <c r="P14" s="2">
        <f t="shared" si="5"/>
        <v>2.9446946537938828E-6</v>
      </c>
      <c r="Q14" s="2">
        <f t="shared" si="5"/>
        <v>2.9306715325491448E-6</v>
      </c>
      <c r="R14" s="2">
        <f t="shared" si="5"/>
        <v>3.0420958725453197E-6</v>
      </c>
      <c r="S14" s="2">
        <f t="shared" si="5"/>
        <v>3.1274099650743838E-6</v>
      </c>
      <c r="T14" s="1"/>
      <c r="U14" s="1"/>
      <c r="V14" s="1"/>
      <c r="W14" s="1"/>
      <c r="X14" s="1"/>
    </row>
    <row r="15" spans="1:24" x14ac:dyDescent="0.2">
      <c r="C15">
        <f t="shared" si="3"/>
        <v>12.893958793486487</v>
      </c>
      <c r="D15">
        <v>900</v>
      </c>
      <c r="E15" s="2">
        <f t="shared" si="1"/>
        <v>1.7402578741961171E-5</v>
      </c>
      <c r="F15" s="2">
        <f t="shared" si="1"/>
        <v>1.7184605390236487E-5</v>
      </c>
      <c r="G15" s="2">
        <f t="shared" si="1"/>
        <v>1.6479570923614631E-5</v>
      </c>
      <c r="H15" s="2">
        <f t="shared" si="1"/>
        <v>1.9021699497582625E-5</v>
      </c>
      <c r="I15" s="2">
        <f t="shared" si="1"/>
        <v>1.9399779774857544E-5</v>
      </c>
      <c r="J15" s="2">
        <f t="shared" ref="J15:K15" si="7">J9*5489*$B$9/6</f>
        <v>1.1947363041041867E-5</v>
      </c>
      <c r="K15" s="2">
        <f t="shared" si="7"/>
        <v>2.3828575693040412E-5</v>
      </c>
      <c r="N15">
        <v>900</v>
      </c>
      <c r="O15" s="2">
        <f t="shared" si="5"/>
        <v>1.2603767193242319E-6</v>
      </c>
      <c r="P15" s="2">
        <f t="shared" si="5"/>
        <v>1.1951986496780146E-6</v>
      </c>
      <c r="Q15" s="2">
        <f t="shared" si="5"/>
        <v>9.2748904735329595E-7</v>
      </c>
      <c r="R15" s="2">
        <f t="shared" si="5"/>
        <v>1.3282318667290722E-6</v>
      </c>
      <c r="S15" s="2">
        <f t="shared" si="5"/>
        <v>1.4473153636764452E-6</v>
      </c>
      <c r="T15" s="1"/>
      <c r="U15" s="1"/>
      <c r="V15" s="1"/>
      <c r="W15" s="1"/>
      <c r="X15" s="1"/>
    </row>
    <row r="16" spans="1:24" x14ac:dyDescent="0.2">
      <c r="C16">
        <f t="shared" si="3"/>
        <v>14.5057036426723</v>
      </c>
      <c r="D16">
        <v>800</v>
      </c>
      <c r="E16" s="2">
        <f t="shared" si="1"/>
        <v>1.0680069107916754E-5</v>
      </c>
      <c r="F16" s="2">
        <f t="shared" si="1"/>
        <v>8.1789617374922078E-6</v>
      </c>
      <c r="G16" s="2">
        <f t="shared" si="1"/>
        <v>9.2606157572312902E-6</v>
      </c>
      <c r="H16" s="2">
        <f t="shared" si="1"/>
        <v>1.0894306249557404E-5</v>
      </c>
      <c r="I16" s="2">
        <f t="shared" si="1"/>
        <v>1.1549761425815505E-5</v>
      </c>
      <c r="J16" s="2">
        <f t="shared" ref="J16:K16" si="8">J10*5489*$B$9/6</f>
        <v>7.9236507031796511E-6</v>
      </c>
      <c r="K16" s="2">
        <f t="shared" si="8"/>
        <v>1.5486213276364939E-5</v>
      </c>
      <c r="N16">
        <v>800</v>
      </c>
      <c r="O16" s="2">
        <f t="shared" si="5"/>
        <v>4.1439451426586226E-7</v>
      </c>
      <c r="P16" s="2">
        <f t="shared" si="5"/>
        <v>2.9333083602360756E-7</v>
      </c>
      <c r="Q16" s="2">
        <f t="shared" si="5"/>
        <v>5.425685310743249E-7</v>
      </c>
      <c r="R16" s="2">
        <f t="shared" si="5"/>
        <v>4.9959909982678342E-7</v>
      </c>
      <c r="S16" s="2">
        <f t="shared" si="5"/>
        <v>3.0405172673162427E-7</v>
      </c>
      <c r="T16" s="1"/>
      <c r="U16" s="1"/>
      <c r="V16" s="1"/>
      <c r="W16" s="1"/>
      <c r="X16" s="1"/>
    </row>
    <row r="17" spans="2:46" x14ac:dyDescent="0.2">
      <c r="E17" s="2"/>
      <c r="F17" s="2"/>
      <c r="G17" s="2"/>
      <c r="H17" s="2"/>
      <c r="I17" s="2"/>
      <c r="J17" s="1"/>
      <c r="M17" s="2"/>
      <c r="N17" s="2"/>
      <c r="O17" s="2"/>
      <c r="P17" s="2"/>
      <c r="Q17" s="2"/>
      <c r="R17" s="1"/>
      <c r="S17" s="1"/>
      <c r="T17" s="1"/>
      <c r="U17" s="1"/>
      <c r="V17" s="1"/>
      <c r="W17" s="1"/>
      <c r="X17" s="1"/>
    </row>
    <row r="18" spans="2:46" x14ac:dyDescent="0.2">
      <c r="E18" s="2"/>
      <c r="F18" s="2"/>
      <c r="G18" s="2"/>
      <c r="H18" s="2"/>
      <c r="I18" s="2"/>
      <c r="J18" s="1"/>
      <c r="M18" s="2"/>
      <c r="N18" s="2"/>
      <c r="O18" s="2"/>
      <c r="P18" s="2"/>
      <c r="Q18" s="2"/>
      <c r="R18" s="1"/>
      <c r="S18" s="1"/>
      <c r="T18" s="1"/>
      <c r="U18" s="1"/>
      <c r="V18" s="1"/>
      <c r="W18" s="1"/>
      <c r="X18" s="1"/>
    </row>
    <row r="19" spans="2:46" x14ac:dyDescent="0.2">
      <c r="B19" t="s">
        <v>20</v>
      </c>
      <c r="D19" t="s">
        <v>0</v>
      </c>
      <c r="E19" s="2"/>
      <c r="F19" s="2"/>
      <c r="G19" s="2" t="s">
        <v>1</v>
      </c>
      <c r="H19" s="2"/>
      <c r="I19" s="2"/>
      <c r="J19" s="1" t="s">
        <v>2</v>
      </c>
      <c r="M19" s="2" t="s">
        <v>3</v>
      </c>
      <c r="N19" s="2"/>
      <c r="O19" s="2"/>
      <c r="P19" s="2" t="s">
        <v>4</v>
      </c>
      <c r="Q19" s="2"/>
      <c r="R19" s="1"/>
      <c r="S19" s="2" t="s">
        <v>48</v>
      </c>
      <c r="T19" s="2"/>
      <c r="U19" s="1"/>
      <c r="V19" s="1" t="s">
        <v>49</v>
      </c>
      <c r="W19" s="1"/>
      <c r="X19" s="1"/>
      <c r="Z19" t="s">
        <v>5</v>
      </c>
      <c r="AA19" s="2"/>
      <c r="AB19" s="2"/>
      <c r="AC19" s="2" t="s">
        <v>6</v>
      </c>
      <c r="AD19" s="2"/>
      <c r="AE19" s="2"/>
      <c r="AF19" s="1" t="s">
        <v>7</v>
      </c>
      <c r="AI19" s="2" t="s">
        <v>8</v>
      </c>
      <c r="AJ19" s="2"/>
      <c r="AK19" s="2"/>
      <c r="AL19" s="2" t="s">
        <v>9</v>
      </c>
      <c r="AM19" s="2"/>
      <c r="AN19" s="1"/>
      <c r="AO19" s="2" t="s">
        <v>54</v>
      </c>
      <c r="AP19" s="2"/>
      <c r="AQ19" s="1"/>
      <c r="AR19" s="1" t="s">
        <v>55</v>
      </c>
    </row>
    <row r="20" spans="2:46" x14ac:dyDescent="0.2">
      <c r="D20">
        <v>1</v>
      </c>
      <c r="E20" s="2">
        <v>1.04437942280912E-6</v>
      </c>
      <c r="F20" s="2">
        <v>0.99945815586889897</v>
      </c>
      <c r="G20">
        <v>1</v>
      </c>
      <c r="H20" s="2">
        <v>1.09744870108043E-6</v>
      </c>
      <c r="I20" s="2">
        <v>0.99863860323132103</v>
      </c>
      <c r="J20">
        <v>1</v>
      </c>
      <c r="K20" s="1">
        <v>1.0006254482593001E-6</v>
      </c>
      <c r="L20">
        <v>0.99877937720181298</v>
      </c>
      <c r="M20">
        <v>1</v>
      </c>
      <c r="N20" s="2">
        <v>1.1367560096038401E-6</v>
      </c>
      <c r="O20" s="2">
        <v>0.99851106501410203</v>
      </c>
      <c r="P20">
        <v>1</v>
      </c>
      <c r="Q20" s="2">
        <v>1.11972365666267E-6</v>
      </c>
      <c r="R20" s="1">
        <v>0.99936992826065696</v>
      </c>
      <c r="S20">
        <v>1</v>
      </c>
      <c r="T20" s="2">
        <v>8.7368797983193301E-7</v>
      </c>
      <c r="U20" s="1">
        <v>0.99908238080205203</v>
      </c>
      <c r="V20" s="1">
        <v>1</v>
      </c>
      <c r="W20" s="1">
        <v>1.2985732484993999E-6</v>
      </c>
      <c r="X20" s="1">
        <v>0.99945226514268803</v>
      </c>
      <c r="Z20">
        <v>1</v>
      </c>
      <c r="AA20" s="2">
        <v>2.5238537299182502E-7</v>
      </c>
      <c r="AB20" s="2">
        <v>0.99795483093344695</v>
      </c>
      <c r="AC20">
        <v>1</v>
      </c>
      <c r="AD20" s="2">
        <v>2.13684304612615E-7</v>
      </c>
      <c r="AE20" s="2">
        <v>0.99643077677401004</v>
      </c>
      <c r="AF20">
        <v>1</v>
      </c>
      <c r="AG20" s="1">
        <v>2.3503554251856299E-7</v>
      </c>
      <c r="AH20">
        <v>0.99740401483132601</v>
      </c>
      <c r="AI20">
        <v>1</v>
      </c>
      <c r="AJ20" s="2">
        <v>2.5800585552388799E-7</v>
      </c>
      <c r="AK20" s="2">
        <v>0.99858721293156105</v>
      </c>
      <c r="AL20">
        <v>1</v>
      </c>
      <c r="AM20" s="2">
        <v>2.8196485872646798E-7</v>
      </c>
      <c r="AN20" s="1">
        <v>0.99859944707779302</v>
      </c>
      <c r="AO20">
        <v>1</v>
      </c>
      <c r="AP20" s="1">
        <v>2.02177301575039E-7</v>
      </c>
      <c r="AQ20">
        <v>0.996841936743735</v>
      </c>
      <c r="AR20">
        <v>1</v>
      </c>
      <c r="AS20" s="1">
        <v>3.1105540609765299E-7</v>
      </c>
      <c r="AT20">
        <v>0.99883589635843895</v>
      </c>
    </row>
    <row r="21" spans="2:46" x14ac:dyDescent="0.2">
      <c r="D21">
        <v>2</v>
      </c>
      <c r="E21" s="2">
        <v>1.1623000667467001E-6</v>
      </c>
      <c r="F21" s="2">
        <v>0.99915690895127096</v>
      </c>
      <c r="G21">
        <v>2</v>
      </c>
      <c r="H21" s="2">
        <v>1.0632126492196899E-6</v>
      </c>
      <c r="I21" s="2">
        <v>0.999581460770534</v>
      </c>
      <c r="J21">
        <v>2</v>
      </c>
      <c r="K21" s="1">
        <v>9.8928318415366193E-7</v>
      </c>
      <c r="L21">
        <v>0.99889255425444001</v>
      </c>
      <c r="M21">
        <v>2</v>
      </c>
      <c r="N21" s="2">
        <v>1.08546700216086E-6</v>
      </c>
      <c r="O21" s="2">
        <v>0.99930677829220804</v>
      </c>
      <c r="P21">
        <v>2</v>
      </c>
      <c r="Q21" s="2">
        <v>1.2513479231692701E-6</v>
      </c>
      <c r="R21" s="1">
        <v>0.99692421150991894</v>
      </c>
      <c r="S21">
        <v>2</v>
      </c>
      <c r="T21" s="2">
        <v>9.90632068667467E-7</v>
      </c>
      <c r="U21" s="1">
        <v>0.99800553165919004</v>
      </c>
      <c r="V21" s="1">
        <v>2</v>
      </c>
      <c r="W21" s="1">
        <v>1.34142357262905E-6</v>
      </c>
      <c r="X21" s="1">
        <v>0.998869002032024</v>
      </c>
      <c r="Z21">
        <v>2</v>
      </c>
      <c r="AA21" s="1">
        <v>2.6718607228680699E-7</v>
      </c>
      <c r="AB21">
        <v>0.99576003385759904</v>
      </c>
      <c r="AC21">
        <v>2</v>
      </c>
      <c r="AD21" s="1">
        <v>2.4859933276081902E-7</v>
      </c>
      <c r="AE21">
        <v>0.998441697567651</v>
      </c>
      <c r="AF21">
        <v>2</v>
      </c>
      <c r="AG21" s="1">
        <v>2.4672843945098601E-7</v>
      </c>
      <c r="AH21">
        <v>0.99861935221176301</v>
      </c>
      <c r="AI21">
        <v>2</v>
      </c>
      <c r="AJ21" s="1">
        <v>2.6093911719792998E-7</v>
      </c>
      <c r="AK21">
        <v>0.99693921382265605</v>
      </c>
      <c r="AL21">
        <v>2</v>
      </c>
      <c r="AM21" s="1">
        <v>2.9029403347333599E-7</v>
      </c>
      <c r="AN21">
        <v>0.99887920621340698</v>
      </c>
      <c r="AO21">
        <v>2</v>
      </c>
      <c r="AP21" s="1">
        <v>2.4091665043876099E-7</v>
      </c>
      <c r="AQ21">
        <v>0.99633416807278696</v>
      </c>
      <c r="AR21">
        <v>2</v>
      </c>
      <c r="AS21" s="1">
        <v>3.2632495721893002E-7</v>
      </c>
      <c r="AT21">
        <v>0.99517840022562198</v>
      </c>
    </row>
    <row r="22" spans="2:46" x14ac:dyDescent="0.2">
      <c r="D22">
        <v>3</v>
      </c>
      <c r="E22" s="2">
        <v>1.1140516129651901E-6</v>
      </c>
      <c r="F22" s="2">
        <v>0.99916980903785402</v>
      </c>
      <c r="G22">
        <v>3</v>
      </c>
      <c r="H22" s="2">
        <v>1.03924710348139E-6</v>
      </c>
      <c r="I22" s="2">
        <v>0.99798125335693499</v>
      </c>
      <c r="J22">
        <v>3</v>
      </c>
      <c r="K22" s="1">
        <v>1.0494650180072E-6</v>
      </c>
      <c r="L22">
        <v>0.99923281616585602</v>
      </c>
      <c r="M22">
        <v>3</v>
      </c>
      <c r="N22" s="2">
        <v>1.08922274477791E-6</v>
      </c>
      <c r="O22" s="2">
        <v>0.99894372268053</v>
      </c>
      <c r="P22">
        <v>3</v>
      </c>
      <c r="Q22" s="2">
        <v>1.09896411332533E-6</v>
      </c>
      <c r="R22" s="1">
        <v>0.99790388257832596</v>
      </c>
      <c r="S22">
        <v>3</v>
      </c>
      <c r="T22" s="2">
        <v>9.8737904585834292E-7</v>
      </c>
      <c r="U22" s="1">
        <v>0.99916977191638701</v>
      </c>
      <c r="V22" s="1">
        <v>3</v>
      </c>
      <c r="W22" s="1">
        <v>1.2945566521008401E-6</v>
      </c>
      <c r="X22" s="1">
        <v>0.998716214514343</v>
      </c>
      <c r="Z22">
        <v>3</v>
      </c>
      <c r="AA22" s="1">
        <v>2.4230899793744802E-7</v>
      </c>
      <c r="AB22">
        <v>0.99830962362306497</v>
      </c>
      <c r="AC22">
        <v>3</v>
      </c>
      <c r="AD22" s="1">
        <v>2.5923707331433298E-7</v>
      </c>
      <c r="AE22">
        <v>0.99795013471120897</v>
      </c>
      <c r="AF22">
        <v>3</v>
      </c>
      <c r="AG22" s="1">
        <v>2.56495149666242E-7</v>
      </c>
      <c r="AH22">
        <v>0.99832253999722298</v>
      </c>
      <c r="AI22">
        <v>3</v>
      </c>
      <c r="AJ22" s="1">
        <v>2.4610440515262798E-7</v>
      </c>
      <c r="AK22">
        <v>0.99675488049164496</v>
      </c>
      <c r="AL22">
        <v>3</v>
      </c>
      <c r="AM22" s="1">
        <v>2.99774554256357E-7</v>
      </c>
      <c r="AN22">
        <v>0.998616004045079</v>
      </c>
      <c r="AO22">
        <v>3</v>
      </c>
      <c r="AP22" s="1">
        <v>2.2097067440935999E-7</v>
      </c>
      <c r="AQ22">
        <v>0.99569151775194398</v>
      </c>
      <c r="AR22">
        <v>3</v>
      </c>
      <c r="AS22" s="1">
        <v>3.2361163130578298E-7</v>
      </c>
      <c r="AT22">
        <v>0.99881807224501695</v>
      </c>
    </row>
    <row r="23" spans="2:46" x14ac:dyDescent="0.2">
      <c r="D23">
        <v>4</v>
      </c>
      <c r="E23" s="2">
        <v>1.11765266410564E-6</v>
      </c>
      <c r="F23" s="2">
        <v>0.99939788770601801</v>
      </c>
      <c r="G23">
        <v>4</v>
      </c>
      <c r="H23" s="2">
        <v>1.1111489286914801E-6</v>
      </c>
      <c r="I23" s="2">
        <v>0.99911138843221903</v>
      </c>
      <c r="J23">
        <v>4</v>
      </c>
      <c r="K23" s="1">
        <v>1.0608593037214899E-6</v>
      </c>
      <c r="L23">
        <v>0.999342546501919</v>
      </c>
      <c r="M23">
        <v>4</v>
      </c>
      <c r="N23" s="2">
        <v>1.0846853382953201E-6</v>
      </c>
      <c r="O23" s="2">
        <v>0.99923659625924899</v>
      </c>
      <c r="P23">
        <v>4</v>
      </c>
      <c r="Q23" s="2">
        <v>1.15499058967587E-6</v>
      </c>
      <c r="R23" s="1">
        <v>0.99957613708275295</v>
      </c>
      <c r="S23">
        <v>4</v>
      </c>
      <c r="T23" s="2">
        <v>9.1076866650660297E-7</v>
      </c>
      <c r="U23" s="1">
        <v>0.99647760656148598</v>
      </c>
      <c r="V23" s="1">
        <v>4</v>
      </c>
      <c r="W23" s="1">
        <v>1.48291640240096E-6</v>
      </c>
      <c r="X23" s="1">
        <v>0.99522757337178402</v>
      </c>
      <c r="Z23">
        <v>4</v>
      </c>
      <c r="AA23" s="1">
        <v>2.5157294431110801E-7</v>
      </c>
      <c r="AB23">
        <v>0.99709767583356002</v>
      </c>
      <c r="AC23">
        <v>4</v>
      </c>
      <c r="AD23" s="1">
        <v>2.7177201920048102E-7</v>
      </c>
      <c r="AE23">
        <v>0.99852966459472403</v>
      </c>
      <c r="AF23">
        <v>4</v>
      </c>
      <c r="AG23" s="1">
        <v>2.6446708496212402E-7</v>
      </c>
      <c r="AH23">
        <v>0.99936761828785403</v>
      </c>
      <c r="AI23">
        <v>4</v>
      </c>
      <c r="AJ23" s="1">
        <v>2.8435997499437401E-7</v>
      </c>
      <c r="AK23">
        <v>0.99694235513038598</v>
      </c>
      <c r="AL23">
        <v>4</v>
      </c>
      <c r="AM23" s="1">
        <v>2.6113207659941501E-7</v>
      </c>
      <c r="AN23">
        <v>0.99580782100693599</v>
      </c>
      <c r="AO23">
        <v>4</v>
      </c>
      <c r="AP23" s="1">
        <v>2.3619828168454201E-7</v>
      </c>
      <c r="AQ23">
        <v>0.99709261143803396</v>
      </c>
      <c r="AR23">
        <v>4</v>
      </c>
      <c r="AS23" s="1">
        <v>3.3233005086627201E-7</v>
      </c>
      <c r="AT23">
        <v>0.99725345840322899</v>
      </c>
    </row>
    <row r="24" spans="2:46" x14ac:dyDescent="0.2">
      <c r="D24">
        <v>5</v>
      </c>
      <c r="E24" s="2">
        <v>1.1020938242497001E-6</v>
      </c>
      <c r="F24" s="2">
        <v>0.99841529494217895</v>
      </c>
      <c r="G24">
        <v>5</v>
      </c>
      <c r="H24" s="2">
        <v>1.1325520849939999E-6</v>
      </c>
      <c r="I24" s="2">
        <v>0.99837315378138003</v>
      </c>
      <c r="J24">
        <v>5</v>
      </c>
      <c r="K24" s="1">
        <v>9.8583914285714298E-7</v>
      </c>
      <c r="L24">
        <v>0.99831302918259102</v>
      </c>
      <c r="M24">
        <v>5</v>
      </c>
      <c r="N24" s="2">
        <v>1.14291076206483E-6</v>
      </c>
      <c r="O24" s="2">
        <v>0.99959106527124197</v>
      </c>
      <c r="P24">
        <v>5</v>
      </c>
      <c r="Q24" s="2">
        <v>1.15928696470588E-6</v>
      </c>
      <c r="R24" s="1">
        <v>0.99888520129501301</v>
      </c>
      <c r="S24">
        <v>5</v>
      </c>
      <c r="T24" s="2">
        <v>8.32163074669868E-7</v>
      </c>
      <c r="U24" s="1">
        <v>0.99823267774834601</v>
      </c>
      <c r="V24" s="1">
        <v>5</v>
      </c>
      <c r="W24" s="1">
        <v>1.3200610986794699E-6</v>
      </c>
      <c r="X24" s="1">
        <v>0.99943952945960501</v>
      </c>
      <c r="Z24">
        <v>5</v>
      </c>
      <c r="AA24" s="1">
        <v>2.1689550535513401E-7</v>
      </c>
      <c r="AB24">
        <v>0.99707302000289999</v>
      </c>
      <c r="AC24">
        <v>5</v>
      </c>
      <c r="AD24" s="1">
        <v>2.7775282874821898E-7</v>
      </c>
      <c r="AE24">
        <v>0.998979822499519</v>
      </c>
      <c r="AF24">
        <v>5</v>
      </c>
      <c r="AG24" s="1">
        <v>2.6093605352133801E-7</v>
      </c>
      <c r="AH24">
        <v>0.99796398140319598</v>
      </c>
      <c r="AI24">
        <v>5</v>
      </c>
      <c r="AJ24" s="1">
        <v>2.5760113968349199E-7</v>
      </c>
      <c r="AK24">
        <v>0.99783821097598402</v>
      </c>
      <c r="AL24">
        <v>5</v>
      </c>
      <c r="AM24" s="1">
        <v>2.83856769766745E-7</v>
      </c>
      <c r="AN24">
        <v>0.99926745387215499</v>
      </c>
      <c r="AO24">
        <v>5</v>
      </c>
      <c r="AP24" s="1">
        <v>1.8276667941198501E-7</v>
      </c>
      <c r="AQ24">
        <v>0.99486270913913399</v>
      </c>
      <c r="AR24">
        <v>5</v>
      </c>
      <c r="AS24" s="1">
        <v>3.1594666697667499E-7</v>
      </c>
      <c r="AT24">
        <v>0.99913986548836198</v>
      </c>
    </row>
    <row r="25" spans="2:46" x14ac:dyDescent="0.2">
      <c r="D25">
        <v>6</v>
      </c>
      <c r="E25" s="1">
        <v>1.2039181522208899E-6</v>
      </c>
      <c r="F25" s="1">
        <v>0.99877400737852895</v>
      </c>
      <c r="G25">
        <v>6</v>
      </c>
      <c r="H25" s="1">
        <v>1.02166878367347E-6</v>
      </c>
      <c r="I25" s="1">
        <v>0.99817586800776603</v>
      </c>
      <c r="J25">
        <v>6</v>
      </c>
      <c r="K25" s="1">
        <v>1.07878169843938E-6</v>
      </c>
      <c r="L25" s="1">
        <v>0.99854547584854902</v>
      </c>
      <c r="M25">
        <v>6</v>
      </c>
      <c r="N25" s="1">
        <v>1.1098464729892E-6</v>
      </c>
      <c r="O25" s="1">
        <v>0.997703277904744</v>
      </c>
      <c r="P25">
        <v>6</v>
      </c>
      <c r="Q25" s="1">
        <v>1.1154319663865499E-6</v>
      </c>
      <c r="R25" s="1">
        <v>0.999490823468975</v>
      </c>
      <c r="S25">
        <v>6</v>
      </c>
      <c r="T25" s="1">
        <v>8.5474513229291699E-7</v>
      </c>
      <c r="U25" s="1">
        <v>0.99719842818456705</v>
      </c>
      <c r="V25" s="1">
        <v>6</v>
      </c>
      <c r="W25" s="1">
        <v>1.2825481978391399E-6</v>
      </c>
      <c r="X25" s="1">
        <v>0.99941956768688001</v>
      </c>
      <c r="Z25">
        <v>6</v>
      </c>
      <c r="AA25" s="1">
        <v>2.50360085314633E-7</v>
      </c>
      <c r="AB25">
        <v>0.99799307757498401</v>
      </c>
      <c r="AC25">
        <v>6</v>
      </c>
      <c r="AD25" s="1">
        <v>2.4284643476336898E-7</v>
      </c>
      <c r="AE25">
        <v>0.99713896906228505</v>
      </c>
      <c r="AF25">
        <v>6</v>
      </c>
      <c r="AG25" s="1">
        <v>2.3583815354383901E-7</v>
      </c>
      <c r="AH25">
        <v>0.99789581167823604</v>
      </c>
      <c r="AI25">
        <v>6</v>
      </c>
      <c r="AJ25" s="1">
        <v>2.5539864151353799E-7</v>
      </c>
      <c r="AK25">
        <v>0.99919252673947201</v>
      </c>
      <c r="AL25">
        <v>6</v>
      </c>
      <c r="AM25" s="1">
        <v>2.7308773018075502E-7</v>
      </c>
      <c r="AN25">
        <v>0.99904943808132296</v>
      </c>
      <c r="AO25">
        <v>6</v>
      </c>
      <c r="AP25" s="1">
        <v>2.5432188386709701E-7</v>
      </c>
      <c r="AQ25">
        <v>0.99857985839040198</v>
      </c>
      <c r="AR25">
        <v>6</v>
      </c>
      <c r="AS25" s="1">
        <v>3.2925327947198698E-7</v>
      </c>
      <c r="AT25">
        <v>0.998770753810033</v>
      </c>
    </row>
    <row r="26" spans="2:46" x14ac:dyDescent="0.2">
      <c r="D26">
        <v>7</v>
      </c>
      <c r="E26" s="1">
        <v>1.15011828043217E-6</v>
      </c>
      <c r="F26" s="3">
        <v>0.99800738016308699</v>
      </c>
      <c r="G26">
        <v>7</v>
      </c>
      <c r="H26" s="1">
        <v>1.04267023817527E-6</v>
      </c>
      <c r="I26" s="3">
        <v>0.99923665981412602</v>
      </c>
      <c r="J26">
        <v>7</v>
      </c>
      <c r="K26" s="1">
        <v>1.0283102213685501E-6</v>
      </c>
      <c r="L26" s="3">
        <v>0.99952676005567398</v>
      </c>
      <c r="M26">
        <v>7</v>
      </c>
      <c r="N26" s="1">
        <v>1.17506397791116E-6</v>
      </c>
      <c r="O26" s="3">
        <v>0.99728202289252699</v>
      </c>
      <c r="P26">
        <v>7</v>
      </c>
      <c r="Q26" s="1">
        <v>1.14494976806723E-6</v>
      </c>
      <c r="R26" s="3">
        <v>0.99905962723082098</v>
      </c>
      <c r="S26">
        <v>7</v>
      </c>
      <c r="T26" s="1">
        <v>9.4146610996398596E-7</v>
      </c>
      <c r="U26" s="3">
        <v>0.99943597272530305</v>
      </c>
      <c r="V26" s="3">
        <v>7</v>
      </c>
      <c r="W26" s="3">
        <v>1.30732379687875E-6</v>
      </c>
      <c r="X26" s="3">
        <v>0.99959173914981103</v>
      </c>
      <c r="Z26">
        <v>7</v>
      </c>
      <c r="AA26" s="1">
        <v>2.67956915450386E-7</v>
      </c>
      <c r="AB26">
        <v>0.99670752480722902</v>
      </c>
      <c r="AC26">
        <v>7</v>
      </c>
      <c r="AD26" s="1">
        <v>2.42028565926648E-7</v>
      </c>
      <c r="AE26">
        <v>0.99672445576192004</v>
      </c>
      <c r="AF26">
        <v>7</v>
      </c>
      <c r="AG26" s="1">
        <v>2.5412430201004998E-7</v>
      </c>
      <c r="AH26">
        <v>0.99798081099289104</v>
      </c>
      <c r="AI26">
        <v>7</v>
      </c>
      <c r="AJ26" s="1">
        <v>2.5503956761419E-7</v>
      </c>
      <c r="AK26">
        <v>0.99770035494442799</v>
      </c>
      <c r="AL26">
        <v>7</v>
      </c>
      <c r="AM26" s="1">
        <v>2.6171034401110001E-7</v>
      </c>
      <c r="AN26">
        <v>0.99843706088351403</v>
      </c>
      <c r="AO26">
        <v>7</v>
      </c>
      <c r="AP26" s="1">
        <v>2.2271047524188099E-7</v>
      </c>
      <c r="AQ26">
        <v>0.99658579806957404</v>
      </c>
      <c r="AR26">
        <v>7</v>
      </c>
      <c r="AS26" s="1">
        <v>2.9919176120903101E-7</v>
      </c>
      <c r="AT26">
        <v>0.99567854242162401</v>
      </c>
    </row>
    <row r="27" spans="2:46" x14ac:dyDescent="0.2">
      <c r="D27">
        <v>8</v>
      </c>
      <c r="E27" s="1">
        <v>1.12219424297719E-6</v>
      </c>
      <c r="F27">
        <v>0.99907989604231096</v>
      </c>
      <c r="G27">
        <v>8</v>
      </c>
      <c r="H27" s="1">
        <v>1.08177980888355E-6</v>
      </c>
      <c r="I27">
        <v>0.99874329155459196</v>
      </c>
      <c r="J27">
        <v>8</v>
      </c>
      <c r="K27" s="1">
        <v>1.04486977767107E-6</v>
      </c>
      <c r="L27">
        <v>0.99771613470684795</v>
      </c>
      <c r="M27">
        <v>8</v>
      </c>
      <c r="N27" s="1">
        <v>1.2390899860744301E-6</v>
      </c>
      <c r="O27">
        <v>0.99878425454092101</v>
      </c>
      <c r="P27">
        <v>8</v>
      </c>
      <c r="Q27" s="1">
        <v>1.23069794573829E-6</v>
      </c>
      <c r="R27">
        <v>0.99953565221093799</v>
      </c>
      <c r="S27">
        <v>8</v>
      </c>
      <c r="T27" s="1">
        <v>8.27126676590635E-7</v>
      </c>
      <c r="U27">
        <v>0.99865406651710098</v>
      </c>
      <c r="V27">
        <v>8</v>
      </c>
      <c r="W27" s="1">
        <v>1.2663121483793499E-6</v>
      </c>
      <c r="X27">
        <v>0.99884977637929395</v>
      </c>
      <c r="Z27">
        <v>8</v>
      </c>
      <c r="AA27" s="1">
        <v>2.4174717230930802E-7</v>
      </c>
      <c r="AB27">
        <v>0.99715380777201901</v>
      </c>
      <c r="AC27">
        <v>8</v>
      </c>
      <c r="AD27" s="1">
        <v>2.5983967192679899E-7</v>
      </c>
      <c r="AE27">
        <v>0.99890398070122899</v>
      </c>
      <c r="AF27">
        <v>8</v>
      </c>
      <c r="AG27" s="1">
        <v>2.60451063999099E-7</v>
      </c>
      <c r="AH27">
        <v>0.99855014266606501</v>
      </c>
      <c r="AI27">
        <v>8</v>
      </c>
      <c r="AJ27" s="1">
        <v>2.6569800612765302E-7</v>
      </c>
      <c r="AK27">
        <v>0.99910763909135702</v>
      </c>
      <c r="AL27">
        <v>8</v>
      </c>
      <c r="AM27" s="1">
        <v>2.5890240838521001E-7</v>
      </c>
      <c r="AN27">
        <v>0.99634952325639903</v>
      </c>
      <c r="AO27">
        <v>8</v>
      </c>
      <c r="AP27" s="1">
        <v>2.2112918291457299E-7</v>
      </c>
      <c r="AQ27">
        <v>0.99810098338917597</v>
      </c>
      <c r="AR27">
        <v>8</v>
      </c>
      <c r="AS27" s="1">
        <v>2.8660552548563699E-7</v>
      </c>
      <c r="AT27">
        <v>0.99909716609030796</v>
      </c>
    </row>
    <row r="28" spans="2:46" x14ac:dyDescent="0.2">
      <c r="D28">
        <v>9</v>
      </c>
      <c r="E28" s="1">
        <v>1.0457532869147699E-6</v>
      </c>
      <c r="F28">
        <v>0.99922226169450301</v>
      </c>
      <c r="G28">
        <v>9</v>
      </c>
      <c r="H28" s="1">
        <v>1.06862169219688E-6</v>
      </c>
      <c r="I28">
        <v>0.99928135679235097</v>
      </c>
      <c r="J28">
        <v>9</v>
      </c>
      <c r="K28" s="1">
        <v>9.9335991548619401E-7</v>
      </c>
      <c r="L28">
        <v>0.99898637767107001</v>
      </c>
      <c r="M28">
        <v>9</v>
      </c>
      <c r="N28" s="1">
        <v>1.1757778362545E-6</v>
      </c>
      <c r="O28">
        <v>0.99853737217859795</v>
      </c>
      <c r="P28">
        <v>9</v>
      </c>
      <c r="Q28" s="1">
        <v>1.20293444369748E-6</v>
      </c>
      <c r="R28">
        <v>0.99936735339787297</v>
      </c>
      <c r="S28">
        <v>9</v>
      </c>
      <c r="T28" s="1">
        <v>9.0781621848739502E-7</v>
      </c>
      <c r="U28">
        <v>0.99957603534596695</v>
      </c>
      <c r="V28">
        <v>9</v>
      </c>
      <c r="W28" s="1">
        <v>1.5060086833133199E-6</v>
      </c>
      <c r="X28">
        <v>0.99195617628593902</v>
      </c>
      <c r="Z28">
        <v>9</v>
      </c>
      <c r="AA28" s="1">
        <v>2.5129490747768702E-7</v>
      </c>
      <c r="AB28">
        <v>0.99695224797288196</v>
      </c>
      <c r="AC28">
        <v>9</v>
      </c>
      <c r="AD28" s="1">
        <v>2.5744101376284399E-7</v>
      </c>
      <c r="AE28">
        <v>0.99770847711633903</v>
      </c>
      <c r="AF28">
        <v>9</v>
      </c>
      <c r="AG28" s="1">
        <v>2.5682140707267698E-7</v>
      </c>
      <c r="AH28">
        <v>0.99810244238482504</v>
      </c>
      <c r="AI28">
        <v>9</v>
      </c>
      <c r="AJ28" s="1">
        <v>2.4147291243531102E-7</v>
      </c>
      <c r="AK28">
        <v>0.99692213711905897</v>
      </c>
      <c r="AL28">
        <v>9</v>
      </c>
      <c r="AM28" s="1">
        <v>2.3518564150603799E-7</v>
      </c>
      <c r="AN28">
        <v>0.99827408666149697</v>
      </c>
      <c r="AO28">
        <v>9</v>
      </c>
      <c r="AP28" s="1">
        <v>2.0524999388734699E-7</v>
      </c>
      <c r="AQ28">
        <v>0.99676398760928098</v>
      </c>
      <c r="AR28">
        <v>9</v>
      </c>
      <c r="AS28" s="1">
        <v>3.2173716264156599E-7</v>
      </c>
      <c r="AT28">
        <v>0.99923712675772203</v>
      </c>
    </row>
    <row r="29" spans="2:46" x14ac:dyDescent="0.2">
      <c r="D29">
        <v>10</v>
      </c>
      <c r="E29" s="1">
        <v>1.07051797983193E-6</v>
      </c>
      <c r="F29">
        <v>0.999587062729412</v>
      </c>
      <c r="G29">
        <v>10</v>
      </c>
      <c r="H29" s="1">
        <v>1.11907415894358E-6</v>
      </c>
      <c r="I29">
        <v>0.99888770922306702</v>
      </c>
      <c r="J29">
        <v>10</v>
      </c>
      <c r="K29" s="1">
        <v>9.6816237599039803E-7</v>
      </c>
      <c r="L29">
        <v>0.99850783802478504</v>
      </c>
      <c r="M29">
        <v>10</v>
      </c>
      <c r="N29" s="1">
        <v>1.15593961920768E-6</v>
      </c>
      <c r="O29">
        <v>0.99854859881677405</v>
      </c>
      <c r="P29">
        <v>10</v>
      </c>
      <c r="Q29" s="1">
        <v>1.1141908979591801E-6</v>
      </c>
      <c r="R29">
        <v>0.99921710463433</v>
      </c>
      <c r="S29">
        <v>10</v>
      </c>
      <c r="T29" s="1">
        <v>9.1009672124849897E-7</v>
      </c>
      <c r="U29">
        <v>0.99892559012002202</v>
      </c>
      <c r="V29">
        <v>10</v>
      </c>
      <c r="W29" s="1">
        <v>1.2269353013205301E-6</v>
      </c>
      <c r="X29">
        <v>0.997359747565007</v>
      </c>
      <c r="Z29">
        <v>10</v>
      </c>
      <c r="AA29" s="1">
        <v>2.6073224832370702E-7</v>
      </c>
      <c r="AB29">
        <v>0.99818778475194103</v>
      </c>
      <c r="AC29">
        <v>10</v>
      </c>
      <c r="AD29" s="1">
        <v>2.5331696717917998E-7</v>
      </c>
      <c r="AE29">
        <v>0.99825196007787498</v>
      </c>
      <c r="AF29">
        <v>10</v>
      </c>
      <c r="AG29" s="1">
        <v>2.6252736703667598E-7</v>
      </c>
      <c r="AH29">
        <v>0.99836079974740999</v>
      </c>
      <c r="AI29">
        <v>10</v>
      </c>
      <c r="AJ29" s="1">
        <v>2.4818638469961799E-7</v>
      </c>
      <c r="AK29">
        <v>0.99673960455113297</v>
      </c>
      <c r="AL29">
        <v>10</v>
      </c>
      <c r="AM29" s="1">
        <v>2.7055555828395698E-7</v>
      </c>
      <c r="AN29">
        <v>0.99788481561016196</v>
      </c>
      <c r="AO29">
        <v>10</v>
      </c>
      <c r="AP29" s="1">
        <v>2.0379908132453301E-7</v>
      </c>
      <c r="AQ29">
        <v>0.99547453297174704</v>
      </c>
      <c r="AR29">
        <v>10</v>
      </c>
      <c r="AS29" s="1">
        <v>3.2294814118353001E-7</v>
      </c>
      <c r="AT29">
        <v>0.99863060090112998</v>
      </c>
    </row>
    <row r="30" spans="2:46" x14ac:dyDescent="0.2">
      <c r="D30" t="s">
        <v>21</v>
      </c>
      <c r="E30" s="1">
        <v>1.11329795332533E-6</v>
      </c>
      <c r="F30" s="1">
        <v>5.0919701473939302E-8</v>
      </c>
      <c r="G30" t="s">
        <v>21</v>
      </c>
      <c r="H30" s="1">
        <v>1.0777424149339701E-6</v>
      </c>
      <c r="I30" s="1">
        <v>3.7093795234524602E-8</v>
      </c>
      <c r="J30" t="s">
        <v>21</v>
      </c>
      <c r="K30" s="1">
        <v>1.0199556085954399E-6</v>
      </c>
      <c r="L30" s="1">
        <v>3.7361890164996399E-8</v>
      </c>
      <c r="M30" t="s">
        <v>21</v>
      </c>
      <c r="N30" s="1">
        <v>1.13947597493397E-6</v>
      </c>
      <c r="O30" s="1">
        <v>4.9575764008706603E-8</v>
      </c>
      <c r="P30" t="s">
        <v>21</v>
      </c>
      <c r="Q30" s="1">
        <v>1.15925182693878E-6</v>
      </c>
      <c r="R30" s="1">
        <v>5.2561995419558599E-8</v>
      </c>
      <c r="S30" t="s">
        <v>21</v>
      </c>
      <c r="T30" s="1">
        <v>9.0358816941176504E-7</v>
      </c>
      <c r="U30" s="1">
        <v>5.80915509189821E-8</v>
      </c>
      <c r="V30" s="1" t="s">
        <v>21</v>
      </c>
      <c r="W30" s="1">
        <v>1.3326659102040801E-6</v>
      </c>
      <c r="X30" s="1">
        <v>9.08043816969484E-8</v>
      </c>
      <c r="Z30" t="s">
        <v>21</v>
      </c>
      <c r="AA30" s="1">
        <v>2.5024402217580399E-7</v>
      </c>
      <c r="AB30" s="1">
        <v>1.47781235736947E-8</v>
      </c>
      <c r="AC30" t="s">
        <v>21</v>
      </c>
      <c r="AD30" s="1">
        <v>2.52651821219531E-7</v>
      </c>
      <c r="AE30" s="1">
        <v>1.78199053710023E-8</v>
      </c>
      <c r="AF30" t="s">
        <v>21</v>
      </c>
      <c r="AG30" s="1">
        <v>2.53342456378159E-7</v>
      </c>
      <c r="AH30" s="1">
        <v>1.0668009045763501E-8</v>
      </c>
      <c r="AI30" t="s">
        <v>21</v>
      </c>
      <c r="AJ30" s="1">
        <v>2.5728060049426198E-7</v>
      </c>
      <c r="AK30" s="1">
        <v>1.19453283690177E-8</v>
      </c>
      <c r="AL30" t="s">
        <v>21</v>
      </c>
      <c r="AM30" s="1">
        <v>2.71646397518938E-7</v>
      </c>
      <c r="AN30" s="1">
        <v>1.85557143702556E-8</v>
      </c>
      <c r="AO30" t="s">
        <v>21</v>
      </c>
      <c r="AP30" s="1">
        <v>2.19024020475512E-7</v>
      </c>
      <c r="AQ30" s="1">
        <v>2.1244403376165702E-8</v>
      </c>
      <c r="AR30" t="s">
        <v>21</v>
      </c>
      <c r="AS30" s="1">
        <v>3.16900458245706E-7</v>
      </c>
      <c r="AT30" s="1">
        <v>1.43408855213386E-8</v>
      </c>
    </row>
    <row r="31" spans="2:46" x14ac:dyDescent="0.2">
      <c r="F31" s="4">
        <f>F30/E30</f>
        <v>4.5737712282544231E-2</v>
      </c>
      <c r="I31" s="4">
        <f>I30/H30</f>
        <v>3.4418052700280172E-2</v>
      </c>
      <c r="L31" s="4">
        <f>L30/K30</f>
        <v>3.6630898296100056E-2</v>
      </c>
      <c r="O31" s="4">
        <f>O30/N30</f>
        <v>4.3507511434437575E-2</v>
      </c>
      <c r="R31" s="4">
        <f>R30/Q30</f>
        <v>4.5341309108270569E-2</v>
      </c>
      <c r="U31" s="4">
        <f>U30/T30</f>
        <v>6.4289853370700548E-2</v>
      </c>
      <c r="V31" s="4"/>
      <c r="W31" s="4"/>
      <c r="X31" s="4">
        <f>X30/W30</f>
        <v>6.8137393627066598E-2</v>
      </c>
      <c r="AB31" s="4">
        <f>AB30/AA30</f>
        <v>5.9054851521338728E-2</v>
      </c>
      <c r="AE31" s="4">
        <f>AE30/AD30</f>
        <v>7.0531474045930007E-2</v>
      </c>
      <c r="AH31" s="4">
        <f>AH30/AG30</f>
        <v>4.2109045590998713E-2</v>
      </c>
      <c r="AK31" s="4">
        <f>AK30/AJ30</f>
        <v>4.6429184112869448E-2</v>
      </c>
      <c r="AN31" s="4">
        <f>AN30/AM30</f>
        <v>6.8308339590485379E-2</v>
      </c>
      <c r="AQ31" s="4">
        <f>AQ30/AP30</f>
        <v>9.6995769368323395E-2</v>
      </c>
      <c r="AT31" s="4">
        <f>AT30/AS30</f>
        <v>4.5253596667946504E-2</v>
      </c>
    </row>
    <row r="33" spans="2:44" x14ac:dyDescent="0.2">
      <c r="B33" t="s">
        <v>22</v>
      </c>
      <c r="D33" t="s">
        <v>0</v>
      </c>
      <c r="E33" s="2"/>
      <c r="F33" s="2"/>
      <c r="G33" s="2" t="s">
        <v>1</v>
      </c>
      <c r="H33" s="2"/>
      <c r="I33" s="2"/>
      <c r="J33" s="1" t="s">
        <v>2</v>
      </c>
      <c r="M33" s="2" t="s">
        <v>3</v>
      </c>
      <c r="N33" s="2"/>
      <c r="O33" s="2"/>
      <c r="P33" s="2" t="s">
        <v>4</v>
      </c>
      <c r="Q33" s="2"/>
      <c r="R33" s="1"/>
      <c r="S33" s="2" t="s">
        <v>48</v>
      </c>
      <c r="T33" s="2"/>
      <c r="U33" s="1"/>
      <c r="V33" s="1" t="s">
        <v>49</v>
      </c>
      <c r="W33" s="1"/>
      <c r="X33" s="1"/>
      <c r="Z33" t="s">
        <v>5</v>
      </c>
      <c r="AA33" s="2"/>
      <c r="AB33" s="2"/>
      <c r="AC33" s="2" t="s">
        <v>6</v>
      </c>
      <c r="AD33" s="2"/>
      <c r="AE33" s="2"/>
      <c r="AF33" s="1" t="s">
        <v>7</v>
      </c>
      <c r="AI33" s="2" t="s">
        <v>8</v>
      </c>
      <c r="AJ33" s="2"/>
      <c r="AK33" s="2"/>
      <c r="AL33" s="2" t="s">
        <v>9</v>
      </c>
      <c r="AM33" s="2"/>
      <c r="AN33" s="1"/>
      <c r="AO33" s="2" t="s">
        <v>54</v>
      </c>
      <c r="AP33" s="2"/>
      <c r="AQ33" s="1"/>
      <c r="AR33" s="1" t="s">
        <v>55</v>
      </c>
    </row>
    <row r="34" spans="2:44" x14ac:dyDescent="0.2">
      <c r="D34">
        <v>1</v>
      </c>
      <c r="E34" s="2">
        <v>8.5375043841536503E-7</v>
      </c>
      <c r="F34" s="2">
        <v>0.99817056099558599</v>
      </c>
      <c r="G34">
        <v>1</v>
      </c>
      <c r="H34" s="2">
        <v>8.5824476974789799E-7</v>
      </c>
      <c r="I34" s="2">
        <v>0.99937396512948296</v>
      </c>
      <c r="J34">
        <v>1</v>
      </c>
      <c r="K34" s="1">
        <v>7.6008418583433301E-7</v>
      </c>
      <c r="L34">
        <v>0.99754691134569695</v>
      </c>
      <c r="M34">
        <v>1</v>
      </c>
      <c r="N34" s="2">
        <v>9.047930545018E-7</v>
      </c>
      <c r="O34" s="2">
        <v>0.99915175218852104</v>
      </c>
      <c r="P34">
        <v>1</v>
      </c>
      <c r="Q34" s="2">
        <v>8.8866538439375604E-7</v>
      </c>
      <c r="R34" s="1">
        <v>0.99917735444442801</v>
      </c>
      <c r="S34" s="1">
        <v>1</v>
      </c>
      <c r="T34" s="1">
        <v>6.4098716686674702E-7</v>
      </c>
      <c r="U34" s="1">
        <v>0.99421897634080203</v>
      </c>
      <c r="V34" s="1">
        <v>1</v>
      </c>
      <c r="W34" s="1">
        <v>1.0078179851140501E-6</v>
      </c>
      <c r="X34" s="1">
        <v>0.99943055239460299</v>
      </c>
      <c r="Z34">
        <v>1</v>
      </c>
      <c r="AA34" s="2">
        <v>1.1886190081001999E-7</v>
      </c>
      <c r="AB34" s="2">
        <v>0.99659671555587503</v>
      </c>
      <c r="AC34">
        <v>1</v>
      </c>
      <c r="AD34" s="2">
        <v>1.4911578079952E-7</v>
      </c>
      <c r="AE34" s="2">
        <v>0.99617433595240001</v>
      </c>
      <c r="AF34">
        <v>1</v>
      </c>
      <c r="AG34" s="1">
        <v>1.2740577338183501E-7</v>
      </c>
      <c r="AH34">
        <v>0.97901749990998999</v>
      </c>
      <c r="AI34">
        <v>1</v>
      </c>
      <c r="AJ34" s="2">
        <v>1.5206036047401201E-7</v>
      </c>
      <c r="AK34" s="2">
        <v>0.99869540883437102</v>
      </c>
      <c r="AL34" s="2">
        <v>1</v>
      </c>
      <c r="AM34" s="2">
        <v>1.6673833924098101E-7</v>
      </c>
      <c r="AN34" s="1">
        <v>0.99620782809779995</v>
      </c>
    </row>
    <row r="35" spans="2:44" x14ac:dyDescent="0.2">
      <c r="D35">
        <v>2</v>
      </c>
      <c r="E35" s="2">
        <v>8.0608015894357799E-7</v>
      </c>
      <c r="F35" s="2">
        <v>0.99837957898997798</v>
      </c>
      <c r="G35">
        <v>2</v>
      </c>
      <c r="H35" s="2">
        <v>9.0500965954381803E-7</v>
      </c>
      <c r="I35" s="2">
        <v>0.99960504752619805</v>
      </c>
      <c r="J35">
        <v>2</v>
      </c>
      <c r="K35" s="1">
        <v>7.7696954669867904E-7</v>
      </c>
      <c r="L35">
        <v>0.99773726831986698</v>
      </c>
      <c r="M35">
        <v>2</v>
      </c>
      <c r="N35" s="2">
        <v>8.5165029147659095E-7</v>
      </c>
      <c r="O35" s="2">
        <v>0.99926604390248397</v>
      </c>
      <c r="P35">
        <v>2</v>
      </c>
      <c r="Q35" s="2">
        <v>9.3025787082833297E-7</v>
      </c>
      <c r="R35" s="1">
        <v>0.99860600164857005</v>
      </c>
      <c r="S35" s="1">
        <v>2</v>
      </c>
      <c r="T35" s="1">
        <v>6.33432872989195E-7</v>
      </c>
      <c r="U35" s="1">
        <v>0.99874634228374404</v>
      </c>
      <c r="V35" s="1">
        <v>2</v>
      </c>
      <c r="W35" s="1">
        <v>9.9554269483793593E-7</v>
      </c>
      <c r="X35" s="1">
        <v>0.99740301192926895</v>
      </c>
      <c r="Z35">
        <v>2</v>
      </c>
      <c r="AA35" s="1">
        <v>1.53102722905573E-7</v>
      </c>
      <c r="AB35">
        <v>0.997500200288856</v>
      </c>
      <c r="AC35">
        <v>2</v>
      </c>
      <c r="AD35" s="1">
        <v>1.33221236668417E-7</v>
      </c>
      <c r="AE35">
        <v>0.99773972215117201</v>
      </c>
      <c r="AF35">
        <v>2</v>
      </c>
      <c r="AG35" s="1">
        <v>1.2648213783094599E-7</v>
      </c>
      <c r="AH35">
        <v>0.99038604545575204</v>
      </c>
      <c r="AI35">
        <v>2</v>
      </c>
      <c r="AJ35" s="1">
        <v>1.44883801125028E-7</v>
      </c>
      <c r="AK35">
        <v>0.998072839124588</v>
      </c>
      <c r="AL35">
        <v>2</v>
      </c>
      <c r="AM35" s="1">
        <v>1.43363994929873E-7</v>
      </c>
      <c r="AN35">
        <v>0.99385025199993005</v>
      </c>
    </row>
    <row r="36" spans="2:44" x14ac:dyDescent="0.2">
      <c r="D36">
        <v>3</v>
      </c>
      <c r="E36" s="2">
        <v>8.8255351452580996E-7</v>
      </c>
      <c r="F36" s="2">
        <v>0.99902759901614702</v>
      </c>
      <c r="G36">
        <v>3</v>
      </c>
      <c r="H36" s="2">
        <v>8.5858595438175203E-7</v>
      </c>
      <c r="I36" s="2">
        <v>0.99933504130433504</v>
      </c>
      <c r="J36">
        <v>3</v>
      </c>
      <c r="K36" s="1">
        <v>7.7964193661464596E-7</v>
      </c>
      <c r="L36">
        <v>0.99507220970654198</v>
      </c>
      <c r="M36">
        <v>3</v>
      </c>
      <c r="N36" s="2">
        <v>9.629008590636259E-7</v>
      </c>
      <c r="O36" s="2">
        <v>0.99858182906840198</v>
      </c>
      <c r="P36">
        <v>3</v>
      </c>
      <c r="Q36" s="2">
        <v>9.1833079039615895E-7</v>
      </c>
      <c r="R36" s="1">
        <v>0.99861650657155199</v>
      </c>
      <c r="S36" s="1">
        <v>3</v>
      </c>
      <c r="T36" s="1">
        <v>7.08834917166867E-7</v>
      </c>
      <c r="U36" s="1">
        <v>0.99597332623613999</v>
      </c>
      <c r="V36" s="1">
        <v>3</v>
      </c>
      <c r="W36" s="1">
        <v>1.0387429066026399E-6</v>
      </c>
      <c r="X36" s="1">
        <v>0.99904928480902799</v>
      </c>
      <c r="Z36">
        <v>3</v>
      </c>
      <c r="AA36" s="1">
        <v>1.47099971304283E-7</v>
      </c>
      <c r="AB36">
        <v>0.99748914174444203</v>
      </c>
      <c r="AC36">
        <v>3</v>
      </c>
      <c r="AD36" s="1">
        <v>1.4126295773644299E-7</v>
      </c>
      <c r="AE36">
        <v>0.990026128458524</v>
      </c>
      <c r="AF36">
        <v>3</v>
      </c>
      <c r="AG36" s="1">
        <v>1.57827053318833E-7</v>
      </c>
      <c r="AH36">
        <v>0.99468480926573699</v>
      </c>
      <c r="AI36">
        <v>3</v>
      </c>
      <c r="AJ36" s="1">
        <v>1.3864125640891001E-7</v>
      </c>
      <c r="AK36">
        <v>0.99838363067806002</v>
      </c>
      <c r="AL36">
        <v>3</v>
      </c>
      <c r="AM36" s="1">
        <v>1.51681779239481E-7</v>
      </c>
      <c r="AN36">
        <v>0.99616455439356699</v>
      </c>
    </row>
    <row r="37" spans="2:44" x14ac:dyDescent="0.2">
      <c r="D37">
        <v>4</v>
      </c>
      <c r="E37" s="2">
        <v>8.5398541704681904E-7</v>
      </c>
      <c r="F37" s="2">
        <v>0.99901132712196605</v>
      </c>
      <c r="G37">
        <v>4</v>
      </c>
      <c r="H37" s="2">
        <v>8.3400314429771996E-7</v>
      </c>
      <c r="I37" s="2">
        <v>0.997722701702078</v>
      </c>
      <c r="J37">
        <v>4</v>
      </c>
      <c r="K37" s="1">
        <v>8.0156539255702296E-7</v>
      </c>
      <c r="L37">
        <v>0.99900920029331497</v>
      </c>
      <c r="M37">
        <v>4</v>
      </c>
      <c r="N37" s="2">
        <v>8.5419937959183704E-7</v>
      </c>
      <c r="O37" s="2">
        <v>0.99833733251105605</v>
      </c>
      <c r="P37">
        <v>4</v>
      </c>
      <c r="Q37" s="2">
        <v>9.2962058487395005E-7</v>
      </c>
      <c r="R37" s="1">
        <v>0.99829736765270505</v>
      </c>
      <c r="S37" s="1">
        <v>4</v>
      </c>
      <c r="T37" s="1">
        <v>4.9889559567827096E-7</v>
      </c>
      <c r="U37" s="1">
        <v>0.99589881203442698</v>
      </c>
      <c r="V37" s="1">
        <v>4</v>
      </c>
      <c r="W37" s="1">
        <v>9.8988184681872791E-7</v>
      </c>
      <c r="X37" s="1">
        <v>0.99916265368498902</v>
      </c>
      <c r="Z37">
        <v>4</v>
      </c>
      <c r="AA37" s="1">
        <v>1.2914034087602201E-7</v>
      </c>
      <c r="AB37">
        <v>0.99295450377592198</v>
      </c>
      <c r="AC37">
        <v>4</v>
      </c>
      <c r="AD37" s="1">
        <v>1.38250845323633E-7</v>
      </c>
      <c r="AE37">
        <v>0.99692351993695105</v>
      </c>
      <c r="AF37">
        <v>4</v>
      </c>
      <c r="AG37" s="1">
        <v>1.36329193639841E-7</v>
      </c>
      <c r="AH37">
        <v>0.99656671370842898</v>
      </c>
      <c r="AI37">
        <v>4</v>
      </c>
      <c r="AJ37" s="1">
        <v>1.5512481559289E-7</v>
      </c>
      <c r="AK37">
        <v>0.99617262072769297</v>
      </c>
      <c r="AL37">
        <v>4</v>
      </c>
      <c r="AM37" s="1">
        <v>1.39102581677042E-7</v>
      </c>
      <c r="AN37">
        <v>0.993786614665785</v>
      </c>
    </row>
    <row r="38" spans="2:44" x14ac:dyDescent="0.2">
      <c r="D38">
        <v>5</v>
      </c>
      <c r="E38" s="2">
        <v>8.7000275006002399E-7</v>
      </c>
      <c r="F38" s="2">
        <v>0.99717391640509101</v>
      </c>
      <c r="G38">
        <v>5</v>
      </c>
      <c r="H38" s="2">
        <v>8.4689661608643495E-7</v>
      </c>
      <c r="I38" s="2">
        <v>0.99025120188031301</v>
      </c>
      <c r="J38">
        <v>5</v>
      </c>
      <c r="K38" s="1">
        <v>7.9565180984393699E-7</v>
      </c>
      <c r="L38">
        <v>0.99935209885274101</v>
      </c>
      <c r="M38">
        <v>5</v>
      </c>
      <c r="N38" s="2">
        <v>8.8616800336134495E-7</v>
      </c>
      <c r="O38" s="2">
        <v>0.99863421762579896</v>
      </c>
      <c r="P38">
        <v>5</v>
      </c>
      <c r="Q38" s="2">
        <v>9.3162213253301298E-7</v>
      </c>
      <c r="R38" s="1">
        <v>0.99878125164046505</v>
      </c>
      <c r="S38" s="1">
        <v>5</v>
      </c>
      <c r="T38" s="1">
        <v>7.0476904249699896E-7</v>
      </c>
      <c r="U38" s="1">
        <v>0.99865414562324295</v>
      </c>
      <c r="V38" s="1">
        <v>5</v>
      </c>
      <c r="W38" s="1">
        <v>1.0230387515005999E-6</v>
      </c>
      <c r="X38" s="1">
        <v>0.999522716660877</v>
      </c>
      <c r="Z38">
        <v>5</v>
      </c>
      <c r="AA38" s="1">
        <v>1.65257856881422E-7</v>
      </c>
      <c r="AB38">
        <v>0.99702822164917204</v>
      </c>
      <c r="AC38">
        <v>5</v>
      </c>
      <c r="AD38" s="1">
        <v>1.5567913489837199E-7</v>
      </c>
      <c r="AE38">
        <v>0.99671500307257599</v>
      </c>
      <c r="AF38">
        <v>5</v>
      </c>
      <c r="AG38" s="1">
        <v>1.5458916296407399E-7</v>
      </c>
      <c r="AH38">
        <v>0.99740286621103302</v>
      </c>
      <c r="AI38">
        <v>5</v>
      </c>
      <c r="AJ38" s="1">
        <v>1.67235397577439E-7</v>
      </c>
      <c r="AK38">
        <v>0.99775973278163499</v>
      </c>
      <c r="AL38">
        <v>5</v>
      </c>
      <c r="AM38" s="1">
        <v>1.1839916195154901E-7</v>
      </c>
      <c r="AN38">
        <v>0.97135960271119903</v>
      </c>
    </row>
    <row r="39" spans="2:44" x14ac:dyDescent="0.2">
      <c r="D39">
        <v>6</v>
      </c>
      <c r="E39" s="1">
        <v>8.41753057863145E-7</v>
      </c>
      <c r="F39" s="1">
        <v>0.99879312831795797</v>
      </c>
      <c r="G39">
        <v>6</v>
      </c>
      <c r="H39" s="1">
        <v>8.4346904729892005E-7</v>
      </c>
      <c r="I39" s="1">
        <v>0.99932257052026996</v>
      </c>
      <c r="J39">
        <v>6</v>
      </c>
      <c r="K39" s="1">
        <v>8.1556020312124803E-7</v>
      </c>
      <c r="L39" s="1">
        <v>0.996527736196819</v>
      </c>
      <c r="M39">
        <v>6</v>
      </c>
      <c r="N39" s="1">
        <v>9.1098122641056399E-7</v>
      </c>
      <c r="O39" s="1">
        <v>0.99888153437210803</v>
      </c>
      <c r="P39">
        <v>6</v>
      </c>
      <c r="Q39" s="1">
        <v>8.9147578103241297E-7</v>
      </c>
      <c r="R39" s="1">
        <v>0.99660978189293004</v>
      </c>
      <c r="S39" s="1">
        <v>6</v>
      </c>
      <c r="T39" s="1">
        <v>6.3211516878751397E-7</v>
      </c>
      <c r="U39" s="1">
        <v>0.99803589122104797</v>
      </c>
      <c r="V39" s="1">
        <v>6</v>
      </c>
      <c r="W39" s="1">
        <v>1.2200295711884801E-6</v>
      </c>
      <c r="X39" s="1">
        <v>0.98819005107174696</v>
      </c>
      <c r="Z39">
        <v>6</v>
      </c>
      <c r="AA39" s="1">
        <v>1.4211178861471499E-7</v>
      </c>
      <c r="AB39">
        <v>0.99335207309319296</v>
      </c>
      <c r="AC39">
        <v>6</v>
      </c>
      <c r="AD39" s="1">
        <v>1.4144330219005499E-7</v>
      </c>
      <c r="AE39">
        <v>0.998019177924232</v>
      </c>
      <c r="AF39">
        <v>6</v>
      </c>
      <c r="AG39" s="1">
        <v>1.2667417005925101E-7</v>
      </c>
      <c r="AH39">
        <v>0.98576704068072296</v>
      </c>
      <c r="AI39">
        <v>6</v>
      </c>
      <c r="AJ39" s="1">
        <v>1.53277976816921E-7</v>
      </c>
      <c r="AK39">
        <v>0.99751802086420405</v>
      </c>
      <c r="AL39">
        <v>6</v>
      </c>
      <c r="AM39" s="1">
        <v>1.5923651249531201E-7</v>
      </c>
      <c r="AN39">
        <v>0.99599910150331805</v>
      </c>
    </row>
    <row r="40" spans="2:44" x14ac:dyDescent="0.2">
      <c r="D40">
        <v>7</v>
      </c>
      <c r="E40" s="1">
        <v>8.47604331332534E-7</v>
      </c>
      <c r="F40" s="3">
        <v>0.99538452644292796</v>
      </c>
      <c r="G40">
        <v>7</v>
      </c>
      <c r="H40" s="1">
        <v>8.1459050084033604E-7</v>
      </c>
      <c r="I40" s="3">
        <v>0.99809044114176404</v>
      </c>
      <c r="J40">
        <v>7</v>
      </c>
      <c r="K40" s="1">
        <v>8.0439610468187204E-7</v>
      </c>
      <c r="L40" s="3">
        <v>0.99862831736355495</v>
      </c>
      <c r="M40">
        <v>7</v>
      </c>
      <c r="N40" s="1">
        <v>8.7118339543817504E-7</v>
      </c>
      <c r="O40" s="3">
        <v>0.99710836751589405</v>
      </c>
      <c r="P40">
        <v>7</v>
      </c>
      <c r="Q40" s="1">
        <v>8.5005942328931501E-7</v>
      </c>
      <c r="R40" s="3">
        <v>0.99912511319573505</v>
      </c>
      <c r="S40" s="3">
        <v>7</v>
      </c>
      <c r="T40" s="3">
        <v>7.2163247442977198E-7</v>
      </c>
      <c r="U40" s="3">
        <v>0.99235247358376399</v>
      </c>
      <c r="V40" s="3">
        <v>7</v>
      </c>
      <c r="W40" s="3">
        <v>9.9060341896758797E-7</v>
      </c>
      <c r="X40" s="3">
        <v>0.99856988443961603</v>
      </c>
      <c r="Z40">
        <v>7</v>
      </c>
      <c r="AA40" s="1">
        <v>1.34956266504163E-7</v>
      </c>
      <c r="AB40">
        <v>0.994918633034648</v>
      </c>
      <c r="AC40">
        <v>7</v>
      </c>
      <c r="AD40" s="1">
        <v>1.4669480438760999E-7</v>
      </c>
      <c r="AE40">
        <v>0.99728328992023396</v>
      </c>
      <c r="AF40">
        <v>7</v>
      </c>
      <c r="AG40" s="1">
        <v>1.3281364126603101E-7</v>
      </c>
      <c r="AH40">
        <v>0.99417832000888295</v>
      </c>
      <c r="AI40">
        <v>7</v>
      </c>
      <c r="AJ40" s="1">
        <v>1.6550633276831901E-7</v>
      </c>
      <c r="AK40">
        <v>0.99888514321856003</v>
      </c>
      <c r="AL40">
        <v>7</v>
      </c>
      <c r="AM40" s="1">
        <v>1.59459521795545E-7</v>
      </c>
      <c r="AN40">
        <v>0.99821212850654595</v>
      </c>
    </row>
    <row r="41" spans="2:44" x14ac:dyDescent="0.2">
      <c r="D41">
        <v>8</v>
      </c>
      <c r="E41" s="1">
        <v>7.7228619543817597E-7</v>
      </c>
      <c r="F41">
        <v>0.99826689735907104</v>
      </c>
      <c r="G41">
        <v>8</v>
      </c>
      <c r="H41" s="1">
        <v>8.4999164465786305E-7</v>
      </c>
      <c r="I41">
        <v>0.99821626335977298</v>
      </c>
      <c r="J41">
        <v>8</v>
      </c>
      <c r="K41" s="1">
        <v>8.5233941320528204E-7</v>
      </c>
      <c r="L41">
        <v>0.99964119546562202</v>
      </c>
      <c r="M41">
        <v>8</v>
      </c>
      <c r="N41" s="1">
        <v>8.2751019735894403E-7</v>
      </c>
      <c r="O41">
        <v>0.99773499405060295</v>
      </c>
      <c r="P41">
        <v>8</v>
      </c>
      <c r="Q41" s="1">
        <v>8.2740123361344501E-7</v>
      </c>
      <c r="R41">
        <v>0.99830187653681501</v>
      </c>
      <c r="S41">
        <v>8</v>
      </c>
      <c r="T41" s="1">
        <v>7.3188525570228096E-7</v>
      </c>
      <c r="U41">
        <v>0.99430559443416899</v>
      </c>
      <c r="V41">
        <v>8</v>
      </c>
      <c r="W41" s="1">
        <v>1.0314189877550999E-6</v>
      </c>
      <c r="X41">
        <v>0.99884904269054298</v>
      </c>
      <c r="Z41">
        <v>8</v>
      </c>
      <c r="AA41" s="1">
        <v>1.4198349008475201E-7</v>
      </c>
      <c r="AB41">
        <v>0.99627486717562297</v>
      </c>
      <c r="AC41">
        <v>8</v>
      </c>
      <c r="AD41" s="1">
        <v>1.5323144758118899E-7</v>
      </c>
      <c r="AE41">
        <v>0.99590265791478105</v>
      </c>
      <c r="AF41">
        <v>8</v>
      </c>
      <c r="AG41" s="1">
        <v>1.3900852890572299E-7</v>
      </c>
      <c r="AH41">
        <v>0.99423602801861899</v>
      </c>
      <c r="AI41">
        <v>8</v>
      </c>
      <c r="AJ41" s="1">
        <v>1.5812441167779201E-7</v>
      </c>
      <c r="AK41">
        <v>0.99567038941498498</v>
      </c>
      <c r="AL41">
        <v>8</v>
      </c>
      <c r="AM41" s="1">
        <v>1.4713622889822299E-7</v>
      </c>
      <c r="AN41">
        <v>0.996448952471509</v>
      </c>
    </row>
    <row r="42" spans="2:44" x14ac:dyDescent="0.2">
      <c r="D42">
        <v>9</v>
      </c>
      <c r="E42" s="1">
        <v>7.5545046914765998E-7</v>
      </c>
      <c r="F42">
        <v>0.997810367226308</v>
      </c>
      <c r="G42">
        <v>9</v>
      </c>
      <c r="H42" s="1">
        <v>8.1000737575030003E-7</v>
      </c>
      <c r="I42">
        <v>0.99732575519443301</v>
      </c>
      <c r="J42">
        <v>9</v>
      </c>
      <c r="K42" s="1">
        <v>7.7572293925570202E-7</v>
      </c>
      <c r="L42">
        <v>0.99633405719121304</v>
      </c>
      <c r="M42">
        <v>9</v>
      </c>
      <c r="N42" s="1">
        <v>8.5444713085234098E-7</v>
      </c>
      <c r="O42">
        <v>0.99865617418529895</v>
      </c>
      <c r="P42">
        <v>9</v>
      </c>
      <c r="Q42" s="1">
        <v>9.0988633757502902E-7</v>
      </c>
      <c r="R42">
        <v>0.99722505689936303</v>
      </c>
      <c r="S42">
        <v>9</v>
      </c>
      <c r="T42" s="1">
        <v>7.2837501032413004E-7</v>
      </c>
      <c r="U42">
        <v>0.99767933552641497</v>
      </c>
      <c r="V42">
        <v>9</v>
      </c>
      <c r="W42" s="1">
        <v>1.0426278655462199E-6</v>
      </c>
      <c r="X42">
        <v>0.99919215302228304</v>
      </c>
      <c r="Z42">
        <v>9</v>
      </c>
      <c r="AA42" s="1">
        <v>1.44611476246906E-7</v>
      </c>
      <c r="AB42">
        <v>0.99465179793223402</v>
      </c>
      <c r="AC42">
        <v>9</v>
      </c>
      <c r="AD42" s="1">
        <v>1.2590170415510401E-7</v>
      </c>
      <c r="AE42">
        <v>0.993358880564992</v>
      </c>
      <c r="AF42">
        <v>9</v>
      </c>
      <c r="AG42" s="1">
        <v>1.2132274709367699E-7</v>
      </c>
      <c r="AH42">
        <v>0.99546512248559604</v>
      </c>
      <c r="AI42">
        <v>9</v>
      </c>
      <c r="AJ42" s="1">
        <v>1.44051710335258E-7</v>
      </c>
      <c r="AK42">
        <v>0.99621100688878905</v>
      </c>
      <c r="AL42">
        <v>9</v>
      </c>
      <c r="AM42" s="1">
        <v>1.57796684744619E-7</v>
      </c>
      <c r="AN42">
        <v>0.99448089543229101</v>
      </c>
    </row>
    <row r="43" spans="2:44" x14ac:dyDescent="0.2">
      <c r="D43">
        <v>10</v>
      </c>
      <c r="E43" s="1">
        <v>8.8914215030011997E-7</v>
      </c>
      <c r="F43">
        <v>0.99909805939141105</v>
      </c>
      <c r="G43">
        <v>10</v>
      </c>
      <c r="H43" s="1">
        <v>8.2456715246098399E-7</v>
      </c>
      <c r="I43">
        <v>0.99857550195232303</v>
      </c>
      <c r="J43">
        <v>10</v>
      </c>
      <c r="K43" s="1">
        <v>7.9257808739495798E-7</v>
      </c>
      <c r="L43">
        <v>0.99835533734098603</v>
      </c>
      <c r="M43">
        <v>10</v>
      </c>
      <c r="N43" s="1">
        <v>8.7308750684273695E-7</v>
      </c>
      <c r="O43">
        <v>0.99845551940619504</v>
      </c>
      <c r="P43">
        <v>10</v>
      </c>
      <c r="Q43" s="1">
        <v>9.3463493637454898E-7</v>
      </c>
      <c r="R43">
        <v>0.99922697755016099</v>
      </c>
      <c r="S43">
        <v>10</v>
      </c>
      <c r="T43" s="1">
        <v>5.3144953085234099E-7</v>
      </c>
      <c r="U43">
        <v>0.997808815517081</v>
      </c>
      <c r="V43">
        <v>10</v>
      </c>
      <c r="W43" s="1">
        <v>1.09270649795918E-6</v>
      </c>
      <c r="X43">
        <v>0.99933999886386604</v>
      </c>
      <c r="Z43">
        <v>10</v>
      </c>
      <c r="AA43" s="1">
        <v>1.5684480443261001E-7</v>
      </c>
      <c r="AB43">
        <v>0.99912592719284998</v>
      </c>
      <c r="AC43">
        <v>10</v>
      </c>
      <c r="AD43" s="1">
        <v>1.5363169892747299E-7</v>
      </c>
      <c r="AE43">
        <v>0.99650257924359598</v>
      </c>
      <c r="AF43">
        <v>10</v>
      </c>
      <c r="AG43" s="1">
        <v>1.5426270701267501E-7</v>
      </c>
      <c r="AH43">
        <v>0.987705839976601</v>
      </c>
      <c r="AI43">
        <v>10</v>
      </c>
      <c r="AJ43" s="1">
        <v>1.69996163436586E-7</v>
      </c>
      <c r="AK43">
        <v>0.99520315774865098</v>
      </c>
      <c r="AL43">
        <v>10</v>
      </c>
      <c r="AM43" s="1">
        <v>1.5467634748368701E-7</v>
      </c>
      <c r="AN43">
        <v>0.99760918545670796</v>
      </c>
    </row>
    <row r="44" spans="2:44" x14ac:dyDescent="0.2">
      <c r="D44" t="s">
        <v>21</v>
      </c>
      <c r="E44" s="1">
        <v>8.3726084830732301E-7</v>
      </c>
      <c r="F44" s="1">
        <v>4.5191926088360698E-8</v>
      </c>
      <c r="G44" t="s">
        <v>21</v>
      </c>
      <c r="H44" s="1">
        <v>8.4453658650660296E-7</v>
      </c>
      <c r="I44" s="1">
        <v>2.7238707691034501E-8</v>
      </c>
      <c r="J44" t="s">
        <v>21</v>
      </c>
      <c r="K44" s="1">
        <v>7.9545096192076805E-7</v>
      </c>
      <c r="L44" s="1">
        <v>2.58152943016414E-8</v>
      </c>
      <c r="M44" t="s">
        <v>21</v>
      </c>
      <c r="N44" s="1">
        <v>8.7969210448979603E-7</v>
      </c>
      <c r="O44" s="1">
        <v>3.8711471471450303E-8</v>
      </c>
      <c r="P44" t="s">
        <v>21</v>
      </c>
      <c r="Q44" s="1">
        <v>9.0119544749099604E-7</v>
      </c>
      <c r="R44" s="1">
        <v>3.7085037986431402E-8</v>
      </c>
      <c r="S44" s="1" t="s">
        <v>21</v>
      </c>
      <c r="T44" s="1">
        <v>6.5323770352941203E-7</v>
      </c>
      <c r="U44" s="1">
        <v>8.2930854583018405E-8</v>
      </c>
      <c r="V44" s="1" t="s">
        <v>21</v>
      </c>
      <c r="W44" s="1">
        <v>1.0432410526290499E-6</v>
      </c>
      <c r="X44" s="1">
        <v>6.9456114402721206E-8</v>
      </c>
      <c r="Z44" t="s">
        <v>21</v>
      </c>
      <c r="AA44" s="1">
        <v>1.4339706186604699E-7</v>
      </c>
      <c r="AB44" s="1">
        <v>1.35328723071575E-8</v>
      </c>
      <c r="AC44" t="s">
        <v>21</v>
      </c>
      <c r="AD44" s="1">
        <v>1.43843291266782E-7</v>
      </c>
      <c r="AE44" s="1">
        <v>9.6516549141585397E-9</v>
      </c>
      <c r="AF44" t="s">
        <v>21</v>
      </c>
      <c r="AG44" s="1">
        <v>1.3767151154728899E-7</v>
      </c>
      <c r="AH44" s="1">
        <v>1.3390377889430399E-8</v>
      </c>
      <c r="AI44" t="s">
        <v>21</v>
      </c>
      <c r="AJ44" s="1">
        <v>1.54890222621316E-7</v>
      </c>
      <c r="AK44" s="1">
        <v>1.0520074878246401E-8</v>
      </c>
      <c r="AL44" t="s">
        <v>21</v>
      </c>
      <c r="AM44" s="1">
        <v>1.4975911524563101E-7</v>
      </c>
      <c r="AN44" s="1">
        <v>1.37819398790323E-8</v>
      </c>
    </row>
    <row r="45" spans="2:44" x14ac:dyDescent="0.2">
      <c r="F45" s="4">
        <f>F44/E44</f>
        <v>5.3975921816629191E-2</v>
      </c>
      <c r="I45" s="4">
        <f>I44/H44</f>
        <v>3.2252845082421468E-2</v>
      </c>
      <c r="L45" s="4">
        <f>L44/K44</f>
        <v>3.2453659040534003E-2</v>
      </c>
      <c r="O45" s="4">
        <f>O44/N44</f>
        <v>4.4005705261958884E-2</v>
      </c>
      <c r="R45" s="4">
        <f>R44/Q44</f>
        <v>4.1150938000940052E-2</v>
      </c>
      <c r="S45" s="4"/>
      <c r="T45" s="4"/>
      <c r="U45" s="4">
        <f>U44/T44</f>
        <v>0.12695356397058372</v>
      </c>
      <c r="V45" s="4"/>
      <c r="W45" s="4"/>
      <c r="X45" s="4">
        <f>X44/W44</f>
        <v>6.6577244278957684E-2</v>
      </c>
      <c r="AB45" s="4">
        <f>AB44/AA44</f>
        <v>9.4373428095752096E-2</v>
      </c>
      <c r="AE45" s="4">
        <f>AE44/AD44</f>
        <v>6.7098401525434323E-2</v>
      </c>
      <c r="AH45" s="4">
        <f>AH44/AG44</f>
        <v>9.72632445081488E-2</v>
      </c>
      <c r="AK45" s="4">
        <f>AK44/AJ44</f>
        <v>6.7919554250796377E-2</v>
      </c>
      <c r="AN45" s="4">
        <f>AN44/AM44</f>
        <v>9.2027385821741262E-2</v>
      </c>
    </row>
    <row r="47" spans="2:44" x14ac:dyDescent="0.2">
      <c r="B47" t="s">
        <v>25</v>
      </c>
      <c r="D47" t="s">
        <v>0</v>
      </c>
      <c r="E47" s="2"/>
      <c r="F47" s="2"/>
      <c r="G47" s="2" t="s">
        <v>1</v>
      </c>
      <c r="H47" s="2"/>
      <c r="I47" s="2"/>
      <c r="J47" s="1" t="s">
        <v>2</v>
      </c>
      <c r="M47" s="2" t="s">
        <v>3</v>
      </c>
      <c r="N47" s="2"/>
      <c r="O47" s="2"/>
      <c r="P47" s="2" t="s">
        <v>4</v>
      </c>
      <c r="Q47" s="2"/>
      <c r="R47" s="1"/>
      <c r="S47" s="2" t="s">
        <v>48</v>
      </c>
      <c r="T47" s="2"/>
      <c r="U47" s="1"/>
      <c r="V47" s="1" t="s">
        <v>49</v>
      </c>
      <c r="W47" s="1"/>
      <c r="X47" s="1"/>
      <c r="Z47" t="s">
        <v>5</v>
      </c>
      <c r="AA47" s="2"/>
      <c r="AB47" s="2"/>
      <c r="AC47" s="2" t="s">
        <v>6</v>
      </c>
      <c r="AD47" s="2"/>
      <c r="AE47" s="2"/>
      <c r="AF47" s="1" t="s">
        <v>7</v>
      </c>
      <c r="AI47" s="2" t="s">
        <v>8</v>
      </c>
      <c r="AJ47" s="2"/>
      <c r="AK47" s="2"/>
      <c r="AL47" s="2" t="s">
        <v>9</v>
      </c>
      <c r="AM47" s="2"/>
      <c r="AN47" s="1"/>
      <c r="AO47" s="2" t="s">
        <v>54</v>
      </c>
      <c r="AP47" s="2"/>
      <c r="AQ47" s="1"/>
      <c r="AR47" s="1" t="s">
        <v>55</v>
      </c>
    </row>
    <row r="48" spans="2:44" x14ac:dyDescent="0.2">
      <c r="D48">
        <v>1</v>
      </c>
      <c r="E48" s="2">
        <v>6.4211076398559402E-7</v>
      </c>
      <c r="F48" s="2">
        <v>0.99705792753784706</v>
      </c>
      <c r="G48" s="2">
        <v>1</v>
      </c>
      <c r="H48" s="2">
        <v>6.5822224441776704E-7</v>
      </c>
      <c r="I48" s="2">
        <v>0.99797381789042305</v>
      </c>
      <c r="J48" s="1">
        <v>1</v>
      </c>
      <c r="K48" s="1">
        <v>5.2363628091236497E-7</v>
      </c>
      <c r="L48">
        <v>0.99677617218300496</v>
      </c>
      <c r="M48" s="2">
        <v>1</v>
      </c>
      <c r="N48" s="2">
        <v>5.2771001776710699E-7</v>
      </c>
      <c r="O48" s="2">
        <v>0.99626313791566001</v>
      </c>
      <c r="P48" s="2">
        <v>1</v>
      </c>
      <c r="Q48" s="2">
        <v>6.0288122545017997E-7</v>
      </c>
      <c r="R48" s="1">
        <v>0.99836760036822803</v>
      </c>
      <c r="S48" s="1">
        <v>1</v>
      </c>
      <c r="T48" s="1">
        <v>3.9847947851140399E-7</v>
      </c>
      <c r="U48" s="1">
        <v>0.99839869439143802</v>
      </c>
      <c r="V48" s="1">
        <v>1</v>
      </c>
      <c r="W48" s="1">
        <v>7.6630926482593104E-7</v>
      </c>
      <c r="X48" s="1">
        <v>0.99855374905528205</v>
      </c>
      <c r="Z48">
        <v>1</v>
      </c>
      <c r="AA48" s="2">
        <v>4.52971344558615E-8</v>
      </c>
      <c r="AB48" s="2">
        <v>0.89472563575202901</v>
      </c>
      <c r="AC48" s="2">
        <v>1</v>
      </c>
      <c r="AD48" s="2">
        <v>6.3744995792394598E-8</v>
      </c>
      <c r="AE48" s="2">
        <v>0.99205714133635603</v>
      </c>
      <c r="AF48" s="1">
        <v>1</v>
      </c>
      <c r="AG48" s="1">
        <v>6.6432855643890994E-8</v>
      </c>
      <c r="AH48">
        <v>0.98770647616354101</v>
      </c>
      <c r="AI48" s="2">
        <v>1</v>
      </c>
      <c r="AJ48" s="2">
        <v>7.9638416035400804E-8</v>
      </c>
      <c r="AK48" s="2">
        <v>0.99548963748571695</v>
      </c>
      <c r="AL48" s="2">
        <v>1</v>
      </c>
      <c r="AM48" s="2">
        <v>6.6182855748893799E-8</v>
      </c>
      <c r="AN48" s="1">
        <v>0.99752695414405002</v>
      </c>
    </row>
    <row r="49" spans="2:46" x14ac:dyDescent="0.2">
      <c r="D49">
        <v>2</v>
      </c>
      <c r="E49" s="2">
        <v>6.1170081776710597E-7</v>
      </c>
      <c r="F49" s="2">
        <v>0.99912701777162105</v>
      </c>
      <c r="G49" s="2">
        <v>2</v>
      </c>
      <c r="H49" s="2">
        <v>5.0799558031212497E-7</v>
      </c>
      <c r="I49" s="2">
        <v>0.99625859305423803</v>
      </c>
      <c r="J49" s="1">
        <v>2</v>
      </c>
      <c r="K49" s="1">
        <v>5.9640444753901604E-7</v>
      </c>
      <c r="L49">
        <v>0.99741624303656895</v>
      </c>
      <c r="M49" s="2">
        <v>2</v>
      </c>
      <c r="N49" s="2">
        <v>5.6772235246098504E-7</v>
      </c>
      <c r="O49" s="2">
        <v>0.99479604750666195</v>
      </c>
      <c r="P49" s="2">
        <v>2</v>
      </c>
      <c r="Q49" s="2">
        <v>6.1601565954381798E-7</v>
      </c>
      <c r="R49" s="1">
        <v>0.99763318156353298</v>
      </c>
      <c r="S49" s="1">
        <v>2</v>
      </c>
      <c r="T49" s="1">
        <v>4.24703721488595E-7</v>
      </c>
      <c r="U49" s="1">
        <v>0.99397826042874904</v>
      </c>
      <c r="V49" s="1">
        <v>2</v>
      </c>
      <c r="W49" s="1">
        <v>7.4469384585834301E-7</v>
      </c>
      <c r="X49" s="1">
        <v>0.99890858063319898</v>
      </c>
      <c r="Z49">
        <v>2</v>
      </c>
      <c r="AA49" s="1">
        <v>6.9393801995049902E-8</v>
      </c>
      <c r="AB49">
        <v>0.99453848647445497</v>
      </c>
      <c r="AC49">
        <v>2</v>
      </c>
      <c r="AD49" s="1">
        <v>5.7177668686717097E-8</v>
      </c>
      <c r="AE49">
        <v>0.96279646837419697</v>
      </c>
      <c r="AF49">
        <v>2</v>
      </c>
      <c r="AG49" s="1">
        <v>8.2713493729843301E-8</v>
      </c>
      <c r="AH49">
        <v>0.99301257750924099</v>
      </c>
      <c r="AI49">
        <v>2</v>
      </c>
      <c r="AJ49" s="1">
        <v>5.0760359566489102E-8</v>
      </c>
      <c r="AK49">
        <v>0.97897521533119003</v>
      </c>
      <c r="AL49">
        <v>2</v>
      </c>
      <c r="AM49" s="1">
        <v>5.5702537223430603E-8</v>
      </c>
      <c r="AN49">
        <v>0.96291210680904504</v>
      </c>
    </row>
    <row r="50" spans="2:46" x14ac:dyDescent="0.2">
      <c r="D50">
        <v>3</v>
      </c>
      <c r="E50" s="2">
        <v>5.9560107947178799E-7</v>
      </c>
      <c r="F50" s="2">
        <v>0.99633195972186905</v>
      </c>
      <c r="G50" s="2">
        <v>3</v>
      </c>
      <c r="H50" s="2">
        <v>6.5860290420168096E-7</v>
      </c>
      <c r="I50" s="2">
        <v>0.99624814091980796</v>
      </c>
      <c r="J50" s="1">
        <v>3</v>
      </c>
      <c r="K50" s="1">
        <v>5.7105235966386504E-7</v>
      </c>
      <c r="L50">
        <v>0.99772753062021702</v>
      </c>
      <c r="M50" s="2">
        <v>3</v>
      </c>
      <c r="N50" s="2">
        <v>6.53546144537814E-7</v>
      </c>
      <c r="O50" s="2">
        <v>0.99895845703461505</v>
      </c>
      <c r="P50" s="2">
        <v>3</v>
      </c>
      <c r="Q50" s="2">
        <v>6.7080857334933997E-7</v>
      </c>
      <c r="R50" s="1">
        <v>0.99754429381633303</v>
      </c>
      <c r="S50" s="1">
        <v>3</v>
      </c>
      <c r="T50" s="1">
        <v>4.6741827515006001E-7</v>
      </c>
      <c r="U50" s="1">
        <v>0.99797306603250902</v>
      </c>
      <c r="V50" s="1">
        <v>3</v>
      </c>
      <c r="W50" s="1">
        <v>7.6871787082833096E-7</v>
      </c>
      <c r="X50" s="1">
        <v>0.99789107256679999</v>
      </c>
      <c r="Z50">
        <v>3</v>
      </c>
      <c r="AA50" s="1">
        <v>5.94120448586215E-8</v>
      </c>
      <c r="AB50">
        <v>0.98546459582031498</v>
      </c>
      <c r="AC50">
        <v>3</v>
      </c>
      <c r="AD50" s="1">
        <v>5.2113828665716701E-8</v>
      </c>
      <c r="AE50">
        <v>0.97801542231854699</v>
      </c>
      <c r="AF50">
        <v>3</v>
      </c>
      <c r="AG50" s="1">
        <v>6.8965892079801994E-8</v>
      </c>
      <c r="AH50">
        <v>0.99227347936050803</v>
      </c>
      <c r="AI50">
        <v>3</v>
      </c>
      <c r="AJ50" s="1">
        <v>4.9317032625815597E-8</v>
      </c>
      <c r="AK50">
        <v>0.96201155552528705</v>
      </c>
      <c r="AL50">
        <v>3</v>
      </c>
      <c r="AM50" s="1">
        <v>8.0931747566189203E-8</v>
      </c>
      <c r="AN50">
        <v>0.99465031714482399</v>
      </c>
    </row>
    <row r="51" spans="2:46" x14ac:dyDescent="0.2">
      <c r="D51">
        <v>4</v>
      </c>
      <c r="E51" s="2">
        <v>5.8774549963985704E-7</v>
      </c>
      <c r="F51" s="2">
        <v>0.99898630271419897</v>
      </c>
      <c r="G51" s="2">
        <v>4</v>
      </c>
      <c r="H51" s="2">
        <v>6.3253906458583405E-7</v>
      </c>
      <c r="I51" s="2">
        <v>0.99818545174295104</v>
      </c>
      <c r="J51" s="1">
        <v>4</v>
      </c>
      <c r="K51" s="1">
        <v>5.2503325954381802E-7</v>
      </c>
      <c r="L51">
        <v>0.98987904798298099</v>
      </c>
      <c r="M51" s="2">
        <v>4</v>
      </c>
      <c r="N51" s="2">
        <v>6.15525793517408E-7</v>
      </c>
      <c r="O51" s="2">
        <v>0.99547782668408402</v>
      </c>
      <c r="P51" s="2">
        <v>4</v>
      </c>
      <c r="Q51" s="2">
        <v>6.5226770756302603E-7</v>
      </c>
      <c r="R51" s="1">
        <v>0.99848034932239904</v>
      </c>
      <c r="S51" s="1">
        <v>4</v>
      </c>
      <c r="T51" s="1">
        <v>4.64570508523409E-7</v>
      </c>
      <c r="U51" s="1">
        <v>0.997341351498643</v>
      </c>
      <c r="V51" s="1">
        <v>4</v>
      </c>
      <c r="W51" s="1">
        <v>7.7050586170468096E-7</v>
      </c>
      <c r="X51" s="1">
        <v>0.99924553312669995</v>
      </c>
      <c r="Z51">
        <v>4</v>
      </c>
      <c r="AA51" s="1">
        <v>7.2277105227630698E-8</v>
      </c>
      <c r="AB51">
        <v>0.99224078192349796</v>
      </c>
      <c r="AC51">
        <v>4</v>
      </c>
      <c r="AD51" s="1">
        <v>6.3040390737268501E-8</v>
      </c>
      <c r="AE51">
        <v>0.98912027818559201</v>
      </c>
      <c r="AF51">
        <v>4</v>
      </c>
      <c r="AG51" s="1">
        <v>6.2206025088127206E-8</v>
      </c>
      <c r="AH51">
        <v>0.99211548069806699</v>
      </c>
      <c r="AI51">
        <v>4</v>
      </c>
      <c r="AJ51" s="1">
        <v>7.50249631890798E-8</v>
      </c>
      <c r="AK51">
        <v>0.98927287310794199</v>
      </c>
      <c r="AL51">
        <v>4</v>
      </c>
      <c r="AM51" s="1">
        <v>8.1616348518712997E-8</v>
      </c>
      <c r="AN51">
        <v>0.99512875611955798</v>
      </c>
    </row>
    <row r="52" spans="2:46" x14ac:dyDescent="0.2">
      <c r="D52">
        <v>5</v>
      </c>
      <c r="E52" s="2">
        <v>6.2795607923169304E-7</v>
      </c>
      <c r="F52" s="2">
        <v>0.99735692830171396</v>
      </c>
      <c r="G52" s="2">
        <v>5</v>
      </c>
      <c r="H52" s="2">
        <v>5.4835649267707097E-7</v>
      </c>
      <c r="I52" s="2">
        <v>0.99585089103548496</v>
      </c>
      <c r="J52" s="1">
        <v>5</v>
      </c>
      <c r="K52" s="1">
        <v>5.9479163025210096E-7</v>
      </c>
      <c r="L52">
        <v>0.99881403428536197</v>
      </c>
      <c r="M52" s="2">
        <v>5</v>
      </c>
      <c r="N52" s="2">
        <v>6.51753751740696E-7</v>
      </c>
      <c r="O52" s="2">
        <v>0.99923176801606195</v>
      </c>
      <c r="P52" s="2">
        <v>5</v>
      </c>
      <c r="Q52" s="2">
        <v>6.7387844465786303E-7</v>
      </c>
      <c r="R52" s="1">
        <v>0.99502871104587198</v>
      </c>
      <c r="S52" s="1">
        <v>5</v>
      </c>
      <c r="T52" s="1">
        <v>5.28288515246099E-7</v>
      </c>
      <c r="U52" s="1">
        <v>0.99505926893570895</v>
      </c>
      <c r="V52" s="1">
        <v>5</v>
      </c>
      <c r="W52" s="1">
        <v>7.9455228907563001E-7</v>
      </c>
      <c r="X52" s="1">
        <v>0.99811250727930201</v>
      </c>
      <c r="Z52">
        <v>5</v>
      </c>
      <c r="AA52" s="1">
        <v>8.2312858216455397E-8</v>
      </c>
      <c r="AB52">
        <v>0.99394608676289198</v>
      </c>
      <c r="AC52">
        <v>5</v>
      </c>
      <c r="AD52" s="1">
        <v>9.10293898931728E-8</v>
      </c>
      <c r="AE52">
        <v>0.99535431121926898</v>
      </c>
      <c r="AF52">
        <v>5</v>
      </c>
      <c r="AG52" s="1">
        <v>7.6274037538438503E-8</v>
      </c>
      <c r="AH52">
        <v>0.95961848311116504</v>
      </c>
      <c r="AI52">
        <v>5</v>
      </c>
      <c r="AJ52" s="1">
        <v>6.0738731148278705E-8</v>
      </c>
      <c r="AK52">
        <v>0.99195749227207397</v>
      </c>
      <c r="AL52">
        <v>5</v>
      </c>
      <c r="AM52" s="1">
        <v>7.6437891292282404E-8</v>
      </c>
      <c r="AN52">
        <v>0.98957678192105403</v>
      </c>
    </row>
    <row r="53" spans="2:46" x14ac:dyDescent="0.2">
      <c r="D53">
        <v>6</v>
      </c>
      <c r="E53" s="1">
        <v>5.7530393565426202E-7</v>
      </c>
      <c r="F53" s="1">
        <v>0.99188199005280198</v>
      </c>
      <c r="G53" s="1">
        <v>6</v>
      </c>
      <c r="H53" s="1">
        <v>5.4866991404561797E-7</v>
      </c>
      <c r="I53" s="1">
        <v>0.99390916130329898</v>
      </c>
      <c r="J53">
        <v>6</v>
      </c>
      <c r="K53" s="1">
        <v>4.98805684993998E-7</v>
      </c>
      <c r="L53" s="1">
        <v>0.99684400955386998</v>
      </c>
      <c r="M53">
        <v>6</v>
      </c>
      <c r="N53" s="1">
        <v>5.8583160144057702E-7</v>
      </c>
      <c r="O53" s="1">
        <v>0.99519321938857297</v>
      </c>
      <c r="P53">
        <v>6</v>
      </c>
      <c r="Q53" s="1">
        <v>5.8664221416566604E-7</v>
      </c>
      <c r="R53" s="1">
        <v>0.99687849768480097</v>
      </c>
      <c r="S53" s="1">
        <v>6</v>
      </c>
      <c r="T53" s="1">
        <v>4.53188942617046E-7</v>
      </c>
      <c r="U53" s="1">
        <v>0.992579207860941</v>
      </c>
      <c r="V53" s="1">
        <v>6</v>
      </c>
      <c r="W53" s="1">
        <v>8.5506565810324201E-7</v>
      </c>
      <c r="X53" s="1">
        <v>0.99927021767180202</v>
      </c>
      <c r="Z53">
        <v>6</v>
      </c>
      <c r="AA53" s="1">
        <v>7.7825911062776596E-8</v>
      </c>
      <c r="AB53">
        <v>0.98354668002205303</v>
      </c>
      <c r="AC53">
        <v>6</v>
      </c>
      <c r="AD53" s="1">
        <v>7.7500250881271798E-8</v>
      </c>
      <c r="AE53">
        <v>0.99278308622731404</v>
      </c>
      <c r="AF53">
        <v>6</v>
      </c>
      <c r="AG53" s="1">
        <v>8.6292173014325201E-8</v>
      </c>
      <c r="AH53">
        <v>0.98451832131574302</v>
      </c>
      <c r="AI53">
        <v>6</v>
      </c>
      <c r="AJ53" s="1">
        <v>7.5886587384684494E-8</v>
      </c>
      <c r="AK53">
        <v>0.99134815976526502</v>
      </c>
      <c r="AL53">
        <v>6</v>
      </c>
      <c r="AM53" s="1">
        <v>3.7660016687917199E-8</v>
      </c>
      <c r="AN53">
        <v>0.86760055191677299</v>
      </c>
    </row>
    <row r="54" spans="2:46" x14ac:dyDescent="0.2">
      <c r="D54">
        <v>7</v>
      </c>
      <c r="E54" s="1">
        <v>6.7769741128451404E-7</v>
      </c>
      <c r="F54" s="3">
        <v>0.998030494827715</v>
      </c>
      <c r="G54">
        <v>7</v>
      </c>
      <c r="H54" s="1">
        <v>5.4790955822328998E-7</v>
      </c>
      <c r="I54" s="3">
        <v>0.99789871953269504</v>
      </c>
      <c r="J54">
        <v>7</v>
      </c>
      <c r="K54" s="1">
        <v>6.3052842977190805E-7</v>
      </c>
      <c r="L54" s="3">
        <v>0.99614062191723496</v>
      </c>
      <c r="M54">
        <v>7</v>
      </c>
      <c r="N54" s="1">
        <v>6.3662840192076904E-7</v>
      </c>
      <c r="O54" s="3">
        <v>0.99896741931162203</v>
      </c>
      <c r="P54">
        <v>7</v>
      </c>
      <c r="Q54" s="1">
        <v>6.5892702617046797E-7</v>
      </c>
      <c r="R54" s="3">
        <v>0.99916317419072198</v>
      </c>
      <c r="S54" s="3">
        <v>7</v>
      </c>
      <c r="T54" s="3">
        <v>4.5680909963985598E-7</v>
      </c>
      <c r="U54" s="3">
        <v>0.996463777380451</v>
      </c>
      <c r="V54" s="3">
        <v>7</v>
      </c>
      <c r="W54" s="3">
        <v>7.3354530468187196E-7</v>
      </c>
      <c r="X54" s="3">
        <v>0.99866836610495802</v>
      </c>
      <c r="Z54">
        <v>7</v>
      </c>
      <c r="AA54" s="1">
        <v>9.4786802092552296E-8</v>
      </c>
      <c r="AB54">
        <v>0.99773425239721902</v>
      </c>
      <c r="AC54">
        <v>7</v>
      </c>
      <c r="AD54" s="1">
        <v>5.4537365634140898E-8</v>
      </c>
      <c r="AE54">
        <v>0.95539606809053601</v>
      </c>
      <c r="AF54">
        <v>7</v>
      </c>
      <c r="AG54" s="1">
        <v>6.6708679081977098E-8</v>
      </c>
      <c r="AH54">
        <v>0.99035687503273095</v>
      </c>
      <c r="AI54">
        <v>7</v>
      </c>
      <c r="AJ54" s="1">
        <v>7.6148473419335595E-8</v>
      </c>
      <c r="AK54">
        <v>0.99770513178224696</v>
      </c>
      <c r="AL54">
        <v>7</v>
      </c>
      <c r="AM54" s="1">
        <v>7.3871413747843605E-8</v>
      </c>
      <c r="AN54">
        <v>0.99408409233557504</v>
      </c>
    </row>
    <row r="55" spans="2:46" x14ac:dyDescent="0.2">
      <c r="D55">
        <v>8</v>
      </c>
      <c r="E55" s="1">
        <v>6.3808410804321703E-7</v>
      </c>
      <c r="F55">
        <v>0.99588845902838097</v>
      </c>
      <c r="G55">
        <v>8</v>
      </c>
      <c r="H55" s="1">
        <v>6.1900903193277297E-7</v>
      </c>
      <c r="I55">
        <v>0.99622016686008197</v>
      </c>
      <c r="J55">
        <v>8</v>
      </c>
      <c r="K55" s="1">
        <v>5.6621680384153596E-7</v>
      </c>
      <c r="L55">
        <v>0.99781716648911101</v>
      </c>
      <c r="M55">
        <v>8</v>
      </c>
      <c r="N55" s="1">
        <v>6.3291806098439298E-7</v>
      </c>
      <c r="O55">
        <v>0.99541745610050403</v>
      </c>
      <c r="P55">
        <v>8</v>
      </c>
      <c r="Q55" s="1">
        <v>6.2069948811524602E-7</v>
      </c>
      <c r="R55">
        <v>0.99874500804164001</v>
      </c>
      <c r="S55">
        <v>8</v>
      </c>
      <c r="T55" s="1">
        <v>4.6504163697478901E-7</v>
      </c>
      <c r="U55">
        <v>0.99402109604571798</v>
      </c>
      <c r="V55">
        <v>8</v>
      </c>
      <c r="W55" s="1">
        <v>7.8799732533013104E-7</v>
      </c>
      <c r="X55">
        <v>0.99771404807762598</v>
      </c>
      <c r="Z55">
        <v>8</v>
      </c>
      <c r="AA55" s="1">
        <v>6.6649929198229796E-8</v>
      </c>
      <c r="AB55">
        <v>0.98339887509016699</v>
      </c>
      <c r="AC55">
        <v>8</v>
      </c>
      <c r="AD55" s="1">
        <v>6.7134188592215001E-8</v>
      </c>
      <c r="AE55">
        <v>0.99524074952218899</v>
      </c>
      <c r="AF55">
        <v>8</v>
      </c>
      <c r="AG55" s="1">
        <v>2.3193909120228101E-8</v>
      </c>
      <c r="AH55">
        <v>0.73149336161316902</v>
      </c>
      <c r="AI55">
        <v>8</v>
      </c>
      <c r="AJ55" s="1">
        <v>7.2862232063301606E-8</v>
      </c>
      <c r="AK55">
        <v>0.99426211622347005</v>
      </c>
      <c r="AL55">
        <v>8</v>
      </c>
      <c r="AM55" s="1">
        <v>7.7526126333158502E-8</v>
      </c>
      <c r="AN55">
        <v>0.99500523237300098</v>
      </c>
    </row>
    <row r="56" spans="2:46" x14ac:dyDescent="0.2">
      <c r="D56">
        <v>9</v>
      </c>
      <c r="E56" s="1">
        <v>6.2763169075630302E-7</v>
      </c>
      <c r="F56">
        <v>0.99664278081181301</v>
      </c>
      <c r="G56">
        <v>9</v>
      </c>
      <c r="H56" s="1">
        <v>5.5825188235294101E-7</v>
      </c>
      <c r="I56">
        <v>0.99670352265190898</v>
      </c>
      <c r="J56">
        <v>9</v>
      </c>
      <c r="K56" s="1">
        <v>5.6520646386554596E-7</v>
      </c>
      <c r="L56">
        <v>0.99710165890846902</v>
      </c>
      <c r="M56">
        <v>9</v>
      </c>
      <c r="N56" s="1">
        <v>6.3738836830732301E-7</v>
      </c>
      <c r="O56">
        <v>0.99717104941182</v>
      </c>
      <c r="P56">
        <v>9</v>
      </c>
      <c r="Q56" s="1">
        <v>7.2318777430972398E-7</v>
      </c>
      <c r="R56">
        <v>0.99789879453065899</v>
      </c>
      <c r="S56">
        <v>9</v>
      </c>
      <c r="T56" s="1">
        <v>4.5524975462184898E-7</v>
      </c>
      <c r="U56">
        <v>0.99416293698220104</v>
      </c>
      <c r="V56">
        <v>9</v>
      </c>
      <c r="W56" s="1">
        <v>8.2088328307322904E-7</v>
      </c>
      <c r="X56">
        <v>0.99922104409742896</v>
      </c>
      <c r="Z56">
        <v>9</v>
      </c>
      <c r="AA56" s="1">
        <v>1.01422787662192E-7</v>
      </c>
      <c r="AB56">
        <v>0.98520148691909104</v>
      </c>
      <c r="AC56">
        <v>9</v>
      </c>
      <c r="AD56" s="1">
        <v>7.9575217700442304E-8</v>
      </c>
      <c r="AE56">
        <v>0.98889010801321897</v>
      </c>
      <c r="AF56">
        <v>9</v>
      </c>
      <c r="AG56" s="1">
        <v>5.2705806330158097E-8</v>
      </c>
      <c r="AH56">
        <v>0.98151167583705101</v>
      </c>
      <c r="AI56">
        <v>9</v>
      </c>
      <c r="AJ56" s="1">
        <v>6.5831859438986096E-8</v>
      </c>
      <c r="AK56">
        <v>0.994023114399464</v>
      </c>
      <c r="AL56">
        <v>9</v>
      </c>
      <c r="AM56" s="1">
        <v>7.5663904462611495E-8</v>
      </c>
      <c r="AN56">
        <v>0.93568877898845104</v>
      </c>
    </row>
    <row r="57" spans="2:46" x14ac:dyDescent="0.2">
      <c r="D57">
        <v>10</v>
      </c>
      <c r="E57" s="1">
        <v>5.7982414309723902E-7</v>
      </c>
      <c r="F57">
        <v>0.99750945499105004</v>
      </c>
      <c r="G57">
        <v>10</v>
      </c>
      <c r="H57" s="1">
        <v>5.4626633757502995E-7</v>
      </c>
      <c r="I57">
        <v>0.99568011698326997</v>
      </c>
      <c r="J57">
        <v>10</v>
      </c>
      <c r="K57" s="1">
        <v>5.6221872364946001E-7</v>
      </c>
      <c r="L57">
        <v>0.99385584433305296</v>
      </c>
      <c r="M57">
        <v>10</v>
      </c>
      <c r="N57" s="1">
        <v>5.8521263865546302E-7</v>
      </c>
      <c r="O57">
        <v>0.99863624727005496</v>
      </c>
      <c r="P57">
        <v>10</v>
      </c>
      <c r="Q57" s="1">
        <v>7.0649140696278496E-7</v>
      </c>
      <c r="R57">
        <v>0.99929731982558401</v>
      </c>
      <c r="S57">
        <v>10</v>
      </c>
      <c r="T57" s="1">
        <v>5.0767983769507804E-7</v>
      </c>
      <c r="U57">
        <v>0.99686746665493497</v>
      </c>
      <c r="V57">
        <v>10</v>
      </c>
      <c r="W57" s="1">
        <v>8.5041960960384103E-7</v>
      </c>
      <c r="X57">
        <v>0.99912810362015503</v>
      </c>
      <c r="Z57">
        <v>10</v>
      </c>
      <c r="AA57" s="1">
        <v>8.8291329595739694E-8</v>
      </c>
      <c r="AB57">
        <v>0.99814016787944804</v>
      </c>
      <c r="AC57">
        <v>10</v>
      </c>
      <c r="AD57" s="1">
        <v>3.8147721195529898E-8</v>
      </c>
      <c r="AE57">
        <v>0.88336347930692005</v>
      </c>
      <c r="AF57">
        <v>10</v>
      </c>
      <c r="AG57" s="1">
        <v>5.5441307170179297E-8</v>
      </c>
      <c r="AH57">
        <v>0.97446674917957399</v>
      </c>
      <c r="AI57">
        <v>10</v>
      </c>
      <c r="AJ57" s="1">
        <v>5.90938869646742E-8</v>
      </c>
      <c r="AK57">
        <v>0.96005190346690705</v>
      </c>
      <c r="AL57">
        <v>10</v>
      </c>
      <c r="AM57" s="1">
        <v>5.8367785007125199E-8</v>
      </c>
      <c r="AN57">
        <v>0.96162792596722502</v>
      </c>
    </row>
    <row r="58" spans="2:46" x14ac:dyDescent="0.2">
      <c r="D58" t="s">
        <v>21</v>
      </c>
      <c r="E58" s="1">
        <v>6.1636555289315698E-7</v>
      </c>
      <c r="F58" s="1">
        <v>3.2404965578896002E-8</v>
      </c>
      <c r="G58" t="s">
        <v>21</v>
      </c>
      <c r="H58" s="1">
        <v>5.8258230103241299E-7</v>
      </c>
      <c r="I58" s="1">
        <v>5.4078924335710497E-8</v>
      </c>
      <c r="J58" t="s">
        <v>21</v>
      </c>
      <c r="K58" s="1">
        <v>5.6338940840336099E-7</v>
      </c>
      <c r="L58" s="1">
        <v>3.92678697423093E-8</v>
      </c>
      <c r="M58" t="s">
        <v>21</v>
      </c>
      <c r="N58" s="1">
        <v>6.0942371313325298E-7</v>
      </c>
      <c r="O58" s="1">
        <v>4.1377467395178901E-8</v>
      </c>
      <c r="P58" t="s">
        <v>21</v>
      </c>
      <c r="Q58" s="1">
        <v>6.5117995202881195E-7</v>
      </c>
      <c r="R58" s="1">
        <v>4.4559150416986303E-8</v>
      </c>
      <c r="S58" s="1" t="s">
        <v>21</v>
      </c>
      <c r="T58" s="1">
        <v>4.6214297704681899E-7</v>
      </c>
      <c r="U58" s="1">
        <v>3.6669457785559199E-8</v>
      </c>
      <c r="V58" s="1" t="s">
        <v>21</v>
      </c>
      <c r="W58" s="1">
        <v>7.8926903130852297E-7</v>
      </c>
      <c r="X58" s="1">
        <v>4.1487908226998501E-8</v>
      </c>
      <c r="Z58" t="s">
        <v>21</v>
      </c>
      <c r="AA58" s="1">
        <v>7.5766970436510902E-8</v>
      </c>
      <c r="AB58" s="1">
        <v>1.6851421901321501E-8</v>
      </c>
      <c r="AC58" t="s">
        <v>21</v>
      </c>
      <c r="AD58" s="1">
        <v>6.4400101777887004E-8</v>
      </c>
      <c r="AE58" s="1">
        <v>1.53128389893385E-8</v>
      </c>
      <c r="AF58" t="s">
        <v>21</v>
      </c>
      <c r="AG58" s="1">
        <v>6.4093417879696994E-8</v>
      </c>
      <c r="AH58" s="1">
        <v>1.79653425589729E-8</v>
      </c>
      <c r="AI58" t="s">
        <v>21</v>
      </c>
      <c r="AJ58" s="1">
        <v>6.6530254183604604E-8</v>
      </c>
      <c r="AK58" s="1">
        <v>1.10475873115709E-8</v>
      </c>
      <c r="AL58" t="s">
        <v>21</v>
      </c>
      <c r="AM58" s="1">
        <v>6.8396062658816495E-8</v>
      </c>
      <c r="AN58" s="1">
        <v>1.40398012260563E-8</v>
      </c>
    </row>
    <row r="59" spans="2:46" x14ac:dyDescent="0.2">
      <c r="F59" s="4">
        <f>F58/E58</f>
        <v>5.2574264455225318E-2</v>
      </c>
      <c r="I59" s="4">
        <f>I58/H58</f>
        <v>9.2826239725915943E-2</v>
      </c>
      <c r="L59" s="4">
        <f>L58/K58</f>
        <v>6.9699339669153496E-2</v>
      </c>
      <c r="O59" s="4">
        <f>O58/N58</f>
        <v>6.7896057379263075E-2</v>
      </c>
      <c r="R59" s="4">
        <f>R58/Q58</f>
        <v>6.8428320433020259E-2</v>
      </c>
      <c r="S59" s="4"/>
      <c r="T59" s="4"/>
      <c r="U59" s="4">
        <f>U58/T58</f>
        <v>7.9346565038992845E-2</v>
      </c>
      <c r="V59" s="4"/>
      <c r="W59" s="4"/>
      <c r="X59" s="4">
        <f>X58/W58</f>
        <v>5.2564976682559078E-2</v>
      </c>
      <c r="AB59" s="4">
        <f>AB58/AA58</f>
        <v>0.22241118793897383</v>
      </c>
      <c r="AE59" s="4">
        <f>AE58/AD58</f>
        <v>0.23777662715738834</v>
      </c>
      <c r="AH59" s="4">
        <f>AH58/AG58</f>
        <v>0.28029933733123347</v>
      </c>
      <c r="AK59" s="4">
        <f>AK58/AJ58</f>
        <v>0.16605358640420487</v>
      </c>
      <c r="AN59" s="4">
        <f>AN58/AM58</f>
        <v>0.20527206801496373</v>
      </c>
    </row>
    <row r="61" spans="2:46" x14ac:dyDescent="0.2">
      <c r="B61" t="s">
        <v>24</v>
      </c>
      <c r="D61" t="s">
        <v>0</v>
      </c>
      <c r="E61" s="2"/>
      <c r="F61" s="2"/>
      <c r="G61" s="2" t="s">
        <v>1</v>
      </c>
      <c r="H61" s="2"/>
      <c r="I61" s="2"/>
      <c r="J61" s="1" t="s">
        <v>2</v>
      </c>
      <c r="M61" s="2" t="s">
        <v>3</v>
      </c>
      <c r="N61" s="2"/>
      <c r="O61" s="2"/>
      <c r="P61" s="2" t="s">
        <v>4</v>
      </c>
      <c r="Q61" s="2"/>
      <c r="R61" s="1"/>
      <c r="S61" s="2" t="s">
        <v>48</v>
      </c>
      <c r="T61" s="2"/>
      <c r="U61" s="1"/>
      <c r="V61" s="1" t="s">
        <v>49</v>
      </c>
      <c r="W61" s="1"/>
      <c r="X61" s="1"/>
      <c r="Z61" t="s">
        <v>5</v>
      </c>
      <c r="AA61" s="2"/>
      <c r="AB61" s="2"/>
      <c r="AC61" s="2" t="s">
        <v>6</v>
      </c>
      <c r="AD61" s="2"/>
      <c r="AE61" s="2"/>
      <c r="AF61" s="1" t="s">
        <v>7</v>
      </c>
      <c r="AI61" s="2" t="s">
        <v>8</v>
      </c>
      <c r="AJ61" s="2"/>
      <c r="AK61" s="2"/>
      <c r="AL61" s="2" t="s">
        <v>9</v>
      </c>
      <c r="AM61" s="2"/>
      <c r="AN61" s="1"/>
      <c r="AO61" s="2" t="s">
        <v>54</v>
      </c>
      <c r="AP61" s="2"/>
      <c r="AQ61" s="1"/>
      <c r="AR61" s="1" t="s">
        <v>55</v>
      </c>
    </row>
    <row r="62" spans="2:46" x14ac:dyDescent="0.2">
      <c r="D62">
        <v>1</v>
      </c>
      <c r="E62" s="2">
        <v>4.3848321296518599E-7</v>
      </c>
      <c r="F62" s="2">
        <v>0.99721665724944497</v>
      </c>
      <c r="G62">
        <v>1</v>
      </c>
      <c r="H62" s="2">
        <v>4.1575829195678301E-7</v>
      </c>
      <c r="I62" s="2">
        <v>0.99782324712363002</v>
      </c>
      <c r="J62">
        <v>1</v>
      </c>
      <c r="K62" s="1">
        <v>2.9959464537815099E-7</v>
      </c>
      <c r="L62">
        <v>0.99590860996792796</v>
      </c>
      <c r="M62" s="2">
        <v>1</v>
      </c>
      <c r="N62" s="2">
        <v>4.4482186938775499E-7</v>
      </c>
      <c r="O62" s="2">
        <v>0.99708272616179905</v>
      </c>
      <c r="P62" s="2">
        <v>1</v>
      </c>
      <c r="Q62" s="2">
        <v>4.3420944441776699E-7</v>
      </c>
      <c r="R62" s="1">
        <v>0.99604480041880294</v>
      </c>
      <c r="S62" s="1">
        <v>1</v>
      </c>
      <c r="T62" s="1">
        <v>3.1922087058823601E-7</v>
      </c>
      <c r="U62" s="1">
        <v>0.99278818777226496</v>
      </c>
      <c r="V62" s="1">
        <v>1</v>
      </c>
      <c r="W62" s="1">
        <v>4.5316155294117699E-7</v>
      </c>
      <c r="X62" s="1">
        <v>0.99471899354566695</v>
      </c>
      <c r="Z62">
        <v>1</v>
      </c>
      <c r="AA62" s="2">
        <v>3.0972704500112499E-8</v>
      </c>
      <c r="AB62" s="2">
        <v>0.97016280601773597</v>
      </c>
      <c r="AC62" s="2">
        <v>1</v>
      </c>
      <c r="AD62" s="2">
        <v>1.9555951541288501E-8</v>
      </c>
      <c r="AE62" s="2">
        <v>0.92208615359893098</v>
      </c>
      <c r="AF62" s="1">
        <v>1</v>
      </c>
      <c r="AG62" s="1">
        <v>1.5431614842871099E-8</v>
      </c>
      <c r="AH62">
        <v>0.89887197343228298</v>
      </c>
      <c r="AI62" s="2">
        <v>1</v>
      </c>
      <c r="AJ62" s="2">
        <v>2.1901519245481099E-8</v>
      </c>
      <c r="AK62" s="2">
        <v>0.87291174784676195</v>
      </c>
      <c r="AL62" s="2">
        <v>1</v>
      </c>
      <c r="AM62" s="2">
        <v>3.4648457218930697E-8</v>
      </c>
      <c r="AN62" s="1">
        <v>0.97723284020057699</v>
      </c>
      <c r="AO62">
        <v>1</v>
      </c>
      <c r="AP62" s="1">
        <v>3.01773430360759E-8</v>
      </c>
      <c r="AQ62">
        <v>0.97762146028188401</v>
      </c>
      <c r="AR62">
        <v>1</v>
      </c>
      <c r="AS62" s="1">
        <v>4.0403889177229399E-8</v>
      </c>
      <c r="AT62">
        <v>0.98884309407731097</v>
      </c>
    </row>
    <row r="63" spans="2:46" x14ac:dyDescent="0.2">
      <c r="D63">
        <v>2</v>
      </c>
      <c r="E63" s="2">
        <v>3.54512096038415E-7</v>
      </c>
      <c r="F63" s="2">
        <v>0.99399105406374999</v>
      </c>
      <c r="G63">
        <v>2</v>
      </c>
      <c r="H63" s="2">
        <v>4.1039084753901599E-7</v>
      </c>
      <c r="I63" s="2">
        <v>0.99736375004782896</v>
      </c>
      <c r="J63">
        <v>2</v>
      </c>
      <c r="K63" s="1">
        <v>3.5027522496998801E-7</v>
      </c>
      <c r="L63">
        <v>0.98958710371001501</v>
      </c>
      <c r="M63" s="2">
        <v>2</v>
      </c>
      <c r="N63" s="2">
        <v>4.9009517743097201E-7</v>
      </c>
      <c r="O63" s="2">
        <v>0.995148611263864</v>
      </c>
      <c r="P63" s="2">
        <v>2</v>
      </c>
      <c r="Q63" s="2">
        <v>4.09586955582233E-7</v>
      </c>
      <c r="R63" s="1">
        <v>0.98748405735698397</v>
      </c>
      <c r="S63" s="1">
        <v>2</v>
      </c>
      <c r="T63" s="1">
        <v>3.3508266026410601E-7</v>
      </c>
      <c r="U63" s="1">
        <v>0.99368809779210199</v>
      </c>
      <c r="V63" s="1">
        <v>2</v>
      </c>
      <c r="W63" s="1">
        <v>5.2529602112845196E-7</v>
      </c>
      <c r="X63" s="1">
        <v>0.99765562694855803</v>
      </c>
      <c r="Z63">
        <v>2</v>
      </c>
      <c r="AA63" s="1">
        <v>3.8363057023925702E-8</v>
      </c>
      <c r="AB63">
        <v>0.989170294418664</v>
      </c>
      <c r="AC63">
        <v>2</v>
      </c>
      <c r="AD63" s="1">
        <v>3.3358562409059997E-8</v>
      </c>
      <c r="AE63">
        <v>0.95400274155308395</v>
      </c>
      <c r="AF63">
        <v>2</v>
      </c>
      <c r="AG63" s="1">
        <v>3.1254830353258899E-8</v>
      </c>
      <c r="AH63">
        <v>0.95964302997019602</v>
      </c>
      <c r="AI63">
        <v>2</v>
      </c>
      <c r="AJ63" s="1">
        <v>3.7971261711542897E-8</v>
      </c>
      <c r="AK63">
        <v>0.99293828802557804</v>
      </c>
      <c r="AL63">
        <v>2</v>
      </c>
      <c r="AM63" s="1">
        <v>4.7484820745518702E-8</v>
      </c>
      <c r="AN63">
        <v>0.99410377591986099</v>
      </c>
      <c r="AO63">
        <v>2</v>
      </c>
      <c r="AP63" s="1">
        <v>2.32892346058652E-8</v>
      </c>
      <c r="AQ63">
        <v>0.98419438543806104</v>
      </c>
      <c r="AR63">
        <v>2</v>
      </c>
      <c r="AS63" s="1">
        <v>1.64809255681392E-8</v>
      </c>
      <c r="AT63">
        <v>0.87405141233335104</v>
      </c>
    </row>
    <row r="64" spans="2:46" x14ac:dyDescent="0.2">
      <c r="D64">
        <v>3</v>
      </c>
      <c r="E64" s="2">
        <v>3.5565610900360102E-7</v>
      </c>
      <c r="F64" s="2">
        <v>0.99050442365949998</v>
      </c>
      <c r="G64">
        <v>3</v>
      </c>
      <c r="H64" s="2">
        <v>4.8200550780312103E-7</v>
      </c>
      <c r="I64" s="2">
        <v>0.99797954949974499</v>
      </c>
      <c r="J64">
        <v>3</v>
      </c>
      <c r="K64" s="1">
        <v>3.86086548859544E-7</v>
      </c>
      <c r="L64">
        <v>0.99854392700704797</v>
      </c>
      <c r="M64" s="2">
        <v>3</v>
      </c>
      <c r="N64" s="2">
        <v>3.9558557166866802E-7</v>
      </c>
      <c r="O64" s="2">
        <v>0.99547153091888196</v>
      </c>
      <c r="P64" s="2">
        <v>3</v>
      </c>
      <c r="Q64" s="2">
        <v>4.1549179927971202E-7</v>
      </c>
      <c r="R64" s="1">
        <v>0.99747123616163402</v>
      </c>
      <c r="S64" s="1">
        <v>3</v>
      </c>
      <c r="T64" s="1">
        <v>2.5784448307322901E-7</v>
      </c>
      <c r="U64" s="1">
        <v>0.97503493636912897</v>
      </c>
      <c r="V64" s="1">
        <v>3</v>
      </c>
      <c r="W64" s="1">
        <v>5.35093904441777E-7</v>
      </c>
      <c r="X64" s="1">
        <v>0.99834903641436101</v>
      </c>
      <c r="Z64">
        <v>3</v>
      </c>
      <c r="AA64" s="1">
        <v>4.0856594059851602E-8</v>
      </c>
      <c r="AB64">
        <v>0.98875052174903499</v>
      </c>
      <c r="AC64">
        <v>3</v>
      </c>
      <c r="AD64" s="1">
        <v>3.8768886702167402E-8</v>
      </c>
      <c r="AE64">
        <v>0.98736516341569902</v>
      </c>
      <c r="AF64">
        <v>3</v>
      </c>
      <c r="AG64" s="1">
        <v>3.0778509262732001E-9</v>
      </c>
      <c r="AH64">
        <v>0.72990747150472701</v>
      </c>
      <c r="AI64">
        <v>3</v>
      </c>
      <c r="AJ64" s="1">
        <v>2.4908399114977899E-8</v>
      </c>
      <c r="AK64">
        <v>0.96539665345509795</v>
      </c>
      <c r="AL64">
        <v>3</v>
      </c>
      <c r="AM64" s="1">
        <v>1.46564746868671E-8</v>
      </c>
      <c r="AN64">
        <v>0.909491902318323</v>
      </c>
      <c r="AO64">
        <v>3</v>
      </c>
      <c r="AP64" s="1">
        <v>8.1908243981099707E-9</v>
      </c>
      <c r="AQ64">
        <v>0.87200801179730802</v>
      </c>
      <c r="AR64">
        <v>3</v>
      </c>
      <c r="AS64" s="1">
        <v>3.0385221600540098E-8</v>
      </c>
      <c r="AT64">
        <v>0.94618076108427396</v>
      </c>
    </row>
    <row r="65" spans="2:46" x14ac:dyDescent="0.2">
      <c r="D65">
        <v>4</v>
      </c>
      <c r="E65" s="2">
        <v>3.7539504345738303E-7</v>
      </c>
      <c r="F65" s="2">
        <v>0.99577979732917898</v>
      </c>
      <c r="G65">
        <v>4</v>
      </c>
      <c r="H65" s="2">
        <v>3.1000593469387798E-7</v>
      </c>
      <c r="I65" s="2">
        <v>0.99466297441446905</v>
      </c>
      <c r="J65">
        <v>4</v>
      </c>
      <c r="K65" s="1">
        <v>3.6797398847538998E-7</v>
      </c>
      <c r="L65">
        <v>0.997163394794507</v>
      </c>
      <c r="M65" s="2">
        <v>4</v>
      </c>
      <c r="N65" s="2">
        <v>3.2873849219687799E-7</v>
      </c>
      <c r="O65" s="2">
        <v>0.99541239120471603</v>
      </c>
      <c r="P65" s="2">
        <v>4</v>
      </c>
      <c r="Q65" s="2">
        <v>4.3594372869147598E-7</v>
      </c>
      <c r="R65" s="1">
        <v>0.99688741054278995</v>
      </c>
      <c r="S65" s="1">
        <v>4</v>
      </c>
      <c r="T65" s="1">
        <v>2.1838127106842701E-7</v>
      </c>
      <c r="U65" s="1">
        <v>0.985188806493692</v>
      </c>
      <c r="V65" s="1">
        <v>4</v>
      </c>
      <c r="W65" s="1">
        <v>5.0026970228091201E-7</v>
      </c>
      <c r="X65" s="1">
        <v>0.99791641318157998</v>
      </c>
      <c r="Z65">
        <v>4</v>
      </c>
      <c r="AA65" s="1">
        <v>1.13517427510688E-8</v>
      </c>
      <c r="AB65">
        <v>0.93126826762187198</v>
      </c>
      <c r="AC65">
        <v>4</v>
      </c>
      <c r="AD65" s="1">
        <v>1.9968159566489099E-8</v>
      </c>
      <c r="AE65">
        <v>0.90964210210785401</v>
      </c>
      <c r="AF65">
        <v>4</v>
      </c>
      <c r="AG65" s="1">
        <v>2.3317398207455098E-8</v>
      </c>
      <c r="AH65">
        <v>0.86750511310508704</v>
      </c>
      <c r="AI65">
        <v>4</v>
      </c>
      <c r="AJ65" s="1">
        <v>4.2317420003000001E-8</v>
      </c>
      <c r="AK65">
        <v>0.99582255435494005</v>
      </c>
      <c r="AL65">
        <v>4</v>
      </c>
      <c r="AM65" s="1">
        <v>3.2455668506712503E-8</v>
      </c>
      <c r="AN65">
        <v>0.91971662414800204</v>
      </c>
      <c r="AO65">
        <v>4</v>
      </c>
      <c r="AP65" s="1">
        <v>1.7476333015825299E-8</v>
      </c>
      <c r="AQ65">
        <v>0.96182317395178596</v>
      </c>
      <c r="AR65">
        <v>4</v>
      </c>
      <c r="AS65" s="1">
        <v>4.3477679681992198E-8</v>
      </c>
      <c r="AT65">
        <v>0.98931107647182503</v>
      </c>
    </row>
    <row r="66" spans="2:46" x14ac:dyDescent="0.2">
      <c r="D66">
        <v>5</v>
      </c>
      <c r="E66" s="2">
        <v>4.1864979975990398E-7</v>
      </c>
      <c r="F66" s="2">
        <v>0.99714242713235202</v>
      </c>
      <c r="G66">
        <v>5</v>
      </c>
      <c r="H66" s="2">
        <v>4.6936619639856002E-7</v>
      </c>
      <c r="I66" s="2">
        <v>0.998766757232047</v>
      </c>
      <c r="J66">
        <v>5</v>
      </c>
      <c r="K66" s="1">
        <v>3.9190074477791099E-7</v>
      </c>
      <c r="L66">
        <v>0.99644163302994504</v>
      </c>
      <c r="M66" s="2">
        <v>5</v>
      </c>
      <c r="N66" s="2">
        <v>3.55995470348139E-7</v>
      </c>
      <c r="O66" s="2">
        <v>0.99243443772515505</v>
      </c>
      <c r="P66" s="2">
        <v>5</v>
      </c>
      <c r="Q66" s="2">
        <v>4.3742132004801902E-7</v>
      </c>
      <c r="R66" s="1">
        <v>0.99842072088781597</v>
      </c>
      <c r="S66" s="1">
        <v>5</v>
      </c>
      <c r="T66" s="1">
        <v>2.3489814752496701E-7</v>
      </c>
      <c r="U66" s="1">
        <v>0.99224968393665602</v>
      </c>
      <c r="V66" s="1">
        <v>5</v>
      </c>
      <c r="W66" s="1">
        <v>5.0712251044417805E-7</v>
      </c>
      <c r="X66" s="1">
        <v>0.99284886591769905</v>
      </c>
      <c r="Z66">
        <v>5</v>
      </c>
      <c r="AA66" s="1">
        <v>3.0534023783094498E-8</v>
      </c>
      <c r="AB66">
        <v>0.97112626076907405</v>
      </c>
      <c r="AC66">
        <v>5</v>
      </c>
      <c r="AD66" s="1">
        <v>2.35672988299708E-8</v>
      </c>
      <c r="AE66">
        <v>0.96214625797686004</v>
      </c>
      <c r="AF66">
        <v>5</v>
      </c>
      <c r="AG66" s="1">
        <v>1.77923226580664E-8</v>
      </c>
      <c r="AH66">
        <v>0.94853294167695001</v>
      </c>
      <c r="AI66">
        <v>5</v>
      </c>
      <c r="AJ66" s="1">
        <v>3.1198149463736599E-8</v>
      </c>
      <c r="AK66">
        <v>0.98797724943524501</v>
      </c>
      <c r="AL66">
        <v>5</v>
      </c>
      <c r="AM66" s="1">
        <v>2.57643279006975E-8</v>
      </c>
      <c r="AN66">
        <v>0.95093847809033705</v>
      </c>
      <c r="AO66">
        <v>5</v>
      </c>
      <c r="AP66" s="1">
        <v>2.16748549688742E-8</v>
      </c>
      <c r="AQ66">
        <v>0.96786495684127904</v>
      </c>
      <c r="AR66">
        <v>5</v>
      </c>
      <c r="AS66" s="1">
        <v>4.8878590707267699E-8</v>
      </c>
      <c r="AT66">
        <v>0.98950433402004001</v>
      </c>
    </row>
    <row r="67" spans="2:46" x14ac:dyDescent="0.2">
      <c r="D67">
        <v>6</v>
      </c>
      <c r="E67" s="1">
        <v>3.2381811236494598E-7</v>
      </c>
      <c r="F67" s="1">
        <v>0.99355365946461505</v>
      </c>
      <c r="G67">
        <v>6</v>
      </c>
      <c r="H67" s="1">
        <v>4.1070540648259301E-7</v>
      </c>
      <c r="I67" s="1">
        <v>0.99580552602309702</v>
      </c>
      <c r="J67">
        <v>6</v>
      </c>
      <c r="K67" s="1">
        <v>3.2083593805522198E-7</v>
      </c>
      <c r="L67" s="1">
        <v>0.99660985334791397</v>
      </c>
      <c r="M67">
        <v>6</v>
      </c>
      <c r="N67" s="1">
        <v>4.1444581944777897E-7</v>
      </c>
      <c r="O67" s="1">
        <v>0.96468841826279605</v>
      </c>
      <c r="P67">
        <v>6</v>
      </c>
      <c r="Q67" s="1">
        <v>4.1134795870348198E-7</v>
      </c>
      <c r="R67" s="1">
        <v>0.99677775512675204</v>
      </c>
      <c r="S67" s="1">
        <v>6</v>
      </c>
      <c r="T67" s="1">
        <v>2.7837153037214902E-7</v>
      </c>
      <c r="U67" s="1">
        <v>0.994974713266077</v>
      </c>
      <c r="V67" s="1">
        <v>6</v>
      </c>
      <c r="W67" s="1">
        <v>5.7235377478991597E-7</v>
      </c>
      <c r="X67" s="1">
        <v>0.99503109769411202</v>
      </c>
      <c r="Z67">
        <v>6</v>
      </c>
      <c r="AA67" s="1">
        <v>2.6452799684992101E-8</v>
      </c>
      <c r="AB67">
        <v>0.95667575386813197</v>
      </c>
      <c r="AC67">
        <v>6</v>
      </c>
      <c r="AD67" s="1">
        <v>2.99738586739668E-8</v>
      </c>
      <c r="AE67">
        <v>0.98430395453742203</v>
      </c>
      <c r="AF67">
        <v>6</v>
      </c>
      <c r="AG67" s="1">
        <v>9.5757700217505292E-9</v>
      </c>
      <c r="AH67">
        <v>0.89717642651450802</v>
      </c>
      <c r="AI67">
        <v>6</v>
      </c>
      <c r="AJ67" s="1">
        <v>2.0025560331508299E-8</v>
      </c>
      <c r="AK67">
        <v>0.94126855569466705</v>
      </c>
      <c r="AL67">
        <v>6</v>
      </c>
      <c r="AM67" s="1">
        <v>3.0304787474686899E-8</v>
      </c>
      <c r="AN67">
        <v>0.96523729671245095</v>
      </c>
      <c r="AO67">
        <v>6</v>
      </c>
      <c r="AP67" s="1">
        <v>2.2807406757668901E-8</v>
      </c>
      <c r="AQ67">
        <v>0.96808276041494601</v>
      </c>
      <c r="AR67">
        <v>6</v>
      </c>
      <c r="AS67" s="1">
        <v>2.7714153146328599E-8</v>
      </c>
      <c r="AT67">
        <v>0.98934070849265099</v>
      </c>
    </row>
    <row r="68" spans="2:46" x14ac:dyDescent="0.2">
      <c r="D68">
        <v>7</v>
      </c>
      <c r="E68" s="1">
        <v>3.52482964705882E-7</v>
      </c>
      <c r="F68" s="3">
        <v>0.99425147987279705</v>
      </c>
      <c r="G68">
        <v>7</v>
      </c>
      <c r="H68" s="1">
        <v>2.1573206914765899E-7</v>
      </c>
      <c r="I68" s="3">
        <v>0.96279850848652904</v>
      </c>
      <c r="J68">
        <v>7</v>
      </c>
      <c r="K68" s="1">
        <v>3.96000818247299E-7</v>
      </c>
      <c r="L68" s="3">
        <v>0.996975958788474</v>
      </c>
      <c r="M68">
        <v>7</v>
      </c>
      <c r="N68" s="1">
        <v>4.3547602929171701E-7</v>
      </c>
      <c r="O68" s="3">
        <v>0.99533552161940497</v>
      </c>
      <c r="P68">
        <v>7</v>
      </c>
      <c r="Q68" s="1">
        <v>3.8456482689075597E-7</v>
      </c>
      <c r="R68" s="3">
        <v>0.99486635312267502</v>
      </c>
      <c r="S68" s="3">
        <v>7</v>
      </c>
      <c r="T68" s="3">
        <v>3.0864658199279698E-7</v>
      </c>
      <c r="U68" s="3">
        <v>0.99442317859339502</v>
      </c>
      <c r="V68" s="3">
        <v>7</v>
      </c>
      <c r="W68" s="3">
        <v>5.2847530804321605E-7</v>
      </c>
      <c r="X68" s="3">
        <v>0.99934514551320597</v>
      </c>
      <c r="Z68">
        <v>7</v>
      </c>
      <c r="AA68" s="1">
        <v>2.6759982562063999E-8</v>
      </c>
      <c r="AB68">
        <v>0.983943475874271</v>
      </c>
      <c r="AC68">
        <v>7</v>
      </c>
      <c r="AD68" s="1">
        <v>3.3952692784819602E-8</v>
      </c>
      <c r="AE68">
        <v>0.98201262295084901</v>
      </c>
      <c r="AF68">
        <v>7</v>
      </c>
      <c r="AG68" s="1">
        <v>2.6015662371559302E-8</v>
      </c>
      <c r="AH68">
        <v>0.97391412334721195</v>
      </c>
      <c r="AI68">
        <v>7</v>
      </c>
      <c r="AJ68" s="1">
        <v>3.4760326415660203E-8</v>
      </c>
      <c r="AK68">
        <v>0.96716762516837995</v>
      </c>
      <c r="AL68">
        <v>7</v>
      </c>
      <c r="AM68" s="1">
        <v>2.97305018075453E-8</v>
      </c>
      <c r="AN68">
        <v>0.97502123717843703</v>
      </c>
      <c r="AO68">
        <v>7</v>
      </c>
      <c r="AP68" s="1">
        <v>2.9026013199360999E-8</v>
      </c>
      <c r="AQ68">
        <v>0.97903957049729395</v>
      </c>
      <c r="AR68">
        <v>7</v>
      </c>
      <c r="AS68" s="1">
        <v>3.1945957901447598E-8</v>
      </c>
      <c r="AT68">
        <v>0.96716619083445898</v>
      </c>
    </row>
    <row r="69" spans="2:46" x14ac:dyDescent="0.2">
      <c r="D69">
        <v>8</v>
      </c>
      <c r="E69" s="1">
        <v>3.70526276110444E-7</v>
      </c>
      <c r="F69">
        <v>0.99252810502752298</v>
      </c>
      <c r="G69">
        <v>8</v>
      </c>
      <c r="H69" s="1">
        <v>3.50800519087635E-7</v>
      </c>
      <c r="I69">
        <v>0.99418988124043095</v>
      </c>
      <c r="J69">
        <v>8</v>
      </c>
      <c r="K69" s="1">
        <v>3.7456671596638698E-7</v>
      </c>
      <c r="L69">
        <v>0.99092889577576604</v>
      </c>
      <c r="M69">
        <v>8</v>
      </c>
      <c r="N69" s="1">
        <v>4.1656392845138103E-7</v>
      </c>
      <c r="O69">
        <v>0.99570886584366702</v>
      </c>
      <c r="P69">
        <v>8</v>
      </c>
      <c r="Q69" s="1">
        <v>5.0583247971188499E-7</v>
      </c>
      <c r="R69">
        <v>0.99851789833218696</v>
      </c>
      <c r="S69">
        <v>8</v>
      </c>
      <c r="T69" s="1">
        <v>2.4801574261704702E-7</v>
      </c>
      <c r="U69">
        <v>0.99267700394216396</v>
      </c>
      <c r="V69">
        <v>8</v>
      </c>
      <c r="W69" s="1">
        <v>5.2459847923169296E-7</v>
      </c>
      <c r="X69">
        <v>0.996320115144809</v>
      </c>
      <c r="Z69">
        <v>8</v>
      </c>
      <c r="AA69" s="1">
        <v>1.78887068926724E-8</v>
      </c>
      <c r="AB69">
        <v>0.95944969930642299</v>
      </c>
      <c r="AC69">
        <v>8</v>
      </c>
      <c r="AD69" s="1">
        <v>6.0532941048526699E-9</v>
      </c>
      <c r="AE69">
        <v>0.693328550535946</v>
      </c>
      <c r="AF69">
        <v>8</v>
      </c>
      <c r="AG69" s="1">
        <v>2.2270540696017601E-8</v>
      </c>
      <c r="AH69">
        <v>0.91264636348139105</v>
      </c>
      <c r="AI69">
        <v>8</v>
      </c>
      <c r="AJ69" s="1">
        <v>2.6918974491862301E-8</v>
      </c>
      <c r="AK69">
        <v>0.98139498762573096</v>
      </c>
      <c r="AL69">
        <v>8</v>
      </c>
      <c r="AM69" s="1">
        <v>2.9612325575639401E-8</v>
      </c>
      <c r="AN69">
        <v>0.93412623222586399</v>
      </c>
      <c r="AO69">
        <v>8</v>
      </c>
      <c r="AP69" s="1">
        <v>2.7632190107252801E-8</v>
      </c>
      <c r="AQ69">
        <v>0.93958853394580599</v>
      </c>
      <c r="AR69">
        <v>8</v>
      </c>
      <c r="AS69" s="1">
        <v>3.8136478196954799E-8</v>
      </c>
      <c r="AT69">
        <v>0.986381653756641</v>
      </c>
    </row>
    <row r="70" spans="2:46" x14ac:dyDescent="0.2">
      <c r="D70">
        <v>9</v>
      </c>
      <c r="E70" s="1">
        <v>4.27150891236495E-7</v>
      </c>
      <c r="F70">
        <v>0.99392712415714801</v>
      </c>
      <c r="G70">
        <v>9</v>
      </c>
      <c r="H70" s="1">
        <v>3.71570121968788E-7</v>
      </c>
      <c r="I70">
        <v>0.99324912043088798</v>
      </c>
      <c r="J70">
        <v>9</v>
      </c>
      <c r="K70" s="1">
        <v>3.1876277839135701E-7</v>
      </c>
      <c r="L70">
        <v>0.98203896681628899</v>
      </c>
      <c r="M70">
        <v>9</v>
      </c>
      <c r="N70" s="1">
        <v>4.7085351500600298E-7</v>
      </c>
      <c r="O70">
        <v>0.99881009019018896</v>
      </c>
      <c r="P70">
        <v>9</v>
      </c>
      <c r="Q70" s="1">
        <v>4.2523906842737198E-7</v>
      </c>
      <c r="R70">
        <v>0.99711617413337394</v>
      </c>
      <c r="S70">
        <v>9</v>
      </c>
      <c r="T70" s="1">
        <v>3.1967627226890802E-7</v>
      </c>
      <c r="U70">
        <v>0.99266774393326196</v>
      </c>
      <c r="V70">
        <v>9</v>
      </c>
      <c r="W70" s="1">
        <v>5.2544703673469396E-7</v>
      </c>
      <c r="X70">
        <v>0.99406804347402</v>
      </c>
      <c r="Z70">
        <v>9</v>
      </c>
      <c r="AA70" s="1">
        <v>1.8280267674191899E-8</v>
      </c>
      <c r="AB70">
        <v>0.96367876130713603</v>
      </c>
      <c r="AC70">
        <v>9</v>
      </c>
      <c r="AD70" s="1">
        <v>2.7623752036300801E-8</v>
      </c>
      <c r="AE70">
        <v>0.98049909502055799</v>
      </c>
      <c r="AF70">
        <v>9</v>
      </c>
      <c r="AG70" s="1">
        <v>2.19716130428261E-8</v>
      </c>
      <c r="AH70">
        <v>0.97374192551646699</v>
      </c>
      <c r="AI70">
        <v>9</v>
      </c>
      <c r="AJ70" s="1">
        <v>3.0749117017925401E-8</v>
      </c>
      <c r="AK70">
        <v>0.973000572029731</v>
      </c>
      <c r="AL70">
        <v>9</v>
      </c>
      <c r="AM70" s="1">
        <v>2.85657017850447E-8</v>
      </c>
      <c r="AN70">
        <v>0.98679616154300198</v>
      </c>
      <c r="AO70">
        <v>9</v>
      </c>
      <c r="AP70" s="1">
        <v>2.3159825920648098E-8</v>
      </c>
      <c r="AQ70">
        <v>0.991084496368697</v>
      </c>
      <c r="AR70">
        <v>9</v>
      </c>
      <c r="AS70" s="1">
        <v>2.4306679021975701E-8</v>
      </c>
      <c r="AT70">
        <v>0.94081587074268902</v>
      </c>
    </row>
    <row r="71" spans="2:46" x14ac:dyDescent="0.2">
      <c r="D71">
        <v>10</v>
      </c>
      <c r="E71" s="1">
        <v>3.8786083601440601E-7</v>
      </c>
      <c r="F71">
        <v>0.99461570057485105</v>
      </c>
      <c r="G71">
        <v>10</v>
      </c>
      <c r="H71" s="1">
        <v>3.2054731812725098E-7</v>
      </c>
      <c r="I71">
        <v>0.98927176148500395</v>
      </c>
      <c r="J71">
        <v>10</v>
      </c>
      <c r="K71" s="1">
        <v>3.9675084033613399E-7</v>
      </c>
      <c r="L71">
        <v>0.99490966479975995</v>
      </c>
      <c r="M71">
        <v>10</v>
      </c>
      <c r="N71" s="1">
        <v>4.0593012004801898E-7</v>
      </c>
      <c r="O71">
        <v>0.98233886204612497</v>
      </c>
      <c r="P71">
        <v>10</v>
      </c>
      <c r="Q71" s="1">
        <v>3.8152396494597902E-7</v>
      </c>
      <c r="R71">
        <v>0.99658592094952703</v>
      </c>
      <c r="S71">
        <v>10</v>
      </c>
      <c r="T71" s="1">
        <v>9.1783673469387796E-8</v>
      </c>
      <c r="U71">
        <v>0.80142109949257101</v>
      </c>
      <c r="V71">
        <v>10</v>
      </c>
      <c r="W71" s="1">
        <v>5.3756244081632595E-7</v>
      </c>
      <c r="X71">
        <v>0.99810866336844395</v>
      </c>
      <c r="Z71">
        <v>10</v>
      </c>
      <c r="AA71" s="1">
        <v>3.4182924638116001E-8</v>
      </c>
      <c r="AB71">
        <v>0.979151197737686</v>
      </c>
      <c r="AC71">
        <v>10</v>
      </c>
      <c r="AD71" s="1">
        <v>2.8565985052126299E-8</v>
      </c>
      <c r="AE71">
        <v>0.98959852387934799</v>
      </c>
      <c r="AF71">
        <v>10</v>
      </c>
      <c r="AG71" s="1">
        <v>3.2133085202130097E-8</v>
      </c>
      <c r="AH71">
        <v>0.99114744560337997</v>
      </c>
      <c r="AI71">
        <v>10</v>
      </c>
      <c r="AJ71" s="1">
        <v>1.9731911182779502E-8</v>
      </c>
      <c r="AK71">
        <v>0.88711599790264495</v>
      </c>
      <c r="AL71">
        <v>10</v>
      </c>
      <c r="AM71" s="1">
        <v>4.3302984309607803E-8</v>
      </c>
      <c r="AN71">
        <v>0.98449149094304</v>
      </c>
      <c r="AO71">
        <v>10</v>
      </c>
      <c r="AP71" s="1">
        <v>3.3109075939398399E-8</v>
      </c>
      <c r="AQ71">
        <v>0.98887324529674203</v>
      </c>
      <c r="AR71">
        <v>10</v>
      </c>
      <c r="AS71" s="1">
        <v>4.0554475736893302E-8</v>
      </c>
      <c r="AT71">
        <v>0.97593421622029797</v>
      </c>
    </row>
    <row r="72" spans="2:46" x14ac:dyDescent="0.2">
      <c r="D72" t="s">
        <v>21</v>
      </c>
      <c r="E72" s="1">
        <v>3.8045353416566599E-7</v>
      </c>
      <c r="F72" s="1">
        <v>3.7213860397212203E-8</v>
      </c>
      <c r="G72" t="s">
        <v>21</v>
      </c>
      <c r="H72" s="1">
        <v>3.7568822132052802E-7</v>
      </c>
      <c r="I72" s="1">
        <v>8.0063879751525502E-8</v>
      </c>
      <c r="J72" t="s">
        <v>21</v>
      </c>
      <c r="K72" s="1">
        <v>3.60274824345738E-7</v>
      </c>
      <c r="L72" s="1">
        <v>3.5897349733658503E-8</v>
      </c>
      <c r="M72" t="s">
        <v>21</v>
      </c>
      <c r="N72" s="1">
        <v>4.1585059932773098E-7</v>
      </c>
      <c r="O72" s="1">
        <v>4.8813471814259803E-8</v>
      </c>
      <c r="P72" t="s">
        <v>21</v>
      </c>
      <c r="Q72" s="1">
        <v>4.24116154669868E-7</v>
      </c>
      <c r="R72" s="1">
        <v>3.4840140099567503E-8</v>
      </c>
      <c r="S72" s="1" t="s">
        <v>21</v>
      </c>
      <c r="T72" s="1">
        <v>2.6119212332392498E-7</v>
      </c>
      <c r="U72" s="1">
        <v>7.1649446869488398E-8</v>
      </c>
      <c r="V72" s="1" t="s">
        <v>21</v>
      </c>
      <c r="W72" s="1">
        <v>5.2093807308523396E-7</v>
      </c>
      <c r="X72" s="1">
        <v>3.0626006558657398E-8</v>
      </c>
      <c r="Z72" t="s">
        <v>21</v>
      </c>
      <c r="AA72" s="1">
        <v>2.75642803570089E-8</v>
      </c>
      <c r="AB72" s="1">
        <v>9.4403427289617395E-9</v>
      </c>
      <c r="AC72" t="s">
        <v>21</v>
      </c>
      <c r="AD72" s="1">
        <v>2.61388441701042E-8</v>
      </c>
      <c r="AE72" s="1">
        <v>9.3509109904527792E-9</v>
      </c>
      <c r="AF72" t="s">
        <v>21</v>
      </c>
      <c r="AG72" s="1">
        <v>2.0284068832220799E-8</v>
      </c>
      <c r="AH72" s="1">
        <v>9.1291939011890002E-9</v>
      </c>
      <c r="AI72" t="s">
        <v>21</v>
      </c>
      <c r="AJ72" s="1">
        <v>2.9048263897847401E-8</v>
      </c>
      <c r="AK72" s="1">
        <v>7.7228728225146104E-9</v>
      </c>
      <c r="AL72" t="s">
        <v>21</v>
      </c>
      <c r="AM72" s="1">
        <v>3.16526050011251E-8</v>
      </c>
      <c r="AN72" s="1">
        <v>9.0600066970480193E-9</v>
      </c>
      <c r="AO72" t="s">
        <v>21</v>
      </c>
      <c r="AP72" s="1">
        <v>2.3654310194907999E-8</v>
      </c>
      <c r="AQ72" s="1">
        <v>7.1408165796306901E-9</v>
      </c>
      <c r="AR72" t="s">
        <v>21</v>
      </c>
      <c r="AS72" s="1">
        <v>3.4228405073876897E-8</v>
      </c>
      <c r="AT72" s="1">
        <v>9.8287255220178092E-9</v>
      </c>
    </row>
    <row r="73" spans="2:46" x14ac:dyDescent="0.2">
      <c r="F73" s="4">
        <f>F72/E72</f>
        <v>9.7814468930672818E-2</v>
      </c>
      <c r="I73" s="4">
        <f>I72/H72</f>
        <v>0.21311256304524107</v>
      </c>
      <c r="L73" s="4">
        <f>L72/K72</f>
        <v>9.96387960187015E-2</v>
      </c>
      <c r="O73" s="4">
        <f>O72/N72</f>
        <v>0.11738223268926927</v>
      </c>
      <c r="R73" s="4">
        <f>R72/Q72</f>
        <v>8.2147637424202974E-2</v>
      </c>
      <c r="S73" s="4"/>
      <c r="T73" s="4"/>
      <c r="U73" s="4">
        <f>U72/T72</f>
        <v>0.27431702747264802</v>
      </c>
      <c r="V73" s="4"/>
      <c r="W73" s="4"/>
      <c r="X73" s="4">
        <f>X72/W72</f>
        <v>5.8790109882497464E-2</v>
      </c>
      <c r="AB73" s="4">
        <f>AB72/AA72</f>
        <v>0.34248464341138873</v>
      </c>
      <c r="AE73" s="4">
        <f>AE72/AD72</f>
        <v>0.35774003355311723</v>
      </c>
      <c r="AH73" s="4">
        <f>AH72/AG72</f>
        <v>0.45006719197715772</v>
      </c>
      <c r="AK73" s="4">
        <f>AK72/AJ72</f>
        <v>0.26586349014430799</v>
      </c>
      <c r="AN73" s="4">
        <f>AN72/AM72</f>
        <v>0.28623257696249577</v>
      </c>
      <c r="AQ73" s="4">
        <f>AQ72/AP72</f>
        <v>0.30188225827730436</v>
      </c>
      <c r="AT73" s="4">
        <f>AT72/AS72</f>
        <v>0.28715113955219279</v>
      </c>
    </row>
    <row r="75" spans="2:46" x14ac:dyDescent="0.2">
      <c r="B75" t="s">
        <v>23</v>
      </c>
      <c r="D75" t="s">
        <v>0</v>
      </c>
      <c r="E75" s="2"/>
      <c r="F75" s="2"/>
      <c r="G75" s="2" t="s">
        <v>1</v>
      </c>
      <c r="H75" s="2"/>
      <c r="I75" s="2"/>
      <c r="J75" s="1" t="s">
        <v>2</v>
      </c>
      <c r="M75" s="2" t="s">
        <v>3</v>
      </c>
      <c r="N75" s="2"/>
      <c r="O75" s="2"/>
      <c r="P75" s="2" t="s">
        <v>4</v>
      </c>
      <c r="Q75" s="2"/>
      <c r="R75" s="1"/>
      <c r="S75" s="2" t="s">
        <v>48</v>
      </c>
      <c r="T75" s="2"/>
      <c r="U75" s="1"/>
      <c r="V75" s="1" t="s">
        <v>49</v>
      </c>
      <c r="W75" s="1"/>
      <c r="X75" s="1"/>
      <c r="Z75" t="s">
        <v>5</v>
      </c>
      <c r="AA75" s="2"/>
      <c r="AB75" s="2"/>
      <c r="AC75" s="2" t="s">
        <v>6</v>
      </c>
      <c r="AD75" s="2"/>
      <c r="AE75" s="2"/>
      <c r="AF75" s="1" t="s">
        <v>7</v>
      </c>
      <c r="AI75" s="2" t="s">
        <v>8</v>
      </c>
      <c r="AJ75" s="2"/>
      <c r="AK75" s="2"/>
      <c r="AL75" s="2" t="s">
        <v>9</v>
      </c>
      <c r="AM75" s="2"/>
      <c r="AN75" s="1"/>
      <c r="AO75" s="2" t="s">
        <v>54</v>
      </c>
      <c r="AP75" s="2"/>
      <c r="AQ75" s="1"/>
      <c r="AR75" s="1" t="s">
        <v>55</v>
      </c>
    </row>
    <row r="76" spans="2:46" x14ac:dyDescent="0.2">
      <c r="D76">
        <v>1</v>
      </c>
      <c r="E76" s="2">
        <v>2.1560188955582201E-7</v>
      </c>
      <c r="F76" s="2">
        <v>0.99049644057333497</v>
      </c>
      <c r="G76" s="2">
        <v>1</v>
      </c>
      <c r="H76" s="2">
        <v>2.0290667226890801E-7</v>
      </c>
      <c r="I76" s="2">
        <v>0.99135876959265601</v>
      </c>
      <c r="J76" s="1">
        <v>1</v>
      </c>
      <c r="K76" s="1">
        <v>1.7381856710684301E-7</v>
      </c>
      <c r="L76">
        <v>0.98055595890751401</v>
      </c>
      <c r="M76" s="1">
        <v>1</v>
      </c>
      <c r="N76" s="1">
        <v>1.8872222088835499E-7</v>
      </c>
      <c r="O76">
        <v>0.98905353921116201</v>
      </c>
      <c r="P76" s="2">
        <v>1</v>
      </c>
      <c r="Q76" s="2">
        <v>2.5774013061224502E-7</v>
      </c>
      <c r="R76" s="2">
        <v>0.99076913538578004</v>
      </c>
      <c r="S76" s="2">
        <v>1</v>
      </c>
      <c r="T76" s="2">
        <v>1.73623134213685E-7</v>
      </c>
      <c r="U76" s="2">
        <v>0.99547239423163103</v>
      </c>
      <c r="V76" s="2">
        <v>1</v>
      </c>
      <c r="W76" s="2">
        <v>3.4139055174069601E-7</v>
      </c>
      <c r="X76" s="2">
        <v>0.99625243651608597</v>
      </c>
      <c r="Z76">
        <v>1</v>
      </c>
      <c r="AA76" s="2">
        <v>1.46029718367959E-8</v>
      </c>
      <c r="AB76" s="2">
        <v>0.93947961770859101</v>
      </c>
      <c r="AC76" s="2">
        <v>1</v>
      </c>
      <c r="AD76" s="2">
        <v>6.3582099752494199E-9</v>
      </c>
      <c r="AE76" s="2">
        <v>0.79243168821979304</v>
      </c>
      <c r="AF76" s="1">
        <v>1</v>
      </c>
      <c r="AG76" s="1">
        <v>9.6344648841221008E-9</v>
      </c>
      <c r="AH76">
        <v>0.94270482165724701</v>
      </c>
      <c r="AI76" s="2">
        <v>1</v>
      </c>
      <c r="AJ76" s="2">
        <v>1.57320083252081E-8</v>
      </c>
      <c r="AK76" s="2">
        <v>0.98557446392080605</v>
      </c>
      <c r="AL76" s="2">
        <v>1</v>
      </c>
      <c r="AM76" s="2">
        <v>6.54399201230034E-9</v>
      </c>
      <c r="AN76" s="1">
        <v>0.93810185054607098</v>
      </c>
      <c r="AO76">
        <v>1</v>
      </c>
      <c r="AP76" s="1">
        <v>1.14869103952598E-8</v>
      </c>
      <c r="AQ76">
        <v>0.95261059366331102</v>
      </c>
      <c r="AR76">
        <v>1</v>
      </c>
      <c r="AS76" s="1">
        <v>1.01226907447687E-8</v>
      </c>
      <c r="AT76">
        <v>0.95183742236542102</v>
      </c>
    </row>
    <row r="77" spans="2:46" x14ac:dyDescent="0.2">
      <c r="D77">
        <v>2</v>
      </c>
      <c r="E77" s="2">
        <v>3.0900069723889502E-7</v>
      </c>
      <c r="F77" s="2">
        <v>0.99235127915196697</v>
      </c>
      <c r="G77" s="2">
        <v>2</v>
      </c>
      <c r="H77" s="2">
        <v>2.5391664201680702E-7</v>
      </c>
      <c r="I77" s="2">
        <v>0.97623108115978696</v>
      </c>
      <c r="J77" s="1">
        <v>2</v>
      </c>
      <c r="K77" s="1">
        <v>1.3125235774309699E-7</v>
      </c>
      <c r="L77">
        <v>0.91267462402181998</v>
      </c>
      <c r="M77" s="1">
        <v>2</v>
      </c>
      <c r="N77" s="1">
        <v>2.3659623241296499E-7</v>
      </c>
      <c r="O77">
        <v>0.98200731250821205</v>
      </c>
      <c r="P77" s="2">
        <v>2</v>
      </c>
      <c r="Q77" s="2">
        <v>2.6444502665065998E-7</v>
      </c>
      <c r="R77" s="2">
        <v>0.99427822057752302</v>
      </c>
      <c r="S77" s="2">
        <v>2</v>
      </c>
      <c r="T77" s="2">
        <v>1.6059431116446601E-7</v>
      </c>
      <c r="U77" s="2">
        <v>0.99425052199904895</v>
      </c>
      <c r="V77" s="2">
        <v>2</v>
      </c>
      <c r="W77" s="2">
        <v>3.2913574309723902E-7</v>
      </c>
      <c r="X77" s="2">
        <v>0.98921099752210995</v>
      </c>
      <c r="Z77">
        <v>2</v>
      </c>
      <c r="AA77" s="1">
        <v>7.4608232280807003E-9</v>
      </c>
      <c r="AB77">
        <v>0.90446625464407904</v>
      </c>
      <c r="AC77">
        <v>2</v>
      </c>
      <c r="AD77" s="1">
        <v>1.01327592739818E-8</v>
      </c>
      <c r="AE77">
        <v>0.956884525118328</v>
      </c>
      <c r="AF77">
        <v>2</v>
      </c>
      <c r="AG77" s="1">
        <v>1.22375778894472E-8</v>
      </c>
      <c r="AH77">
        <v>0.96680619356356101</v>
      </c>
      <c r="AI77">
        <v>2</v>
      </c>
      <c r="AJ77" s="1">
        <v>2.16177825395635E-8</v>
      </c>
      <c r="AK77">
        <v>0.98192364027148604</v>
      </c>
      <c r="AL77">
        <v>2</v>
      </c>
      <c r="AM77" s="1">
        <v>1.01998400435011E-8</v>
      </c>
      <c r="AN77">
        <v>0.85708633818407598</v>
      </c>
      <c r="AO77">
        <v>2</v>
      </c>
      <c r="AP77" s="1">
        <v>1.2645306225155701E-8</v>
      </c>
      <c r="AQ77">
        <v>0.95798489681866295</v>
      </c>
      <c r="AR77">
        <v>2</v>
      </c>
      <c r="AS77" s="1">
        <v>8.9756190729767801E-9</v>
      </c>
      <c r="AT77">
        <v>0.82251648964514301</v>
      </c>
    </row>
    <row r="78" spans="2:46" x14ac:dyDescent="0.2">
      <c r="D78">
        <v>3</v>
      </c>
      <c r="E78" s="2">
        <v>2.17788553181273E-7</v>
      </c>
      <c r="F78" s="2">
        <v>0.99604658313609395</v>
      </c>
      <c r="G78" s="2">
        <v>3</v>
      </c>
      <c r="H78" s="2">
        <v>1.82275578391356E-7</v>
      </c>
      <c r="I78" s="2">
        <v>0.98876868882323798</v>
      </c>
      <c r="J78" s="1">
        <v>3</v>
      </c>
      <c r="K78" s="1">
        <v>2.43189061704682E-7</v>
      </c>
      <c r="L78">
        <v>0.97872055140521697</v>
      </c>
      <c r="M78" s="1">
        <v>3</v>
      </c>
      <c r="N78" s="1">
        <v>2.2119642641056399E-7</v>
      </c>
      <c r="O78">
        <v>0.99588507313164898</v>
      </c>
      <c r="P78" s="2">
        <v>3</v>
      </c>
      <c r="Q78" s="2">
        <v>2.29805203841536E-7</v>
      </c>
      <c r="R78" s="2">
        <v>0.98870727896444799</v>
      </c>
      <c r="S78" s="2">
        <v>3</v>
      </c>
      <c r="T78" s="2">
        <v>2.1777825546218499E-7</v>
      </c>
      <c r="U78" s="2">
        <v>0.99349603790679197</v>
      </c>
      <c r="V78" s="2">
        <v>3</v>
      </c>
      <c r="W78" s="2">
        <v>3.8596178727491002E-7</v>
      </c>
      <c r="X78" s="2">
        <v>0.99825707746527004</v>
      </c>
      <c r="Z78">
        <v>3</v>
      </c>
      <c r="AA78" s="1">
        <v>1.0399681032025799E-8</v>
      </c>
      <c r="AB78">
        <v>0.97695723262990897</v>
      </c>
      <c r="AC78">
        <v>3</v>
      </c>
      <c r="AD78" s="1">
        <v>1.15910646441161E-8</v>
      </c>
      <c r="AE78">
        <v>0.94496854409109499</v>
      </c>
      <c r="AF78">
        <v>3</v>
      </c>
      <c r="AG78" s="1">
        <v>1.2580773756843901E-8</v>
      </c>
      <c r="AH78">
        <v>0.91265805843331704</v>
      </c>
      <c r="AI78">
        <v>3</v>
      </c>
      <c r="AJ78" s="1">
        <v>1.32297188629715E-8</v>
      </c>
      <c r="AK78">
        <v>0.90291508618382699</v>
      </c>
      <c r="AL78">
        <v>3</v>
      </c>
      <c r="AM78" s="1">
        <v>7.20108245706143E-9</v>
      </c>
      <c r="AN78">
        <v>0.93273953332718995</v>
      </c>
      <c r="AO78">
        <v>3</v>
      </c>
      <c r="AP78" s="1">
        <v>7.3283128478212104E-9</v>
      </c>
      <c r="AQ78">
        <v>0.91762055326665903</v>
      </c>
      <c r="AR78">
        <v>3</v>
      </c>
      <c r="AS78" s="1">
        <v>5.0480148053701199E-9</v>
      </c>
      <c r="AT78">
        <v>0.86209766498696005</v>
      </c>
    </row>
    <row r="79" spans="2:46" x14ac:dyDescent="0.2">
      <c r="D79">
        <v>4</v>
      </c>
      <c r="E79" s="2">
        <v>1.1659438367347E-7</v>
      </c>
      <c r="F79" s="2">
        <v>0.89827722185906</v>
      </c>
      <c r="G79" s="2">
        <v>4</v>
      </c>
      <c r="H79" s="2">
        <v>2.0832621176470601E-7</v>
      </c>
      <c r="I79" s="2">
        <v>0.99610363882167297</v>
      </c>
      <c r="J79" s="1">
        <v>4</v>
      </c>
      <c r="K79" s="1">
        <v>2.0125197166866701E-7</v>
      </c>
      <c r="L79">
        <v>0.99394723575531796</v>
      </c>
      <c r="M79" s="1">
        <v>4</v>
      </c>
      <c r="N79" s="1">
        <v>3.0100649795918399E-7</v>
      </c>
      <c r="O79">
        <v>0.99599356132526096</v>
      </c>
      <c r="P79" s="2">
        <v>4</v>
      </c>
      <c r="Q79" s="2">
        <v>2.6802240192076898E-7</v>
      </c>
      <c r="R79" s="2">
        <v>0.99658177284281302</v>
      </c>
      <c r="S79" s="2">
        <v>4</v>
      </c>
      <c r="T79" s="2">
        <v>2.02990776470588E-7</v>
      </c>
      <c r="U79" s="2">
        <v>0.97190719733695996</v>
      </c>
      <c r="V79" s="2">
        <v>4</v>
      </c>
      <c r="W79" s="2">
        <v>3.3815455894357698E-7</v>
      </c>
      <c r="X79" s="2">
        <v>0.99750558382114896</v>
      </c>
      <c r="Z79">
        <v>4</v>
      </c>
      <c r="AA79" s="1">
        <v>5.8671829145728198E-9</v>
      </c>
      <c r="AB79">
        <v>0.79521787132563204</v>
      </c>
      <c r="AC79">
        <v>4</v>
      </c>
      <c r="AD79" s="1">
        <v>1.4587752793820201E-9</v>
      </c>
      <c r="AE79">
        <v>0.63609292069985002</v>
      </c>
      <c r="AF79">
        <v>4</v>
      </c>
      <c r="AG79" s="1">
        <v>7.4410946673667196E-9</v>
      </c>
      <c r="AH79">
        <v>0.91689162552516701</v>
      </c>
      <c r="AI79">
        <v>4</v>
      </c>
      <c r="AJ79" s="1">
        <v>1.0229594892372301E-8</v>
      </c>
      <c r="AK79">
        <v>0.90096238775804705</v>
      </c>
      <c r="AL79">
        <v>4</v>
      </c>
      <c r="AM79" s="1">
        <v>3.18988509712745E-9</v>
      </c>
      <c r="AN79">
        <v>0.73714613558794695</v>
      </c>
      <c r="AO79">
        <v>4</v>
      </c>
      <c r="AP79" s="1">
        <v>3.3385839945999101E-9</v>
      </c>
      <c r="AQ79">
        <v>0.71176559726067101</v>
      </c>
      <c r="AR79">
        <v>4</v>
      </c>
      <c r="AS79" s="1">
        <v>4.4573840096000799E-10</v>
      </c>
      <c r="AT79">
        <v>0.140966574953967</v>
      </c>
    </row>
    <row r="80" spans="2:46" x14ac:dyDescent="0.2">
      <c r="D80">
        <v>5</v>
      </c>
      <c r="E80" s="2">
        <v>2.5591408547419002E-7</v>
      </c>
      <c r="F80" s="2">
        <v>0.98581642206912601</v>
      </c>
      <c r="G80" s="2">
        <v>5</v>
      </c>
      <c r="H80" s="2">
        <v>8.9510952220888601E-8</v>
      </c>
      <c r="I80" s="2">
        <v>0.94176412653118402</v>
      </c>
      <c r="J80" s="1">
        <v>5</v>
      </c>
      <c r="K80" s="1">
        <v>2.6454387851140498E-7</v>
      </c>
      <c r="L80">
        <v>0.99240328352197504</v>
      </c>
      <c r="M80" s="1">
        <v>5</v>
      </c>
      <c r="N80" s="1">
        <v>2.6682065690276099E-7</v>
      </c>
      <c r="O80">
        <v>0.97334525655063797</v>
      </c>
      <c r="P80" s="2">
        <v>5</v>
      </c>
      <c r="Q80" s="2">
        <v>2.5231490708283302E-7</v>
      </c>
      <c r="R80" s="2">
        <v>0.99647970636841399</v>
      </c>
      <c r="S80" s="2">
        <v>5</v>
      </c>
      <c r="T80" s="2">
        <v>2.01015893397359E-7</v>
      </c>
      <c r="U80" s="2">
        <v>0.97770062159980498</v>
      </c>
      <c r="V80" s="2">
        <v>5</v>
      </c>
      <c r="W80" s="2">
        <v>3.6443559663865502E-7</v>
      </c>
      <c r="X80" s="2">
        <v>0.99326951466966196</v>
      </c>
      <c r="Z80">
        <v>5</v>
      </c>
      <c r="AA80" s="1">
        <v>5.8848655516388297E-9</v>
      </c>
      <c r="AB80">
        <v>0.88172755035893902</v>
      </c>
      <c r="AC80">
        <v>5</v>
      </c>
      <c r="AD80" s="1">
        <v>5.31312044551107E-9</v>
      </c>
      <c r="AE80">
        <v>0.83775027294247095</v>
      </c>
      <c r="AF80">
        <v>5</v>
      </c>
      <c r="AG80" s="1">
        <v>1.7939717827945701E-8</v>
      </c>
      <c r="AH80">
        <v>0.97847775839246898</v>
      </c>
      <c r="AI80">
        <v>5</v>
      </c>
      <c r="AJ80" s="1">
        <v>2.6967733818345999E-9</v>
      </c>
      <c r="AK80">
        <v>0.71143329055395399</v>
      </c>
      <c r="AL80">
        <v>5</v>
      </c>
      <c r="AM80" s="1">
        <v>6.9581184204604802E-9</v>
      </c>
      <c r="AN80">
        <v>0.88784144221585803</v>
      </c>
      <c r="AO80">
        <v>5</v>
      </c>
      <c r="AP80" s="1">
        <v>1.20102056176404E-8</v>
      </c>
      <c r="AQ80">
        <v>0.92193082255673697</v>
      </c>
      <c r="AR80">
        <v>5</v>
      </c>
      <c r="AS80" s="1">
        <v>1.4806520108002799E-8</v>
      </c>
      <c r="AT80">
        <v>0.94634579553564302</v>
      </c>
    </row>
    <row r="81" spans="4:46" x14ac:dyDescent="0.2">
      <c r="D81">
        <v>6</v>
      </c>
      <c r="E81" s="1">
        <v>2.3732811140456101E-7</v>
      </c>
      <c r="F81" s="1">
        <v>0.99333680212169295</v>
      </c>
      <c r="G81" s="1">
        <v>6</v>
      </c>
      <c r="H81" s="1">
        <v>1.5636689603841499E-7</v>
      </c>
      <c r="I81" s="1">
        <v>0.97309697019267505</v>
      </c>
      <c r="J81">
        <v>6</v>
      </c>
      <c r="K81" s="1">
        <v>1.5584126338535401E-7</v>
      </c>
      <c r="L81" s="1">
        <v>0.98677277846226197</v>
      </c>
      <c r="M81">
        <v>6</v>
      </c>
      <c r="N81" s="1">
        <v>2.37731150540216E-7</v>
      </c>
      <c r="O81" s="1">
        <v>0.99143345212622402</v>
      </c>
      <c r="P81">
        <v>6</v>
      </c>
      <c r="Q81" s="1">
        <v>2.7008374309723898E-7</v>
      </c>
      <c r="R81" s="1">
        <v>0.99711297926638298</v>
      </c>
      <c r="S81" s="1">
        <v>6</v>
      </c>
      <c r="T81" s="1">
        <v>1.52455808883553E-7</v>
      </c>
      <c r="U81" s="1">
        <v>0.96331310263888004</v>
      </c>
      <c r="V81" s="1">
        <v>6</v>
      </c>
      <c r="W81" s="1">
        <v>3.7382644561824699E-7</v>
      </c>
      <c r="X81" s="1">
        <v>0.99611709869406795</v>
      </c>
      <c r="Z81">
        <v>6</v>
      </c>
      <c r="AA81" s="1">
        <v>1.20286063151578E-8</v>
      </c>
      <c r="AB81">
        <v>0.961244219811205</v>
      </c>
      <c r="AC81">
        <v>6</v>
      </c>
      <c r="AD81" s="1">
        <v>7.20196115652889E-9</v>
      </c>
      <c r="AE81">
        <v>0.89995590827504401</v>
      </c>
      <c r="AF81">
        <v>6</v>
      </c>
      <c r="AG81" s="1">
        <v>1.19903487887197E-8</v>
      </c>
      <c r="AH81">
        <v>0.95270497751405103</v>
      </c>
      <c r="AI81">
        <v>6</v>
      </c>
      <c r="AJ81" s="1">
        <v>7.6297140403509995E-9</v>
      </c>
      <c r="AK81">
        <v>0.940198566597786</v>
      </c>
      <c r="AL81">
        <v>6</v>
      </c>
      <c r="AM81" s="1">
        <v>4.1425549688741802E-9</v>
      </c>
      <c r="AN81">
        <v>0.92188991166577094</v>
      </c>
      <c r="AO81">
        <v>6</v>
      </c>
      <c r="AP81" s="1">
        <v>4.3274185779643799E-9</v>
      </c>
      <c r="AQ81">
        <v>0.65731270868107905</v>
      </c>
      <c r="AR81">
        <v>6</v>
      </c>
      <c r="AS81" s="1">
        <v>1.6341701207530099E-8</v>
      </c>
      <c r="AT81">
        <v>0.93283155487133596</v>
      </c>
    </row>
    <row r="82" spans="4:46" x14ac:dyDescent="0.2">
      <c r="D82">
        <v>7</v>
      </c>
      <c r="E82" s="1">
        <v>2.1440552605042E-7</v>
      </c>
      <c r="F82" s="3">
        <v>0.99152267655419402</v>
      </c>
      <c r="G82">
        <v>7</v>
      </c>
      <c r="H82" s="1">
        <v>2.17017294117647E-7</v>
      </c>
      <c r="I82" s="3">
        <v>0.98857140648783404</v>
      </c>
      <c r="J82">
        <v>7</v>
      </c>
      <c r="K82" s="1">
        <v>1.9815302809123599E-7</v>
      </c>
      <c r="L82" s="3">
        <v>0.98161985219923098</v>
      </c>
      <c r="M82">
        <v>7</v>
      </c>
      <c r="N82" s="1">
        <v>2.0538456950780301E-7</v>
      </c>
      <c r="O82" s="3">
        <v>0.98967974007770099</v>
      </c>
      <c r="P82">
        <v>7</v>
      </c>
      <c r="Q82" s="1">
        <v>2.44489046338535E-7</v>
      </c>
      <c r="R82" s="3">
        <v>0.98461577183583404</v>
      </c>
      <c r="S82" s="3">
        <v>7</v>
      </c>
      <c r="T82" s="3">
        <v>1.4317108427371001E-7</v>
      </c>
      <c r="U82" s="3">
        <v>0.99282540152054899</v>
      </c>
      <c r="V82" s="3">
        <v>7</v>
      </c>
      <c r="W82" s="3">
        <v>2.8837118799519801E-7</v>
      </c>
      <c r="X82" s="3">
        <v>0.987641049362882</v>
      </c>
      <c r="Z82">
        <v>7</v>
      </c>
      <c r="AA82" s="1">
        <v>1.10845580589514E-8</v>
      </c>
      <c r="AB82">
        <v>0.90307468039066596</v>
      </c>
      <c r="AC82">
        <v>7</v>
      </c>
      <c r="AD82" s="1">
        <v>4.3585397059926696E-9</v>
      </c>
      <c r="AE82">
        <v>0.85164940305199099</v>
      </c>
      <c r="AF82">
        <v>7</v>
      </c>
      <c r="AG82" s="1">
        <v>1.03106152253806E-8</v>
      </c>
      <c r="AH82">
        <v>0.79992626671749401</v>
      </c>
      <c r="AI82">
        <v>7</v>
      </c>
      <c r="AJ82" s="1">
        <v>4.4322503337582598E-9</v>
      </c>
      <c r="AK82">
        <v>0.56790911009764</v>
      </c>
      <c r="AL82">
        <v>7</v>
      </c>
      <c r="AM82" s="1">
        <v>1.3671111062776601E-8</v>
      </c>
      <c r="AN82">
        <v>0.94916030171760102</v>
      </c>
      <c r="AO82">
        <v>7</v>
      </c>
      <c r="AP82" s="1">
        <v>8.6511445086705508E-9</v>
      </c>
      <c r="AQ82">
        <v>0.84682250093838296</v>
      </c>
      <c r="AR82">
        <v>7</v>
      </c>
      <c r="AS82" s="1">
        <v>3.5315434335858099E-9</v>
      </c>
      <c r="AT82">
        <v>0.80487219616999195</v>
      </c>
    </row>
    <row r="83" spans="4:46" x14ac:dyDescent="0.2">
      <c r="D83">
        <v>8</v>
      </c>
      <c r="E83" s="1">
        <v>2.1671374021608599E-7</v>
      </c>
      <c r="F83">
        <v>0.98514706975905997</v>
      </c>
      <c r="G83">
        <v>8</v>
      </c>
      <c r="H83" s="1">
        <v>1.7779877743097201E-7</v>
      </c>
      <c r="I83">
        <v>0.98656233207567101</v>
      </c>
      <c r="J83">
        <v>8</v>
      </c>
      <c r="K83" s="1">
        <v>2.0582188907563001E-7</v>
      </c>
      <c r="L83">
        <v>0.977996753577002</v>
      </c>
      <c r="M83">
        <v>8</v>
      </c>
      <c r="N83" s="1">
        <v>2.6275253061224501E-7</v>
      </c>
      <c r="O83">
        <v>0.97786824368183101</v>
      </c>
      <c r="P83">
        <v>8</v>
      </c>
      <c r="Q83" s="1">
        <v>2.73211308523409E-7</v>
      </c>
      <c r="R83">
        <v>0.99572541311112395</v>
      </c>
      <c r="S83">
        <v>8</v>
      </c>
      <c r="T83" s="1">
        <v>1.2984315582232901E-7</v>
      </c>
      <c r="U83">
        <v>0.95906167243394302</v>
      </c>
      <c r="V83">
        <v>8</v>
      </c>
      <c r="W83" s="1">
        <v>3.1250770804321698E-7</v>
      </c>
      <c r="X83">
        <v>0.99538688998926805</v>
      </c>
      <c r="Z83">
        <v>8</v>
      </c>
      <c r="AA83" s="1">
        <v>5.6076041326033098E-9</v>
      </c>
      <c r="AB83">
        <v>0.87879386134703397</v>
      </c>
      <c r="AC83">
        <v>8</v>
      </c>
      <c r="AD83" s="1">
        <v>3.2168948098703098E-9</v>
      </c>
      <c r="AE83">
        <v>0.70940275457400104</v>
      </c>
      <c r="AF83">
        <v>8</v>
      </c>
      <c r="AG83" s="1">
        <v>9.5835669016725204E-9</v>
      </c>
      <c r="AH83">
        <v>0.93479941689511903</v>
      </c>
      <c r="AI83">
        <v>8</v>
      </c>
      <c r="AJ83" s="1">
        <v>5.6796393909848102E-9</v>
      </c>
      <c r="AK83">
        <v>0.72192078994759001</v>
      </c>
      <c r="AL83">
        <v>8</v>
      </c>
      <c r="AM83" s="1">
        <v>4.3262284707117003E-9</v>
      </c>
      <c r="AN83">
        <v>0.86749869857516104</v>
      </c>
      <c r="AO83">
        <v>8</v>
      </c>
      <c r="AP83" s="1">
        <v>3.5127719567988802E-9</v>
      </c>
      <c r="AQ83">
        <v>0.77242098556168404</v>
      </c>
      <c r="AR83">
        <v>8</v>
      </c>
      <c r="AS83" s="1">
        <v>4.61887677191926E-9</v>
      </c>
      <c r="AT83">
        <v>0.84764663285603403</v>
      </c>
    </row>
    <row r="84" spans="4:46" x14ac:dyDescent="0.2">
      <c r="D84">
        <v>9</v>
      </c>
      <c r="E84" s="1">
        <v>2.8755265642256902E-7</v>
      </c>
      <c r="F84">
        <v>0.99439373415185905</v>
      </c>
      <c r="G84">
        <v>9</v>
      </c>
      <c r="H84" s="1">
        <v>1.2763381272509E-7</v>
      </c>
      <c r="I84">
        <v>0.94303345656344395</v>
      </c>
      <c r="J84">
        <v>9</v>
      </c>
      <c r="K84" s="1">
        <v>2.68749313805522E-7</v>
      </c>
      <c r="L84">
        <v>0.99387171519331097</v>
      </c>
      <c r="M84">
        <v>9</v>
      </c>
      <c r="N84" s="1">
        <v>1.8830351692676999E-7</v>
      </c>
      <c r="O84">
        <v>0.971914690144009</v>
      </c>
      <c r="P84">
        <v>9</v>
      </c>
      <c r="Q84" s="1">
        <v>2.3315151308523399E-7</v>
      </c>
      <c r="R84">
        <v>0.98111290322955702</v>
      </c>
      <c r="S84">
        <v>9</v>
      </c>
      <c r="T84" s="1">
        <v>1.4048663673469399E-7</v>
      </c>
      <c r="U84">
        <v>0.97753162488286305</v>
      </c>
      <c r="V84">
        <v>9</v>
      </c>
      <c r="W84" s="1">
        <v>3.4774332244897997E-7</v>
      </c>
      <c r="X84">
        <v>0.99718560197472705</v>
      </c>
      <c r="Z84">
        <v>9</v>
      </c>
      <c r="AA84" s="1">
        <v>1.37653244731117E-8</v>
      </c>
      <c r="AB84">
        <v>0.96830222710304104</v>
      </c>
      <c r="AC84">
        <v>9</v>
      </c>
      <c r="AD84" s="1">
        <v>2.7026050026250598E-9</v>
      </c>
      <c r="AE84">
        <v>0.57832666716132697</v>
      </c>
      <c r="AF84">
        <v>9</v>
      </c>
      <c r="AG84" s="1">
        <v>1.9399222500562599E-8</v>
      </c>
      <c r="AH84">
        <v>0.97284902595387801</v>
      </c>
      <c r="AI84">
        <v>9</v>
      </c>
      <c r="AJ84" s="1">
        <v>1.75312213530339E-8</v>
      </c>
      <c r="AK84">
        <v>0.94708085549252796</v>
      </c>
      <c r="AL84">
        <v>9</v>
      </c>
      <c r="AM84" s="1">
        <v>6.1774499587489801E-9</v>
      </c>
      <c r="AN84">
        <v>0.89495678556108205</v>
      </c>
      <c r="AO84">
        <v>9</v>
      </c>
      <c r="AP84" s="1">
        <v>1.039376120153E-8</v>
      </c>
      <c r="AQ84">
        <v>0.97484486442590301</v>
      </c>
      <c r="AR84">
        <v>9</v>
      </c>
      <c r="AS84" s="1">
        <v>1.1984164839121E-8</v>
      </c>
      <c r="AT84">
        <v>0.93776555394285399</v>
      </c>
    </row>
    <row r="85" spans="4:46" x14ac:dyDescent="0.2">
      <c r="D85">
        <v>10</v>
      </c>
      <c r="E85" s="1">
        <v>2.6396698631452602E-7</v>
      </c>
      <c r="F85">
        <v>0.99459669347240798</v>
      </c>
      <c r="G85">
        <v>10</v>
      </c>
      <c r="H85" s="1">
        <v>1.7232405954381699E-7</v>
      </c>
      <c r="I85">
        <v>0.993114142126168</v>
      </c>
      <c r="J85">
        <v>10</v>
      </c>
      <c r="K85" s="1">
        <v>1.8192574645858299E-7</v>
      </c>
      <c r="L85">
        <v>0.99189647136657899</v>
      </c>
      <c r="M85">
        <v>10</v>
      </c>
      <c r="N85" s="1">
        <v>2.7318914909963999E-7</v>
      </c>
      <c r="O85">
        <v>0.99175197577279794</v>
      </c>
      <c r="P85">
        <v>10</v>
      </c>
      <c r="Q85" s="1">
        <v>2.3173466218487301E-7</v>
      </c>
      <c r="R85">
        <v>0.98731503206598104</v>
      </c>
      <c r="S85">
        <v>10</v>
      </c>
      <c r="T85" s="1">
        <v>2.10301982713085E-7</v>
      </c>
      <c r="U85">
        <v>0.98198173160681901</v>
      </c>
      <c r="V85">
        <v>10</v>
      </c>
      <c r="W85" s="1">
        <v>3.0405443025210099E-7</v>
      </c>
      <c r="X85">
        <v>0.99624612100351595</v>
      </c>
      <c r="Z85">
        <v>10</v>
      </c>
      <c r="AA85" s="1">
        <v>3.9259416185404497E-9</v>
      </c>
      <c r="AB85">
        <v>0.88473295493128701</v>
      </c>
      <c r="AC85">
        <v>10</v>
      </c>
      <c r="AD85" s="1">
        <v>1.1817154676367E-8</v>
      </c>
      <c r="AE85">
        <v>0.968298537722599</v>
      </c>
      <c r="AF85">
        <v>10</v>
      </c>
      <c r="AG85" s="1">
        <v>7.5416730143253196E-9</v>
      </c>
      <c r="AH85">
        <v>0.95678219341295401</v>
      </c>
      <c r="AI85">
        <v>10</v>
      </c>
      <c r="AJ85" s="1">
        <v>1.0482991757293999E-8</v>
      </c>
      <c r="AK85">
        <v>0.9233920122514</v>
      </c>
      <c r="AL85">
        <v>10</v>
      </c>
      <c r="AM85" s="1">
        <v>4.0854677941948201E-9</v>
      </c>
      <c r="AN85">
        <v>0.77763658639397004</v>
      </c>
      <c r="AO85">
        <v>10</v>
      </c>
      <c r="AP85" s="1">
        <v>6.1761939098477696E-9</v>
      </c>
      <c r="AQ85">
        <v>0.76611665796797601</v>
      </c>
      <c r="AR85">
        <v>10</v>
      </c>
      <c r="AS85" s="1">
        <v>7.8509185179628697E-9</v>
      </c>
      <c r="AT85">
        <v>0.93182730389471602</v>
      </c>
    </row>
    <row r="86" spans="4:46" x14ac:dyDescent="0.2">
      <c r="D86" t="s">
        <v>21</v>
      </c>
      <c r="E86" s="1">
        <v>2.33486662953181E-7</v>
      </c>
      <c r="F86" s="1">
        <v>5.2649594902975498E-8</v>
      </c>
      <c r="G86" t="s">
        <v>21</v>
      </c>
      <c r="H86" s="1">
        <v>1.78807689651861E-7</v>
      </c>
      <c r="I86" s="1">
        <v>4.6791234386587598E-8</v>
      </c>
      <c r="J86" t="s">
        <v>21</v>
      </c>
      <c r="K86" s="1">
        <v>2.0245470775510199E-7</v>
      </c>
      <c r="L86" s="1">
        <v>4.52458360106568E-8</v>
      </c>
      <c r="M86" t="s">
        <v>21</v>
      </c>
      <c r="N86" s="1">
        <v>2.3817029512605E-7</v>
      </c>
      <c r="O86" s="1">
        <v>3.7855474006359797E-8</v>
      </c>
      <c r="P86" t="s">
        <v>21</v>
      </c>
      <c r="Q86" s="1">
        <v>2.52499794333733E-7</v>
      </c>
      <c r="R86" s="1">
        <v>1.67798176544268E-8</v>
      </c>
      <c r="S86" s="1" t="s">
        <v>21</v>
      </c>
      <c r="T86" s="1">
        <v>1.73226103913565E-7</v>
      </c>
      <c r="U86" s="1">
        <v>3.2431303819497297E-8</v>
      </c>
      <c r="V86" s="1" t="s">
        <v>21</v>
      </c>
      <c r="W86" s="1">
        <v>3.3855813320528202E-7</v>
      </c>
      <c r="X86" s="1">
        <v>3.1144462028171203E-8</v>
      </c>
      <c r="Z86" t="s">
        <v>21</v>
      </c>
      <c r="AA86" s="1">
        <v>9.0627559161478905E-9</v>
      </c>
      <c r="AB86" s="1">
        <v>3.7812587855476797E-9</v>
      </c>
      <c r="AC86" t="s">
        <v>21</v>
      </c>
      <c r="AD86" s="1">
        <v>6.4151084969624403E-9</v>
      </c>
      <c r="AE86" s="1">
        <v>3.7183668998363102E-9</v>
      </c>
      <c r="AF86" t="s">
        <v>21</v>
      </c>
      <c r="AG86" s="1">
        <v>1.18659055456386E-8</v>
      </c>
      <c r="AH86" s="1">
        <v>4.0165212474448301E-9</v>
      </c>
      <c r="AI86" t="s">
        <v>21</v>
      </c>
      <c r="AJ86" s="1">
        <v>1.09261694877372E-8</v>
      </c>
      <c r="AK86" s="1">
        <v>6.1038056610954398E-9</v>
      </c>
      <c r="AL86" t="s">
        <v>21</v>
      </c>
      <c r="AM86" s="1">
        <v>6.6495730285757098E-9</v>
      </c>
      <c r="AN86" s="1">
        <v>3.2105200066488602E-9</v>
      </c>
      <c r="AO86" t="s">
        <v>21</v>
      </c>
      <c r="AP86" s="1">
        <v>7.9870609235288698E-9</v>
      </c>
      <c r="AQ86" s="1">
        <v>3.5761691493578401E-9</v>
      </c>
      <c r="AR86" t="s">
        <v>21</v>
      </c>
      <c r="AS86" s="1">
        <v>8.3725787902197404E-9</v>
      </c>
      <c r="AT86" s="1">
        <v>5.0887476309079104E-9</v>
      </c>
    </row>
    <row r="87" spans="4:46" x14ac:dyDescent="0.2">
      <c r="F87" s="4">
        <f>F86/E86</f>
        <v>0.22549294352428537</v>
      </c>
      <c r="I87" s="4">
        <f>I86/H86</f>
        <v>0.26168468748570178</v>
      </c>
      <c r="L87" s="4">
        <f>L86/K86</f>
        <v>0.22348621334796584</v>
      </c>
      <c r="O87" s="4">
        <f>O86/N86</f>
        <v>0.15894288574620544</v>
      </c>
      <c r="R87" s="4">
        <f>R86/Q86</f>
        <v>6.6454777512605215E-2</v>
      </c>
      <c r="S87" s="4"/>
      <c r="T87" s="4"/>
      <c r="U87" s="4">
        <f>U86/T86</f>
        <v>0.18721949571572433</v>
      </c>
      <c r="V87" s="4"/>
      <c r="W87" s="4"/>
      <c r="X87" s="4">
        <f>X86/W86</f>
        <v>9.1991474944974977E-2</v>
      </c>
      <c r="AB87" s="4">
        <f>AB86/AA86</f>
        <v>0.41723056656643331</v>
      </c>
      <c r="AE87" s="4">
        <f>AE86/AD86</f>
        <v>0.5796265022792616</v>
      </c>
      <c r="AH87" s="4">
        <f>AH86/AG86</f>
        <v>0.33849260235525236</v>
      </c>
      <c r="AK87" s="4">
        <f>AK86/AJ86</f>
        <v>0.55864094621138194</v>
      </c>
      <c r="AN87" s="4">
        <f>AN86/AM86</f>
        <v>0.48281596319824616</v>
      </c>
      <c r="AQ87" s="4">
        <f>AQ86/AP86</f>
        <v>0.44774532003667317</v>
      </c>
      <c r="AT87" s="4">
        <f>AT86/AS86</f>
        <v>0.60778736855271265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405F-2097-F546-97D7-59015093C3D9}">
  <dimension ref="A1:AH87"/>
  <sheetViews>
    <sheetView workbookViewId="0">
      <selection activeCell="C11" sqref="C11:Q16"/>
    </sheetView>
  </sheetViews>
  <sheetFormatPr baseColWidth="10" defaultRowHeight="16" x14ac:dyDescent="0.2"/>
  <sheetData>
    <row r="1" spans="1:18" x14ac:dyDescent="0.2">
      <c r="E1" t="s">
        <v>0</v>
      </c>
      <c r="F1" t="s">
        <v>1</v>
      </c>
      <c r="G1" t="s">
        <v>2</v>
      </c>
      <c r="H1" t="s">
        <v>3</v>
      </c>
      <c r="I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</row>
    <row r="2" spans="1:18" x14ac:dyDescent="0.2">
      <c r="B2" t="s">
        <v>11</v>
      </c>
      <c r="E2" s="1"/>
      <c r="F2" s="1"/>
      <c r="G2" s="1"/>
      <c r="H2" s="1"/>
      <c r="I2" s="1"/>
      <c r="M2" s="1"/>
      <c r="N2" s="1"/>
      <c r="O2" s="1"/>
    </row>
    <row r="3" spans="1:18" x14ac:dyDescent="0.2">
      <c r="E3" s="2"/>
      <c r="F3" s="2"/>
      <c r="G3" s="2"/>
      <c r="H3" s="2"/>
      <c r="I3" s="2"/>
      <c r="J3" s="1"/>
      <c r="K3" s="1"/>
      <c r="M3" s="2"/>
      <c r="N3" s="2"/>
      <c r="O3" s="2"/>
      <c r="P3" s="2"/>
      <c r="Q3" s="2"/>
      <c r="R3" s="1"/>
    </row>
    <row r="4" spans="1:18" x14ac:dyDescent="0.2">
      <c r="D4" t="s">
        <v>12</v>
      </c>
      <c r="E4">
        <v>0</v>
      </c>
      <c r="F4">
        <v>5</v>
      </c>
      <c r="G4">
        <v>10</v>
      </c>
      <c r="H4">
        <v>-5</v>
      </c>
      <c r="I4">
        <v>-10</v>
      </c>
      <c r="L4" t="s">
        <v>12</v>
      </c>
      <c r="M4">
        <v>0</v>
      </c>
      <c r="N4">
        <v>5</v>
      </c>
      <c r="O4">
        <v>10</v>
      </c>
      <c r="P4">
        <v>-5</v>
      </c>
      <c r="Q4">
        <v>-10</v>
      </c>
    </row>
    <row r="5" spans="1:18" x14ac:dyDescent="0.2">
      <c r="C5" t="s">
        <v>13</v>
      </c>
      <c r="D5" t="s">
        <v>14</v>
      </c>
      <c r="L5" t="s">
        <v>15</v>
      </c>
    </row>
    <row r="6" spans="1:18" x14ac:dyDescent="0.2">
      <c r="C6">
        <f>1/((0.000086173)*D6)</f>
        <v>9.670469095114866</v>
      </c>
      <c r="D6">
        <v>1200</v>
      </c>
      <c r="E6" s="1">
        <v>1.5367194812004801E-6</v>
      </c>
      <c r="F6" s="1">
        <v>1.5115044876830699E-6</v>
      </c>
      <c r="G6" s="1">
        <v>1.51874226376951E-6</v>
      </c>
      <c r="H6" s="1">
        <v>1.55393629378151E-6</v>
      </c>
      <c r="I6" s="1">
        <v>1.56163806007203E-6</v>
      </c>
      <c r="J6" s="1"/>
      <c r="K6">
        <v>1200</v>
      </c>
      <c r="L6">
        <v>1200</v>
      </c>
      <c r="M6" s="1">
        <v>4.8737667839570995E-7</v>
      </c>
      <c r="N6" s="1">
        <v>4.6779037802820099E-7</v>
      </c>
      <c r="O6" s="1">
        <v>4.7493450020250498E-7</v>
      </c>
      <c r="P6" s="1">
        <v>4.8723348199954999E-7</v>
      </c>
      <c r="Q6" s="1">
        <v>5.0716173748818701E-7</v>
      </c>
      <c r="R6" s="1"/>
    </row>
    <row r="7" spans="1:18" x14ac:dyDescent="0.2">
      <c r="A7" t="s">
        <v>16</v>
      </c>
      <c r="B7">
        <v>1</v>
      </c>
      <c r="C7">
        <f t="shared" ref="C7:C10" si="0">1/((0.000086173)*D7)</f>
        <v>10.549602649216217</v>
      </c>
      <c r="D7">
        <v>1100</v>
      </c>
      <c r="E7" s="1">
        <v>1.2620148478271299E-6</v>
      </c>
      <c r="F7" s="1">
        <v>1.25253570722689E-6</v>
      </c>
      <c r="G7" s="1">
        <v>1.2244973596638701E-6</v>
      </c>
      <c r="H7" s="1">
        <v>1.2863192867707099E-6</v>
      </c>
      <c r="I7" s="1">
        <v>1.2945665647058801E-6</v>
      </c>
      <c r="J7" s="1"/>
      <c r="L7">
        <v>1100</v>
      </c>
      <c r="M7" s="1">
        <v>3.00335958561464E-7</v>
      </c>
      <c r="N7" s="1">
        <v>3.0056320792919797E-7</v>
      </c>
      <c r="O7" s="1">
        <v>3.0338673968499199E-7</v>
      </c>
      <c r="P7" s="1">
        <v>2.9838744615390399E-7</v>
      </c>
      <c r="Q7" s="1">
        <v>3.0237783598365001E-7</v>
      </c>
      <c r="R7" s="1"/>
    </row>
    <row r="8" spans="1:18" x14ac:dyDescent="0.2">
      <c r="A8" t="s">
        <v>17</v>
      </c>
      <c r="B8">
        <f>B7/0.002</f>
        <v>500</v>
      </c>
      <c r="C8">
        <f t="shared" si="0"/>
        <v>11.604562914137839</v>
      </c>
      <c r="D8">
        <v>1000</v>
      </c>
      <c r="E8" s="1">
        <v>9.8973705800720295E-7</v>
      </c>
      <c r="F8" s="1">
        <v>9.9139940509003601E-7</v>
      </c>
      <c r="G8" s="1">
        <v>9.6939618189675908E-7</v>
      </c>
      <c r="H8" s="1">
        <v>1.01039915087635E-6</v>
      </c>
      <c r="I8" s="1">
        <v>1.0291233080912399E-6</v>
      </c>
      <c r="J8" s="1"/>
      <c r="L8">
        <v>1000</v>
      </c>
      <c r="M8" s="1">
        <v>1.67361310214505E-7</v>
      </c>
      <c r="N8" s="1">
        <v>1.7448835519013E-7</v>
      </c>
      <c r="O8" s="1">
        <v>1.5878140297757401E-7</v>
      </c>
      <c r="P8" s="1">
        <v>1.6872966989724701E-7</v>
      </c>
      <c r="Q8" s="1">
        <v>1.7020101100877499E-7</v>
      </c>
      <c r="R8" s="1"/>
    </row>
    <row r="9" spans="1:18" x14ac:dyDescent="0.2">
      <c r="A9" t="s">
        <v>18</v>
      </c>
      <c r="B9">
        <f>B8/(0.000000000001)*(0.0000000000000001)</f>
        <v>4.9999999999999996E-2</v>
      </c>
      <c r="C9">
        <f t="shared" si="0"/>
        <v>12.893958793486487</v>
      </c>
      <c r="D9">
        <v>900</v>
      </c>
      <c r="E9" s="1">
        <v>7.5420148960384102E-7</v>
      </c>
      <c r="F9" s="1">
        <v>7.3627215783913601E-7</v>
      </c>
      <c r="G9" s="1">
        <v>7.1995753983193301E-7</v>
      </c>
      <c r="H9" s="1">
        <v>7.7918091803121201E-7</v>
      </c>
      <c r="I9" s="1">
        <v>7.8863523510204097E-7</v>
      </c>
      <c r="J9" s="1"/>
      <c r="L9">
        <v>900</v>
      </c>
      <c r="M9" s="1">
        <v>7.3126399708992697E-8</v>
      </c>
      <c r="N9" s="1">
        <v>7.9927205733143399E-8</v>
      </c>
      <c r="O9" s="1">
        <v>7.9759194920123005E-8</v>
      </c>
      <c r="P9" s="1">
        <v>7.6761399346733704E-8</v>
      </c>
      <c r="Q9" s="1">
        <v>8.4544237136428505E-8</v>
      </c>
      <c r="R9" s="1"/>
    </row>
    <row r="10" spans="1:18" x14ac:dyDescent="0.2">
      <c r="C10">
        <f t="shared" si="0"/>
        <v>14.5057036426723</v>
      </c>
      <c r="D10">
        <v>800</v>
      </c>
      <c r="E10" s="1">
        <v>5.2146066785114005E-7</v>
      </c>
      <c r="F10" s="1">
        <v>5.0045586876350503E-7</v>
      </c>
      <c r="G10" s="1">
        <v>4.8976573195678295E-7</v>
      </c>
      <c r="H10" s="1">
        <v>5.4355166232893197E-7</v>
      </c>
      <c r="I10" s="1">
        <v>5.3317293824729902E-7</v>
      </c>
      <c r="J10" s="1"/>
      <c r="L10">
        <v>800</v>
      </c>
      <c r="M10" s="1">
        <v>2.8661447042675999E-8</v>
      </c>
      <c r="N10" s="1">
        <v>2.5284238868971699E-8</v>
      </c>
      <c r="O10" s="1">
        <v>2.4730882562064101E-8</v>
      </c>
      <c r="P10" s="1">
        <v>2.76854785344634E-8</v>
      </c>
      <c r="Q10" s="1">
        <v>2.6924228023700601E-8</v>
      </c>
      <c r="R10" s="1"/>
    </row>
    <row r="11" spans="1:18" x14ac:dyDescent="0.2">
      <c r="D11" t="s">
        <v>19</v>
      </c>
      <c r="E11" s="1"/>
      <c r="F11" s="1"/>
      <c r="G11" s="1"/>
      <c r="H11" s="1"/>
      <c r="I11" s="1"/>
      <c r="J11" s="1"/>
      <c r="L11" t="s">
        <v>19</v>
      </c>
      <c r="M11" s="1"/>
      <c r="N11" s="1"/>
      <c r="O11" s="1"/>
      <c r="P11" s="1"/>
      <c r="Q11" s="1"/>
      <c r="R11" s="1"/>
    </row>
    <row r="12" spans="1:18" x14ac:dyDescent="0.2">
      <c r="C12">
        <f>1/((0.000086173)*D12)</f>
        <v>9.670469095114866</v>
      </c>
      <c r="D12">
        <v>1200</v>
      </c>
      <c r="E12" s="2">
        <f>E6*5489*$B$9/6</f>
        <v>7.0292110269245284E-5</v>
      </c>
      <c r="F12" s="2">
        <f t="shared" ref="E12:I16" si="1">F6*5489*$B$9/6</f>
        <v>6.9138734440769744E-5</v>
      </c>
      <c r="G12" s="2">
        <f t="shared" si="1"/>
        <v>6.9469802381923675E-5</v>
      </c>
      <c r="H12" s="2">
        <f t="shared" si="1"/>
        <v>7.1079635971389227E-5</v>
      </c>
      <c r="I12" s="2">
        <f t="shared" si="1"/>
        <v>7.143192759779476E-5</v>
      </c>
      <c r="J12" s="1"/>
      <c r="L12">
        <v>1200</v>
      </c>
      <c r="M12" s="2">
        <f t="shared" ref="M12:Q16" si="2">M6*5487*$B$9/6</f>
        <v>2.2285298619643835E-5</v>
      </c>
      <c r="N12" s="2">
        <f t="shared" ref="N12:Q12" si="3">N6*5487*$B$9/6</f>
        <v>2.1389715035339486E-5</v>
      </c>
      <c r="O12" s="2">
        <f t="shared" si="3"/>
        <v>2.1716380021759541E-5</v>
      </c>
      <c r="P12" s="2">
        <f t="shared" si="3"/>
        <v>2.2278750964429417E-5</v>
      </c>
      <c r="Q12" s="2">
        <f t="shared" si="3"/>
        <v>2.3189970446647352E-5</v>
      </c>
      <c r="R12" s="1"/>
    </row>
    <row r="13" spans="1:18" x14ac:dyDescent="0.2">
      <c r="C13">
        <f t="shared" ref="C13:C16" si="4">1/((0.000086173)*D13)</f>
        <v>10.549602649216217</v>
      </c>
      <c r="D13">
        <v>1100</v>
      </c>
      <c r="E13" s="2">
        <f t="shared" si="1"/>
        <v>5.7726662497692633E-5</v>
      </c>
      <c r="F13" s="2">
        <f t="shared" si="1"/>
        <v>5.7293070808069981E-5</v>
      </c>
      <c r="G13" s="2">
        <f t="shared" si="1"/>
        <v>5.6010550059958188E-5</v>
      </c>
      <c r="H13" s="2">
        <f t="shared" si="1"/>
        <v>5.8838388042370224E-5</v>
      </c>
      <c r="I13" s="2">
        <f t="shared" si="1"/>
        <v>5.9215632280588131E-5</v>
      </c>
      <c r="J13" s="1"/>
      <c r="L13">
        <v>1100</v>
      </c>
      <c r="M13" s="2">
        <f t="shared" si="2"/>
        <v>1.373286170522294E-5</v>
      </c>
      <c r="N13" s="2">
        <f t="shared" si="2"/>
        <v>1.3743252682562578E-5</v>
      </c>
      <c r="O13" s="2">
        <f t="shared" si="2"/>
        <v>1.3872358672096259E-5</v>
      </c>
      <c r="P13" s="2">
        <f t="shared" si="2"/>
        <v>1.3643765975387261E-5</v>
      </c>
      <c r="Q13" s="2">
        <f t="shared" si="2"/>
        <v>1.3826226550352396E-5</v>
      </c>
      <c r="R13" s="1"/>
    </row>
    <row r="14" spans="1:18" x14ac:dyDescent="0.2">
      <c r="C14">
        <f t="shared" si="4"/>
        <v>11.604562914137839</v>
      </c>
      <c r="D14">
        <v>1000</v>
      </c>
      <c r="E14" s="2">
        <f t="shared" si="1"/>
        <v>4.5272222595012799E-5</v>
      </c>
      <c r="F14" s="2">
        <f t="shared" si="1"/>
        <v>4.5348261121160061E-5</v>
      </c>
      <c r="G14" s="2">
        <f t="shared" si="1"/>
        <v>4.4341797020260921E-5</v>
      </c>
      <c r="H14" s="2">
        <f t="shared" si="1"/>
        <v>4.6217341159669039E-5</v>
      </c>
      <c r="I14" s="2">
        <f t="shared" si="1"/>
        <v>4.7073815317606799E-5</v>
      </c>
      <c r="J14" s="1"/>
      <c r="L14">
        <v>1000</v>
      </c>
      <c r="M14" s="2">
        <f t="shared" si="2"/>
        <v>7.652595909558241E-6</v>
      </c>
      <c r="N14" s="2">
        <f t="shared" si="2"/>
        <v>7.9784800410686942E-6</v>
      </c>
      <c r="O14" s="2">
        <f t="shared" si="2"/>
        <v>7.2602796511495705E-6</v>
      </c>
      <c r="P14" s="2">
        <f t="shared" si="2"/>
        <v>7.7151641560516193E-6</v>
      </c>
      <c r="Q14" s="2">
        <f t="shared" si="2"/>
        <v>7.7824412283762362E-6</v>
      </c>
      <c r="R14" s="1"/>
    </row>
    <row r="15" spans="1:18" x14ac:dyDescent="0.2">
      <c r="C15">
        <f t="shared" si="4"/>
        <v>12.893958793486487</v>
      </c>
      <c r="D15">
        <v>900</v>
      </c>
      <c r="E15" s="2">
        <f t="shared" si="1"/>
        <v>3.449843313696236E-5</v>
      </c>
      <c r="F15" s="2">
        <f t="shared" si="1"/>
        <v>3.3678315619825141E-5</v>
      </c>
      <c r="G15" s="2">
        <f t="shared" si="1"/>
        <v>3.2932057801145668E-5</v>
      </c>
      <c r="H15" s="2">
        <f t="shared" si="1"/>
        <v>3.5641033825611027E-5</v>
      </c>
      <c r="I15" s="2">
        <f t="shared" si="1"/>
        <v>3.6073490045625855E-5</v>
      </c>
      <c r="J15" s="1"/>
      <c r="L15">
        <v>900</v>
      </c>
      <c r="M15" s="2">
        <f t="shared" si="2"/>
        <v>3.3437046266936902E-6</v>
      </c>
      <c r="N15" s="2">
        <f t="shared" si="2"/>
        <v>3.6546714821479818E-6</v>
      </c>
      <c r="O15" s="2">
        <f t="shared" si="2"/>
        <v>3.646989187722624E-6</v>
      </c>
      <c r="P15" s="2">
        <f t="shared" si="2"/>
        <v>3.5099149851293979E-6</v>
      </c>
      <c r="Q15" s="2">
        <f t="shared" si="2"/>
        <v>3.8657852430631932E-6</v>
      </c>
      <c r="R15" s="1"/>
    </row>
    <row r="16" spans="1:18" x14ac:dyDescent="0.2">
      <c r="C16">
        <f t="shared" si="4"/>
        <v>14.5057036426723</v>
      </c>
      <c r="D16">
        <v>800</v>
      </c>
      <c r="E16" s="2">
        <f t="shared" si="1"/>
        <v>2.3852480048624229E-5</v>
      </c>
      <c r="F16" s="2">
        <f t="shared" si="1"/>
        <v>2.2891685530357325E-5</v>
      </c>
      <c r="G16" s="2">
        <f t="shared" si="1"/>
        <v>2.2402700855923176E-5</v>
      </c>
      <c r="H16" s="2">
        <f t="shared" si="1"/>
        <v>2.4862958954362563E-5</v>
      </c>
      <c r="I16" s="2">
        <f t="shared" si="1"/>
        <v>2.4388218816995201E-5</v>
      </c>
      <c r="J16" s="1"/>
      <c r="L16">
        <v>800</v>
      </c>
      <c r="M16" s="2">
        <f t="shared" si="2"/>
        <v>1.3105446660263599E-6</v>
      </c>
      <c r="N16" s="2">
        <f t="shared" si="2"/>
        <v>1.1561218222837308E-6</v>
      </c>
      <c r="O16" s="2">
        <f t="shared" si="2"/>
        <v>1.1308196051503809E-6</v>
      </c>
      <c r="P16" s="2">
        <f t="shared" si="2"/>
        <v>1.2659185059883389E-6</v>
      </c>
      <c r="Q16" s="2">
        <f t="shared" si="2"/>
        <v>1.2311103263837099E-6</v>
      </c>
      <c r="R16" s="1"/>
    </row>
    <row r="17" spans="2:34" x14ac:dyDescent="0.2">
      <c r="E17" s="2"/>
      <c r="F17" s="2"/>
      <c r="G17" s="2"/>
      <c r="H17" s="2"/>
      <c r="I17" s="2"/>
      <c r="J17" s="1"/>
      <c r="M17" s="2"/>
      <c r="N17" s="2"/>
      <c r="O17" s="2"/>
      <c r="P17" s="2"/>
      <c r="Q17" s="2"/>
      <c r="R17" s="1"/>
    </row>
    <row r="18" spans="2:34" x14ac:dyDescent="0.2">
      <c r="E18" s="2"/>
      <c r="F18" s="2"/>
      <c r="G18" s="2"/>
      <c r="H18" s="2"/>
      <c r="I18" s="2"/>
      <c r="J18" s="1"/>
      <c r="M18" s="2"/>
      <c r="N18" s="2"/>
      <c r="O18" s="2"/>
      <c r="P18" s="2"/>
      <c r="Q18" s="2"/>
      <c r="R18" s="1"/>
    </row>
    <row r="19" spans="2:34" x14ac:dyDescent="0.2">
      <c r="B19" t="s">
        <v>20</v>
      </c>
      <c r="D19" t="s">
        <v>0</v>
      </c>
      <c r="E19" s="2"/>
      <c r="F19" s="2"/>
      <c r="G19" s="2" t="s">
        <v>1</v>
      </c>
      <c r="H19" s="2"/>
      <c r="I19" s="2"/>
      <c r="J19" s="1" t="s">
        <v>2</v>
      </c>
      <c r="M19" s="2" t="s">
        <v>3</v>
      </c>
      <c r="N19" s="2"/>
      <c r="O19" s="2"/>
      <c r="P19" s="2" t="s">
        <v>4</v>
      </c>
      <c r="Q19" s="2"/>
      <c r="R19" s="1"/>
      <c r="T19" t="s">
        <v>5</v>
      </c>
      <c r="U19" s="2"/>
      <c r="V19" s="2"/>
      <c r="W19" s="2" t="s">
        <v>6</v>
      </c>
      <c r="X19" s="2"/>
      <c r="Y19" s="2"/>
      <c r="Z19" s="1" t="s">
        <v>7</v>
      </c>
      <c r="AC19" s="2" t="s">
        <v>8</v>
      </c>
      <c r="AD19" s="2"/>
      <c r="AE19" s="2"/>
      <c r="AF19" s="2" t="s">
        <v>9</v>
      </c>
      <c r="AG19" s="2"/>
      <c r="AH19" s="1"/>
    </row>
    <row r="20" spans="2:34" x14ac:dyDescent="0.2">
      <c r="D20">
        <v>1</v>
      </c>
      <c r="E20" s="2">
        <v>1.69392216182473E-6</v>
      </c>
      <c r="F20" s="2">
        <v>0.99508672691960198</v>
      </c>
      <c r="G20">
        <v>1</v>
      </c>
      <c r="H20" s="2">
        <v>1.4487677075630301E-6</v>
      </c>
      <c r="I20" s="2">
        <v>0.99905254827790901</v>
      </c>
      <c r="J20">
        <v>1</v>
      </c>
      <c r="K20" s="1">
        <v>1.6209173003601401E-6</v>
      </c>
      <c r="L20">
        <v>0.99953326454790903</v>
      </c>
      <c r="M20">
        <v>1</v>
      </c>
      <c r="N20" s="2">
        <v>1.59136704009604E-6</v>
      </c>
      <c r="O20" s="2">
        <v>0.99948704951190903</v>
      </c>
      <c r="P20">
        <v>1</v>
      </c>
      <c r="Q20" s="2">
        <v>1.4688027524609799E-6</v>
      </c>
      <c r="R20" s="1">
        <v>0.99928731042133701</v>
      </c>
      <c r="T20">
        <v>1</v>
      </c>
      <c r="U20" s="2">
        <v>4.8877587754443904E-7</v>
      </c>
      <c r="V20" s="2">
        <v>0.99816544288209197</v>
      </c>
      <c r="W20">
        <v>1</v>
      </c>
      <c r="X20" s="2">
        <v>4.9723012516312901E-7</v>
      </c>
      <c r="Y20" s="2">
        <v>0.999490544647199</v>
      </c>
      <c r="Z20">
        <v>1</v>
      </c>
      <c r="AA20" s="1">
        <v>4.6387009654991302E-7</v>
      </c>
      <c r="AB20">
        <v>0.99962906947086405</v>
      </c>
      <c r="AC20">
        <v>1</v>
      </c>
      <c r="AD20" s="2">
        <v>5.2186046353408802E-7</v>
      </c>
      <c r="AE20" s="2">
        <v>0.99950035329985398</v>
      </c>
      <c r="AF20">
        <v>1</v>
      </c>
      <c r="AG20" s="2">
        <v>5.0460328925973098E-7</v>
      </c>
      <c r="AH20" s="1">
        <v>0.99954480555618996</v>
      </c>
    </row>
    <row r="21" spans="2:34" x14ac:dyDescent="0.2">
      <c r="D21">
        <v>2</v>
      </c>
      <c r="E21" s="2">
        <v>1.54151842352941E-6</v>
      </c>
      <c r="F21" s="2">
        <v>0.99966873878160101</v>
      </c>
      <c r="G21">
        <v>2</v>
      </c>
      <c r="H21" s="2">
        <v>1.54748119279712E-6</v>
      </c>
      <c r="I21" s="2">
        <v>0.99968572264785405</v>
      </c>
      <c r="J21">
        <v>2</v>
      </c>
      <c r="K21" s="1">
        <v>1.4755436000000001E-6</v>
      </c>
      <c r="L21">
        <v>0.99945487352335105</v>
      </c>
      <c r="M21">
        <v>2</v>
      </c>
      <c r="N21" s="2">
        <v>1.60870217623049E-6</v>
      </c>
      <c r="O21" s="2">
        <v>0.99919839952183498</v>
      </c>
      <c r="P21">
        <v>2</v>
      </c>
      <c r="Q21" s="2">
        <v>1.60896349483793E-6</v>
      </c>
      <c r="R21" s="1">
        <v>0.99720921364597004</v>
      </c>
      <c r="T21">
        <v>2</v>
      </c>
      <c r="U21" s="1">
        <v>4.9313445686642104E-7</v>
      </c>
      <c r="V21">
        <v>0.99864680892908897</v>
      </c>
      <c r="W21">
        <v>2</v>
      </c>
      <c r="X21" s="1">
        <v>4.6225109144978602E-7</v>
      </c>
      <c r="Y21">
        <v>0.99935425071441797</v>
      </c>
      <c r="Z21">
        <v>2</v>
      </c>
      <c r="AA21" s="1">
        <v>4.7839222487812203E-7</v>
      </c>
      <c r="AB21">
        <v>0.99925237113033505</v>
      </c>
      <c r="AC21">
        <v>2</v>
      </c>
      <c r="AD21" s="1">
        <v>4.47381009105228E-7</v>
      </c>
      <c r="AE21">
        <v>0.99939067396197401</v>
      </c>
      <c r="AF21">
        <v>2</v>
      </c>
      <c r="AG21" s="1">
        <v>4.8953484690617302E-7</v>
      </c>
      <c r="AH21">
        <v>0.99817481285212195</v>
      </c>
    </row>
    <row r="22" spans="2:34" x14ac:dyDescent="0.2">
      <c r="D22">
        <v>3</v>
      </c>
      <c r="E22" s="2">
        <v>1.52894186362545E-6</v>
      </c>
      <c r="F22" s="2">
        <v>0.99946519777687903</v>
      </c>
      <c r="G22">
        <v>3</v>
      </c>
      <c r="H22" s="2">
        <v>1.5637113022809101E-6</v>
      </c>
      <c r="I22" s="2">
        <v>0.99882490596153595</v>
      </c>
      <c r="J22">
        <v>3</v>
      </c>
      <c r="K22" s="1">
        <v>1.5258088662664999E-6</v>
      </c>
      <c r="L22">
        <v>0.99952769654711704</v>
      </c>
      <c r="M22">
        <v>3</v>
      </c>
      <c r="N22" s="2">
        <v>1.55025654309724E-6</v>
      </c>
      <c r="O22" s="2">
        <v>0.99956828279562404</v>
      </c>
      <c r="P22">
        <v>3</v>
      </c>
      <c r="Q22" s="2">
        <v>1.52190555582233E-6</v>
      </c>
      <c r="R22" s="1">
        <v>0.99958315108818496</v>
      </c>
      <c r="T22">
        <v>3</v>
      </c>
      <c r="U22" s="1">
        <v>4.9457374541363599E-7</v>
      </c>
      <c r="V22">
        <v>0.99965422195676601</v>
      </c>
      <c r="W22">
        <v>3</v>
      </c>
      <c r="X22" s="1">
        <v>4.7165054198604902E-7</v>
      </c>
      <c r="Y22">
        <v>0.99932978659177896</v>
      </c>
      <c r="Z22">
        <v>3</v>
      </c>
      <c r="AA22" s="1">
        <v>5.2548477194179795E-7</v>
      </c>
      <c r="AB22">
        <v>0.99935145921837398</v>
      </c>
      <c r="AC22">
        <v>3</v>
      </c>
      <c r="AD22" s="1">
        <v>5.0491226793669801E-7</v>
      </c>
      <c r="AE22">
        <v>0.99939101619450299</v>
      </c>
      <c r="AF22">
        <v>3</v>
      </c>
      <c r="AG22" s="1">
        <v>5.2736862355808896E-7</v>
      </c>
      <c r="AH22">
        <v>0.999266434195766</v>
      </c>
    </row>
    <row r="23" spans="2:34" x14ac:dyDescent="0.2">
      <c r="D23">
        <v>4</v>
      </c>
      <c r="E23" s="2">
        <v>1.6082273090036001E-6</v>
      </c>
      <c r="F23" s="2">
        <v>0.999708503626343</v>
      </c>
      <c r="G23">
        <v>4</v>
      </c>
      <c r="H23" s="2">
        <v>1.52935274189676E-6</v>
      </c>
      <c r="I23" s="2">
        <v>0.99965800114968495</v>
      </c>
      <c r="J23">
        <v>4</v>
      </c>
      <c r="K23" s="1">
        <v>1.51981092773109E-6</v>
      </c>
      <c r="L23">
        <v>0.99905078189271701</v>
      </c>
      <c r="M23">
        <v>4</v>
      </c>
      <c r="N23" s="2">
        <v>1.57724196494598E-6</v>
      </c>
      <c r="O23" s="2">
        <v>0.99908181597808898</v>
      </c>
      <c r="P23">
        <v>4</v>
      </c>
      <c r="Q23" s="2">
        <v>1.5211809949579801E-6</v>
      </c>
      <c r="R23" s="1">
        <v>0.99891719286866798</v>
      </c>
      <c r="T23">
        <v>4</v>
      </c>
      <c r="U23" s="1">
        <v>4.8933853060076503E-7</v>
      </c>
      <c r="V23">
        <v>0.99955186449704203</v>
      </c>
      <c r="W23">
        <v>4</v>
      </c>
      <c r="X23" s="1">
        <v>4.5199889157728998E-7</v>
      </c>
      <c r="Y23">
        <v>0.99949580891883005</v>
      </c>
      <c r="Z23">
        <v>4</v>
      </c>
      <c r="AA23" s="1">
        <v>4.6776542534313298E-7</v>
      </c>
      <c r="AB23">
        <v>0.99957814832449299</v>
      </c>
      <c r="AC23">
        <v>4</v>
      </c>
      <c r="AD23" s="1">
        <v>4.7849712450311195E-7</v>
      </c>
      <c r="AE23">
        <v>0.99949987271385299</v>
      </c>
      <c r="AF23">
        <v>4</v>
      </c>
      <c r="AG23" s="1">
        <v>4.9471538320707997E-7</v>
      </c>
      <c r="AH23">
        <v>0.99794413079358002</v>
      </c>
    </row>
    <row r="24" spans="2:34" x14ac:dyDescent="0.2">
      <c r="D24">
        <v>5</v>
      </c>
      <c r="E24" s="2">
        <v>1.5311209387755101E-6</v>
      </c>
      <c r="F24" s="2">
        <v>0.99979794837736102</v>
      </c>
      <c r="G24">
        <v>5</v>
      </c>
      <c r="H24" s="2">
        <v>1.5314421555822299E-6</v>
      </c>
      <c r="I24" s="2">
        <v>0.99959336300438695</v>
      </c>
      <c r="J24">
        <v>5</v>
      </c>
      <c r="K24" s="1">
        <v>1.5378620763505399E-6</v>
      </c>
      <c r="L24">
        <v>0.99976704536503302</v>
      </c>
      <c r="M24">
        <v>5</v>
      </c>
      <c r="N24" s="2">
        <v>1.58504402304922E-6</v>
      </c>
      <c r="O24" s="2">
        <v>0.99912133181292795</v>
      </c>
      <c r="P24">
        <v>5</v>
      </c>
      <c r="Q24" s="2">
        <v>1.59130982617047E-6</v>
      </c>
      <c r="R24" s="1">
        <v>0.99619368310169198</v>
      </c>
      <c r="T24">
        <v>5</v>
      </c>
      <c r="U24" s="1">
        <v>4.7149704713867898E-7</v>
      </c>
      <c r="V24">
        <v>0.99914193768499904</v>
      </c>
      <c r="W24">
        <v>5</v>
      </c>
      <c r="X24" s="1">
        <v>4.5716923830345802E-7</v>
      </c>
      <c r="Y24">
        <v>0.99860298504047695</v>
      </c>
      <c r="Z24">
        <v>5</v>
      </c>
      <c r="AA24" s="1">
        <v>4.6664549842496102E-7</v>
      </c>
      <c r="AB24">
        <v>0.99831374797973904</v>
      </c>
      <c r="AC24">
        <v>5</v>
      </c>
      <c r="AD24" s="1">
        <v>4.7893338322957997E-7</v>
      </c>
      <c r="AE24">
        <v>0.99916082781719695</v>
      </c>
      <c r="AF24">
        <v>5</v>
      </c>
      <c r="AG24" s="1">
        <v>5.2429198960474103E-7</v>
      </c>
      <c r="AH24">
        <v>0.99421002454129004</v>
      </c>
    </row>
    <row r="25" spans="2:34" x14ac:dyDescent="0.2">
      <c r="D25">
        <v>6</v>
      </c>
      <c r="E25" s="1">
        <v>1.55986185786315E-6</v>
      </c>
      <c r="F25" s="1">
        <v>0.99944901686467702</v>
      </c>
      <c r="G25">
        <v>6</v>
      </c>
      <c r="H25" s="1">
        <v>1.5048901949579801E-6</v>
      </c>
      <c r="I25" s="1">
        <v>0.99964942381444799</v>
      </c>
      <c r="J25">
        <v>6</v>
      </c>
      <c r="K25" s="1">
        <v>1.4683956124849901E-6</v>
      </c>
      <c r="L25" s="1">
        <v>0.99942863450681696</v>
      </c>
      <c r="M25">
        <v>6</v>
      </c>
      <c r="N25" s="1">
        <v>1.46401900456182E-6</v>
      </c>
      <c r="O25" s="1">
        <v>0.99956448651924401</v>
      </c>
      <c r="P25">
        <v>6</v>
      </c>
      <c r="Q25" s="1">
        <v>1.5403575039615899E-6</v>
      </c>
      <c r="R25" s="1">
        <v>0.99978310946677196</v>
      </c>
      <c r="T25">
        <v>6</v>
      </c>
      <c r="U25" s="1">
        <v>4.5773986627165698E-7</v>
      </c>
      <c r="V25">
        <v>0.99826411395041803</v>
      </c>
      <c r="W25">
        <v>6</v>
      </c>
      <c r="X25" s="1">
        <v>4.7755918501462503E-7</v>
      </c>
      <c r="Y25">
        <v>0.99832493682689905</v>
      </c>
      <c r="Z25">
        <v>6</v>
      </c>
      <c r="AA25" s="1">
        <v>4.8193110871521797E-7</v>
      </c>
      <c r="AB25">
        <v>0.99960667725934504</v>
      </c>
      <c r="AC25">
        <v>6</v>
      </c>
      <c r="AD25" s="1">
        <v>4.9485303896347501E-7</v>
      </c>
      <c r="AE25">
        <v>0.99972966096478</v>
      </c>
      <c r="AF25">
        <v>6</v>
      </c>
      <c r="AG25" s="1">
        <v>4.7227066636165899E-7</v>
      </c>
      <c r="AH25">
        <v>0.99961303518672895</v>
      </c>
    </row>
    <row r="26" spans="2:34" x14ac:dyDescent="0.2">
      <c r="D26">
        <v>7</v>
      </c>
      <c r="E26" s="1">
        <v>1.3636129795918401E-6</v>
      </c>
      <c r="F26" s="3">
        <v>0.99928267276368699</v>
      </c>
      <c r="G26">
        <v>7</v>
      </c>
      <c r="H26" s="1">
        <v>1.5021178324129699E-6</v>
      </c>
      <c r="I26" s="3">
        <v>0.99937254683629895</v>
      </c>
      <c r="J26">
        <v>7</v>
      </c>
      <c r="K26" s="1">
        <v>1.4865724211284499E-6</v>
      </c>
      <c r="L26" s="3">
        <v>0.99956319621145895</v>
      </c>
      <c r="M26">
        <v>7</v>
      </c>
      <c r="N26" s="1">
        <v>1.51284247442977E-6</v>
      </c>
      <c r="O26" s="3">
        <v>0.99904876957719402</v>
      </c>
      <c r="P26">
        <v>7</v>
      </c>
      <c r="Q26" s="1">
        <v>1.52408483985594E-6</v>
      </c>
      <c r="R26" s="3">
        <v>0.99948089144902197</v>
      </c>
      <c r="T26">
        <v>7</v>
      </c>
      <c r="U26" s="1">
        <v>4.60606048931223E-7</v>
      </c>
      <c r="V26">
        <v>0.99912175758414601</v>
      </c>
      <c r="W26">
        <v>7</v>
      </c>
      <c r="X26" s="1">
        <v>4.7284522136803399E-7</v>
      </c>
      <c r="Y26">
        <v>0.99859320802985196</v>
      </c>
      <c r="Z26">
        <v>7</v>
      </c>
      <c r="AA26" s="1">
        <v>4.5340970936773399E-7</v>
      </c>
      <c r="AB26">
        <v>0.99923182873528205</v>
      </c>
      <c r="AC26">
        <v>7</v>
      </c>
      <c r="AD26" s="1">
        <v>4.7520871088277198E-7</v>
      </c>
      <c r="AE26">
        <v>0.99882597812454499</v>
      </c>
      <c r="AF26">
        <v>7</v>
      </c>
      <c r="AG26" s="1">
        <v>5.1641355499137496E-7</v>
      </c>
      <c r="AH26">
        <v>0.99908265197686097</v>
      </c>
    </row>
    <row r="27" spans="2:34" x14ac:dyDescent="0.2">
      <c r="D27">
        <v>8</v>
      </c>
      <c r="E27" s="1">
        <v>1.5676936763505399E-6</v>
      </c>
      <c r="F27">
        <v>0.99957681386278796</v>
      </c>
      <c r="G27">
        <v>8</v>
      </c>
      <c r="H27" s="1">
        <v>1.42769611956783E-6</v>
      </c>
      <c r="I27">
        <v>0.99922631371480597</v>
      </c>
      <c r="J27">
        <v>8</v>
      </c>
      <c r="K27" s="1">
        <v>1.5135431827130901E-6</v>
      </c>
      <c r="L27">
        <v>0.99962910992508203</v>
      </c>
      <c r="M27">
        <v>8</v>
      </c>
      <c r="N27" s="1">
        <v>1.60973162641056E-6</v>
      </c>
      <c r="O27">
        <v>0.99910199170515801</v>
      </c>
      <c r="P27">
        <v>8</v>
      </c>
      <c r="Q27" s="1">
        <v>1.59150447635054E-6</v>
      </c>
      <c r="R27">
        <v>0.99922415854973901</v>
      </c>
      <c r="T27">
        <v>8</v>
      </c>
      <c r="U27" s="1">
        <v>4.8232185380634603E-7</v>
      </c>
      <c r="V27">
        <v>0.99855800591607402</v>
      </c>
      <c r="W27">
        <v>8</v>
      </c>
      <c r="X27" s="1">
        <v>4.67961927870697E-7</v>
      </c>
      <c r="Y27">
        <v>0.99880333697026003</v>
      </c>
      <c r="Z27">
        <v>8</v>
      </c>
      <c r="AA27" s="1">
        <v>4.5319581029025702E-7</v>
      </c>
      <c r="AB27">
        <v>0.99922826671035903</v>
      </c>
      <c r="AC27">
        <v>8</v>
      </c>
      <c r="AD27" s="1">
        <v>5.1946021326783198E-7</v>
      </c>
      <c r="AE27">
        <v>0.99734765796506397</v>
      </c>
      <c r="AF27">
        <v>8</v>
      </c>
      <c r="AG27" s="1">
        <v>5.4544433765844202E-7</v>
      </c>
      <c r="AH27">
        <v>0.99903307854026002</v>
      </c>
    </row>
    <row r="28" spans="2:34" x14ac:dyDescent="0.2">
      <c r="D28">
        <v>9</v>
      </c>
      <c r="E28" s="1">
        <v>1.5135833757503E-6</v>
      </c>
      <c r="F28">
        <v>0.99949593095673905</v>
      </c>
      <c r="G28">
        <v>9</v>
      </c>
      <c r="H28" s="1">
        <v>1.5426015577431E-6</v>
      </c>
      <c r="I28">
        <v>0.99971756928272704</v>
      </c>
      <c r="J28">
        <v>9</v>
      </c>
      <c r="K28" s="1">
        <v>1.4987395894357699E-6</v>
      </c>
      <c r="L28">
        <v>0.99916473907053005</v>
      </c>
      <c r="M28">
        <v>9</v>
      </c>
      <c r="N28" s="1">
        <v>1.4889575635054E-6</v>
      </c>
      <c r="O28">
        <v>0.99798832605538201</v>
      </c>
      <c r="P28">
        <v>9</v>
      </c>
      <c r="Q28" s="1">
        <v>1.62781056806723E-6</v>
      </c>
      <c r="R28">
        <v>0.99968682688395805</v>
      </c>
      <c r="T28">
        <v>9</v>
      </c>
      <c r="U28" s="1">
        <v>4.8437447354683803E-7</v>
      </c>
      <c r="V28">
        <v>0.99924551782464899</v>
      </c>
      <c r="W28">
        <v>9</v>
      </c>
      <c r="X28" s="1">
        <v>4.3236903001574902E-7</v>
      </c>
      <c r="Y28">
        <v>0.99890170541118395</v>
      </c>
      <c r="Z28">
        <v>9</v>
      </c>
      <c r="AA28" s="1">
        <v>4.7586158834470802E-7</v>
      </c>
      <c r="AB28">
        <v>0.99944198607897305</v>
      </c>
      <c r="AC28">
        <v>9</v>
      </c>
      <c r="AD28" s="1">
        <v>4.7334721163279003E-7</v>
      </c>
      <c r="AE28">
        <v>0.99959163663921002</v>
      </c>
      <c r="AF28">
        <v>9</v>
      </c>
      <c r="AG28" s="1">
        <v>4.9690909114227899E-7</v>
      </c>
      <c r="AH28">
        <v>0.99961283567788095</v>
      </c>
    </row>
    <row r="29" spans="2:34" x14ac:dyDescent="0.2">
      <c r="D29">
        <v>10</v>
      </c>
      <c r="E29" s="1">
        <v>1.4587122256902801E-6</v>
      </c>
      <c r="F29">
        <v>0.99841008210316795</v>
      </c>
      <c r="G29">
        <v>10</v>
      </c>
      <c r="H29" s="1">
        <v>1.51698407202881E-6</v>
      </c>
      <c r="I29">
        <v>0.99967693821498005</v>
      </c>
      <c r="J29">
        <v>10</v>
      </c>
      <c r="K29" s="1">
        <v>1.5402290612244899E-6</v>
      </c>
      <c r="L29">
        <v>0.99944858041115203</v>
      </c>
      <c r="M29">
        <v>10</v>
      </c>
      <c r="N29" s="1">
        <v>1.5512005214885999E-6</v>
      </c>
      <c r="O29">
        <v>0.999677287989441</v>
      </c>
      <c r="P29">
        <v>10</v>
      </c>
      <c r="Q29" s="1">
        <v>1.62046058823529E-6</v>
      </c>
      <c r="R29">
        <v>0.99938099936886504</v>
      </c>
      <c r="T29">
        <v>10</v>
      </c>
      <c r="U29" s="1">
        <v>5.5140488383709699E-7</v>
      </c>
      <c r="V29">
        <v>0.991964083223564</v>
      </c>
      <c r="W29">
        <v>10</v>
      </c>
      <c r="X29" s="1">
        <v>4.8686852753318799E-7</v>
      </c>
      <c r="Y29">
        <v>0.99971939455228098</v>
      </c>
      <c r="Z29">
        <v>10</v>
      </c>
      <c r="AA29" s="1">
        <v>4.8278876816920402E-7</v>
      </c>
      <c r="AB29">
        <v>0.99945155064006397</v>
      </c>
      <c r="AC29">
        <v>10</v>
      </c>
      <c r="AD29" s="1">
        <v>4.77881396939923E-7</v>
      </c>
      <c r="AE29">
        <v>0.99857537541918096</v>
      </c>
      <c r="AF29">
        <v>10</v>
      </c>
      <c r="AG29" s="1">
        <v>5.0006559219230401E-7</v>
      </c>
      <c r="AH29">
        <v>0.999404753900903</v>
      </c>
    </row>
    <row r="30" spans="2:34" x14ac:dyDescent="0.2">
      <c r="D30" t="s">
        <v>21</v>
      </c>
      <c r="E30" s="1">
        <v>1.5367194812004801E-6</v>
      </c>
      <c r="F30" s="1">
        <v>8.6936860640406196E-8</v>
      </c>
      <c r="G30" t="s">
        <v>21</v>
      </c>
      <c r="H30" s="1">
        <v>1.5115044876830699E-6</v>
      </c>
      <c r="I30" s="1">
        <v>4.3236563106491399E-8</v>
      </c>
      <c r="J30" t="s">
        <v>21</v>
      </c>
      <c r="K30" s="1">
        <v>1.51874226376951E-6</v>
      </c>
      <c r="L30" s="1">
        <v>4.3692120775483403E-8</v>
      </c>
      <c r="M30" t="s">
        <v>21</v>
      </c>
      <c r="N30" s="1">
        <v>1.55393629378151E-6</v>
      </c>
      <c r="O30" s="1">
        <v>5.05979887773839E-8</v>
      </c>
      <c r="P30" t="s">
        <v>21</v>
      </c>
      <c r="Q30" s="1">
        <v>1.56163806007203E-6</v>
      </c>
      <c r="R30" s="1">
        <v>5.3279087728046598E-8</v>
      </c>
      <c r="T30" t="s">
        <v>21</v>
      </c>
      <c r="U30" s="1">
        <v>4.8737667839570995E-7</v>
      </c>
      <c r="V30" s="1">
        <v>2.5974564289361098E-8</v>
      </c>
      <c r="W30" t="s">
        <v>21</v>
      </c>
      <c r="X30" s="1">
        <v>4.6779037802820099E-7</v>
      </c>
      <c r="Y30" s="1">
        <v>1.83003371868153E-8</v>
      </c>
      <c r="Z30" t="s">
        <v>21</v>
      </c>
      <c r="AA30" s="1">
        <v>4.7493450020250498E-7</v>
      </c>
      <c r="AB30" s="1">
        <v>2.0702117051756201E-8</v>
      </c>
      <c r="AC30" t="s">
        <v>21</v>
      </c>
      <c r="AD30" s="1">
        <v>4.8723348199954999E-7</v>
      </c>
      <c r="AE30" s="1">
        <v>2.30132992388964E-8</v>
      </c>
      <c r="AF30" t="s">
        <v>21</v>
      </c>
      <c r="AG30" s="1">
        <v>5.0716173748818701E-7</v>
      </c>
      <c r="AH30" s="1">
        <v>2.13383872358828E-8</v>
      </c>
    </row>
    <row r="31" spans="2:34" x14ac:dyDescent="0.2">
      <c r="F31" s="4">
        <f>F30/E30</f>
        <v>5.6573019151479366E-2</v>
      </c>
      <c r="I31" s="4">
        <f>I30/H30</f>
        <v>2.8604984939718671E-2</v>
      </c>
      <c r="L31" s="4">
        <f>L30/K30</f>
        <v>2.8768621126694531E-2</v>
      </c>
      <c r="O31" s="4">
        <f>O30/N30</f>
        <v>3.2561173183138351E-2</v>
      </c>
      <c r="R31" s="4">
        <f>R30/Q30</f>
        <v>3.4117436741769168E-2</v>
      </c>
      <c r="V31" s="4">
        <f>V30/U30</f>
        <v>5.3294639322630614E-2</v>
      </c>
      <c r="Y31" s="4">
        <f>Y30/X30</f>
        <v>3.9120807195636792E-2</v>
      </c>
      <c r="AB31" s="4">
        <f>AB30/AA30</f>
        <v>4.3589415051821095E-2</v>
      </c>
      <c r="AE31" s="4">
        <f>AE30/AD30</f>
        <v>4.7232589896023719E-2</v>
      </c>
      <c r="AH31" s="4">
        <f>AH30/AG30</f>
        <v>4.2074126769825221E-2</v>
      </c>
    </row>
    <row r="33" spans="2:34" x14ac:dyDescent="0.2">
      <c r="B33" t="s">
        <v>22</v>
      </c>
      <c r="D33" t="s">
        <v>0</v>
      </c>
      <c r="E33" s="2"/>
      <c r="F33" s="2"/>
      <c r="G33" s="2" t="s">
        <v>1</v>
      </c>
      <c r="H33" s="2"/>
      <c r="I33" s="2"/>
      <c r="J33" s="1" t="s">
        <v>2</v>
      </c>
      <c r="M33" s="2" t="s">
        <v>3</v>
      </c>
      <c r="N33" s="2"/>
      <c r="O33" s="2"/>
      <c r="P33" s="2" t="s">
        <v>4</v>
      </c>
      <c r="Q33" s="2"/>
      <c r="R33" s="1"/>
      <c r="T33" t="s">
        <v>5</v>
      </c>
      <c r="U33" s="2"/>
      <c r="V33" s="2"/>
      <c r="W33" s="2" t="s">
        <v>6</v>
      </c>
      <c r="X33" s="2"/>
      <c r="Y33" s="2"/>
      <c r="Z33" s="1" t="s">
        <v>7</v>
      </c>
      <c r="AC33" s="2" t="s">
        <v>8</v>
      </c>
      <c r="AD33" s="2"/>
      <c r="AE33" s="2"/>
      <c r="AF33" s="2" t="s">
        <v>9</v>
      </c>
      <c r="AG33" s="2"/>
      <c r="AH33" s="1"/>
    </row>
    <row r="34" spans="2:34" x14ac:dyDescent="0.2">
      <c r="D34">
        <v>1</v>
      </c>
      <c r="E34" s="2">
        <v>1.28458067466987E-6</v>
      </c>
      <c r="F34" s="2">
        <v>0.99942972351461201</v>
      </c>
      <c r="G34">
        <v>1</v>
      </c>
      <c r="H34" s="2">
        <v>1.1710928773109299E-6</v>
      </c>
      <c r="I34" s="2">
        <v>0.99924605796923205</v>
      </c>
      <c r="J34">
        <v>1</v>
      </c>
      <c r="K34" s="1">
        <v>1.2292541627851199E-6</v>
      </c>
      <c r="L34">
        <v>0.99954742798810303</v>
      </c>
      <c r="M34">
        <v>1</v>
      </c>
      <c r="N34" s="2">
        <v>1.2871409387755101E-6</v>
      </c>
      <c r="O34" s="2">
        <v>0.99961250254969003</v>
      </c>
      <c r="P34">
        <v>1</v>
      </c>
      <c r="Q34" s="2">
        <v>1.35868489651861E-6</v>
      </c>
      <c r="R34" s="1">
        <v>0.99936516151591404</v>
      </c>
      <c r="T34">
        <v>1</v>
      </c>
      <c r="U34" s="2">
        <v>2.8752770681016999E-7</v>
      </c>
      <c r="V34" s="2">
        <v>0.99934862703016103</v>
      </c>
      <c r="W34">
        <v>1</v>
      </c>
      <c r="X34" s="2">
        <v>2.9245649000975098E-7</v>
      </c>
      <c r="Y34" s="2">
        <v>0.99817873847181005</v>
      </c>
      <c r="Z34">
        <v>1</v>
      </c>
      <c r="AA34" s="1">
        <v>3.1456651522538102E-7</v>
      </c>
      <c r="AB34">
        <v>0.99902473492256105</v>
      </c>
      <c r="AC34">
        <v>1</v>
      </c>
      <c r="AD34" s="2">
        <v>3.0176750419260601E-7</v>
      </c>
      <c r="AE34" s="2">
        <v>0.99735630044724699</v>
      </c>
      <c r="AF34">
        <v>1</v>
      </c>
      <c r="AG34" s="2">
        <v>3.17875125748144E-7</v>
      </c>
      <c r="AH34" s="1">
        <v>0.99935007199259096</v>
      </c>
    </row>
    <row r="35" spans="2:34" x14ac:dyDescent="0.2">
      <c r="D35">
        <v>2</v>
      </c>
      <c r="E35" s="2">
        <v>1.33034925042017E-6</v>
      </c>
      <c r="F35" s="2">
        <v>0.999543220002302</v>
      </c>
      <c r="G35">
        <v>2</v>
      </c>
      <c r="H35" s="2">
        <v>1.21851507707083E-6</v>
      </c>
      <c r="I35" s="2">
        <v>0.99952805520557997</v>
      </c>
      <c r="J35">
        <v>2</v>
      </c>
      <c r="K35" s="1">
        <v>1.23123104153661E-6</v>
      </c>
      <c r="L35">
        <v>0.99921620784524301</v>
      </c>
      <c r="M35">
        <v>2</v>
      </c>
      <c r="N35" s="2">
        <v>1.2873870751500599E-6</v>
      </c>
      <c r="O35" s="2">
        <v>0.99853575979299902</v>
      </c>
      <c r="P35">
        <v>2</v>
      </c>
      <c r="Q35" s="2">
        <v>1.29285954141657E-6</v>
      </c>
      <c r="R35" s="1">
        <v>0.99946680386266895</v>
      </c>
      <c r="T35">
        <v>2</v>
      </c>
      <c r="U35" s="1">
        <v>3.02798280754519E-7</v>
      </c>
      <c r="V35">
        <v>0.99803997160361801</v>
      </c>
      <c r="W35">
        <v>2</v>
      </c>
      <c r="X35" s="1">
        <v>2.89281103862597E-7</v>
      </c>
      <c r="Y35">
        <v>0.99943605014470105</v>
      </c>
      <c r="Z35">
        <v>2</v>
      </c>
      <c r="AA35" s="1">
        <v>3.0708225481136999E-7</v>
      </c>
      <c r="AB35">
        <v>0.99924554401834298</v>
      </c>
      <c r="AC35">
        <v>2</v>
      </c>
      <c r="AD35" s="1">
        <v>2.9891563187579698E-7</v>
      </c>
      <c r="AE35">
        <v>0.99860923504100896</v>
      </c>
      <c r="AF35">
        <v>2</v>
      </c>
      <c r="AG35" s="1">
        <v>3.08364697742444E-7</v>
      </c>
      <c r="AH35">
        <v>0.99707600117205597</v>
      </c>
    </row>
    <row r="36" spans="2:34" x14ac:dyDescent="0.2">
      <c r="D36">
        <v>3</v>
      </c>
      <c r="E36" s="2">
        <v>1.2741181675870399E-6</v>
      </c>
      <c r="F36" s="2">
        <v>0.99927499156745403</v>
      </c>
      <c r="G36">
        <v>3</v>
      </c>
      <c r="H36" s="2">
        <v>1.30391051284514E-6</v>
      </c>
      <c r="I36" s="2">
        <v>0.99938760986987096</v>
      </c>
      <c r="J36">
        <v>3</v>
      </c>
      <c r="K36" s="1">
        <v>1.16620384537815E-6</v>
      </c>
      <c r="L36">
        <v>0.99906995116714203</v>
      </c>
      <c r="M36">
        <v>3</v>
      </c>
      <c r="N36" s="2">
        <v>1.2858250348139301E-6</v>
      </c>
      <c r="O36" s="2">
        <v>0.998955762398823</v>
      </c>
      <c r="P36">
        <v>3</v>
      </c>
      <c r="Q36" s="2">
        <v>1.34557121152461E-6</v>
      </c>
      <c r="R36" s="1">
        <v>0.99969252217234295</v>
      </c>
      <c r="T36">
        <v>3</v>
      </c>
      <c r="U36" s="1">
        <v>2.8665486796669802E-7</v>
      </c>
      <c r="V36">
        <v>0.99873503146811604</v>
      </c>
      <c r="W36">
        <v>3</v>
      </c>
      <c r="X36" s="1">
        <v>3.1844884792619802E-7</v>
      </c>
      <c r="Y36">
        <v>0.99773320121709097</v>
      </c>
      <c r="Z36">
        <v>3</v>
      </c>
      <c r="AA36" s="1">
        <v>3.12414287054677E-7</v>
      </c>
      <c r="AB36">
        <v>0.99905347099084996</v>
      </c>
      <c r="AC36">
        <v>3</v>
      </c>
      <c r="AD36" s="1">
        <v>2.8769756026400699E-7</v>
      </c>
      <c r="AE36">
        <v>0.999269061766627</v>
      </c>
      <c r="AF36">
        <v>3</v>
      </c>
      <c r="AG36" s="1">
        <v>3.0922254938873401E-7</v>
      </c>
      <c r="AH36">
        <v>0.999438711509266</v>
      </c>
    </row>
    <row r="37" spans="2:34" x14ac:dyDescent="0.2">
      <c r="D37">
        <v>4</v>
      </c>
      <c r="E37" s="2">
        <v>1.27542700264106E-6</v>
      </c>
      <c r="F37" s="2">
        <v>0.99957166236397599</v>
      </c>
      <c r="G37">
        <v>4</v>
      </c>
      <c r="H37" s="2">
        <v>1.2345670967587E-6</v>
      </c>
      <c r="I37" s="2">
        <v>0.99932931459476604</v>
      </c>
      <c r="J37">
        <v>4</v>
      </c>
      <c r="K37" s="1">
        <v>1.2364410689075601E-6</v>
      </c>
      <c r="L37">
        <v>0.99960968315960097</v>
      </c>
      <c r="M37">
        <v>4</v>
      </c>
      <c r="N37" s="2">
        <v>1.28134291716687E-6</v>
      </c>
      <c r="O37" s="2">
        <v>0.99891246086340701</v>
      </c>
      <c r="P37">
        <v>4</v>
      </c>
      <c r="Q37" s="2">
        <v>1.2977644734693899E-6</v>
      </c>
      <c r="R37" s="1">
        <v>0.99927173649158796</v>
      </c>
      <c r="T37">
        <v>4</v>
      </c>
      <c r="U37" s="1">
        <v>3.0562475077626899E-7</v>
      </c>
      <c r="V37">
        <v>0.997823522343666</v>
      </c>
      <c r="W37">
        <v>4</v>
      </c>
      <c r="X37" s="1">
        <v>3.0110488120453002E-7</v>
      </c>
      <c r="Y37">
        <v>0.99881389815633703</v>
      </c>
      <c r="Z37">
        <v>4</v>
      </c>
      <c r="AA37" s="1">
        <v>3.0815240166504198E-7</v>
      </c>
      <c r="AB37">
        <v>0.99945812940355805</v>
      </c>
      <c r="AC37">
        <v>4</v>
      </c>
      <c r="AD37" s="1">
        <v>3.1040576351158802E-7</v>
      </c>
      <c r="AE37">
        <v>0.99897842852946195</v>
      </c>
      <c r="AF37">
        <v>4</v>
      </c>
      <c r="AG37" s="1">
        <v>2.8350447135678403E-7</v>
      </c>
      <c r="AH37">
        <v>0.99906113643697902</v>
      </c>
    </row>
    <row r="38" spans="2:34" x14ac:dyDescent="0.2">
      <c r="D38">
        <v>5</v>
      </c>
      <c r="E38" s="2">
        <v>1.2211961234093601E-6</v>
      </c>
      <c r="F38" s="2">
        <v>0.99830275888881204</v>
      </c>
      <c r="G38">
        <v>5</v>
      </c>
      <c r="H38" s="2">
        <v>1.25534975702281E-6</v>
      </c>
      <c r="I38" s="2">
        <v>0.99955240969040804</v>
      </c>
      <c r="J38">
        <v>5</v>
      </c>
      <c r="K38" s="1">
        <v>1.2369847697478999E-6</v>
      </c>
      <c r="L38">
        <v>0.99852056512619602</v>
      </c>
      <c r="M38">
        <v>5</v>
      </c>
      <c r="N38" s="2">
        <v>1.32081018487395E-6</v>
      </c>
      <c r="O38" s="2">
        <v>0.99957306926494105</v>
      </c>
      <c r="P38">
        <v>5</v>
      </c>
      <c r="Q38" s="2">
        <v>1.29495711932773E-6</v>
      </c>
      <c r="R38" s="1">
        <v>0.99963791081543296</v>
      </c>
      <c r="T38">
        <v>5</v>
      </c>
      <c r="U38" s="1">
        <v>3.19168197427436E-7</v>
      </c>
      <c r="V38">
        <v>0.99908103929177705</v>
      </c>
      <c r="W38">
        <v>5</v>
      </c>
      <c r="X38" s="1">
        <v>3.0878377500937499E-7</v>
      </c>
      <c r="Y38">
        <v>0.99775879924113497</v>
      </c>
      <c r="Z38">
        <v>5</v>
      </c>
      <c r="AA38" s="1">
        <v>3.0445476063901601E-7</v>
      </c>
      <c r="AB38">
        <v>0.99941223686809899</v>
      </c>
      <c r="AC38">
        <v>5</v>
      </c>
      <c r="AD38" s="1">
        <v>3.0102621168529202E-7</v>
      </c>
      <c r="AE38">
        <v>0.99925416348767304</v>
      </c>
      <c r="AF38">
        <v>5</v>
      </c>
      <c r="AG38" s="1">
        <v>2.80938709862747E-7</v>
      </c>
      <c r="AH38">
        <v>0.99816188733691902</v>
      </c>
    </row>
    <row r="39" spans="2:34" x14ac:dyDescent="0.2">
      <c r="D39">
        <v>6</v>
      </c>
      <c r="E39" s="1">
        <v>1.25645154189676E-6</v>
      </c>
      <c r="F39" s="1">
        <v>0.99892528068491304</v>
      </c>
      <c r="G39">
        <v>6</v>
      </c>
      <c r="H39" s="1">
        <v>1.2569665560624299E-6</v>
      </c>
      <c r="I39" s="1">
        <v>0.99938999638718895</v>
      </c>
      <c r="J39">
        <v>6</v>
      </c>
      <c r="K39" s="1">
        <v>1.1495256509003601E-6</v>
      </c>
      <c r="L39" s="1">
        <v>0.99830108547399898</v>
      </c>
      <c r="M39">
        <v>6</v>
      </c>
      <c r="N39" s="1">
        <v>1.2360096869147701E-6</v>
      </c>
      <c r="O39" s="1">
        <v>0.999408749654633</v>
      </c>
      <c r="P39">
        <v>6</v>
      </c>
      <c r="Q39" s="1">
        <v>1.2963134002401001E-6</v>
      </c>
      <c r="R39" s="1">
        <v>0.99964810301400997</v>
      </c>
      <c r="T39">
        <v>6</v>
      </c>
      <c r="U39" s="1">
        <v>3.05247602362559E-7</v>
      </c>
      <c r="V39">
        <v>0.99951590011211799</v>
      </c>
      <c r="W39">
        <v>6</v>
      </c>
      <c r="X39" s="1">
        <v>2.9908834613365301E-7</v>
      </c>
      <c r="Y39">
        <v>0.999386010133126</v>
      </c>
      <c r="Z39">
        <v>6</v>
      </c>
      <c r="AA39" s="1">
        <v>3.0748702318307898E-7</v>
      </c>
      <c r="AB39">
        <v>0.99884700893639899</v>
      </c>
      <c r="AC39">
        <v>6</v>
      </c>
      <c r="AD39" s="1">
        <v>3.0193116236405898E-7</v>
      </c>
      <c r="AE39">
        <v>0.998709091036735</v>
      </c>
      <c r="AF39">
        <v>6</v>
      </c>
      <c r="AG39" s="1">
        <v>3.0042832626565702E-7</v>
      </c>
      <c r="AH39">
        <v>0.999095078209982</v>
      </c>
    </row>
    <row r="40" spans="2:34" x14ac:dyDescent="0.2">
      <c r="D40">
        <v>7</v>
      </c>
      <c r="E40" s="1">
        <v>1.2108787418967599E-6</v>
      </c>
      <c r="F40" s="3">
        <v>0.999550234681442</v>
      </c>
      <c r="G40">
        <v>7</v>
      </c>
      <c r="H40" s="1">
        <v>1.40144764801921E-6</v>
      </c>
      <c r="I40" s="3">
        <v>0.99842942732340101</v>
      </c>
      <c r="J40">
        <v>7</v>
      </c>
      <c r="K40" s="1">
        <v>1.2234406847539E-6</v>
      </c>
      <c r="L40" s="3">
        <v>0.99912527682232299</v>
      </c>
      <c r="M40">
        <v>7</v>
      </c>
      <c r="N40" s="1">
        <v>1.2972396989195699E-6</v>
      </c>
      <c r="O40" s="3">
        <v>0.99911900339616999</v>
      </c>
      <c r="P40">
        <v>7</v>
      </c>
      <c r="Q40" s="1">
        <v>1.2664995193277301E-6</v>
      </c>
      <c r="R40" s="3">
        <v>0.99923343189309499</v>
      </c>
      <c r="T40">
        <v>7</v>
      </c>
      <c r="U40" s="1">
        <v>3.0137729060976597E-7</v>
      </c>
      <c r="V40">
        <v>0.99863543961741696</v>
      </c>
      <c r="W40">
        <v>7</v>
      </c>
      <c r="X40" s="1">
        <v>3.0534648238956E-7</v>
      </c>
      <c r="Y40">
        <v>0.99855435317755503</v>
      </c>
      <c r="Z40">
        <v>7</v>
      </c>
      <c r="AA40" s="1">
        <v>2.7941672511812798E-7</v>
      </c>
      <c r="AB40">
        <v>0.998770822194746</v>
      </c>
      <c r="AC40">
        <v>7</v>
      </c>
      <c r="AD40" s="1">
        <v>2.8390499723992999E-7</v>
      </c>
      <c r="AE40">
        <v>0.99919309147795898</v>
      </c>
      <c r="AF40">
        <v>7</v>
      </c>
      <c r="AG40" s="1">
        <v>2.99312460204005E-7</v>
      </c>
      <c r="AH40">
        <v>0.99897845871203295</v>
      </c>
    </row>
    <row r="41" spans="2:34" x14ac:dyDescent="0.2">
      <c r="D41">
        <v>8</v>
      </c>
      <c r="E41" s="1">
        <v>1.25153954285714E-6</v>
      </c>
      <c r="F41">
        <v>0.99948683701598195</v>
      </c>
      <c r="G41">
        <v>8</v>
      </c>
      <c r="H41" s="1">
        <v>1.2321556897959199E-6</v>
      </c>
      <c r="I41">
        <v>0.99950874694916703</v>
      </c>
      <c r="J41">
        <v>8</v>
      </c>
      <c r="K41" s="1">
        <v>1.22564264969988E-6</v>
      </c>
      <c r="L41">
        <v>0.99939449238237299</v>
      </c>
      <c r="M41">
        <v>8</v>
      </c>
      <c r="N41" s="1">
        <v>1.22415717791116E-6</v>
      </c>
      <c r="O41">
        <v>0.99855670549499997</v>
      </c>
      <c r="P41">
        <v>8</v>
      </c>
      <c r="Q41" s="1">
        <v>1.25404431068427E-6</v>
      </c>
      <c r="R41">
        <v>0.999613592055693</v>
      </c>
      <c r="T41">
        <v>8</v>
      </c>
      <c r="U41" s="1">
        <v>2.9753313112577801E-7</v>
      </c>
      <c r="V41">
        <v>0.999332460198046</v>
      </c>
      <c r="W41">
        <v>8</v>
      </c>
      <c r="X41" s="1">
        <v>2.9401996582164601E-7</v>
      </c>
      <c r="Y41">
        <v>0.998538889081107</v>
      </c>
      <c r="Z41">
        <v>8</v>
      </c>
      <c r="AA41" s="1">
        <v>3.0206059042976097E-7</v>
      </c>
      <c r="AB41">
        <v>0.99883423009535999</v>
      </c>
      <c r="AC41">
        <v>8</v>
      </c>
      <c r="AD41" s="1">
        <v>3.0460632102302502E-7</v>
      </c>
      <c r="AE41">
        <v>0.99925847262975298</v>
      </c>
      <c r="AF41">
        <v>8</v>
      </c>
      <c r="AG41" s="1">
        <v>3.0938466563414103E-7</v>
      </c>
      <c r="AH41">
        <v>0.99589845190690396</v>
      </c>
    </row>
    <row r="42" spans="2:34" x14ac:dyDescent="0.2">
      <c r="D42">
        <v>9</v>
      </c>
      <c r="E42" s="1">
        <v>1.31284486098439E-6</v>
      </c>
      <c r="F42">
        <v>0.99906439082113396</v>
      </c>
      <c r="G42">
        <v>9</v>
      </c>
      <c r="H42" s="1">
        <v>1.2107196965186101E-6</v>
      </c>
      <c r="I42">
        <v>0.99936182690421105</v>
      </c>
      <c r="J42">
        <v>9</v>
      </c>
      <c r="K42" s="1">
        <v>1.3334982391356501E-6</v>
      </c>
      <c r="L42">
        <v>0.99966086136773502</v>
      </c>
      <c r="M42">
        <v>9</v>
      </c>
      <c r="N42" s="1">
        <v>1.3494544585834301E-6</v>
      </c>
      <c r="O42">
        <v>0.99955400166182395</v>
      </c>
      <c r="P42">
        <v>9</v>
      </c>
      <c r="Q42" s="1">
        <v>1.2418823370948401E-6</v>
      </c>
      <c r="R42">
        <v>0.99946843340056302</v>
      </c>
      <c r="T42">
        <v>9</v>
      </c>
      <c r="U42" s="1">
        <v>2.8533457167179198E-7</v>
      </c>
      <c r="V42">
        <v>0.99858619085532896</v>
      </c>
      <c r="W42">
        <v>9</v>
      </c>
      <c r="X42" s="1">
        <v>2.9145411221030501E-7</v>
      </c>
      <c r="Y42">
        <v>0.99888463765843505</v>
      </c>
      <c r="Z42">
        <v>9</v>
      </c>
      <c r="AA42" s="1">
        <v>2.8457091386784702E-7</v>
      </c>
      <c r="AB42">
        <v>0.99874813088443204</v>
      </c>
      <c r="AC42">
        <v>9</v>
      </c>
      <c r="AD42" s="1">
        <v>2.9210844666616602E-7</v>
      </c>
      <c r="AE42">
        <v>0.99838352624985804</v>
      </c>
      <c r="AF42">
        <v>9</v>
      </c>
      <c r="AG42" s="1">
        <v>3.0193304704117601E-7</v>
      </c>
      <c r="AH42">
        <v>0.99920860676318002</v>
      </c>
    </row>
    <row r="43" spans="2:34" x14ac:dyDescent="0.2">
      <c r="D43">
        <v>10</v>
      </c>
      <c r="E43" s="1">
        <v>1.2027625719087601E-6</v>
      </c>
      <c r="F43">
        <v>0.99928353008793303</v>
      </c>
      <c r="G43">
        <v>10</v>
      </c>
      <c r="H43" s="1">
        <v>1.2406321608643499E-6</v>
      </c>
      <c r="I43">
        <v>0.99955292340717194</v>
      </c>
      <c r="J43">
        <v>10</v>
      </c>
      <c r="K43" s="1">
        <v>1.2127514837935201E-6</v>
      </c>
      <c r="L43">
        <v>0.999090477067484</v>
      </c>
      <c r="M43">
        <v>10</v>
      </c>
      <c r="N43" s="1">
        <v>1.2938256945978399E-6</v>
      </c>
      <c r="O43">
        <v>0.99917722479980897</v>
      </c>
      <c r="P43">
        <v>10</v>
      </c>
      <c r="Q43" s="1">
        <v>1.29708883745498E-6</v>
      </c>
      <c r="R43">
        <v>0.99888227755512704</v>
      </c>
      <c r="T43">
        <v>10</v>
      </c>
      <c r="U43" s="1">
        <v>3.1209318610965302E-7</v>
      </c>
      <c r="V43">
        <v>0.99956914145250497</v>
      </c>
      <c r="W43">
        <v>10</v>
      </c>
      <c r="X43" s="1">
        <v>3.0564807472436801E-7</v>
      </c>
      <c r="Y43">
        <v>0.99849160519059499</v>
      </c>
      <c r="Z43">
        <v>10</v>
      </c>
      <c r="AA43" s="1">
        <v>3.1366192485562102E-7</v>
      </c>
      <c r="AB43">
        <v>0.999026520543151</v>
      </c>
      <c r="AC43">
        <v>10</v>
      </c>
      <c r="AD43" s="1">
        <v>3.0151086271656802E-7</v>
      </c>
      <c r="AE43">
        <v>0.99950765018116094</v>
      </c>
      <c r="AF43">
        <v>10</v>
      </c>
      <c r="AG43" s="1">
        <v>3.1281430659266499E-7</v>
      </c>
      <c r="AH43">
        <v>0.99911532009197601</v>
      </c>
    </row>
    <row r="44" spans="2:34" x14ac:dyDescent="0.2">
      <c r="D44" t="s">
        <v>21</v>
      </c>
      <c r="E44" s="1">
        <v>1.2620148478271299E-6</v>
      </c>
      <c r="F44" s="1">
        <v>4.2191965775206602E-8</v>
      </c>
      <c r="G44" t="s">
        <v>21</v>
      </c>
      <c r="H44" s="1">
        <v>1.25253570722689E-6</v>
      </c>
      <c r="I44" s="1">
        <v>6.2592611493020201E-8</v>
      </c>
      <c r="J44" t="s">
        <v>21</v>
      </c>
      <c r="K44" s="1">
        <v>1.2244973596638701E-6</v>
      </c>
      <c r="L44" s="1">
        <v>4.8770475754654497E-8</v>
      </c>
      <c r="M44" t="s">
        <v>21</v>
      </c>
      <c r="N44" s="1">
        <v>1.2863192867707099E-6</v>
      </c>
      <c r="O44" s="1">
        <v>3.6168250304438203E-8</v>
      </c>
      <c r="P44" t="s">
        <v>21</v>
      </c>
      <c r="Q44" s="1">
        <v>1.2945665647058801E-6</v>
      </c>
      <c r="R44" s="1">
        <v>3.6424626580652603E-8</v>
      </c>
      <c r="T44" t="s">
        <v>21</v>
      </c>
      <c r="U44" s="1">
        <v>3.00335958561464E-7</v>
      </c>
      <c r="V44" s="1">
        <v>1.12361005211718E-8</v>
      </c>
      <c r="W44" t="s">
        <v>21</v>
      </c>
      <c r="X44" s="1">
        <v>3.0056320792919797E-7</v>
      </c>
      <c r="Y44" s="1">
        <v>9.1740724208803894E-9</v>
      </c>
      <c r="Z44" t="s">
        <v>21</v>
      </c>
      <c r="AA44" s="1">
        <v>3.0338673968499199E-7</v>
      </c>
      <c r="AB44" s="1">
        <v>1.20034270753554E-8</v>
      </c>
      <c r="AC44" t="s">
        <v>21</v>
      </c>
      <c r="AD44" s="1">
        <v>2.9838744615390399E-7</v>
      </c>
      <c r="AE44" s="1">
        <v>8.07971183364836E-9</v>
      </c>
      <c r="AF44" t="s">
        <v>21</v>
      </c>
      <c r="AG44" s="1">
        <v>3.0237783598365001E-7</v>
      </c>
      <c r="AH44" s="1">
        <v>1.2065143371004899E-8</v>
      </c>
    </row>
    <row r="45" spans="2:34" x14ac:dyDescent="0.2">
      <c r="F45" s="4">
        <f>F44/E44</f>
        <v>3.3432226132561346E-2</v>
      </c>
      <c r="I45" s="4">
        <f>I44/H44</f>
        <v>4.9972716252217705E-2</v>
      </c>
      <c r="L45" s="4">
        <f>L44/K44</f>
        <v>3.9828975840374377E-2</v>
      </c>
      <c r="O45" s="4">
        <f>O44/N44</f>
        <v>2.8117630417591102E-2</v>
      </c>
      <c r="R45" s="4">
        <f>R44/Q44</f>
        <v>2.8136542047127656E-2</v>
      </c>
      <c r="V45" s="4">
        <f>V44/U44</f>
        <v>3.741177238646342E-2</v>
      </c>
      <c r="Y45" s="4">
        <f>Y44/X44</f>
        <v>3.0522938865629474E-2</v>
      </c>
      <c r="AB45" s="4">
        <f>AB44/AA44</f>
        <v>3.9564771643673745E-2</v>
      </c>
      <c r="AE45" s="4">
        <f>AE44/AD44</f>
        <v>2.7077921466846698E-2</v>
      </c>
      <c r="AH45" s="4">
        <f>AH44/AG44</f>
        <v>3.990088536666847E-2</v>
      </c>
    </row>
    <row r="47" spans="2:34" x14ac:dyDescent="0.2">
      <c r="B47" t="s">
        <v>25</v>
      </c>
      <c r="D47" t="s">
        <v>0</v>
      </c>
      <c r="E47" s="2"/>
      <c r="F47" s="2"/>
      <c r="G47" s="2" t="s">
        <v>1</v>
      </c>
      <c r="H47" s="2"/>
      <c r="I47" s="2"/>
      <c r="J47" s="1" t="s">
        <v>2</v>
      </c>
      <c r="M47" s="2" t="s">
        <v>3</v>
      </c>
      <c r="N47" s="2"/>
      <c r="O47" s="2"/>
      <c r="P47" s="2" t="s">
        <v>4</v>
      </c>
      <c r="Q47" s="2"/>
      <c r="R47" s="1"/>
      <c r="T47" t="s">
        <v>5</v>
      </c>
      <c r="U47" s="2"/>
      <c r="V47" s="2"/>
      <c r="W47" s="2" t="s">
        <v>6</v>
      </c>
      <c r="X47" s="2"/>
      <c r="Y47" s="2"/>
      <c r="Z47" s="1" t="s">
        <v>7</v>
      </c>
      <c r="AC47" s="2" t="s">
        <v>8</v>
      </c>
      <c r="AD47" s="2"/>
      <c r="AE47" s="2"/>
      <c r="AF47" s="2" t="s">
        <v>9</v>
      </c>
      <c r="AG47" s="2"/>
      <c r="AH47" s="1"/>
    </row>
    <row r="48" spans="2:34" x14ac:dyDescent="0.2">
      <c r="D48">
        <v>1</v>
      </c>
      <c r="E48" s="2">
        <v>1.03066599567827E-6</v>
      </c>
      <c r="F48" s="2">
        <v>0.99803449258045795</v>
      </c>
      <c r="G48">
        <v>1</v>
      </c>
      <c r="H48" s="2">
        <v>9.7323364321728705E-7</v>
      </c>
      <c r="I48" s="2">
        <v>0.99970017658836896</v>
      </c>
      <c r="J48">
        <v>1</v>
      </c>
      <c r="K48" s="1">
        <v>9.0122698343337296E-7</v>
      </c>
      <c r="L48">
        <v>0.99903657921164601</v>
      </c>
      <c r="M48">
        <v>1</v>
      </c>
      <c r="N48" s="2">
        <v>9.6189256854741896E-7</v>
      </c>
      <c r="O48" s="2">
        <v>0.99769561157921705</v>
      </c>
      <c r="P48">
        <v>1</v>
      </c>
      <c r="Q48" s="2">
        <v>1.0033321863145301E-6</v>
      </c>
      <c r="R48" s="1">
        <v>0.99949791233419605</v>
      </c>
      <c r="T48">
        <v>1</v>
      </c>
      <c r="U48" s="2">
        <v>1.67130126243156E-7</v>
      </c>
      <c r="V48" s="2">
        <v>0.998248274143543</v>
      </c>
      <c r="W48">
        <v>1</v>
      </c>
      <c r="X48" s="2">
        <v>1.77046526348158E-7</v>
      </c>
      <c r="Y48" s="2">
        <v>0.99507319887898904</v>
      </c>
      <c r="Z48">
        <v>1</v>
      </c>
      <c r="AA48" s="1">
        <v>1.17356827900697E-7</v>
      </c>
      <c r="AB48">
        <v>0.97108969710801596</v>
      </c>
      <c r="AC48">
        <v>1</v>
      </c>
      <c r="AD48" s="2">
        <v>1.89517668754219E-7</v>
      </c>
      <c r="AE48" s="2">
        <v>0.998489535367311</v>
      </c>
      <c r="AF48">
        <v>1</v>
      </c>
      <c r="AG48" s="2">
        <v>1.8174078588464701E-7</v>
      </c>
      <c r="AH48" s="1">
        <v>0.998929324710634</v>
      </c>
    </row>
    <row r="49" spans="2:34" x14ac:dyDescent="0.2">
      <c r="D49">
        <v>2</v>
      </c>
      <c r="E49" s="2">
        <v>9.3062544297719004E-7</v>
      </c>
      <c r="F49" s="2">
        <v>0.99893247157635701</v>
      </c>
      <c r="G49">
        <v>2</v>
      </c>
      <c r="H49" s="2">
        <v>9.5380346362545108E-7</v>
      </c>
      <c r="I49" s="2">
        <v>0.99852295021966198</v>
      </c>
      <c r="J49">
        <v>2</v>
      </c>
      <c r="K49" s="1">
        <v>9.3691501752701101E-7</v>
      </c>
      <c r="L49">
        <v>0.99951115474956898</v>
      </c>
      <c r="M49">
        <v>2</v>
      </c>
      <c r="N49" s="2">
        <v>1.0081158684273699E-6</v>
      </c>
      <c r="O49" s="2">
        <v>0.998893080769784</v>
      </c>
      <c r="P49">
        <v>2</v>
      </c>
      <c r="Q49" s="2">
        <v>1.0084217954381701E-6</v>
      </c>
      <c r="R49" s="1">
        <v>0.99929035088645901</v>
      </c>
      <c r="T49">
        <v>2</v>
      </c>
      <c r="U49" s="1">
        <v>1.8583459219980501E-7</v>
      </c>
      <c r="V49">
        <v>0.99828878564608403</v>
      </c>
      <c r="W49">
        <v>2</v>
      </c>
      <c r="X49" s="1">
        <v>1.7716361238281001E-7</v>
      </c>
      <c r="Y49">
        <v>0.99799397776528298</v>
      </c>
      <c r="Z49">
        <v>2</v>
      </c>
      <c r="AA49" s="1">
        <v>1.49396314842871E-7</v>
      </c>
      <c r="AB49">
        <v>0.99795957348954001</v>
      </c>
      <c r="AC49">
        <v>2</v>
      </c>
      <c r="AD49" s="1">
        <v>1.82739188652216E-7</v>
      </c>
      <c r="AE49">
        <v>0.99909068557883896</v>
      </c>
      <c r="AF49">
        <v>2</v>
      </c>
      <c r="AG49" s="1">
        <v>1.6369628643216099E-7</v>
      </c>
      <c r="AH49">
        <v>0.99706393001830795</v>
      </c>
    </row>
    <row r="50" spans="2:34" x14ac:dyDescent="0.2">
      <c r="D50">
        <v>3</v>
      </c>
      <c r="E50" s="2">
        <v>9.6506675102040806E-7</v>
      </c>
      <c r="F50" s="2">
        <v>0.99798629222396196</v>
      </c>
      <c r="G50">
        <v>3</v>
      </c>
      <c r="H50" s="2">
        <v>1.0459743841536601E-6</v>
      </c>
      <c r="I50" s="2">
        <v>0.99777160786128005</v>
      </c>
      <c r="J50">
        <v>3</v>
      </c>
      <c r="K50" s="1">
        <v>9.2280589771908797E-7</v>
      </c>
      <c r="L50">
        <v>0.99946208788689195</v>
      </c>
      <c r="M50">
        <v>3</v>
      </c>
      <c r="N50" s="2">
        <v>1.0176354463385299E-6</v>
      </c>
      <c r="O50" s="2">
        <v>0.99942902189257798</v>
      </c>
      <c r="P50">
        <v>3</v>
      </c>
      <c r="Q50" s="2">
        <v>1.00423523553421E-6</v>
      </c>
      <c r="R50" s="1">
        <v>0.99863520373732695</v>
      </c>
      <c r="T50">
        <v>3</v>
      </c>
      <c r="U50" s="1">
        <v>1.7724102172804299E-7</v>
      </c>
      <c r="V50">
        <v>0.99873268849753205</v>
      </c>
      <c r="W50">
        <v>3</v>
      </c>
      <c r="X50" s="1">
        <v>1.59337022290558E-7</v>
      </c>
      <c r="Y50">
        <v>0.99604825797956398</v>
      </c>
      <c r="Z50">
        <v>3</v>
      </c>
      <c r="AA50" s="1">
        <v>1.50521996579914E-7</v>
      </c>
      <c r="AB50">
        <v>0.99045460236694305</v>
      </c>
      <c r="AC50">
        <v>3</v>
      </c>
      <c r="AD50" s="1">
        <v>1.7276398777469499E-7</v>
      </c>
      <c r="AE50">
        <v>0.995909925186793</v>
      </c>
      <c r="AF50">
        <v>3</v>
      </c>
      <c r="AG50" s="1">
        <v>1.6337274041851001E-7</v>
      </c>
      <c r="AH50">
        <v>0.99825182873545704</v>
      </c>
    </row>
    <row r="51" spans="2:34" x14ac:dyDescent="0.2">
      <c r="D51">
        <v>4</v>
      </c>
      <c r="E51" s="2">
        <v>9.2545004225690299E-7</v>
      </c>
      <c r="F51" s="2">
        <v>0.99916675049570103</v>
      </c>
      <c r="G51">
        <v>4</v>
      </c>
      <c r="H51" s="2">
        <v>9.611684264105641E-7</v>
      </c>
      <c r="I51" s="2">
        <v>0.99865955549352003</v>
      </c>
      <c r="J51">
        <v>4</v>
      </c>
      <c r="K51" s="1">
        <v>1.0074757426170499E-6</v>
      </c>
      <c r="L51">
        <v>0.99937665659280195</v>
      </c>
      <c r="M51">
        <v>4</v>
      </c>
      <c r="N51" s="2">
        <v>1.03436763169268E-6</v>
      </c>
      <c r="O51" s="2">
        <v>0.99921196673095702</v>
      </c>
      <c r="P51">
        <v>4</v>
      </c>
      <c r="Q51" s="2">
        <v>1.0761610472989201E-6</v>
      </c>
      <c r="R51" s="1">
        <v>0.99925012217697395</v>
      </c>
      <c r="T51">
        <v>4</v>
      </c>
      <c r="U51" s="1">
        <v>1.6187612089552201E-7</v>
      </c>
      <c r="V51">
        <v>0.98813918122146505</v>
      </c>
      <c r="W51">
        <v>4</v>
      </c>
      <c r="X51" s="1">
        <v>2.0129860501012501E-7</v>
      </c>
      <c r="Y51">
        <v>0.99920784392616202</v>
      </c>
      <c r="Z51">
        <v>4</v>
      </c>
      <c r="AA51" s="1">
        <v>1.88411048428711E-7</v>
      </c>
      <c r="AB51">
        <v>0.99798459881507295</v>
      </c>
      <c r="AC51">
        <v>4</v>
      </c>
      <c r="AD51" s="1">
        <v>1.7437582938573501E-7</v>
      </c>
      <c r="AE51">
        <v>0.99889968366547</v>
      </c>
      <c r="AF51">
        <v>4</v>
      </c>
      <c r="AG51" s="1">
        <v>1.8318311966549199E-7</v>
      </c>
      <c r="AH51">
        <v>0.99793221117789599</v>
      </c>
    </row>
    <row r="52" spans="2:34" x14ac:dyDescent="0.2">
      <c r="D52">
        <v>5</v>
      </c>
      <c r="E52" s="2">
        <v>9.9869426026410593E-7</v>
      </c>
      <c r="F52" s="2">
        <v>0.99839934530563801</v>
      </c>
      <c r="G52">
        <v>5</v>
      </c>
      <c r="H52" s="2">
        <v>9.723919764705879E-7</v>
      </c>
      <c r="I52" s="2">
        <v>0.99931187392166598</v>
      </c>
      <c r="J52">
        <v>5</v>
      </c>
      <c r="K52" s="1">
        <v>9.6683237695078E-7</v>
      </c>
      <c r="L52">
        <v>0.999466181858637</v>
      </c>
      <c r="M52">
        <v>5</v>
      </c>
      <c r="N52" s="2">
        <v>1.0172975447779099E-6</v>
      </c>
      <c r="O52" s="2">
        <v>0.99959684808467597</v>
      </c>
      <c r="P52">
        <v>5</v>
      </c>
      <c r="Q52" s="2">
        <v>1.01563738151261E-6</v>
      </c>
      <c r="R52" s="1">
        <v>0.99893550293314304</v>
      </c>
      <c r="T52">
        <v>5</v>
      </c>
      <c r="U52" s="1">
        <v>1.5066715526138099E-7</v>
      </c>
      <c r="V52">
        <v>0.99523568135686802</v>
      </c>
      <c r="W52">
        <v>5</v>
      </c>
      <c r="X52" s="1">
        <v>1.9318708228455699E-7</v>
      </c>
      <c r="Y52">
        <v>0.99901961095495995</v>
      </c>
      <c r="Z52">
        <v>5</v>
      </c>
      <c r="AA52" s="1">
        <v>1.6250853048076201E-7</v>
      </c>
      <c r="AB52">
        <v>0.99801205766747603</v>
      </c>
      <c r="AC52">
        <v>5</v>
      </c>
      <c r="AD52" s="1">
        <v>1.2803420337508399E-7</v>
      </c>
      <c r="AE52">
        <v>0.98286385623986205</v>
      </c>
      <c r="AF52">
        <v>5</v>
      </c>
      <c r="AG52" s="1">
        <v>1.4065882180304499E-7</v>
      </c>
      <c r="AH52">
        <v>0.97938441353425199</v>
      </c>
    </row>
    <row r="53" spans="2:34" x14ac:dyDescent="0.2">
      <c r="D53">
        <v>6</v>
      </c>
      <c r="E53" s="1">
        <v>9.8589504681872805E-7</v>
      </c>
      <c r="F53" s="1">
        <v>0.99877350039118695</v>
      </c>
      <c r="G53">
        <v>6</v>
      </c>
      <c r="H53" s="1">
        <v>1.03114979063626E-6</v>
      </c>
      <c r="I53" s="1">
        <v>0.99955219089571101</v>
      </c>
      <c r="J53">
        <v>6</v>
      </c>
      <c r="K53" s="1">
        <v>1.0425575788715499E-6</v>
      </c>
      <c r="L53" s="1">
        <v>0.99897185993654902</v>
      </c>
      <c r="M53">
        <v>6</v>
      </c>
      <c r="N53" s="1">
        <v>9.8472112268907489E-7</v>
      </c>
      <c r="O53" s="1">
        <v>0.99776770857152797</v>
      </c>
      <c r="P53">
        <v>6</v>
      </c>
      <c r="Q53" s="1">
        <v>1.0493434957983201E-6</v>
      </c>
      <c r="R53" s="1">
        <v>0.99916879616208198</v>
      </c>
      <c r="T53">
        <v>6</v>
      </c>
      <c r="U53" s="1">
        <v>1.5525826000900001E-7</v>
      </c>
      <c r="V53">
        <v>0.99681853362392103</v>
      </c>
      <c r="W53">
        <v>6</v>
      </c>
      <c r="X53" s="1">
        <v>1.6740229420985499E-7</v>
      </c>
      <c r="Y53">
        <v>0.998685756876042</v>
      </c>
      <c r="Z53">
        <v>6</v>
      </c>
      <c r="AA53" s="1">
        <v>1.63018383087077E-7</v>
      </c>
      <c r="AB53">
        <v>0.99556607721644896</v>
      </c>
      <c r="AC53">
        <v>6</v>
      </c>
      <c r="AD53" s="1">
        <v>1.47934243516088E-7</v>
      </c>
      <c r="AE53">
        <v>0.99220506685792698</v>
      </c>
      <c r="AF53">
        <v>6</v>
      </c>
      <c r="AG53" s="1">
        <v>1.6700234332858301E-7</v>
      </c>
      <c r="AH53">
        <v>0.99849972654976804</v>
      </c>
    </row>
    <row r="54" spans="2:34" x14ac:dyDescent="0.2">
      <c r="D54">
        <v>7</v>
      </c>
      <c r="E54" s="1">
        <v>9.34989973109243E-7</v>
      </c>
      <c r="F54" s="3">
        <v>0.99939528389864096</v>
      </c>
      <c r="G54">
        <v>7</v>
      </c>
      <c r="H54" s="1">
        <v>9.4975200960384203E-7</v>
      </c>
      <c r="I54" s="3">
        <v>0.99942894331041099</v>
      </c>
      <c r="J54">
        <v>7</v>
      </c>
      <c r="K54" s="1">
        <v>9.8525375942376909E-7</v>
      </c>
      <c r="L54" s="3">
        <v>0.99922864987027804</v>
      </c>
      <c r="M54">
        <v>7</v>
      </c>
      <c r="N54" s="1">
        <v>1.0804918535414199E-6</v>
      </c>
      <c r="O54" s="3">
        <v>0.99932210720148995</v>
      </c>
      <c r="P54">
        <v>7</v>
      </c>
      <c r="Q54" s="1">
        <v>1.02697373637455E-6</v>
      </c>
      <c r="R54" s="3">
        <v>0.99951072866248902</v>
      </c>
      <c r="T54">
        <v>7</v>
      </c>
      <c r="U54" s="1">
        <v>1.6773689993249801E-7</v>
      </c>
      <c r="V54">
        <v>0.99679134756683996</v>
      </c>
      <c r="W54">
        <v>7</v>
      </c>
      <c r="X54" s="1">
        <v>1.74447943853596E-7</v>
      </c>
      <c r="Y54">
        <v>0.99384497174354702</v>
      </c>
      <c r="Z54">
        <v>7</v>
      </c>
      <c r="AA54" s="1">
        <v>1.6689078762469101E-7</v>
      </c>
      <c r="AB54">
        <v>0.99778287651668895</v>
      </c>
      <c r="AC54">
        <v>7</v>
      </c>
      <c r="AD54" s="1">
        <v>1.68476623535588E-7</v>
      </c>
      <c r="AE54">
        <v>0.99301360397182803</v>
      </c>
      <c r="AF54">
        <v>7</v>
      </c>
      <c r="AG54" s="1">
        <v>1.7704685720393001E-7</v>
      </c>
      <c r="AH54">
        <v>0.99644672184409699</v>
      </c>
    </row>
    <row r="55" spans="2:34" x14ac:dyDescent="0.2">
      <c r="D55">
        <v>8</v>
      </c>
      <c r="E55" s="1">
        <v>1.07807039663866E-6</v>
      </c>
      <c r="F55">
        <v>0.99877048157445802</v>
      </c>
      <c r="G55">
        <v>8</v>
      </c>
      <c r="H55" s="1">
        <v>1.0490175812725099E-6</v>
      </c>
      <c r="I55">
        <v>0.99913540655206101</v>
      </c>
      <c r="J55">
        <v>8</v>
      </c>
      <c r="K55" s="1">
        <v>9.4929677454982E-7</v>
      </c>
      <c r="L55">
        <v>0.99918094546592995</v>
      </c>
      <c r="M55">
        <v>8</v>
      </c>
      <c r="N55" s="1">
        <v>9.6647151788715509E-7</v>
      </c>
      <c r="O55">
        <v>0.99923129917143705</v>
      </c>
      <c r="P55">
        <v>8</v>
      </c>
      <c r="Q55" s="1">
        <v>1.0316605291716699E-6</v>
      </c>
      <c r="R55">
        <v>0.99845156573680804</v>
      </c>
      <c r="T55">
        <v>8</v>
      </c>
      <c r="U55" s="1">
        <v>1.7867686043651099E-7</v>
      </c>
      <c r="V55">
        <v>0.99691198024110395</v>
      </c>
      <c r="W55">
        <v>8</v>
      </c>
      <c r="X55" s="1">
        <v>1.5284040848271199E-7</v>
      </c>
      <c r="Y55">
        <v>0.99137155271411104</v>
      </c>
      <c r="Z55">
        <v>8</v>
      </c>
      <c r="AA55" s="1">
        <v>1.5859406471911799E-7</v>
      </c>
      <c r="AB55">
        <v>0.99673424252918597</v>
      </c>
      <c r="AC55">
        <v>8</v>
      </c>
      <c r="AD55" s="1">
        <v>1.75101928673217E-7</v>
      </c>
      <c r="AE55">
        <v>0.99859497682744602</v>
      </c>
      <c r="AF55">
        <v>8</v>
      </c>
      <c r="AG55" s="1">
        <v>1.52329616185405E-7</v>
      </c>
      <c r="AH55">
        <v>0.99531967460454196</v>
      </c>
    </row>
    <row r="56" spans="2:34" x14ac:dyDescent="0.2">
      <c r="D56">
        <v>9</v>
      </c>
      <c r="E56" s="1">
        <v>9.617322914765911E-7</v>
      </c>
      <c r="F56">
        <v>0.99888062642337505</v>
      </c>
      <c r="G56">
        <v>9</v>
      </c>
      <c r="H56" s="1">
        <v>9.91194957503002E-7</v>
      </c>
      <c r="I56">
        <v>0.99870191339626302</v>
      </c>
      <c r="J56">
        <v>9</v>
      </c>
      <c r="K56" s="1">
        <v>1.05237706122449E-6</v>
      </c>
      <c r="L56">
        <v>0.99897955049687903</v>
      </c>
      <c r="M56">
        <v>9</v>
      </c>
      <c r="N56" s="1">
        <v>1.0572357210083999E-6</v>
      </c>
      <c r="O56">
        <v>0.99853225503937804</v>
      </c>
      <c r="P56">
        <v>9</v>
      </c>
      <c r="Q56" s="1">
        <v>1.03658949531813E-6</v>
      </c>
      <c r="R56">
        <v>0.99805196415858</v>
      </c>
      <c r="T56">
        <v>9</v>
      </c>
      <c r="U56" s="1">
        <v>1.6274006620415499E-7</v>
      </c>
      <c r="V56">
        <v>0.99921508313232199</v>
      </c>
      <c r="W56">
        <v>9</v>
      </c>
      <c r="X56" s="1">
        <v>1.5898644611115301E-7</v>
      </c>
      <c r="Y56">
        <v>0.99354138451740603</v>
      </c>
      <c r="Z56">
        <v>9</v>
      </c>
      <c r="AA56" s="1">
        <v>1.7440909522988099E-7</v>
      </c>
      <c r="AB56">
        <v>0.98974518889176999</v>
      </c>
      <c r="AC56">
        <v>9</v>
      </c>
      <c r="AD56" s="1">
        <v>1.7950452224555599E-7</v>
      </c>
      <c r="AE56">
        <v>0.99764514308896202</v>
      </c>
      <c r="AF56">
        <v>9</v>
      </c>
      <c r="AG56" s="1">
        <v>1.8573310090002299E-7</v>
      </c>
      <c r="AH56">
        <v>0.99697371570259197</v>
      </c>
    </row>
    <row r="57" spans="2:34" x14ac:dyDescent="0.2">
      <c r="D57">
        <v>10</v>
      </c>
      <c r="E57" s="1">
        <v>1.0861803798319301E-6</v>
      </c>
      <c r="F57">
        <v>0.99948538672784604</v>
      </c>
      <c r="G57">
        <v>10</v>
      </c>
      <c r="H57" s="1">
        <v>9.8630781800720292E-7</v>
      </c>
      <c r="I57">
        <v>0.99857794669544198</v>
      </c>
      <c r="J57">
        <v>10</v>
      </c>
      <c r="K57" s="1">
        <v>9.2922062665066096E-7</v>
      </c>
      <c r="L57">
        <v>0.99841427416642003</v>
      </c>
      <c r="M57">
        <v>10</v>
      </c>
      <c r="N57" s="1">
        <v>9.7576223385354192E-7</v>
      </c>
      <c r="O57">
        <v>0.999278097351876</v>
      </c>
      <c r="P57">
        <v>10</v>
      </c>
      <c r="Q57" s="1">
        <v>1.0388781781512599E-6</v>
      </c>
      <c r="R57">
        <v>0.99902463616786397</v>
      </c>
      <c r="T57">
        <v>10</v>
      </c>
      <c r="U57" s="1">
        <v>1.6645199923498E-7</v>
      </c>
      <c r="V57">
        <v>0.99512644477390699</v>
      </c>
      <c r="W57">
        <v>10</v>
      </c>
      <c r="X57" s="1">
        <v>1.8317361092777301E-7</v>
      </c>
      <c r="Y57">
        <v>0.99383094647922399</v>
      </c>
      <c r="Z57">
        <v>10</v>
      </c>
      <c r="AA57" s="1">
        <v>1.5670698088202201E-7</v>
      </c>
      <c r="AB57">
        <v>0.99484597064653102</v>
      </c>
      <c r="AC57">
        <v>10</v>
      </c>
      <c r="AD57" s="1">
        <v>1.6884850306007701E-7</v>
      </c>
      <c r="AE57">
        <v>0.99853643580907203</v>
      </c>
      <c r="AF57">
        <v>10</v>
      </c>
      <c r="AG57" s="1">
        <v>1.87246438265957E-7</v>
      </c>
      <c r="AH57">
        <v>0.99872061768174403</v>
      </c>
    </row>
    <row r="58" spans="2:34" x14ac:dyDescent="0.2">
      <c r="D58" t="s">
        <v>21</v>
      </c>
      <c r="E58" s="1">
        <v>9.8973705800720295E-7</v>
      </c>
      <c r="F58" s="1">
        <v>5.8586499416683998E-8</v>
      </c>
      <c r="G58" t="s">
        <v>21</v>
      </c>
      <c r="H58" s="1">
        <v>9.9139940509003601E-7</v>
      </c>
      <c r="I58" s="1">
        <v>3.7501839154533001E-8</v>
      </c>
      <c r="J58" t="s">
        <v>21</v>
      </c>
      <c r="K58" s="1">
        <v>9.6939618189675908E-7</v>
      </c>
      <c r="L58" s="1">
        <v>5.1464428707306102E-8</v>
      </c>
      <c r="M58" t="s">
        <v>21</v>
      </c>
      <c r="N58" s="1">
        <v>1.01039915087635E-6</v>
      </c>
      <c r="O58" s="1">
        <v>3.9338851522731701E-8</v>
      </c>
      <c r="P58" t="s">
        <v>21</v>
      </c>
      <c r="Q58" s="1">
        <v>1.0291233080912399E-6</v>
      </c>
      <c r="R58" s="1">
        <v>2.27995746830816E-8</v>
      </c>
      <c r="T58" t="s">
        <v>21</v>
      </c>
      <c r="U58" s="1">
        <v>1.67361310214505E-7</v>
      </c>
      <c r="V58" s="1">
        <v>1.07731957282486E-8</v>
      </c>
      <c r="W58" t="s">
        <v>21</v>
      </c>
      <c r="X58" s="1">
        <v>1.7448835519013E-7</v>
      </c>
      <c r="Y58" s="1">
        <v>1.54426766605386E-8</v>
      </c>
      <c r="Z58" t="s">
        <v>21</v>
      </c>
      <c r="AA58" s="1">
        <v>1.5878140297757401E-7</v>
      </c>
      <c r="AB58" s="1">
        <v>1.8548368212781499E-8</v>
      </c>
      <c r="AC58" t="s">
        <v>21</v>
      </c>
      <c r="AD58" s="1">
        <v>1.6872966989724701E-7</v>
      </c>
      <c r="AE58" s="1">
        <v>1.8018245020525499E-8</v>
      </c>
      <c r="AF58" t="s">
        <v>21</v>
      </c>
      <c r="AG58" s="1">
        <v>1.7020101100877499E-7</v>
      </c>
      <c r="AH58" s="1">
        <v>1.5533674739659002E-8</v>
      </c>
    </row>
    <row r="59" spans="2:34" x14ac:dyDescent="0.2">
      <c r="F59" s="4">
        <f>F58/E58</f>
        <v>5.9194004046534979E-2</v>
      </c>
      <c r="I59" s="4">
        <f>I58/H58</f>
        <v>3.7827175366447988E-2</v>
      </c>
      <c r="L59" s="4">
        <f>L58/K58</f>
        <v>5.3089159693829983E-2</v>
      </c>
      <c r="O59" s="4">
        <f>O58/N58</f>
        <v>3.8933971281163403E-2</v>
      </c>
      <c r="R59" s="4">
        <f>R58/Q58</f>
        <v>2.215436624923885E-2</v>
      </c>
      <c r="V59" s="4">
        <f>V58/U58</f>
        <v>6.4370885448020942E-2</v>
      </c>
      <c r="Y59" s="4">
        <f>Y58/X58</f>
        <v>8.850262038238367E-2</v>
      </c>
      <c r="AB59" s="4">
        <f>AB58/AA58</f>
        <v>0.11681700668308892</v>
      </c>
      <c r="AE59" s="4">
        <f>AE58/AD58</f>
        <v>0.10678765051515984</v>
      </c>
      <c r="AH59" s="4">
        <f>AH58/AG58</f>
        <v>9.1266641999313031E-2</v>
      </c>
    </row>
    <row r="61" spans="2:34" x14ac:dyDescent="0.2">
      <c r="B61" t="s">
        <v>24</v>
      </c>
      <c r="D61" t="s">
        <v>0</v>
      </c>
      <c r="E61" s="2"/>
      <c r="F61" s="2"/>
      <c r="G61" s="2" t="s">
        <v>1</v>
      </c>
      <c r="H61" s="2"/>
      <c r="I61" s="2"/>
      <c r="J61" s="1" t="s">
        <v>2</v>
      </c>
      <c r="M61" s="2" t="s">
        <v>3</v>
      </c>
      <c r="N61" s="2"/>
      <c r="O61" s="2"/>
      <c r="P61" s="2" t="s">
        <v>4</v>
      </c>
      <c r="Q61" s="2"/>
      <c r="R61" s="1"/>
      <c r="T61" t="s">
        <v>5</v>
      </c>
      <c r="U61" s="2"/>
      <c r="V61" s="2"/>
      <c r="W61" s="2" t="s">
        <v>6</v>
      </c>
      <c r="X61" s="2"/>
      <c r="Y61" s="2"/>
      <c r="Z61" s="1" t="s">
        <v>7</v>
      </c>
      <c r="AC61" s="2" t="s">
        <v>8</v>
      </c>
      <c r="AD61" s="2"/>
      <c r="AE61" s="2"/>
      <c r="AF61" s="2" t="s">
        <v>9</v>
      </c>
      <c r="AG61" s="2"/>
      <c r="AH61" s="1"/>
    </row>
    <row r="62" spans="2:34" x14ac:dyDescent="0.2">
      <c r="D62">
        <v>1</v>
      </c>
      <c r="E62" s="2">
        <v>7.2200190012004801E-7</v>
      </c>
      <c r="F62" s="2">
        <v>0.99747656166387899</v>
      </c>
      <c r="G62">
        <v>1</v>
      </c>
      <c r="H62" s="2">
        <v>7.3314117791116498E-7</v>
      </c>
      <c r="I62" s="2">
        <v>0.99726306792610497</v>
      </c>
      <c r="J62">
        <v>1</v>
      </c>
      <c r="K62" s="1">
        <v>7.0189978103241304E-7</v>
      </c>
      <c r="L62">
        <v>0.99744225469743397</v>
      </c>
      <c r="M62">
        <v>1</v>
      </c>
      <c r="N62" s="2">
        <v>7.6506962641056399E-7</v>
      </c>
      <c r="O62" s="2">
        <v>0.99832211185642805</v>
      </c>
      <c r="P62">
        <v>1</v>
      </c>
      <c r="Q62" s="2">
        <v>7.8814093685474198E-7</v>
      </c>
      <c r="R62" s="1">
        <v>0.99773470387672503</v>
      </c>
      <c r="T62">
        <v>1</v>
      </c>
      <c r="U62" s="2">
        <v>6.7714224075601898E-8</v>
      </c>
      <c r="V62" s="2">
        <v>0.98183967521877702</v>
      </c>
      <c r="W62">
        <v>1</v>
      </c>
      <c r="X62" s="2">
        <v>7.2705502820070601E-8</v>
      </c>
      <c r="Y62" s="2">
        <v>0.990096821754472</v>
      </c>
      <c r="Z62">
        <v>1</v>
      </c>
      <c r="AA62" s="1">
        <v>6.5701951421285504E-8</v>
      </c>
      <c r="AB62">
        <v>0.988414337885268</v>
      </c>
      <c r="AC62">
        <v>1</v>
      </c>
      <c r="AD62" s="2">
        <v>7.21336700217504E-8</v>
      </c>
      <c r="AE62" s="2">
        <v>0.99174129675466405</v>
      </c>
      <c r="AF62">
        <v>1</v>
      </c>
      <c r="AG62" s="2">
        <v>8.3614730225755706E-8</v>
      </c>
      <c r="AH62" s="1">
        <v>0.99597814470935098</v>
      </c>
    </row>
    <row r="63" spans="2:34" x14ac:dyDescent="0.2">
      <c r="D63">
        <v>2</v>
      </c>
      <c r="E63" s="2">
        <v>7.4706990540216098E-7</v>
      </c>
      <c r="F63" s="2">
        <v>0.99774451285024002</v>
      </c>
      <c r="G63">
        <v>2</v>
      </c>
      <c r="H63" s="2">
        <v>6.91160183433373E-7</v>
      </c>
      <c r="I63" s="2">
        <v>0.99923103631284604</v>
      </c>
      <c r="J63">
        <v>2</v>
      </c>
      <c r="K63" s="1">
        <v>7.0839263241296501E-7</v>
      </c>
      <c r="L63">
        <v>0.99815415269897401</v>
      </c>
      <c r="M63">
        <v>2</v>
      </c>
      <c r="N63" s="2">
        <v>8.2450878415366099E-7</v>
      </c>
      <c r="O63" s="2">
        <v>0.99946008751753002</v>
      </c>
      <c r="P63">
        <v>2</v>
      </c>
      <c r="Q63" s="2">
        <v>8.0207136134453795E-7</v>
      </c>
      <c r="R63" s="1">
        <v>0.99956257921787595</v>
      </c>
      <c r="T63">
        <v>2</v>
      </c>
      <c r="U63" s="1">
        <v>7.7570949111227894E-8</v>
      </c>
      <c r="V63">
        <v>0.99388624983511098</v>
      </c>
      <c r="W63">
        <v>2</v>
      </c>
      <c r="X63" s="1">
        <v>8.3628429348233595E-8</v>
      </c>
      <c r="Y63">
        <v>0.99400559807653099</v>
      </c>
      <c r="Z63">
        <v>2</v>
      </c>
      <c r="AA63" s="1">
        <v>7.0198299152478904E-8</v>
      </c>
      <c r="AB63">
        <v>0.99613927392466195</v>
      </c>
      <c r="AC63">
        <v>2</v>
      </c>
      <c r="AD63" s="1">
        <v>7.7263754788869806E-8</v>
      </c>
      <c r="AE63">
        <v>0.99491487956984703</v>
      </c>
      <c r="AF63">
        <v>2</v>
      </c>
      <c r="AG63" s="1">
        <v>8.1864509585239605E-8</v>
      </c>
      <c r="AH63">
        <v>0.99517271747422098</v>
      </c>
    </row>
    <row r="64" spans="2:34" x14ac:dyDescent="0.2">
      <c r="D64">
        <v>3</v>
      </c>
      <c r="E64" s="2">
        <v>8.1259404753901605E-7</v>
      </c>
      <c r="F64" s="2">
        <v>0.99828779804107104</v>
      </c>
      <c r="G64">
        <v>3</v>
      </c>
      <c r="H64" s="2">
        <v>7.3190138823529399E-7</v>
      </c>
      <c r="I64" s="2">
        <v>0.99918579280408804</v>
      </c>
      <c r="J64">
        <v>3</v>
      </c>
      <c r="K64" s="1">
        <v>7.1153780936374498E-7</v>
      </c>
      <c r="L64">
        <v>0.99838650479278801</v>
      </c>
      <c r="M64">
        <v>3</v>
      </c>
      <c r="N64" s="2">
        <v>7.6247951356542595E-7</v>
      </c>
      <c r="O64" s="2">
        <v>0.99728672014330599</v>
      </c>
      <c r="P64">
        <v>3</v>
      </c>
      <c r="Q64" s="2">
        <v>8.0130649987995301E-7</v>
      </c>
      <c r="R64" s="1">
        <v>0.99707366635598604</v>
      </c>
      <c r="T64">
        <v>3</v>
      </c>
      <c r="U64" s="1">
        <v>7.9222011295282495E-8</v>
      </c>
      <c r="V64">
        <v>0.98825297874917195</v>
      </c>
      <c r="W64">
        <v>3</v>
      </c>
      <c r="X64" s="1">
        <v>9.1295671686792098E-8</v>
      </c>
      <c r="Y64">
        <v>0.99613262652450596</v>
      </c>
      <c r="Z64">
        <v>3</v>
      </c>
      <c r="AA64" s="1">
        <v>7.9329358058951703E-8</v>
      </c>
      <c r="AB64">
        <v>0.99606857124071102</v>
      </c>
      <c r="AC64">
        <v>3</v>
      </c>
      <c r="AD64" s="1">
        <v>6.8678409270231703E-8</v>
      </c>
      <c r="AE64">
        <v>0.98495020618281004</v>
      </c>
      <c r="AF64">
        <v>3</v>
      </c>
      <c r="AG64" s="1">
        <v>7.4882368394209895E-8</v>
      </c>
      <c r="AH64">
        <v>0.99316440149756902</v>
      </c>
    </row>
    <row r="65" spans="2:34" x14ac:dyDescent="0.2">
      <c r="D65">
        <v>4</v>
      </c>
      <c r="E65" s="2">
        <v>7.8241878031212503E-7</v>
      </c>
      <c r="F65" s="2">
        <v>0.99850200585522597</v>
      </c>
      <c r="G65">
        <v>4</v>
      </c>
      <c r="H65" s="2">
        <v>7.4491815462184898E-7</v>
      </c>
      <c r="I65" s="2">
        <v>0.99795168256454203</v>
      </c>
      <c r="J65">
        <v>4</v>
      </c>
      <c r="K65" s="1">
        <v>7.3649287394957999E-7</v>
      </c>
      <c r="L65">
        <v>0.99829379943274699</v>
      </c>
      <c r="M65">
        <v>4</v>
      </c>
      <c r="N65" s="2">
        <v>8.2325430588235302E-7</v>
      </c>
      <c r="O65" s="2">
        <v>0.99894321162551603</v>
      </c>
      <c r="P65">
        <v>4</v>
      </c>
      <c r="Q65" s="2">
        <v>7.6368951692677101E-7</v>
      </c>
      <c r="R65" s="1">
        <v>0.99835685418457198</v>
      </c>
      <c r="T65">
        <v>4</v>
      </c>
      <c r="U65" s="1">
        <v>5.70495665416635E-8</v>
      </c>
      <c r="V65">
        <v>0.97921104239205503</v>
      </c>
      <c r="W65">
        <v>4</v>
      </c>
      <c r="X65" s="1">
        <v>7.3488668244206101E-8</v>
      </c>
      <c r="Y65">
        <v>0.99084243924812498</v>
      </c>
      <c r="Z65">
        <v>4</v>
      </c>
      <c r="AA65" s="1">
        <v>8.92134442136053E-8</v>
      </c>
      <c r="AB65">
        <v>0.97387632198646501</v>
      </c>
      <c r="AC65">
        <v>4</v>
      </c>
      <c r="AD65" s="1">
        <v>7.4414236855921595E-8</v>
      </c>
      <c r="AE65">
        <v>0.98907757368517801</v>
      </c>
      <c r="AF65">
        <v>4</v>
      </c>
      <c r="AG65" s="1">
        <v>8.8593985112127804E-8</v>
      </c>
      <c r="AH65">
        <v>0.99264496466288898</v>
      </c>
    </row>
    <row r="66" spans="2:34" x14ac:dyDescent="0.2">
      <c r="D66">
        <v>5</v>
      </c>
      <c r="E66" s="2">
        <v>7.0056973301320505E-7</v>
      </c>
      <c r="F66" s="2">
        <v>0.99912790348089497</v>
      </c>
      <c r="G66">
        <v>5</v>
      </c>
      <c r="H66" s="2">
        <v>7.1961365042016797E-7</v>
      </c>
      <c r="I66" s="2">
        <v>0.997737497635242</v>
      </c>
      <c r="J66">
        <v>5</v>
      </c>
      <c r="K66" s="1">
        <v>7.2723329267707204E-7</v>
      </c>
      <c r="L66">
        <v>0.99940278963871498</v>
      </c>
      <c r="M66">
        <v>5</v>
      </c>
      <c r="N66" s="2">
        <v>7.8026584633853499E-7</v>
      </c>
      <c r="O66" s="2">
        <v>0.99923927888694997</v>
      </c>
      <c r="P66">
        <v>5</v>
      </c>
      <c r="Q66" s="2">
        <v>8.1614957022809098E-7</v>
      </c>
      <c r="R66" s="1">
        <v>0.99906705907784998</v>
      </c>
      <c r="T66">
        <v>5</v>
      </c>
      <c r="U66" s="1">
        <v>7.3943649118728106E-8</v>
      </c>
      <c r="V66">
        <v>0.98566507828045302</v>
      </c>
      <c r="W66">
        <v>5</v>
      </c>
      <c r="X66" s="1">
        <v>6.73488421435537E-8</v>
      </c>
      <c r="Y66">
        <v>0.97882061784746399</v>
      </c>
      <c r="Z66">
        <v>5</v>
      </c>
      <c r="AA66" s="1">
        <v>8.1223984699617406E-8</v>
      </c>
      <c r="AB66">
        <v>0.97568542906089994</v>
      </c>
      <c r="AC66">
        <v>5</v>
      </c>
      <c r="AD66" s="1">
        <v>9.1646212075301798E-8</v>
      </c>
      <c r="AE66">
        <v>0.99461726848024401</v>
      </c>
      <c r="AF66">
        <v>5</v>
      </c>
      <c r="AG66" s="1">
        <v>9.4025683192079795E-8</v>
      </c>
      <c r="AH66">
        <v>0.99499190172658503</v>
      </c>
    </row>
    <row r="67" spans="2:34" x14ac:dyDescent="0.2">
      <c r="D67">
        <v>6</v>
      </c>
      <c r="E67" s="1">
        <v>7.876675697479E-7</v>
      </c>
      <c r="F67" s="1">
        <v>0.99896299863502303</v>
      </c>
      <c r="G67">
        <v>6</v>
      </c>
      <c r="H67" s="1">
        <v>7.7621542905162098E-7</v>
      </c>
      <c r="I67" s="1">
        <v>0.99731470193947103</v>
      </c>
      <c r="J67">
        <v>6</v>
      </c>
      <c r="K67" s="1">
        <v>6.57501642256902E-7</v>
      </c>
      <c r="L67" s="1">
        <v>0.99874485953097802</v>
      </c>
      <c r="M67">
        <v>6</v>
      </c>
      <c r="N67" s="1">
        <v>8.1111496614645901E-7</v>
      </c>
      <c r="O67" s="1">
        <v>0.998808273156233</v>
      </c>
      <c r="P67">
        <v>6</v>
      </c>
      <c r="Q67" s="1">
        <v>7.3900969363745396E-7</v>
      </c>
      <c r="R67" s="1">
        <v>0.998218888327432</v>
      </c>
      <c r="T67">
        <v>6</v>
      </c>
      <c r="U67" s="1">
        <v>7.6198066159154003E-8</v>
      </c>
      <c r="V67">
        <v>0.978615802391824</v>
      </c>
      <c r="W67">
        <v>6</v>
      </c>
      <c r="X67" s="1">
        <v>8.2619996332408399E-8</v>
      </c>
      <c r="Y67">
        <v>0.98973504036044202</v>
      </c>
      <c r="Z67">
        <v>6</v>
      </c>
      <c r="AA67" s="1">
        <v>7.2626380717018201E-8</v>
      </c>
      <c r="AB67">
        <v>0.97484909414939702</v>
      </c>
      <c r="AC67">
        <v>6</v>
      </c>
      <c r="AD67" s="1">
        <v>7.5507588869721695E-8</v>
      </c>
      <c r="AE67">
        <v>0.99491307182551003</v>
      </c>
      <c r="AF67">
        <v>6</v>
      </c>
      <c r="AG67" s="1">
        <v>7.5515740913523005E-8</v>
      </c>
      <c r="AH67">
        <v>0.99517151062959597</v>
      </c>
    </row>
    <row r="68" spans="2:34" x14ac:dyDescent="0.2">
      <c r="D68">
        <v>7</v>
      </c>
      <c r="E68" s="1">
        <v>7.3835548715486196E-7</v>
      </c>
      <c r="F68" s="3">
        <v>0.998761398445564</v>
      </c>
      <c r="G68">
        <v>7</v>
      </c>
      <c r="H68" s="1">
        <v>7.6282034141656701E-7</v>
      </c>
      <c r="I68" s="3">
        <v>0.99925270283793599</v>
      </c>
      <c r="J68">
        <v>7</v>
      </c>
      <c r="K68" s="1">
        <v>7.2869312268907596E-7</v>
      </c>
      <c r="L68" s="3">
        <v>0.99906245129483195</v>
      </c>
      <c r="M68">
        <v>7</v>
      </c>
      <c r="N68" s="1">
        <v>7.7503324273709398E-7</v>
      </c>
      <c r="O68" s="3">
        <v>0.99859304340292598</v>
      </c>
      <c r="P68">
        <v>7</v>
      </c>
      <c r="Q68" s="1">
        <v>8.1786677070828396E-7</v>
      </c>
      <c r="R68" s="3">
        <v>0.99767558310680005</v>
      </c>
      <c r="T68">
        <v>7</v>
      </c>
      <c r="U68" s="1">
        <v>8.4161374694367198E-8</v>
      </c>
      <c r="V68">
        <v>0.99302510626353002</v>
      </c>
      <c r="W68">
        <v>7</v>
      </c>
      <c r="X68" s="1">
        <v>8.5322421930548404E-8</v>
      </c>
      <c r="Y68">
        <v>0.99235526423420195</v>
      </c>
      <c r="Z68">
        <v>7</v>
      </c>
      <c r="AA68" s="1">
        <v>6.4048577994449894E-8</v>
      </c>
      <c r="AB68">
        <v>0.97586298596536702</v>
      </c>
      <c r="AC68">
        <v>7</v>
      </c>
      <c r="AD68" s="1">
        <v>6.7542611692792499E-8</v>
      </c>
      <c r="AE68">
        <v>0.97985464822409996</v>
      </c>
      <c r="AF68">
        <v>7</v>
      </c>
      <c r="AG68" s="1">
        <v>8.19038335708392E-8</v>
      </c>
      <c r="AH68">
        <v>0.99226077212206498</v>
      </c>
    </row>
    <row r="69" spans="2:34" x14ac:dyDescent="0.2">
      <c r="D69">
        <v>8</v>
      </c>
      <c r="E69" s="1">
        <v>7.5185393517406901E-7</v>
      </c>
      <c r="F69">
        <v>0.99925406803406602</v>
      </c>
      <c r="G69">
        <v>8</v>
      </c>
      <c r="H69" s="1">
        <v>7.0686944681872699E-7</v>
      </c>
      <c r="I69">
        <v>0.99948411122463099</v>
      </c>
      <c r="J69">
        <v>8</v>
      </c>
      <c r="K69" s="1">
        <v>7.6377409555822398E-7</v>
      </c>
      <c r="L69">
        <v>0.99778531750551402</v>
      </c>
      <c r="M69">
        <v>8</v>
      </c>
      <c r="N69" s="1">
        <v>7.4105398223289396E-7</v>
      </c>
      <c r="O69">
        <v>0.99832098325700003</v>
      </c>
      <c r="P69">
        <v>8</v>
      </c>
      <c r="Q69" s="1">
        <v>7.5934522496998605E-7</v>
      </c>
      <c r="R69">
        <v>0.99860867237122297</v>
      </c>
      <c r="T69">
        <v>8</v>
      </c>
      <c r="U69" s="1">
        <v>6.4139978466961604E-8</v>
      </c>
      <c r="V69">
        <v>0.96951377672638195</v>
      </c>
      <c r="W69">
        <v>8</v>
      </c>
      <c r="X69" s="1">
        <v>7.32112138828471E-8</v>
      </c>
      <c r="Y69">
        <v>0.99102001426186703</v>
      </c>
      <c r="Z69">
        <v>8</v>
      </c>
      <c r="AA69" s="1">
        <v>9.8349092034800698E-8</v>
      </c>
      <c r="AB69">
        <v>0.99544399451231003</v>
      </c>
      <c r="AC69">
        <v>8</v>
      </c>
      <c r="AD69" s="1">
        <v>9.9212266099152394E-8</v>
      </c>
      <c r="AE69">
        <v>0.996773919055157</v>
      </c>
      <c r="AF69">
        <v>8</v>
      </c>
      <c r="AG69" s="1">
        <v>9.0219644701117495E-8</v>
      </c>
      <c r="AH69">
        <v>0.99400468060522595</v>
      </c>
    </row>
    <row r="70" spans="2:34" x14ac:dyDescent="0.2">
      <c r="D70">
        <v>9</v>
      </c>
      <c r="E70" s="1">
        <v>7.6908879087635105E-7</v>
      </c>
      <c r="F70">
        <v>0.99911166479712898</v>
      </c>
      <c r="G70">
        <v>9</v>
      </c>
      <c r="H70" s="1">
        <v>7.1630003697478897E-7</v>
      </c>
      <c r="I70">
        <v>0.99891379872072605</v>
      </c>
      <c r="J70">
        <v>9</v>
      </c>
      <c r="K70" s="1">
        <v>7.2251397551020399E-7</v>
      </c>
      <c r="L70">
        <v>0.99883847676069504</v>
      </c>
      <c r="M70">
        <v>9</v>
      </c>
      <c r="N70" s="1">
        <v>7.2643003937575002E-7</v>
      </c>
      <c r="O70">
        <v>0.99924310419634699</v>
      </c>
      <c r="P70">
        <v>9</v>
      </c>
      <c r="Q70" s="1">
        <v>8.0159548955582199E-7</v>
      </c>
      <c r="R70">
        <v>0.99933115170171405</v>
      </c>
      <c r="T70">
        <v>9</v>
      </c>
      <c r="U70" s="1">
        <v>7.6351748601215099E-8</v>
      </c>
      <c r="V70">
        <v>0.98852367593844903</v>
      </c>
      <c r="W70">
        <v>9</v>
      </c>
      <c r="X70" s="1">
        <v>8.6483267149178804E-8</v>
      </c>
      <c r="Y70">
        <v>0.98911553393144602</v>
      </c>
      <c r="Z70">
        <v>9</v>
      </c>
      <c r="AA70" s="1">
        <v>8.2216181039526006E-8</v>
      </c>
      <c r="AB70">
        <v>0.99459223320465695</v>
      </c>
      <c r="AC70">
        <v>9</v>
      </c>
      <c r="AD70" s="1">
        <v>7.9234154556364098E-8</v>
      </c>
      <c r="AE70">
        <v>0.99673764645054297</v>
      </c>
      <c r="AF70">
        <v>9</v>
      </c>
      <c r="AG70" s="1">
        <v>7.4292911482787204E-8</v>
      </c>
      <c r="AH70">
        <v>0.96570127186985799</v>
      </c>
    </row>
    <row r="71" spans="2:34" x14ac:dyDescent="0.2">
      <c r="D71">
        <v>10</v>
      </c>
      <c r="E71" s="1">
        <v>7.3039474669868003E-7</v>
      </c>
      <c r="F71">
        <v>0.99577142876223601</v>
      </c>
      <c r="G71">
        <v>10</v>
      </c>
      <c r="H71" s="1">
        <v>7.79781769507803E-7</v>
      </c>
      <c r="I71">
        <v>0.998791905256178</v>
      </c>
      <c r="J71">
        <v>10</v>
      </c>
      <c r="K71" s="1">
        <v>7.4153617286914796E-7</v>
      </c>
      <c r="L71">
        <v>0.99932570605427795</v>
      </c>
      <c r="M71">
        <v>10</v>
      </c>
      <c r="N71" s="1">
        <v>7.8259887346938804E-7</v>
      </c>
      <c r="O71">
        <v>0.99902527214246795</v>
      </c>
      <c r="P71">
        <v>10</v>
      </c>
      <c r="Q71" s="1">
        <v>7.9717728691476705E-7</v>
      </c>
      <c r="R71">
        <v>0.99936046662828204</v>
      </c>
      <c r="T71">
        <v>10</v>
      </c>
      <c r="U71" s="1">
        <v>7.4912429025725804E-8</v>
      </c>
      <c r="V71">
        <v>0.99493361815869497</v>
      </c>
      <c r="W71">
        <v>10</v>
      </c>
      <c r="X71" s="1">
        <v>8.3168043793594794E-8</v>
      </c>
      <c r="Y71">
        <v>0.99246210565743798</v>
      </c>
      <c r="Z71">
        <v>10</v>
      </c>
      <c r="AA71" s="1">
        <v>9.4684679869496702E-8</v>
      </c>
      <c r="AB71">
        <v>0.99768706572485299</v>
      </c>
      <c r="AC71">
        <v>10</v>
      </c>
      <c r="AD71" s="1">
        <v>6.1981089237230896E-8</v>
      </c>
      <c r="AE71">
        <v>0.963538285960026</v>
      </c>
      <c r="AF71">
        <v>10</v>
      </c>
      <c r="AG71" s="1">
        <v>1.00528964186605E-7</v>
      </c>
      <c r="AH71">
        <v>0.99541869629248003</v>
      </c>
    </row>
    <row r="72" spans="2:34" x14ac:dyDescent="0.2">
      <c r="D72" t="s">
        <v>21</v>
      </c>
      <c r="E72" s="1">
        <v>7.5420148960384102E-7</v>
      </c>
      <c r="F72" s="1">
        <v>3.3886940717675801E-8</v>
      </c>
      <c r="G72" t="s">
        <v>21</v>
      </c>
      <c r="H72" s="1">
        <v>7.3627215783913601E-7</v>
      </c>
      <c r="I72" s="1">
        <v>2.95766768623203E-8</v>
      </c>
      <c r="J72" t="s">
        <v>21</v>
      </c>
      <c r="K72" s="1">
        <v>7.1995753983193301E-7</v>
      </c>
      <c r="L72" s="1">
        <v>2.8335663284743901E-8</v>
      </c>
      <c r="M72" t="s">
        <v>21</v>
      </c>
      <c r="N72" s="1">
        <v>7.7918091803121201E-7</v>
      </c>
      <c r="O72" s="1">
        <v>3.29331123249983E-8</v>
      </c>
      <c r="P72" t="s">
        <v>21</v>
      </c>
      <c r="Q72" s="1">
        <v>7.8863523510204097E-7</v>
      </c>
      <c r="R72" s="1">
        <v>2.6112319018485702E-8</v>
      </c>
      <c r="T72" t="s">
        <v>21</v>
      </c>
      <c r="U72" s="1">
        <v>7.3126399708992697E-8</v>
      </c>
      <c r="V72" s="1">
        <v>7.96442755855507E-9</v>
      </c>
      <c r="W72" t="s">
        <v>21</v>
      </c>
      <c r="X72" s="1">
        <v>7.9927205733143399E-8</v>
      </c>
      <c r="Y72" s="1">
        <v>7.6718320362189603E-9</v>
      </c>
      <c r="Z72" t="s">
        <v>21</v>
      </c>
      <c r="AA72" s="1">
        <v>7.9759194920123005E-8</v>
      </c>
      <c r="AB72" s="1">
        <v>1.1798407144537599E-8</v>
      </c>
      <c r="AC72" t="s">
        <v>21</v>
      </c>
      <c r="AD72" s="1">
        <v>7.6761399346733704E-8</v>
      </c>
      <c r="AE72" s="1">
        <v>1.12013956457349E-8</v>
      </c>
      <c r="AF72" t="s">
        <v>21</v>
      </c>
      <c r="AG72" s="1">
        <v>8.4544237136428505E-8</v>
      </c>
      <c r="AH72" s="1">
        <v>8.7495511694253099E-9</v>
      </c>
    </row>
    <row r="73" spans="2:34" x14ac:dyDescent="0.2">
      <c r="F73" s="4">
        <f>F72/E72</f>
        <v>4.4930885426221548E-2</v>
      </c>
      <c r="I73" s="4">
        <f>I72/H72</f>
        <v>4.0170847895598875E-2</v>
      </c>
      <c r="L73" s="4">
        <f>L72/K72</f>
        <v>3.9357408898528352E-2</v>
      </c>
      <c r="O73" s="4">
        <f>O72/N72</f>
        <v>4.2266322959001269E-2</v>
      </c>
      <c r="R73" s="4">
        <f>R72/Q72</f>
        <v>3.3110768903328348E-2</v>
      </c>
      <c r="V73" s="4">
        <f>V72/U72</f>
        <v>0.10891316392232622</v>
      </c>
      <c r="Y73" s="4">
        <f>Y72/X72</f>
        <v>9.59852401425524E-2</v>
      </c>
      <c r="AB73" s="4">
        <f>AB72/AA72</f>
        <v>0.14792535401533868</v>
      </c>
      <c r="AE73" s="4">
        <f>AE72/AD72</f>
        <v>0.14592484948245715</v>
      </c>
      <c r="AH73" s="4">
        <f>AH72/AG72</f>
        <v>0.10349080511905517</v>
      </c>
    </row>
    <row r="75" spans="2:34" x14ac:dyDescent="0.2">
      <c r="B75" t="s">
        <v>23</v>
      </c>
      <c r="D75" t="s">
        <v>0</v>
      </c>
      <c r="E75" s="2"/>
      <c r="F75" s="2"/>
      <c r="G75" s="2" t="s">
        <v>1</v>
      </c>
      <c r="H75" s="2"/>
      <c r="I75" s="2"/>
      <c r="J75" s="1" t="s">
        <v>2</v>
      </c>
      <c r="M75" s="2" t="s">
        <v>3</v>
      </c>
      <c r="N75" s="2"/>
      <c r="O75" s="2"/>
      <c r="P75" s="2" t="s">
        <v>4</v>
      </c>
      <c r="Q75" s="2"/>
      <c r="R75" s="1"/>
      <c r="T75" t="s">
        <v>5</v>
      </c>
      <c r="U75" s="2"/>
      <c r="V75" s="2"/>
      <c r="W75" s="2" t="s">
        <v>6</v>
      </c>
      <c r="X75" s="2"/>
      <c r="Y75" s="2"/>
      <c r="Z75" s="1" t="s">
        <v>7</v>
      </c>
      <c r="AC75" s="2" t="s">
        <v>8</v>
      </c>
      <c r="AD75" s="2"/>
      <c r="AE75" s="2"/>
      <c r="AF75" s="2" t="s">
        <v>9</v>
      </c>
      <c r="AG75" s="2"/>
      <c r="AH75" s="1"/>
    </row>
    <row r="76" spans="2:34" x14ac:dyDescent="0.2">
      <c r="D76">
        <v>1</v>
      </c>
      <c r="E76" s="2">
        <v>5.2997100408163202E-7</v>
      </c>
      <c r="F76" s="2">
        <v>0.99821651083410801</v>
      </c>
      <c r="G76">
        <v>1</v>
      </c>
      <c r="H76" s="2">
        <v>5.0408201776710698E-7</v>
      </c>
      <c r="I76" s="2">
        <v>0.99912373181301195</v>
      </c>
      <c r="J76">
        <v>1</v>
      </c>
      <c r="K76" s="1">
        <v>4.7911774021608697E-7</v>
      </c>
      <c r="L76">
        <v>0.99810459038731503</v>
      </c>
      <c r="M76">
        <v>1</v>
      </c>
      <c r="N76" s="2">
        <v>5.7659891092437E-7</v>
      </c>
      <c r="O76" s="2">
        <v>0.99840354576923596</v>
      </c>
      <c r="P76">
        <v>1</v>
      </c>
      <c r="Q76" s="2">
        <v>5.1036569939975995E-7</v>
      </c>
      <c r="R76" s="1">
        <v>0.99744772461857001</v>
      </c>
      <c r="T76">
        <v>1</v>
      </c>
      <c r="U76" s="2">
        <v>3.1980821983049497E-8</v>
      </c>
      <c r="V76" s="2">
        <v>0.98742076904884502</v>
      </c>
      <c r="W76">
        <v>1</v>
      </c>
      <c r="X76" s="2">
        <v>2.6948990452261201E-8</v>
      </c>
      <c r="Y76" s="2">
        <v>0.98894998099479503</v>
      </c>
      <c r="Z76">
        <v>1</v>
      </c>
      <c r="AA76" s="1">
        <v>4.04849363984101E-8</v>
      </c>
      <c r="AB76">
        <v>0.99192320219279195</v>
      </c>
      <c r="AC76">
        <v>1</v>
      </c>
      <c r="AD76" s="2">
        <v>3.05653433360833E-8</v>
      </c>
      <c r="AE76" s="2">
        <v>0.97181223821104501</v>
      </c>
      <c r="AF76">
        <v>1</v>
      </c>
      <c r="AG76" s="2">
        <v>2.5982524360609198E-8</v>
      </c>
      <c r="AH76" s="1">
        <v>0.95275147220912504</v>
      </c>
    </row>
    <row r="77" spans="2:34" x14ac:dyDescent="0.2">
      <c r="D77">
        <v>2</v>
      </c>
      <c r="E77" s="2">
        <v>5.1501336134453798E-7</v>
      </c>
      <c r="F77" s="2">
        <v>0.99898525170388197</v>
      </c>
      <c r="G77">
        <v>2</v>
      </c>
      <c r="H77" s="2">
        <v>5.03427905402161E-7</v>
      </c>
      <c r="I77" s="2">
        <v>0.99879695760902398</v>
      </c>
      <c r="J77">
        <v>2</v>
      </c>
      <c r="K77" s="1">
        <v>4.6296263145258101E-7</v>
      </c>
      <c r="L77">
        <v>0.99693998023528796</v>
      </c>
      <c r="M77">
        <v>2</v>
      </c>
      <c r="N77" s="2">
        <v>5.9597250420168001E-7</v>
      </c>
      <c r="O77" s="2">
        <v>0.99722502086401599</v>
      </c>
      <c r="P77">
        <v>2</v>
      </c>
      <c r="Q77" s="2">
        <v>5.7230478079231799E-7</v>
      </c>
      <c r="R77" s="1">
        <v>0.998949151144914</v>
      </c>
      <c r="T77">
        <v>2</v>
      </c>
      <c r="U77" s="1">
        <v>1.7262254713867901E-8</v>
      </c>
      <c r="V77">
        <v>0.949605753991834</v>
      </c>
      <c r="W77">
        <v>2</v>
      </c>
      <c r="X77" s="1">
        <v>2.3667592499812301E-8</v>
      </c>
      <c r="Y77">
        <v>0.97564370738508299</v>
      </c>
      <c r="Z77">
        <v>2</v>
      </c>
      <c r="AA77" s="1">
        <v>2.9617936975924399E-8</v>
      </c>
      <c r="AB77">
        <v>0.98988756229810304</v>
      </c>
      <c r="AC77">
        <v>2</v>
      </c>
      <c r="AD77" s="1">
        <v>2.8891275339383499E-8</v>
      </c>
      <c r="AE77">
        <v>0.93403128462344198</v>
      </c>
      <c r="AF77">
        <v>2</v>
      </c>
      <c r="AG77" s="1">
        <v>2.36619166204154E-8</v>
      </c>
      <c r="AH77">
        <v>0.88267320251047299</v>
      </c>
    </row>
    <row r="78" spans="2:34" x14ac:dyDescent="0.2">
      <c r="D78">
        <v>3</v>
      </c>
      <c r="E78" s="2">
        <v>5.6577819159663797E-7</v>
      </c>
      <c r="F78" s="2">
        <v>0.99712140162602503</v>
      </c>
      <c r="G78">
        <v>3</v>
      </c>
      <c r="H78" s="2">
        <v>5.3235750300120001E-7</v>
      </c>
      <c r="I78" s="2">
        <v>0.99827630039424298</v>
      </c>
      <c r="J78">
        <v>3</v>
      </c>
      <c r="K78" s="1">
        <v>4.96361312845138E-7</v>
      </c>
      <c r="L78">
        <v>0.99711388627476605</v>
      </c>
      <c r="M78">
        <v>3</v>
      </c>
      <c r="N78" s="2">
        <v>5.9142377286914803E-7</v>
      </c>
      <c r="O78" s="2">
        <v>0.99939206707444495</v>
      </c>
      <c r="P78">
        <v>3</v>
      </c>
      <c r="Q78" s="2">
        <v>5.6364185354141698E-7</v>
      </c>
      <c r="R78" s="1">
        <v>0.99899219921821403</v>
      </c>
      <c r="T78">
        <v>3</v>
      </c>
      <c r="U78" s="1">
        <v>3.9564235220880499E-8</v>
      </c>
      <c r="V78">
        <v>0.98501819884632502</v>
      </c>
      <c r="W78">
        <v>3</v>
      </c>
      <c r="X78" s="1">
        <v>3.1517997277431997E-8</v>
      </c>
      <c r="Y78">
        <v>0.96717448479437895</v>
      </c>
      <c r="Z78">
        <v>3</v>
      </c>
      <c r="AA78" s="1">
        <v>2.5861670546763699E-8</v>
      </c>
      <c r="AB78">
        <v>0.94707047176342696</v>
      </c>
      <c r="AC78">
        <v>3</v>
      </c>
      <c r="AD78" s="1">
        <v>3.4303545166129099E-8</v>
      </c>
      <c r="AE78">
        <v>0.97291336456253497</v>
      </c>
      <c r="AF78">
        <v>3</v>
      </c>
      <c r="AG78" s="1">
        <v>3.5874737943448498E-8</v>
      </c>
      <c r="AH78">
        <v>0.99039900656320301</v>
      </c>
    </row>
    <row r="79" spans="2:34" x14ac:dyDescent="0.2">
      <c r="D79">
        <v>4</v>
      </c>
      <c r="E79" s="2">
        <v>3.93348957983193E-7</v>
      </c>
      <c r="F79" s="2">
        <v>0.98174027887368698</v>
      </c>
      <c r="G79">
        <v>4</v>
      </c>
      <c r="H79" s="2">
        <v>4.6384141128451401E-7</v>
      </c>
      <c r="I79" s="2">
        <v>0.99586227356517398</v>
      </c>
      <c r="J79">
        <v>4</v>
      </c>
      <c r="K79" s="1">
        <v>4.7153931380552198E-7</v>
      </c>
      <c r="L79">
        <v>0.99315852983425201</v>
      </c>
      <c r="M79">
        <v>4</v>
      </c>
      <c r="N79" s="2">
        <v>5.9989537767106898E-7</v>
      </c>
      <c r="O79" s="2">
        <v>0.99621584385135198</v>
      </c>
      <c r="P79">
        <v>4</v>
      </c>
      <c r="Q79" s="2">
        <v>4.8876216278511404E-7</v>
      </c>
      <c r="R79" s="1">
        <v>0.99714486813745495</v>
      </c>
      <c r="T79">
        <v>4</v>
      </c>
      <c r="U79" s="1">
        <v>3.0508810702767498E-8</v>
      </c>
      <c r="V79">
        <v>0.97376274571491095</v>
      </c>
      <c r="W79">
        <v>4</v>
      </c>
      <c r="X79" s="1">
        <v>3.2706280732018299E-8</v>
      </c>
      <c r="Y79">
        <v>0.98078102145756496</v>
      </c>
      <c r="Z79">
        <v>4</v>
      </c>
      <c r="AA79" s="1">
        <v>3.4973453371334301E-8</v>
      </c>
      <c r="AB79">
        <v>0.99105521877629998</v>
      </c>
      <c r="AC79">
        <v>4</v>
      </c>
      <c r="AD79" s="1">
        <v>3.2385385787144702E-8</v>
      </c>
      <c r="AE79">
        <v>0.97327064036055999</v>
      </c>
      <c r="AF79">
        <v>4</v>
      </c>
      <c r="AG79" s="1">
        <v>2.1469233788344599E-8</v>
      </c>
      <c r="AH79">
        <v>0.98621906873210197</v>
      </c>
    </row>
    <row r="80" spans="2:34" x14ac:dyDescent="0.2">
      <c r="D80">
        <v>5</v>
      </c>
      <c r="E80" s="2">
        <v>5.4687293013205303E-7</v>
      </c>
      <c r="F80" s="2">
        <v>0.99904841411821099</v>
      </c>
      <c r="G80">
        <v>5</v>
      </c>
      <c r="H80" s="2">
        <v>4.7628034957983097E-7</v>
      </c>
      <c r="I80" s="2">
        <v>0.99680165816001598</v>
      </c>
      <c r="J80">
        <v>5</v>
      </c>
      <c r="K80" s="1">
        <v>5.2612211092437E-7</v>
      </c>
      <c r="L80">
        <v>0.99834427604106701</v>
      </c>
      <c r="M80">
        <v>5</v>
      </c>
      <c r="N80" s="2">
        <v>5.09881943817527E-7</v>
      </c>
      <c r="O80" s="2">
        <v>0.99658987414658895</v>
      </c>
      <c r="P80">
        <v>5</v>
      </c>
      <c r="Q80" s="2">
        <v>4.9704724609843903E-7</v>
      </c>
      <c r="R80" s="1">
        <v>0.99002179439843996</v>
      </c>
      <c r="T80">
        <v>5</v>
      </c>
      <c r="U80" s="1">
        <v>2.33537874896872E-8</v>
      </c>
      <c r="V80">
        <v>0.93513977450768304</v>
      </c>
      <c r="W80">
        <v>5</v>
      </c>
      <c r="X80" s="1">
        <v>2.7092226835670901E-8</v>
      </c>
      <c r="Y80">
        <v>0.99111522368236005</v>
      </c>
      <c r="Z80">
        <v>5</v>
      </c>
      <c r="AA80" s="1">
        <v>1.87415045601141E-8</v>
      </c>
      <c r="AB80">
        <v>0.94719545846022601</v>
      </c>
      <c r="AC80">
        <v>5</v>
      </c>
      <c r="AD80" s="1">
        <v>1.8630676111902799E-8</v>
      </c>
      <c r="AE80">
        <v>0.97452976977425099</v>
      </c>
      <c r="AF80">
        <v>5</v>
      </c>
      <c r="AG80" s="1">
        <v>2.11875023475586E-8</v>
      </c>
      <c r="AH80">
        <v>0.88315783546285798</v>
      </c>
    </row>
    <row r="81" spans="4:34" x14ac:dyDescent="0.2">
      <c r="D81">
        <v>6</v>
      </c>
      <c r="E81" s="1">
        <v>4.7368712941176502E-7</v>
      </c>
      <c r="F81" s="1">
        <v>0.99833826412899995</v>
      </c>
      <c r="G81">
        <v>6</v>
      </c>
      <c r="H81" s="1">
        <v>5.0794465546218504E-7</v>
      </c>
      <c r="I81" s="1">
        <v>0.99885958608729697</v>
      </c>
      <c r="J81">
        <v>6</v>
      </c>
      <c r="K81" s="1">
        <v>4.5329677262905199E-7</v>
      </c>
      <c r="L81" s="1">
        <v>0.99789408952581504</v>
      </c>
      <c r="M81">
        <v>6</v>
      </c>
      <c r="N81" s="1">
        <v>5.19141848259304E-7</v>
      </c>
      <c r="O81" s="1">
        <v>0.99611408644199595</v>
      </c>
      <c r="P81">
        <v>6</v>
      </c>
      <c r="Q81" s="1">
        <v>5.4735692581032398E-7</v>
      </c>
      <c r="R81" s="1">
        <v>0.998299731475362</v>
      </c>
      <c r="T81">
        <v>6</v>
      </c>
      <c r="U81" s="1">
        <v>1.9754987789694699E-8</v>
      </c>
      <c r="V81">
        <v>0.93707245934379202</v>
      </c>
      <c r="W81">
        <v>6</v>
      </c>
      <c r="X81" s="1">
        <v>2.26265833195831E-8</v>
      </c>
      <c r="Y81">
        <v>0.881449414395715</v>
      </c>
      <c r="Z81">
        <v>6</v>
      </c>
      <c r="AA81" s="1">
        <v>3.7721230225755699E-8</v>
      </c>
      <c r="AB81">
        <v>0.98470726598316505</v>
      </c>
      <c r="AC81">
        <v>6</v>
      </c>
      <c r="AD81" s="1">
        <v>2.0866528283207E-8</v>
      </c>
      <c r="AE81">
        <v>0.96679435355916299</v>
      </c>
      <c r="AF81">
        <v>6</v>
      </c>
      <c r="AG81" s="1">
        <v>2.2476166511662701E-8</v>
      </c>
      <c r="AH81">
        <v>0.951934411415573</v>
      </c>
    </row>
    <row r="82" spans="4:34" x14ac:dyDescent="0.2">
      <c r="D82">
        <v>7</v>
      </c>
      <c r="E82" s="1">
        <v>6.1605885810324205E-7</v>
      </c>
      <c r="F82" s="3">
        <v>0.99788353731655699</v>
      </c>
      <c r="G82">
        <v>7</v>
      </c>
      <c r="H82" s="1">
        <v>4.4371413109243702E-7</v>
      </c>
      <c r="I82" s="3">
        <v>0.99043991473501702</v>
      </c>
      <c r="J82">
        <v>7</v>
      </c>
      <c r="K82" s="1">
        <v>4.50279876110444E-7</v>
      </c>
      <c r="L82" s="3">
        <v>0.99691022961438502</v>
      </c>
      <c r="M82">
        <v>7</v>
      </c>
      <c r="N82" s="1">
        <v>4.6992167731092399E-7</v>
      </c>
      <c r="O82" s="3">
        <v>0.99780853791231805</v>
      </c>
      <c r="P82">
        <v>7</v>
      </c>
      <c r="Q82" s="1">
        <v>5.5587145066026497E-7</v>
      </c>
      <c r="R82" s="3">
        <v>0.997893318222002</v>
      </c>
      <c r="T82">
        <v>7</v>
      </c>
      <c r="U82" s="1">
        <v>2.83858256881422E-8</v>
      </c>
      <c r="V82">
        <v>0.97779497447333097</v>
      </c>
      <c r="W82">
        <v>7</v>
      </c>
      <c r="X82" s="1">
        <v>1.40728827495686E-8</v>
      </c>
      <c r="Y82">
        <v>0.76559618571493704</v>
      </c>
      <c r="Z82">
        <v>7</v>
      </c>
      <c r="AA82" s="1">
        <v>2.5898985779644499E-8</v>
      </c>
      <c r="AB82">
        <v>0.94228659033532203</v>
      </c>
      <c r="AC82">
        <v>7</v>
      </c>
      <c r="AD82" s="1">
        <v>3.4236781272031901E-8</v>
      </c>
      <c r="AE82">
        <v>0.98116342359527298</v>
      </c>
      <c r="AF82">
        <v>7</v>
      </c>
      <c r="AG82" s="1">
        <v>2.90204832220806E-8</v>
      </c>
      <c r="AH82">
        <v>0.96952881942282898</v>
      </c>
    </row>
    <row r="83" spans="4:34" x14ac:dyDescent="0.2">
      <c r="D83">
        <v>8</v>
      </c>
      <c r="E83" s="1">
        <v>5.7904645810324098E-7</v>
      </c>
      <c r="F83">
        <v>0.99697202537993801</v>
      </c>
      <c r="G83">
        <v>8</v>
      </c>
      <c r="H83" s="1">
        <v>5.2756629627851096E-7</v>
      </c>
      <c r="I83">
        <v>0.99936729224745402</v>
      </c>
      <c r="J83">
        <v>8</v>
      </c>
      <c r="K83" s="1">
        <v>5.0174714381752699E-7</v>
      </c>
      <c r="L83">
        <v>0.99793133985715099</v>
      </c>
      <c r="M83">
        <v>8</v>
      </c>
      <c r="N83" s="1">
        <v>4.7818324993997601E-7</v>
      </c>
      <c r="O83">
        <v>0.99827782064883097</v>
      </c>
      <c r="P83">
        <v>8</v>
      </c>
      <c r="Q83" s="1">
        <v>5.6431663529411698E-7</v>
      </c>
      <c r="R83">
        <v>0.99933357289569402</v>
      </c>
      <c r="T83">
        <v>8</v>
      </c>
      <c r="U83" s="1">
        <v>3.5127886267156599E-8</v>
      </c>
      <c r="V83">
        <v>0.97562931346572301</v>
      </c>
      <c r="W83">
        <v>8</v>
      </c>
      <c r="X83" s="1">
        <v>2.1069978751968702E-8</v>
      </c>
      <c r="Y83">
        <v>0.94934966884921801</v>
      </c>
      <c r="Z83">
        <v>8</v>
      </c>
      <c r="AA83" s="1">
        <v>6.1729907372685601E-9</v>
      </c>
      <c r="AB83">
        <v>0.65945237347214603</v>
      </c>
      <c r="AC83">
        <v>8</v>
      </c>
      <c r="AD83" s="1">
        <v>1.69614537013425E-8</v>
      </c>
      <c r="AE83">
        <v>0.83529946674751199</v>
      </c>
      <c r="AF83">
        <v>8</v>
      </c>
      <c r="AG83" s="1">
        <v>4.2816893587339602E-8</v>
      </c>
      <c r="AH83">
        <v>0.98649704100351099</v>
      </c>
    </row>
    <row r="84" spans="4:34" x14ac:dyDescent="0.2">
      <c r="D84">
        <v>9</v>
      </c>
      <c r="E84" s="1">
        <v>4.6517573061224501E-7</v>
      </c>
      <c r="F84">
        <v>0.99670960467512004</v>
      </c>
      <c r="G84">
        <v>9</v>
      </c>
      <c r="H84" s="1">
        <v>5.2014798127250902E-7</v>
      </c>
      <c r="I84">
        <v>0.99258895363512001</v>
      </c>
      <c r="J84">
        <v>9</v>
      </c>
      <c r="K84" s="1">
        <v>5.6153116542617099E-7</v>
      </c>
      <c r="L84">
        <v>0.99758549187269396</v>
      </c>
      <c r="M84">
        <v>9</v>
      </c>
      <c r="N84" s="1">
        <v>5.1581524033613498E-7</v>
      </c>
      <c r="O84">
        <v>0.998246554065361</v>
      </c>
      <c r="P84">
        <v>9</v>
      </c>
      <c r="Q84" s="1">
        <v>4.7840070204081603E-7</v>
      </c>
      <c r="R84">
        <v>0.998653018814875</v>
      </c>
      <c r="T84">
        <v>9</v>
      </c>
      <c r="U84" s="1">
        <v>3.4973223768094102E-8</v>
      </c>
      <c r="V84">
        <v>0.96891749979253905</v>
      </c>
      <c r="W84">
        <v>9</v>
      </c>
      <c r="X84" s="1">
        <v>2.23034240531014E-8</v>
      </c>
      <c r="Y84">
        <v>0.94353045650103295</v>
      </c>
      <c r="Z84">
        <v>9</v>
      </c>
      <c r="AA84" s="1">
        <v>2.5371290107252701E-8</v>
      </c>
      <c r="AB84">
        <v>0.94769671456826499</v>
      </c>
      <c r="AC84">
        <v>9</v>
      </c>
      <c r="AD84" s="1">
        <v>2.63383276231906E-8</v>
      </c>
      <c r="AE84">
        <v>0.974411304408625</v>
      </c>
      <c r="AF84">
        <v>9</v>
      </c>
      <c r="AG84" s="1">
        <v>3.3146964051601301E-8</v>
      </c>
      <c r="AH84">
        <v>0.92206893739932905</v>
      </c>
    </row>
    <row r="85" spans="4:34" x14ac:dyDescent="0.2">
      <c r="D85">
        <v>10</v>
      </c>
      <c r="E85" s="1">
        <v>5.2965405714285696E-7</v>
      </c>
      <c r="F85">
        <v>0.99817737623982405</v>
      </c>
      <c r="G85">
        <v>10</v>
      </c>
      <c r="H85" s="1">
        <v>5.2519643649459795E-7</v>
      </c>
      <c r="I85">
        <v>0.99313487295057501</v>
      </c>
      <c r="J85">
        <v>10</v>
      </c>
      <c r="K85" s="1">
        <v>4.9469925234093599E-7</v>
      </c>
      <c r="L85">
        <v>0.99652817349922995</v>
      </c>
      <c r="M85">
        <v>10</v>
      </c>
      <c r="N85" s="1">
        <v>5.78682097959183E-7</v>
      </c>
      <c r="O85">
        <v>0.99900983193613602</v>
      </c>
      <c r="P85">
        <v>10</v>
      </c>
      <c r="Q85" s="1">
        <v>5.5366192605042095E-7</v>
      </c>
      <c r="R85">
        <v>0.99685526733864704</v>
      </c>
      <c r="T85">
        <v>10</v>
      </c>
      <c r="U85" s="1">
        <v>2.5702636803420199E-8</v>
      </c>
      <c r="V85">
        <v>0.98483662193506105</v>
      </c>
      <c r="W85">
        <v>10</v>
      </c>
      <c r="X85" s="1">
        <v>3.0836432018300403E-8</v>
      </c>
      <c r="Y85">
        <v>0.98524411659236</v>
      </c>
      <c r="Z85">
        <v>10</v>
      </c>
      <c r="AA85" s="1">
        <v>2.46482691817288E-9</v>
      </c>
      <c r="AB85">
        <v>0.55169483900196303</v>
      </c>
      <c r="AC85">
        <v>10</v>
      </c>
      <c r="AD85" s="1">
        <v>3.3675468724218099E-8</v>
      </c>
      <c r="AE85">
        <v>0.99393968932570398</v>
      </c>
      <c r="AF85">
        <v>10</v>
      </c>
      <c r="AG85" s="1">
        <v>1.36058578039451E-8</v>
      </c>
      <c r="AH85">
        <v>0.81890995799381705</v>
      </c>
    </row>
    <row r="86" spans="4:34" x14ac:dyDescent="0.2">
      <c r="D86" t="s">
        <v>21</v>
      </c>
      <c r="E86" s="1">
        <v>5.2146066785114005E-7</v>
      </c>
      <c r="F86" s="1">
        <v>6.4047558176564696E-8</v>
      </c>
      <c r="G86" t="s">
        <v>21</v>
      </c>
      <c r="H86" s="1">
        <v>5.0045586876350503E-7</v>
      </c>
      <c r="I86" s="1">
        <v>2.97682295905769E-8</v>
      </c>
      <c r="J86" t="s">
        <v>21</v>
      </c>
      <c r="K86" s="1">
        <v>4.8976573195678295E-7</v>
      </c>
      <c r="L86" s="1">
        <v>3.4539132915891999E-8</v>
      </c>
      <c r="M86" t="s">
        <v>21</v>
      </c>
      <c r="N86" s="1">
        <v>5.4355166232893197E-7</v>
      </c>
      <c r="O86" s="1">
        <v>5.0259071199575798E-8</v>
      </c>
      <c r="P86" t="s">
        <v>21</v>
      </c>
      <c r="Q86" s="1">
        <v>5.3317293824729902E-7</v>
      </c>
      <c r="R86" s="1">
        <v>3.5532994009250099E-8</v>
      </c>
      <c r="T86" t="s">
        <v>21</v>
      </c>
      <c r="U86" s="1">
        <v>2.8661447042675999E-8</v>
      </c>
      <c r="V86" s="1">
        <v>7.1587051241380303E-9</v>
      </c>
      <c r="W86" t="s">
        <v>21</v>
      </c>
      <c r="X86" s="1">
        <v>2.5284238868971699E-8</v>
      </c>
      <c r="Y86" s="1">
        <v>5.7040915747633304E-9</v>
      </c>
      <c r="Z86" t="s">
        <v>21</v>
      </c>
      <c r="AA86" s="1">
        <v>2.4730882562064101E-8</v>
      </c>
      <c r="AB86" s="1">
        <v>1.25823129940145E-8</v>
      </c>
      <c r="AC86" t="s">
        <v>21</v>
      </c>
      <c r="AD86" s="1">
        <v>2.76854785344634E-8</v>
      </c>
      <c r="AE86" s="1">
        <v>6.6645171952148003E-9</v>
      </c>
      <c r="AF86" t="s">
        <v>21</v>
      </c>
      <c r="AG86" s="1">
        <v>2.6924228023700601E-8</v>
      </c>
      <c r="AH86" s="1">
        <v>8.4798183790059994E-9</v>
      </c>
    </row>
    <row r="87" spans="4:34" x14ac:dyDescent="0.2">
      <c r="F87" s="4">
        <f>F86/E86</f>
        <v>0.12282337312322121</v>
      </c>
      <c r="I87" s="4">
        <f>I86/H86</f>
        <v>5.9482227002605394E-2</v>
      </c>
      <c r="L87" s="4">
        <f>L86/K86</f>
        <v>7.0521742666430035E-2</v>
      </c>
      <c r="O87" s="4">
        <f>O86/N86</f>
        <v>9.2464202913542681E-2</v>
      </c>
      <c r="R87" s="4">
        <f>R86/Q86</f>
        <v>6.6644406458545732E-2</v>
      </c>
      <c r="V87" s="4">
        <f>V86/U86</f>
        <v>0.24976774946076316</v>
      </c>
      <c r="Y87" s="4">
        <f>Y86/X86</f>
        <v>0.22559870614745992</v>
      </c>
      <c r="AB87" s="4">
        <f>AB86/AA86</f>
        <v>0.50876926702628555</v>
      </c>
      <c r="AE87" s="4">
        <f>AE86/AD86</f>
        <v>0.24072248514392428</v>
      </c>
      <c r="AH87" s="4">
        <f>AH86/AG86</f>
        <v>0.3149512168572286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1C1F-5D8C-EE4C-A02E-27F3CBB1190E}">
  <dimension ref="A1:AH87"/>
  <sheetViews>
    <sheetView topLeftCell="B1" workbookViewId="0">
      <selection activeCell="E10" sqref="E10:I14"/>
    </sheetView>
  </sheetViews>
  <sheetFormatPr baseColWidth="10" defaultRowHeight="16" x14ac:dyDescent="0.2"/>
  <sheetData>
    <row r="1" spans="1:18" x14ac:dyDescent="0.2">
      <c r="E1" s="2"/>
      <c r="F1" s="2"/>
      <c r="G1" s="2"/>
      <c r="H1" s="2"/>
      <c r="I1" s="2"/>
      <c r="J1" s="1"/>
      <c r="K1" s="1"/>
      <c r="M1" s="2"/>
      <c r="N1" s="2"/>
      <c r="O1" s="2"/>
      <c r="P1" s="2"/>
      <c r="Q1" s="2"/>
      <c r="R1" s="1"/>
    </row>
    <row r="2" spans="1:18" x14ac:dyDescent="0.2">
      <c r="D2" t="s">
        <v>12</v>
      </c>
      <c r="E2">
        <v>0</v>
      </c>
      <c r="F2">
        <v>5</v>
      </c>
      <c r="G2">
        <v>10</v>
      </c>
      <c r="H2">
        <v>-5</v>
      </c>
      <c r="I2">
        <v>-10</v>
      </c>
      <c r="L2" t="s">
        <v>12</v>
      </c>
      <c r="M2">
        <v>0</v>
      </c>
      <c r="N2">
        <v>5</v>
      </c>
      <c r="O2">
        <v>10</v>
      </c>
      <c r="P2">
        <v>-5</v>
      </c>
      <c r="Q2">
        <v>-10</v>
      </c>
    </row>
    <row r="3" spans="1:18" x14ac:dyDescent="0.2">
      <c r="C3" t="s">
        <v>13</v>
      </c>
      <c r="D3" t="s">
        <v>14</v>
      </c>
      <c r="L3" t="s">
        <v>15</v>
      </c>
    </row>
    <row r="4" spans="1:18" x14ac:dyDescent="0.2">
      <c r="C4">
        <f>1/((0.000086173)*D4)</f>
        <v>9.670469095114866</v>
      </c>
      <c r="D4">
        <v>1200</v>
      </c>
      <c r="E4" s="1">
        <v>7.9063743836734703E-7</v>
      </c>
      <c r="F4" s="1">
        <v>7.6817911870348105E-7</v>
      </c>
      <c r="G4" s="1">
        <v>7.3785388859543798E-7</v>
      </c>
      <c r="H4" s="1">
        <v>8.4288524297719105E-7</v>
      </c>
      <c r="I4" s="1">
        <v>8.5314614074429803E-7</v>
      </c>
      <c r="J4" s="1"/>
      <c r="K4">
        <v>1200</v>
      </c>
      <c r="L4">
        <v>1200</v>
      </c>
      <c r="M4" s="1">
        <v>1.47833987822696E-7</v>
      </c>
      <c r="N4" s="1">
        <v>1.44159265723393E-7</v>
      </c>
      <c r="O4" s="1">
        <v>1.38074048481962E-7</v>
      </c>
      <c r="P4" s="1">
        <v>1.4305217349133699E-7</v>
      </c>
      <c r="Q4" s="1">
        <v>1.52297941159529E-7</v>
      </c>
      <c r="R4" s="1"/>
    </row>
    <row r="5" spans="1:18" x14ac:dyDescent="0.2">
      <c r="A5" t="s">
        <v>16</v>
      </c>
      <c r="B5">
        <v>1</v>
      </c>
      <c r="C5">
        <f t="shared" ref="C5:C8" si="0">1/((0.000086173)*D5)</f>
        <v>10.549602649216217</v>
      </c>
      <c r="D5">
        <v>1100</v>
      </c>
      <c r="E5" s="1">
        <v>5.6078746343337397E-7</v>
      </c>
      <c r="F5" s="1">
        <v>5.27579851188475E-7</v>
      </c>
      <c r="G5" s="1">
        <v>5.2549779274909998E-7</v>
      </c>
      <c r="H5" s="1">
        <v>5.9872351673469398E-7</v>
      </c>
      <c r="I5" s="1">
        <v>6.3752115625450197E-7</v>
      </c>
      <c r="J5" s="1"/>
      <c r="L5">
        <v>1100</v>
      </c>
      <c r="M5" s="1">
        <v>7.6202848005700097E-8</v>
      </c>
      <c r="N5" s="1">
        <v>6.7637707930698305E-8</v>
      </c>
      <c r="O5" s="1">
        <v>7.4446734997374896E-8</v>
      </c>
      <c r="P5" s="1">
        <v>8.1960221482215203E-8</v>
      </c>
      <c r="Q5" s="1">
        <v>8.0980561115841097E-8</v>
      </c>
      <c r="R5" s="1"/>
    </row>
    <row r="6" spans="1:18" x14ac:dyDescent="0.2">
      <c r="A6" t="s">
        <v>17</v>
      </c>
      <c r="B6">
        <f>B5/0.002</f>
        <v>500</v>
      </c>
      <c r="C6">
        <f t="shared" si="0"/>
        <v>11.604562914137839</v>
      </c>
      <c r="D6">
        <v>1000</v>
      </c>
      <c r="E6" s="1">
        <v>3.7730547418967601E-7</v>
      </c>
      <c r="F6" s="1">
        <v>3.4147691087635101E-7</v>
      </c>
      <c r="G6" s="1">
        <v>3.3780555860744302E-7</v>
      </c>
      <c r="H6" s="1">
        <v>3.8040757440576202E-7</v>
      </c>
      <c r="I6" s="1">
        <v>4.0752474727491E-7</v>
      </c>
      <c r="J6" s="1"/>
      <c r="L6">
        <v>1000</v>
      </c>
      <c r="M6" s="1">
        <v>3.1703450441761101E-8</v>
      </c>
      <c r="N6" s="1">
        <v>2.65308230863272E-8</v>
      </c>
      <c r="O6" s="1">
        <v>2.8578215070876801E-8</v>
      </c>
      <c r="P6" s="1">
        <v>3.3858890994524899E-8</v>
      </c>
      <c r="Q6" s="1">
        <v>3.0902866110402697E-8</v>
      </c>
      <c r="R6" s="1"/>
    </row>
    <row r="7" spans="1:18" x14ac:dyDescent="0.2">
      <c r="A7" t="s">
        <v>18</v>
      </c>
      <c r="B7">
        <f>B6/(0.000000000001)*(0.0000000000000001)</f>
        <v>4.9999999999999996E-2</v>
      </c>
      <c r="C7">
        <f t="shared" si="0"/>
        <v>12.893958793486487</v>
      </c>
      <c r="D7">
        <v>900</v>
      </c>
      <c r="E7" s="1">
        <v>1.93687310060024E-7</v>
      </c>
      <c r="F7" s="1">
        <v>2.0411877584633799E-7</v>
      </c>
      <c r="G7" s="1">
        <v>1.89435715390156E-7</v>
      </c>
      <c r="H7" s="1">
        <v>2.32302936758704E-7</v>
      </c>
      <c r="I7" s="1">
        <v>2.5563717162064803E-7</v>
      </c>
      <c r="J7" s="1"/>
      <c r="L7">
        <v>900</v>
      </c>
      <c r="M7" s="1">
        <v>1.3378811080027001E-8</v>
      </c>
      <c r="N7" s="1">
        <v>1.1463191167029201E-8</v>
      </c>
      <c r="O7" s="1">
        <v>1.0154447842196E-8</v>
      </c>
      <c r="P7" s="1">
        <v>1.10561448916223E-8</v>
      </c>
      <c r="Q7" s="1">
        <v>1.18726681264532E-8</v>
      </c>
      <c r="R7" s="1"/>
    </row>
    <row r="8" spans="1:18" x14ac:dyDescent="0.2">
      <c r="C8">
        <f t="shared" si="0"/>
        <v>14.5057036426723</v>
      </c>
      <c r="D8">
        <v>800</v>
      </c>
      <c r="E8" s="1">
        <v>9.5272954381752602E-8</v>
      </c>
      <c r="F8" s="1">
        <v>9.0526947515006097E-8</v>
      </c>
      <c r="G8" s="1">
        <v>6.9869085042016705E-8</v>
      </c>
      <c r="H8" s="1">
        <v>1.07214191980792E-7</v>
      </c>
      <c r="I8" s="1">
        <v>1.0215237757503E-7</v>
      </c>
      <c r="J8" s="1"/>
      <c r="L8">
        <v>800</v>
      </c>
      <c r="M8" s="1">
        <v>1.80716521863047E-9</v>
      </c>
      <c r="N8" s="1">
        <v>4.6342668821720403E-9</v>
      </c>
      <c r="O8" s="1">
        <v>2.91215113927848E-9</v>
      </c>
      <c r="P8" s="1">
        <v>4.8368153393834797E-9</v>
      </c>
      <c r="Q8" s="1">
        <v>2.4856394607365098E-9</v>
      </c>
      <c r="R8" s="1"/>
    </row>
    <row r="9" spans="1:18" x14ac:dyDescent="0.2">
      <c r="D9" t="s">
        <v>19</v>
      </c>
      <c r="E9" s="1"/>
      <c r="F9" s="1"/>
      <c r="G9" s="1"/>
      <c r="H9" s="1"/>
      <c r="I9" s="1"/>
      <c r="J9" s="1"/>
      <c r="L9" t="s">
        <v>19</v>
      </c>
      <c r="M9" s="1"/>
      <c r="N9" s="1"/>
      <c r="O9" s="1"/>
      <c r="P9" s="1"/>
      <c r="Q9" s="1"/>
      <c r="R9" s="1"/>
    </row>
    <row r="10" spans="1:18" x14ac:dyDescent="0.2">
      <c r="C10">
        <f>1/((0.000086173)*D10)</f>
        <v>9.670469095114866</v>
      </c>
      <c r="D10">
        <v>1200</v>
      </c>
      <c r="E10" s="2">
        <f>E4*5489*$B$7/6</f>
        <v>3.6165074159986403E-5</v>
      </c>
      <c r="F10" s="2">
        <f t="shared" ref="F10:I10" si="1">F4*5489*$B$7/6</f>
        <v>3.5137793188028394E-5</v>
      </c>
      <c r="G10" s="2">
        <f t="shared" si="1"/>
        <v>3.3750666620836325E-5</v>
      </c>
      <c r="H10" s="2">
        <f t="shared" si="1"/>
        <v>3.8554975822515014E-5</v>
      </c>
      <c r="I10" s="2">
        <f t="shared" si="1"/>
        <v>3.9024326387878765E-5</v>
      </c>
      <c r="J10" s="1"/>
      <c r="L10">
        <v>1200</v>
      </c>
      <c r="M10" s="2">
        <f>M4*5487*$B$7/6</f>
        <v>6.7597090931927742E-6</v>
      </c>
      <c r="N10" s="2">
        <f t="shared" ref="N10:Q10" si="2">N4*5487*$B$7/6</f>
        <v>6.5916824252021444E-6</v>
      </c>
      <c r="O10" s="2">
        <f t="shared" si="2"/>
        <v>6.313435866837712E-6</v>
      </c>
      <c r="P10" s="2">
        <f t="shared" si="2"/>
        <v>6.5410606328913839E-6</v>
      </c>
      <c r="Q10" s="2">
        <f t="shared" si="2"/>
        <v>6.9638233595194631E-6</v>
      </c>
      <c r="R10" s="1"/>
    </row>
    <row r="11" spans="1:18" x14ac:dyDescent="0.2">
      <c r="C11">
        <f t="shared" ref="C11:C14" si="3">1/((0.000086173)*D11)</f>
        <v>10.549602649216217</v>
      </c>
      <c r="D11">
        <v>1100</v>
      </c>
      <c r="E11" s="2">
        <f t="shared" ref="E11:I14" si="4">E5*5489*$B$7/6</f>
        <v>2.5651353223214911E-5</v>
      </c>
      <c r="F11" s="2">
        <f t="shared" si="4"/>
        <v>2.4132381693112828E-5</v>
      </c>
      <c r="G11" s="2">
        <f t="shared" si="4"/>
        <v>2.4037144869998414E-5</v>
      </c>
      <c r="H11" s="2">
        <f t="shared" si="4"/>
        <v>2.738661152797279E-5</v>
      </c>
      <c r="I11" s="2">
        <f t="shared" si="4"/>
        <v>2.9161280222341341E-5</v>
      </c>
      <c r="J11" s="1"/>
      <c r="L11">
        <v>1100</v>
      </c>
      <c r="M11" s="2">
        <f t="shared" ref="M11:Q14" si="5">M5*5487*$B$7/6</f>
        <v>3.4843752250606368E-6</v>
      </c>
      <c r="N11" s="2">
        <f t="shared" si="5"/>
        <v>3.0927341951311797E-6</v>
      </c>
      <c r="O11" s="2">
        <f t="shared" si="5"/>
        <v>3.4040769577549671E-6</v>
      </c>
      <c r="P11" s="2">
        <f t="shared" si="5"/>
        <v>3.7476311272742895E-6</v>
      </c>
      <c r="Q11" s="2">
        <f t="shared" si="5"/>
        <v>3.7028361570218337E-6</v>
      </c>
      <c r="R11" s="1"/>
    </row>
    <row r="12" spans="1:18" x14ac:dyDescent="0.2">
      <c r="C12">
        <f t="shared" si="3"/>
        <v>11.604562914137839</v>
      </c>
      <c r="D12">
        <v>1000</v>
      </c>
      <c r="E12" s="2">
        <f t="shared" si="4"/>
        <v>1.7258581231892761E-5</v>
      </c>
      <c r="F12" s="2">
        <f t="shared" si="4"/>
        <v>1.5619723031669087E-5</v>
      </c>
      <c r="G12" s="2">
        <f t="shared" si="4"/>
        <v>1.5451789259968787E-5</v>
      </c>
      <c r="H12" s="2">
        <f t="shared" si="4"/>
        <v>1.7400476465943563E-5</v>
      </c>
      <c r="I12" s="2">
        <f t="shared" si="4"/>
        <v>1.8640861148266507E-5</v>
      </c>
      <c r="J12" s="1"/>
      <c r="L12">
        <v>1000</v>
      </c>
      <c r="M12" s="2">
        <f t="shared" si="5"/>
        <v>1.449640271449526E-6</v>
      </c>
      <c r="N12" s="2">
        <f t="shared" si="5"/>
        <v>1.213121885622311E-6</v>
      </c>
      <c r="O12" s="2">
        <f t="shared" si="5"/>
        <v>1.3067388841158416E-6</v>
      </c>
      <c r="P12" s="2">
        <f t="shared" si="5"/>
        <v>1.5481977907246508E-6</v>
      </c>
      <c r="Q12" s="2">
        <f t="shared" si="5"/>
        <v>1.413033552898163E-6</v>
      </c>
      <c r="R12" s="1"/>
    </row>
    <row r="13" spans="1:18" x14ac:dyDescent="0.2">
      <c r="C13">
        <f t="shared" si="3"/>
        <v>12.893958793486487</v>
      </c>
      <c r="D13">
        <v>900</v>
      </c>
      <c r="E13" s="2">
        <f t="shared" si="4"/>
        <v>8.8595803743289309E-6</v>
      </c>
      <c r="F13" s="2">
        <f t="shared" si="4"/>
        <v>9.3367330051712414E-6</v>
      </c>
      <c r="G13" s="2">
        <f t="shared" si="4"/>
        <v>8.6651053481380526E-6</v>
      </c>
      <c r="H13" s="2">
        <f t="shared" si="4"/>
        <v>1.0625923498904384E-5</v>
      </c>
      <c r="I13" s="2">
        <f t="shared" si="4"/>
        <v>1.169327029188114E-5</v>
      </c>
      <c r="J13" s="1"/>
      <c r="L13">
        <v>900</v>
      </c>
      <c r="M13" s="2">
        <f t="shared" si="5"/>
        <v>6.1174613663423452E-7</v>
      </c>
      <c r="N13" s="2">
        <f t="shared" si="5"/>
        <v>5.2415441611241019E-7</v>
      </c>
      <c r="O13" s="2">
        <f t="shared" si="5"/>
        <v>4.6431212758441207E-7</v>
      </c>
      <c r="P13" s="2">
        <f t="shared" si="5"/>
        <v>5.055422251694296E-7</v>
      </c>
      <c r="Q13" s="2">
        <f t="shared" si="5"/>
        <v>5.428777500820724E-7</v>
      </c>
      <c r="R13" s="1"/>
    </row>
    <row r="14" spans="1:18" x14ac:dyDescent="0.2">
      <c r="C14">
        <f t="shared" si="3"/>
        <v>14.5057036426723</v>
      </c>
      <c r="D14">
        <v>800</v>
      </c>
      <c r="E14" s="2">
        <f t="shared" si="4"/>
        <v>4.3579437216786673E-6</v>
      </c>
      <c r="F14" s="2">
        <f t="shared" si="4"/>
        <v>4.1408534575822365E-6</v>
      </c>
      <c r="G14" s="2">
        <f t="shared" si="4"/>
        <v>3.1959283982969139E-6</v>
      </c>
      <c r="H14" s="2">
        <f t="shared" si="4"/>
        <v>4.9041558315213936E-6</v>
      </c>
      <c r="I14" s="2">
        <f t="shared" si="4"/>
        <v>4.672620004244497E-6</v>
      </c>
      <c r="J14" s="1"/>
      <c r="L14">
        <v>800</v>
      </c>
      <c r="M14" s="2">
        <f t="shared" si="5"/>
        <v>8.2632629621878236E-8</v>
      </c>
      <c r="N14" s="2">
        <f t="shared" si="5"/>
        <v>2.1190185318731656E-7</v>
      </c>
      <c r="O14" s="2">
        <f t="shared" si="5"/>
        <v>1.331581108435085E-7</v>
      </c>
      <c r="P14" s="2">
        <f t="shared" si="5"/>
        <v>2.211633813933096E-7</v>
      </c>
      <c r="Q14" s="2">
        <f t="shared" si="5"/>
        <v>1.1365586434217691E-7</v>
      </c>
      <c r="R14" s="1"/>
    </row>
    <row r="15" spans="1:18" x14ac:dyDescent="0.2">
      <c r="E15" s="2"/>
      <c r="F15" s="2"/>
      <c r="G15" s="2"/>
      <c r="H15" s="2"/>
      <c r="I15" s="2"/>
      <c r="J15" s="1"/>
      <c r="M15" s="2"/>
      <c r="N15" s="2"/>
      <c r="O15" s="2"/>
      <c r="P15" s="2"/>
      <c r="Q15" s="2"/>
      <c r="R15" s="1"/>
    </row>
    <row r="16" spans="1:18" x14ac:dyDescent="0.2">
      <c r="E16" s="2"/>
      <c r="F16" s="2"/>
      <c r="G16" s="2"/>
      <c r="H16" s="2"/>
      <c r="I16" s="2"/>
      <c r="J16" s="1"/>
      <c r="M16" s="2"/>
      <c r="N16" s="2"/>
      <c r="O16" s="2"/>
      <c r="P16" s="2"/>
      <c r="Q16" s="2"/>
      <c r="R16" s="1"/>
    </row>
    <row r="17" spans="2:34" x14ac:dyDescent="0.2">
      <c r="B17" t="s">
        <v>20</v>
      </c>
      <c r="D17" t="s">
        <v>0</v>
      </c>
      <c r="E17" s="2"/>
      <c r="F17" s="2"/>
      <c r="G17" s="2" t="s">
        <v>1</v>
      </c>
      <c r="H17" s="2"/>
      <c r="I17" s="2"/>
      <c r="J17" s="1" t="s">
        <v>2</v>
      </c>
      <c r="M17" s="2" t="s">
        <v>3</v>
      </c>
      <c r="N17" s="2"/>
      <c r="O17" s="2"/>
      <c r="P17" s="2" t="s">
        <v>4</v>
      </c>
      <c r="Q17" s="2"/>
      <c r="R17" s="1"/>
      <c r="T17" t="s">
        <v>5</v>
      </c>
      <c r="U17" s="2"/>
      <c r="V17" s="2"/>
      <c r="W17" s="2" t="s">
        <v>6</v>
      </c>
      <c r="X17" s="2"/>
      <c r="Y17" s="2"/>
      <c r="Z17" s="1" t="s">
        <v>7</v>
      </c>
      <c r="AC17" s="2" t="s">
        <v>8</v>
      </c>
      <c r="AD17" s="2"/>
      <c r="AE17" s="2"/>
      <c r="AF17" s="2" t="s">
        <v>9</v>
      </c>
      <c r="AG17" s="2"/>
      <c r="AH17" s="1"/>
    </row>
    <row r="18" spans="2:34" x14ac:dyDescent="0.2">
      <c r="D18">
        <v>1</v>
      </c>
      <c r="E18" s="2">
        <v>7.9817021752701098E-7</v>
      </c>
      <c r="F18" s="2">
        <v>0.99879850366743606</v>
      </c>
      <c r="G18">
        <v>1</v>
      </c>
      <c r="H18" s="2">
        <v>6.5542302424970001E-7</v>
      </c>
      <c r="I18" s="2">
        <v>0.98855255426969102</v>
      </c>
      <c r="J18">
        <v>1</v>
      </c>
      <c r="K18" s="1">
        <v>6.7796981176470598E-7</v>
      </c>
      <c r="L18">
        <v>0.99726251194712601</v>
      </c>
      <c r="M18">
        <v>1</v>
      </c>
      <c r="N18" s="2">
        <v>8.2523773637454996E-7</v>
      </c>
      <c r="O18" s="2">
        <v>0.99883435266454901</v>
      </c>
      <c r="P18">
        <v>1</v>
      </c>
      <c r="Q18" s="2">
        <v>8.9085688163265302E-7</v>
      </c>
      <c r="R18" s="1">
        <v>0.999239664802273</v>
      </c>
      <c r="T18">
        <v>1</v>
      </c>
      <c r="U18" s="2">
        <v>1.3751746885922099E-7</v>
      </c>
      <c r="V18" s="2">
        <v>0.99432713696738295</v>
      </c>
      <c r="W18">
        <v>1</v>
      </c>
      <c r="X18" s="2">
        <v>1.56226749388735E-7</v>
      </c>
      <c r="Y18" s="2">
        <v>0.997566346795558</v>
      </c>
      <c r="Z18">
        <v>1</v>
      </c>
      <c r="AA18" s="1">
        <v>1.3002938485712201E-7</v>
      </c>
      <c r="AB18">
        <v>0.99522817429355803</v>
      </c>
      <c r="AC18">
        <v>1</v>
      </c>
      <c r="AD18" s="2">
        <v>1.29266195859896E-7</v>
      </c>
      <c r="AE18" s="2">
        <v>0.99483165649135896</v>
      </c>
      <c r="AF18">
        <v>1</v>
      </c>
      <c r="AG18" s="2">
        <v>1.69375088637216E-7</v>
      </c>
      <c r="AH18" s="1">
        <v>0.99715715664069005</v>
      </c>
    </row>
    <row r="19" spans="2:34" x14ac:dyDescent="0.2">
      <c r="D19">
        <v>2</v>
      </c>
      <c r="E19" s="2">
        <v>6.9990190156062398E-7</v>
      </c>
      <c r="F19" s="2">
        <v>0.99870760058143504</v>
      </c>
      <c r="G19">
        <v>2</v>
      </c>
      <c r="H19" s="2">
        <v>8.1427549195678302E-7</v>
      </c>
      <c r="I19" s="2">
        <v>0.99757597277564303</v>
      </c>
      <c r="J19">
        <v>2</v>
      </c>
      <c r="K19" s="1">
        <v>7.3439943049219704E-7</v>
      </c>
      <c r="L19">
        <v>0.99750773400519199</v>
      </c>
      <c r="M19">
        <v>2</v>
      </c>
      <c r="N19" s="2">
        <v>8.4749215318127199E-7</v>
      </c>
      <c r="O19" s="2">
        <v>0.99819207041708702</v>
      </c>
      <c r="P19">
        <v>2</v>
      </c>
      <c r="Q19" s="2">
        <v>8.5502514093637502E-7</v>
      </c>
      <c r="R19" s="1">
        <v>0.997659544036956</v>
      </c>
      <c r="T19">
        <v>2</v>
      </c>
      <c r="U19" s="1">
        <v>1.58327629070727E-7</v>
      </c>
      <c r="V19">
        <v>0.99577036285588105</v>
      </c>
      <c r="W19">
        <v>2</v>
      </c>
      <c r="X19" s="1">
        <v>1.40993226948174E-7</v>
      </c>
      <c r="Y19">
        <v>0.99730071588938396</v>
      </c>
      <c r="Z19">
        <v>2</v>
      </c>
      <c r="AA19" s="1">
        <v>1.4144435865146599E-7</v>
      </c>
      <c r="AB19">
        <v>0.99731387237795599</v>
      </c>
      <c r="AC19">
        <v>2</v>
      </c>
      <c r="AD19" s="1">
        <v>1.3608949646741199E-7</v>
      </c>
      <c r="AE19">
        <v>0.99553603542493396</v>
      </c>
      <c r="AF19">
        <v>2</v>
      </c>
      <c r="AG19" s="1">
        <v>1.46618478204455E-7</v>
      </c>
      <c r="AH19">
        <v>0.99862802652702998</v>
      </c>
    </row>
    <row r="20" spans="2:34" x14ac:dyDescent="0.2">
      <c r="D20">
        <v>3</v>
      </c>
      <c r="E20" s="2">
        <v>7.8774462040816301E-7</v>
      </c>
      <c r="F20" s="2">
        <v>0.998097961383143</v>
      </c>
      <c r="G20">
        <v>3</v>
      </c>
      <c r="H20" s="2">
        <v>7.0276992364946E-7</v>
      </c>
      <c r="I20" s="2">
        <v>0.997092130777258</v>
      </c>
      <c r="J20">
        <v>3</v>
      </c>
      <c r="K20" s="1">
        <v>6.9064727058823596E-7</v>
      </c>
      <c r="L20">
        <v>0.99601429203345704</v>
      </c>
      <c r="M20">
        <v>3</v>
      </c>
      <c r="N20" s="2">
        <v>8.2470273421368501E-7</v>
      </c>
      <c r="O20" s="2">
        <v>0.99574378345418502</v>
      </c>
      <c r="P20">
        <v>3</v>
      </c>
      <c r="Q20" s="2">
        <v>8.6652663769507804E-7</v>
      </c>
      <c r="R20" s="1">
        <v>0.99895671835565503</v>
      </c>
      <c r="T20">
        <v>3</v>
      </c>
      <c r="U20" s="1">
        <v>1.7256292117302899E-7</v>
      </c>
      <c r="V20">
        <v>0.99608618105367097</v>
      </c>
      <c r="W20">
        <v>3</v>
      </c>
      <c r="X20" s="1">
        <v>1.5545903605340099E-7</v>
      </c>
      <c r="Y20">
        <v>0.99311034189107505</v>
      </c>
      <c r="Z20">
        <v>3</v>
      </c>
      <c r="AA20" s="1">
        <v>1.3062006086402201E-7</v>
      </c>
      <c r="AB20">
        <v>0.99605576922941497</v>
      </c>
      <c r="AC20">
        <v>3</v>
      </c>
      <c r="AD20" s="1">
        <v>1.18933600472512E-7</v>
      </c>
      <c r="AE20">
        <v>0.99325252307437595</v>
      </c>
      <c r="AF20">
        <v>3</v>
      </c>
      <c r="AG20" s="1">
        <v>9.3929142736068394E-8</v>
      </c>
      <c r="AH20">
        <v>0.95734245832369103</v>
      </c>
    </row>
    <row r="21" spans="2:34" x14ac:dyDescent="0.2">
      <c r="D21">
        <v>4</v>
      </c>
      <c r="E21" s="2">
        <v>8.1417588667466996E-7</v>
      </c>
      <c r="F21" s="2">
        <v>0.99904189234913998</v>
      </c>
      <c r="G21">
        <v>4</v>
      </c>
      <c r="H21" s="2">
        <v>7.7711197983193298E-7</v>
      </c>
      <c r="I21" s="2">
        <v>0.99904130733612195</v>
      </c>
      <c r="J21">
        <v>4</v>
      </c>
      <c r="K21" s="1">
        <v>7.7034119279711897E-7</v>
      </c>
      <c r="L21">
        <v>0.99923193871645299</v>
      </c>
      <c r="M21">
        <v>4</v>
      </c>
      <c r="N21" s="2">
        <v>8.1205023049219698E-7</v>
      </c>
      <c r="O21" s="2">
        <v>0.99478746844964305</v>
      </c>
      <c r="P21">
        <v>4</v>
      </c>
      <c r="Q21" s="2">
        <v>8.7368961872749196E-7</v>
      </c>
      <c r="R21" s="1">
        <v>0.99772140902624995</v>
      </c>
      <c r="T21">
        <v>4</v>
      </c>
      <c r="U21" s="1">
        <v>1.33941364059101E-7</v>
      </c>
      <c r="V21">
        <v>0.997405234067957</v>
      </c>
      <c r="W21">
        <v>4</v>
      </c>
      <c r="X21" s="1">
        <v>1.52003262889072E-7</v>
      </c>
      <c r="Y21">
        <v>0.99697346145285004</v>
      </c>
      <c r="Z21">
        <v>4</v>
      </c>
      <c r="AA21" s="1">
        <v>1.53977777866947E-7</v>
      </c>
      <c r="AB21">
        <v>0.994470567099633</v>
      </c>
      <c r="AC21">
        <v>4</v>
      </c>
      <c r="AD21" s="1">
        <v>1.4897047563939099E-7</v>
      </c>
      <c r="AE21">
        <v>0.99718151411869804</v>
      </c>
      <c r="AF21">
        <v>4</v>
      </c>
      <c r="AG21" s="1">
        <v>1.8436459129978301E-7</v>
      </c>
      <c r="AH21">
        <v>0.99890919966902203</v>
      </c>
    </row>
    <row r="22" spans="2:34" x14ac:dyDescent="0.2">
      <c r="D22">
        <v>5</v>
      </c>
      <c r="E22" s="2">
        <v>8.1467484369747998E-7</v>
      </c>
      <c r="F22" s="2">
        <v>0.99931037224866603</v>
      </c>
      <c r="G22">
        <v>5</v>
      </c>
      <c r="H22" s="2">
        <v>8.3785175126050302E-7</v>
      </c>
      <c r="I22" s="2">
        <v>0.99907986079312106</v>
      </c>
      <c r="J22">
        <v>5</v>
      </c>
      <c r="K22" s="1">
        <v>7.8637870684273695E-7</v>
      </c>
      <c r="L22">
        <v>0.99639616998142799</v>
      </c>
      <c r="M22">
        <v>5</v>
      </c>
      <c r="N22" s="2">
        <v>9.2258949051620597E-7</v>
      </c>
      <c r="O22" s="2">
        <v>0.99929419589852397</v>
      </c>
      <c r="P22">
        <v>5</v>
      </c>
      <c r="Q22" s="2">
        <v>7.5324326578631495E-7</v>
      </c>
      <c r="R22" s="1">
        <v>0.99491803919931798</v>
      </c>
      <c r="T22">
        <v>5</v>
      </c>
      <c r="U22" s="1">
        <v>1.5234712777319501E-7</v>
      </c>
      <c r="V22">
        <v>0.99779491549222299</v>
      </c>
      <c r="W22">
        <v>5</v>
      </c>
      <c r="X22" s="1">
        <v>1.28124586139654E-7</v>
      </c>
      <c r="Y22">
        <v>0.98780832375201599</v>
      </c>
      <c r="Z22">
        <v>5</v>
      </c>
      <c r="AA22" s="1">
        <v>1.41803880994525E-7</v>
      </c>
      <c r="AB22">
        <v>0.99770747444869201</v>
      </c>
      <c r="AC22">
        <v>5</v>
      </c>
      <c r="AD22" s="1">
        <v>1.50297195679893E-7</v>
      </c>
      <c r="AE22">
        <v>0.99681153008348899</v>
      </c>
      <c r="AF22">
        <v>5</v>
      </c>
      <c r="AG22" s="1">
        <v>1.87971579741994E-7</v>
      </c>
      <c r="AH22">
        <v>0.99696135041844702</v>
      </c>
    </row>
    <row r="23" spans="2:34" x14ac:dyDescent="0.2">
      <c r="D23">
        <v>6</v>
      </c>
      <c r="E23" s="1">
        <v>7.4119558415366095E-7</v>
      </c>
      <c r="F23" s="1">
        <v>0.99594265071900401</v>
      </c>
      <c r="G23">
        <v>6</v>
      </c>
      <c r="H23" s="1">
        <v>8.25022694837934E-7</v>
      </c>
      <c r="I23" s="1">
        <v>0.99598082603814198</v>
      </c>
      <c r="J23">
        <v>6</v>
      </c>
      <c r="K23" s="1">
        <v>7.3019866554621803E-7</v>
      </c>
      <c r="L23" s="1">
        <v>0.99791670222916196</v>
      </c>
      <c r="M23">
        <v>6</v>
      </c>
      <c r="N23" s="1">
        <v>8.1119384393757502E-7</v>
      </c>
      <c r="O23" s="1">
        <v>0.99735586353462902</v>
      </c>
      <c r="P23">
        <v>6</v>
      </c>
      <c r="Q23" s="1">
        <v>8.3952261464585801E-7</v>
      </c>
      <c r="R23" s="1">
        <v>0.99792343881226597</v>
      </c>
      <c r="T23">
        <v>6</v>
      </c>
      <c r="U23" s="1">
        <v>1.36762662184055E-7</v>
      </c>
      <c r="V23">
        <v>0.997167467201311</v>
      </c>
      <c r="W23">
        <v>6</v>
      </c>
      <c r="X23" s="1">
        <v>1.49465590857271E-7</v>
      </c>
      <c r="Y23">
        <v>0.998950786074567</v>
      </c>
      <c r="Z23">
        <v>6</v>
      </c>
      <c r="AA23" s="1">
        <v>1.2518405670891799E-7</v>
      </c>
      <c r="AB23">
        <v>0.99443361645849904</v>
      </c>
      <c r="AC23">
        <v>6</v>
      </c>
      <c r="AD23" s="1">
        <v>1.49650477806945E-7</v>
      </c>
      <c r="AE23">
        <v>0.99525536506786405</v>
      </c>
      <c r="AF23">
        <v>6</v>
      </c>
      <c r="AG23" s="1">
        <v>1.55025010125253E-7</v>
      </c>
      <c r="AH23">
        <v>0.98774472274315595</v>
      </c>
    </row>
    <row r="24" spans="2:34" x14ac:dyDescent="0.2">
      <c r="D24">
        <v>7</v>
      </c>
      <c r="E24" s="1">
        <v>7.7348313373349305E-7</v>
      </c>
      <c r="F24" s="3">
        <v>0.99848220837986601</v>
      </c>
      <c r="G24">
        <v>7</v>
      </c>
      <c r="H24" s="1">
        <v>8.1878695030011996E-7</v>
      </c>
      <c r="I24" s="3">
        <v>0.99877182212055804</v>
      </c>
      <c r="J24">
        <v>7</v>
      </c>
      <c r="K24" s="1">
        <v>7.3835951308523405E-7</v>
      </c>
      <c r="L24" s="3">
        <v>0.992341060172231</v>
      </c>
      <c r="M24">
        <v>7</v>
      </c>
      <c r="N24" s="1">
        <v>7.5596559519807799E-7</v>
      </c>
      <c r="O24" s="3">
        <v>0.99684069423308597</v>
      </c>
      <c r="P24">
        <v>7</v>
      </c>
      <c r="Q24" s="1">
        <v>8.0773521008403397E-7</v>
      </c>
      <c r="R24" s="3">
        <v>0.99874347965228705</v>
      </c>
      <c r="T24">
        <v>7</v>
      </c>
      <c r="U24" s="1">
        <v>1.4856869456236401E-7</v>
      </c>
      <c r="V24">
        <v>0.99495340167454305</v>
      </c>
      <c r="W24">
        <v>7</v>
      </c>
      <c r="X24" s="1">
        <v>1.3183549384984701E-7</v>
      </c>
      <c r="Y24">
        <v>0.99877381722022296</v>
      </c>
      <c r="Z24">
        <v>7</v>
      </c>
      <c r="AA24" s="1">
        <v>1.38542363436586E-7</v>
      </c>
      <c r="AB24">
        <v>0.99465253655891495</v>
      </c>
      <c r="AC24">
        <v>7</v>
      </c>
      <c r="AD24" s="1">
        <v>1.6091474491862299E-7</v>
      </c>
      <c r="AE24">
        <v>0.99861564335996</v>
      </c>
      <c r="AF24">
        <v>7</v>
      </c>
      <c r="AG24" s="1">
        <v>1.4932769408985201E-7</v>
      </c>
      <c r="AH24">
        <v>0.99815288809206304</v>
      </c>
    </row>
    <row r="25" spans="2:34" x14ac:dyDescent="0.2">
      <c r="D25">
        <v>8</v>
      </c>
      <c r="E25" s="1">
        <v>8.39422568547418E-7</v>
      </c>
      <c r="F25">
        <v>0.999092733482974</v>
      </c>
      <c r="G25">
        <v>8</v>
      </c>
      <c r="H25" s="1">
        <v>7.4219651716686595E-7</v>
      </c>
      <c r="I25">
        <v>0.99673336773857701</v>
      </c>
      <c r="J25">
        <v>8</v>
      </c>
      <c r="K25" s="1">
        <v>7.0973516878751496E-7</v>
      </c>
      <c r="L25">
        <v>0.99691846317582</v>
      </c>
      <c r="M25">
        <v>8</v>
      </c>
      <c r="N25" s="1">
        <v>8.0830821416566598E-7</v>
      </c>
      <c r="O25">
        <v>0.99523865005703904</v>
      </c>
      <c r="P25">
        <v>8</v>
      </c>
      <c r="Q25" s="1">
        <v>9.7497857767106809E-7</v>
      </c>
      <c r="R25">
        <v>0.99937041657898595</v>
      </c>
      <c r="T25">
        <v>8</v>
      </c>
      <c r="U25" s="1">
        <v>1.29974586837171E-7</v>
      </c>
      <c r="V25">
        <v>0.99557859542472804</v>
      </c>
      <c r="W25">
        <v>8</v>
      </c>
      <c r="X25" s="1">
        <v>1.2721553737343399E-7</v>
      </c>
      <c r="Y25">
        <v>0.99224336702776605</v>
      </c>
      <c r="Z25">
        <v>8</v>
      </c>
      <c r="AA25" s="1">
        <v>1.4718721695042401E-7</v>
      </c>
      <c r="AB25">
        <v>0.99577307356297795</v>
      </c>
      <c r="AC25">
        <v>8</v>
      </c>
      <c r="AD25" s="1">
        <v>1.55801757158929E-7</v>
      </c>
      <c r="AE25">
        <v>0.99246149741974599</v>
      </c>
      <c r="AF25">
        <v>8</v>
      </c>
      <c r="AG25" s="1">
        <v>1.4186732899572501E-7</v>
      </c>
      <c r="AH25">
        <v>0.99856238774819805</v>
      </c>
    </row>
    <row r="26" spans="2:34" x14ac:dyDescent="0.2">
      <c r="D26">
        <v>9</v>
      </c>
      <c r="E26" s="1">
        <v>8.2663324609844001E-7</v>
      </c>
      <c r="F26">
        <v>0.99911871371240202</v>
      </c>
      <c r="G26">
        <v>9</v>
      </c>
      <c r="H26" s="1">
        <v>7.8485102761104397E-7</v>
      </c>
      <c r="I26">
        <v>0.99646857499473995</v>
      </c>
      <c r="J26">
        <v>9</v>
      </c>
      <c r="K26" s="1">
        <v>7.8032327250900401E-7</v>
      </c>
      <c r="L26">
        <v>0.99659567782774405</v>
      </c>
      <c r="M26">
        <v>9</v>
      </c>
      <c r="N26" s="1">
        <v>8.77499818007203E-7</v>
      </c>
      <c r="O26">
        <v>0.99879787065249703</v>
      </c>
      <c r="P26">
        <v>9</v>
      </c>
      <c r="Q26" s="1">
        <v>8.3375153229291798E-7</v>
      </c>
      <c r="R26">
        <v>0.99902694707900797</v>
      </c>
      <c r="T26">
        <v>9</v>
      </c>
      <c r="U26" s="1">
        <v>1.3667322772819301E-7</v>
      </c>
      <c r="V26">
        <v>0.99769756423737999</v>
      </c>
      <c r="W26">
        <v>9</v>
      </c>
      <c r="X26" s="1">
        <v>1.39523825478137E-7</v>
      </c>
      <c r="Y26">
        <v>0.99708367744206505</v>
      </c>
      <c r="Z26">
        <v>9</v>
      </c>
      <c r="AA26" s="1">
        <v>1.3955625421885601E-7</v>
      </c>
      <c r="AB26">
        <v>0.99560343897892001</v>
      </c>
      <c r="AC26">
        <v>9</v>
      </c>
      <c r="AD26" s="1">
        <v>1.40608082269557E-7</v>
      </c>
      <c r="AE26">
        <v>0.99792432927031605</v>
      </c>
      <c r="AF26">
        <v>9</v>
      </c>
      <c r="AG26" s="1">
        <v>1.5103704041851E-7</v>
      </c>
      <c r="AH26">
        <v>0.99389924654689599</v>
      </c>
    </row>
    <row r="27" spans="2:34" x14ac:dyDescent="0.2">
      <c r="D27">
        <v>10</v>
      </c>
      <c r="E27" s="1">
        <v>8.1097238127250799E-7</v>
      </c>
      <c r="F27">
        <v>0.99824920745240997</v>
      </c>
      <c r="G27">
        <v>10</v>
      </c>
      <c r="H27" s="1">
        <v>7.2350182617046897E-7</v>
      </c>
      <c r="I27">
        <v>0.99729850578864698</v>
      </c>
      <c r="J27">
        <v>10</v>
      </c>
      <c r="K27" s="1">
        <v>7.6018585354141697E-7</v>
      </c>
      <c r="L27">
        <v>0.99915228518648702</v>
      </c>
      <c r="M27">
        <v>10</v>
      </c>
      <c r="N27" s="1">
        <v>9.4381261368547304E-7</v>
      </c>
      <c r="O27">
        <v>0.997751010185712</v>
      </c>
      <c r="P27">
        <v>10</v>
      </c>
      <c r="Q27" s="1">
        <v>8.3613192797118904E-7</v>
      </c>
      <c r="R27">
        <v>0.99718702597925002</v>
      </c>
      <c r="T27">
        <v>10</v>
      </c>
      <c r="U27" s="1">
        <v>1.716641959799E-7</v>
      </c>
      <c r="V27">
        <v>0.99879061856915297</v>
      </c>
      <c r="W27">
        <v>10</v>
      </c>
      <c r="X27" s="1">
        <v>1.60745348256207E-7</v>
      </c>
      <c r="Y27">
        <v>0.99743464360498901</v>
      </c>
      <c r="Z27">
        <v>10</v>
      </c>
      <c r="AA27" s="1">
        <v>1.32395130270757E-7</v>
      </c>
      <c r="AB27">
        <v>0.988971330281745</v>
      </c>
      <c r="AC27">
        <v>10</v>
      </c>
      <c r="AD27" s="1">
        <v>1.3998970864021601E-7</v>
      </c>
      <c r="AE27">
        <v>0.99660227653885103</v>
      </c>
      <c r="AF27">
        <v>10</v>
      </c>
      <c r="AG27" s="1">
        <v>1.4346345734643299E-7</v>
      </c>
      <c r="AH27">
        <v>0.99613422189768397</v>
      </c>
    </row>
    <row r="28" spans="2:34" x14ac:dyDescent="0.2">
      <c r="D28" t="s">
        <v>21</v>
      </c>
      <c r="E28" s="1">
        <v>7.9063743836734703E-7</v>
      </c>
      <c r="F28" s="1">
        <v>4.2502115398796902E-8</v>
      </c>
      <c r="G28" t="s">
        <v>21</v>
      </c>
      <c r="H28" s="1">
        <v>7.6817911870348105E-7</v>
      </c>
      <c r="I28" s="1">
        <v>6.0362516294412295E-8</v>
      </c>
      <c r="J28" t="s">
        <v>21</v>
      </c>
      <c r="K28" s="1">
        <v>7.3785388859543798E-7</v>
      </c>
      <c r="L28" s="1">
        <v>3.7101167053522701E-8</v>
      </c>
      <c r="M28" t="s">
        <v>21</v>
      </c>
      <c r="N28" s="1">
        <v>8.4288524297719105E-7</v>
      </c>
      <c r="O28" s="1">
        <v>5.6868533218414802E-8</v>
      </c>
      <c r="P28" t="s">
        <v>21</v>
      </c>
      <c r="Q28" s="1">
        <v>8.5314614074429803E-7</v>
      </c>
      <c r="R28" s="1">
        <v>5.7507310915713799E-8</v>
      </c>
      <c r="T28" t="s">
        <v>21</v>
      </c>
      <c r="U28" s="1">
        <v>1.47833987822696E-7</v>
      </c>
      <c r="V28" s="1">
        <v>1.5549041691498199E-8</v>
      </c>
      <c r="W28" t="s">
        <v>21</v>
      </c>
      <c r="X28" s="1">
        <v>1.44159265723393E-7</v>
      </c>
      <c r="Y28" s="1">
        <v>1.23183685067205E-8</v>
      </c>
      <c r="Z28" t="s">
        <v>21</v>
      </c>
      <c r="AA28" s="1">
        <v>1.38074048481962E-7</v>
      </c>
      <c r="AB28" s="1">
        <v>8.7072504018393505E-9</v>
      </c>
      <c r="AC28" t="s">
        <v>21</v>
      </c>
      <c r="AD28" s="1">
        <v>1.4305217349133699E-7</v>
      </c>
      <c r="AE28" s="1">
        <v>1.2685369947238699E-8</v>
      </c>
      <c r="AF28" t="s">
        <v>21</v>
      </c>
      <c r="AG28" s="1">
        <v>1.52297941159529E-7</v>
      </c>
      <c r="AH28" s="1">
        <v>2.6323574887233301E-8</v>
      </c>
    </row>
    <row r="29" spans="2:34" x14ac:dyDescent="0.2">
      <c r="F29" s="4">
        <f>F28/E28</f>
        <v>5.3756770595841059E-2</v>
      </c>
      <c r="I29" s="4">
        <f>I28/H28</f>
        <v>7.857869971301884E-2</v>
      </c>
      <c r="L29" s="4">
        <f>L28/K28</f>
        <v>5.0282539167947796E-2</v>
      </c>
      <c r="O29" s="4">
        <f>O28/N28</f>
        <v>6.7468891752745633E-2</v>
      </c>
      <c r="R29" s="4">
        <f>R28/Q28</f>
        <v>6.7406166621750779E-2</v>
      </c>
      <c r="V29" s="4">
        <f>V28/U28</f>
        <v>0.10517907228577822</v>
      </c>
      <c r="Y29" s="4">
        <f>Y28/X28</f>
        <v>8.5449717331083599E-2</v>
      </c>
      <c r="AB29" s="4">
        <f>AB28/AA28</f>
        <v>6.3062179298500595E-2</v>
      </c>
      <c r="AE29" s="4">
        <f>AE28/AD28</f>
        <v>8.8676527155366183E-2</v>
      </c>
      <c r="AH29" s="4">
        <f>AH28/AG28</f>
        <v>0.17284261813926882</v>
      </c>
    </row>
    <row r="31" spans="2:34" x14ac:dyDescent="0.2">
      <c r="B31" t="s">
        <v>22</v>
      </c>
      <c r="D31" t="s">
        <v>0</v>
      </c>
      <c r="E31" s="2"/>
      <c r="F31" s="2"/>
      <c r="G31" s="2" t="s">
        <v>1</v>
      </c>
      <c r="H31" s="2"/>
      <c r="I31" s="2"/>
      <c r="J31" s="1" t="s">
        <v>2</v>
      </c>
      <c r="M31" s="2" t="s">
        <v>3</v>
      </c>
      <c r="N31" s="2"/>
      <c r="O31" s="2"/>
      <c r="P31" s="2" t="s">
        <v>4</v>
      </c>
      <c r="Q31" s="2"/>
      <c r="R31" s="1"/>
      <c r="T31" t="s">
        <v>5</v>
      </c>
      <c r="U31" s="2"/>
      <c r="V31" s="2"/>
      <c r="W31" s="2" t="s">
        <v>6</v>
      </c>
      <c r="X31" s="2"/>
      <c r="Y31" s="2"/>
      <c r="Z31" s="1" t="s">
        <v>7</v>
      </c>
      <c r="AC31" s="2" t="s">
        <v>8</v>
      </c>
      <c r="AD31" s="2"/>
      <c r="AE31" s="2"/>
      <c r="AF31" s="2" t="s">
        <v>9</v>
      </c>
      <c r="AG31" s="2"/>
      <c r="AH31" s="1"/>
    </row>
    <row r="32" spans="2:34" x14ac:dyDescent="0.2">
      <c r="D32">
        <v>1</v>
      </c>
      <c r="E32" s="2">
        <v>6.0256792172869096E-7</v>
      </c>
      <c r="F32" s="2">
        <v>0.99780517728671503</v>
      </c>
      <c r="G32">
        <v>1</v>
      </c>
      <c r="H32" s="2">
        <v>4.31558440336134E-7</v>
      </c>
      <c r="I32" s="2">
        <v>0.98406752515012197</v>
      </c>
      <c r="J32">
        <v>1</v>
      </c>
      <c r="K32" s="1">
        <v>5.5471388235294097E-7</v>
      </c>
      <c r="L32">
        <v>0.99692266834690502</v>
      </c>
      <c r="M32">
        <v>1</v>
      </c>
      <c r="N32" s="2">
        <v>6.6694959615846297E-7</v>
      </c>
      <c r="O32" s="2">
        <v>0.99844620583027599</v>
      </c>
      <c r="P32">
        <v>1</v>
      </c>
      <c r="Q32" s="2">
        <v>6.4249713085234105E-7</v>
      </c>
      <c r="R32" s="1">
        <v>0.99723560350243001</v>
      </c>
      <c r="T32">
        <v>1</v>
      </c>
      <c r="U32" s="2">
        <v>6.8359430983274605E-8</v>
      </c>
      <c r="V32" s="2">
        <v>0.99297988537691995</v>
      </c>
      <c r="W32">
        <v>1</v>
      </c>
      <c r="X32" s="2">
        <v>7.6214416380409495E-8</v>
      </c>
      <c r="Y32" s="2">
        <v>0.98999420942376704</v>
      </c>
      <c r="Z32">
        <v>1</v>
      </c>
      <c r="AA32" s="1">
        <v>7.3642982502062296E-8</v>
      </c>
      <c r="AB32">
        <v>0.99170121224084695</v>
      </c>
      <c r="AC32">
        <v>1</v>
      </c>
      <c r="AD32" s="2">
        <v>6.6953183927098094E-8</v>
      </c>
      <c r="AE32" s="2">
        <v>0.987213395932515</v>
      </c>
      <c r="AF32">
        <v>1</v>
      </c>
      <c r="AG32" s="2">
        <v>6.4635630141285207E-8</v>
      </c>
      <c r="AH32" s="1">
        <v>0.980411501298874</v>
      </c>
    </row>
    <row r="33" spans="2:34" x14ac:dyDescent="0.2">
      <c r="D33">
        <v>2</v>
      </c>
      <c r="E33" s="2">
        <v>5.8796328691476598E-7</v>
      </c>
      <c r="F33" s="2">
        <v>0.996282337712182</v>
      </c>
      <c r="G33">
        <v>2</v>
      </c>
      <c r="H33" s="2">
        <v>5.5092337334933996E-7</v>
      </c>
      <c r="I33" s="2">
        <v>0.99807382989570204</v>
      </c>
      <c r="J33">
        <v>2</v>
      </c>
      <c r="K33" s="1">
        <v>5.0177517935174099E-7</v>
      </c>
      <c r="L33">
        <v>0.99477142713129996</v>
      </c>
      <c r="M33">
        <v>2</v>
      </c>
      <c r="N33" s="2">
        <v>6.3213137959183596E-7</v>
      </c>
      <c r="O33" s="2">
        <v>0.99854593435746897</v>
      </c>
      <c r="P33">
        <v>2</v>
      </c>
      <c r="Q33" s="2">
        <v>6.2482782617046905E-7</v>
      </c>
      <c r="R33" s="1">
        <v>0.99754528632474504</v>
      </c>
      <c r="T33">
        <v>2</v>
      </c>
      <c r="U33" s="1">
        <v>7.3456997022425498E-8</v>
      </c>
      <c r="V33">
        <v>0.984473267633452</v>
      </c>
      <c r="W33">
        <v>2</v>
      </c>
      <c r="X33" s="1">
        <v>8.3267657218930199E-8</v>
      </c>
      <c r="Y33">
        <v>0.99527331418098097</v>
      </c>
      <c r="Z33">
        <v>2</v>
      </c>
      <c r="AA33" s="1">
        <v>7.5780196227405494E-8</v>
      </c>
      <c r="AB33">
        <v>0.97410443499241295</v>
      </c>
      <c r="AC33">
        <v>2</v>
      </c>
      <c r="AD33" s="1">
        <v>7.5873108167704307E-8</v>
      </c>
      <c r="AE33">
        <v>0.98278044655694696</v>
      </c>
      <c r="AF33">
        <v>2</v>
      </c>
      <c r="AG33" s="1">
        <v>8.0392541611040304E-8</v>
      </c>
      <c r="AH33">
        <v>0.99547456169717297</v>
      </c>
    </row>
    <row r="34" spans="2:34" x14ac:dyDescent="0.2">
      <c r="D34">
        <v>3</v>
      </c>
      <c r="E34" s="2">
        <v>5.5817287442977199E-7</v>
      </c>
      <c r="F34" s="2">
        <v>0.99731784328157402</v>
      </c>
      <c r="G34">
        <v>3</v>
      </c>
      <c r="H34" s="2">
        <v>5.6205567490996402E-7</v>
      </c>
      <c r="I34" s="2">
        <v>0.99624318753700503</v>
      </c>
      <c r="J34">
        <v>3</v>
      </c>
      <c r="K34" s="1">
        <v>5.8578766722688996E-7</v>
      </c>
      <c r="L34">
        <v>0.99728996046139795</v>
      </c>
      <c r="M34">
        <v>3</v>
      </c>
      <c r="N34" s="2">
        <v>6.1958571668667503E-7</v>
      </c>
      <c r="O34" s="2">
        <v>0.99726081773234898</v>
      </c>
      <c r="P34">
        <v>3</v>
      </c>
      <c r="Q34" s="2">
        <v>5.6515997262905099E-7</v>
      </c>
      <c r="R34" s="1">
        <v>0.99658757043217305</v>
      </c>
      <c r="T34">
        <v>3</v>
      </c>
      <c r="U34" s="1">
        <v>7.5936078459461406E-8</v>
      </c>
      <c r="V34">
        <v>0.99154508800171504</v>
      </c>
      <c r="W34">
        <v>3</v>
      </c>
      <c r="X34" s="1">
        <v>7.6943636300907403E-8</v>
      </c>
      <c r="Y34">
        <v>0.97607307103625796</v>
      </c>
      <c r="Z34">
        <v>3</v>
      </c>
      <c r="AA34" s="1">
        <v>7.6720743913597902E-8</v>
      </c>
      <c r="AB34">
        <v>0.99230741944009104</v>
      </c>
      <c r="AC34">
        <v>3</v>
      </c>
      <c r="AD34" s="1">
        <v>9.7541736630915796E-8</v>
      </c>
      <c r="AE34">
        <v>0.99010496810429904</v>
      </c>
      <c r="AF34">
        <v>3</v>
      </c>
      <c r="AG34" s="1">
        <v>1.03220635063377E-7</v>
      </c>
      <c r="AH34">
        <v>0.989964090395556</v>
      </c>
    </row>
    <row r="35" spans="2:34" x14ac:dyDescent="0.2">
      <c r="D35">
        <v>4</v>
      </c>
      <c r="E35" s="2">
        <v>4.9879682929171701E-7</v>
      </c>
      <c r="F35" s="2">
        <v>0.98788415584256195</v>
      </c>
      <c r="G35">
        <v>4</v>
      </c>
      <c r="H35" s="2">
        <v>4.9550731908763502E-7</v>
      </c>
      <c r="I35" s="2">
        <v>0.99891083845680295</v>
      </c>
      <c r="J35">
        <v>4</v>
      </c>
      <c r="K35" s="1">
        <v>5.4791586314525802E-7</v>
      </c>
      <c r="L35">
        <v>0.99776044858415402</v>
      </c>
      <c r="M35">
        <v>4</v>
      </c>
      <c r="N35" s="2">
        <v>5.2940301752701098E-7</v>
      </c>
      <c r="O35" s="2">
        <v>0.99697052020836996</v>
      </c>
      <c r="P35">
        <v>4</v>
      </c>
      <c r="Q35" s="2">
        <v>6.8064001008403305E-7</v>
      </c>
      <c r="R35" s="1">
        <v>0.99847185749301903</v>
      </c>
      <c r="T35">
        <v>4</v>
      </c>
      <c r="U35" s="1">
        <v>5.27298066226656E-8</v>
      </c>
      <c r="V35">
        <v>0.98018942142739796</v>
      </c>
      <c r="W35">
        <v>4</v>
      </c>
      <c r="X35" s="1">
        <v>8.1152571154279102E-8</v>
      </c>
      <c r="Y35">
        <v>0.98344648421321301</v>
      </c>
      <c r="Z35">
        <v>4</v>
      </c>
      <c r="AA35" s="1">
        <v>7.3210580327008006E-8</v>
      </c>
      <c r="AB35">
        <v>0.94888949978864401</v>
      </c>
      <c r="AC35">
        <v>4</v>
      </c>
      <c r="AD35" s="1">
        <v>7.7880719925996E-8</v>
      </c>
      <c r="AE35">
        <v>0.97959339103125698</v>
      </c>
      <c r="AF35">
        <v>4</v>
      </c>
      <c r="AG35" s="1">
        <v>8.1121227998200103E-8</v>
      </c>
      <c r="AH35">
        <v>0.99144206400954304</v>
      </c>
    </row>
    <row r="36" spans="2:34" x14ac:dyDescent="0.2">
      <c r="D36">
        <v>5</v>
      </c>
      <c r="E36" s="2">
        <v>5.3351581656662697E-7</v>
      </c>
      <c r="F36" s="2">
        <v>0.99816193562413702</v>
      </c>
      <c r="G36">
        <v>5</v>
      </c>
      <c r="H36" s="2">
        <v>5.7838797983193295E-7</v>
      </c>
      <c r="I36" s="2">
        <v>0.99806072465437001</v>
      </c>
      <c r="J36">
        <v>5</v>
      </c>
      <c r="K36" s="1">
        <v>5.5868050372148895E-7</v>
      </c>
      <c r="L36">
        <v>0.99439039929041195</v>
      </c>
      <c r="M36">
        <v>5</v>
      </c>
      <c r="N36" s="2">
        <v>6.1421002208883599E-7</v>
      </c>
      <c r="O36" s="2">
        <v>0.996557878884758</v>
      </c>
      <c r="P36">
        <v>5</v>
      </c>
      <c r="Q36" s="2">
        <v>5.7102310684273699E-7</v>
      </c>
      <c r="R36" s="1">
        <v>0.99517007991699602</v>
      </c>
      <c r="T36">
        <v>5</v>
      </c>
      <c r="U36" s="1">
        <v>7.36750995574889E-8</v>
      </c>
      <c r="V36">
        <v>0.99224758120898104</v>
      </c>
      <c r="W36">
        <v>5</v>
      </c>
      <c r="X36" s="1">
        <v>5.7338506157653898E-8</v>
      </c>
      <c r="Y36">
        <v>0.92126409957994504</v>
      </c>
      <c r="Z36">
        <v>5</v>
      </c>
      <c r="AA36" s="1">
        <v>5.3335242263556603E-8</v>
      </c>
      <c r="AB36">
        <v>0.952037206711011</v>
      </c>
      <c r="AC36">
        <v>5</v>
      </c>
      <c r="AD36" s="1">
        <v>8.2432233938348305E-8</v>
      </c>
      <c r="AE36">
        <v>0.99454271083101098</v>
      </c>
      <c r="AF36">
        <v>5</v>
      </c>
      <c r="AG36" s="1">
        <v>9.1823996130682203E-8</v>
      </c>
      <c r="AH36">
        <v>0.99521259340410295</v>
      </c>
    </row>
    <row r="37" spans="2:34" x14ac:dyDescent="0.2">
      <c r="D37">
        <v>6</v>
      </c>
      <c r="E37" s="1">
        <v>5.6487849219687904E-7</v>
      </c>
      <c r="F37" s="1">
        <v>0.99635448749499</v>
      </c>
      <c r="G37">
        <v>6</v>
      </c>
      <c r="H37" s="1">
        <v>5.3918996638655395E-7</v>
      </c>
      <c r="I37" s="1">
        <v>0.99714782422444503</v>
      </c>
      <c r="J37">
        <v>6</v>
      </c>
      <c r="K37" s="1">
        <v>4.9016082400960404E-7</v>
      </c>
      <c r="L37" s="1">
        <v>0.99838287951163895</v>
      </c>
      <c r="M37">
        <v>6</v>
      </c>
      <c r="N37" s="1">
        <v>5.5214640000000005E-7</v>
      </c>
      <c r="O37" s="1">
        <v>0.99832527724130504</v>
      </c>
      <c r="P37">
        <v>6</v>
      </c>
      <c r="Q37" s="1">
        <v>6.6874075918367305E-7</v>
      </c>
      <c r="R37" s="1">
        <v>0.99877820576818199</v>
      </c>
      <c r="T37">
        <v>6</v>
      </c>
      <c r="U37" s="1">
        <v>9.1463782037051002E-8</v>
      </c>
      <c r="V37">
        <v>0.99611388838070203</v>
      </c>
      <c r="W37">
        <v>6</v>
      </c>
      <c r="X37" s="1">
        <v>7.5475324930623403E-8</v>
      </c>
      <c r="Y37">
        <v>0.99489427628662297</v>
      </c>
      <c r="Z37">
        <v>6</v>
      </c>
      <c r="AA37" s="1">
        <v>8.1687598499962502E-8</v>
      </c>
      <c r="AB37">
        <v>0.98588402758108595</v>
      </c>
      <c r="AC37">
        <v>6</v>
      </c>
      <c r="AD37" s="1">
        <v>8.3502273269331701E-8</v>
      </c>
      <c r="AE37">
        <v>0.98544650107406295</v>
      </c>
      <c r="AF37">
        <v>6</v>
      </c>
      <c r="AG37" s="1">
        <v>7.7742569667460806E-8</v>
      </c>
      <c r="AH37">
        <v>0.98052290635691997</v>
      </c>
    </row>
    <row r="38" spans="2:34" x14ac:dyDescent="0.2">
      <c r="D38">
        <v>7</v>
      </c>
      <c r="E38" s="1">
        <v>4.8730097767106802E-7</v>
      </c>
      <c r="F38" s="3">
        <v>0.99092855370850497</v>
      </c>
      <c r="G38">
        <v>7</v>
      </c>
      <c r="H38" s="1">
        <v>5.9296359279711903E-7</v>
      </c>
      <c r="I38" s="3">
        <v>0.99731782566952898</v>
      </c>
      <c r="J38">
        <v>7</v>
      </c>
      <c r="K38" s="1">
        <v>5.1449908907562997E-7</v>
      </c>
      <c r="L38" s="3">
        <v>0.98531920479706403</v>
      </c>
      <c r="M38">
        <v>7</v>
      </c>
      <c r="N38" s="1">
        <v>6.4483970708283304E-7</v>
      </c>
      <c r="O38" s="3">
        <v>0.99682240381168397</v>
      </c>
      <c r="P38">
        <v>7</v>
      </c>
      <c r="Q38" s="1">
        <v>6.2418665546218498E-7</v>
      </c>
      <c r="R38" s="3">
        <v>0.99887575218347702</v>
      </c>
      <c r="T38">
        <v>7</v>
      </c>
      <c r="U38" s="1">
        <v>8.7432768101702404E-8</v>
      </c>
      <c r="V38">
        <v>0.99472749749104195</v>
      </c>
      <c r="W38">
        <v>7</v>
      </c>
      <c r="X38" s="1">
        <v>6.1641691434785805E-8</v>
      </c>
      <c r="Y38">
        <v>0.96997273447110499</v>
      </c>
      <c r="Z38">
        <v>7</v>
      </c>
      <c r="AA38" s="1">
        <v>8.5369590077251705E-8</v>
      </c>
      <c r="AB38">
        <v>0.98710548342427296</v>
      </c>
      <c r="AC38">
        <v>7</v>
      </c>
      <c r="AD38" s="1">
        <v>1.00200096917423E-7</v>
      </c>
      <c r="AE38">
        <v>0.99647600405703396</v>
      </c>
      <c r="AF38">
        <v>7</v>
      </c>
      <c r="AG38" s="1">
        <v>9.0255536126672396E-8</v>
      </c>
      <c r="AH38">
        <v>0.99457970063866996</v>
      </c>
    </row>
    <row r="39" spans="2:34" x14ac:dyDescent="0.2">
      <c r="D39">
        <v>8</v>
      </c>
      <c r="E39" s="1">
        <v>6.1718474189675899E-7</v>
      </c>
      <c r="F39">
        <v>0.99795211030726905</v>
      </c>
      <c r="G39">
        <v>8</v>
      </c>
      <c r="H39" s="1">
        <v>4.8200868523409403E-7</v>
      </c>
      <c r="I39">
        <v>0.99479741942253497</v>
      </c>
      <c r="J39">
        <v>8</v>
      </c>
      <c r="K39" s="1">
        <v>4.83333696038415E-7</v>
      </c>
      <c r="L39">
        <v>0.99766717577956998</v>
      </c>
      <c r="M39">
        <v>8</v>
      </c>
      <c r="N39" s="1">
        <v>5.7762365858343401E-7</v>
      </c>
      <c r="O39">
        <v>0.98909879819166002</v>
      </c>
      <c r="P39">
        <v>8</v>
      </c>
      <c r="Q39" s="1">
        <v>6.3119091716686599E-7</v>
      </c>
      <c r="R39">
        <v>0.99758738800441904</v>
      </c>
      <c r="T39">
        <v>8</v>
      </c>
      <c r="U39" s="1">
        <v>6.3121145031125797E-8</v>
      </c>
      <c r="V39">
        <v>0.99162156975280702</v>
      </c>
      <c r="W39">
        <v>8</v>
      </c>
      <c r="X39" s="1">
        <v>7.7844222530563204E-8</v>
      </c>
      <c r="Y39">
        <v>0.989312992565623</v>
      </c>
      <c r="Z39">
        <v>8</v>
      </c>
      <c r="AA39" s="1">
        <v>8.0667865349133804E-8</v>
      </c>
      <c r="AB39">
        <v>0.98484030633743702</v>
      </c>
      <c r="AC39">
        <v>8</v>
      </c>
      <c r="AD39" s="1">
        <v>7.3927069504099995E-8</v>
      </c>
      <c r="AE39">
        <v>0.98285099109638996</v>
      </c>
      <c r="AF39">
        <v>8</v>
      </c>
      <c r="AG39" s="1">
        <v>8.4265815067876706E-8</v>
      </c>
      <c r="AH39">
        <v>0.992427373205366</v>
      </c>
    </row>
    <row r="40" spans="2:34" x14ac:dyDescent="0.2">
      <c r="D40">
        <v>9</v>
      </c>
      <c r="E40" s="1">
        <v>5.7123131764705898E-7</v>
      </c>
      <c r="F40">
        <v>0.99876766801340999</v>
      </c>
      <c r="G40">
        <v>9</v>
      </c>
      <c r="H40" s="1">
        <v>4.8633537382953197E-7</v>
      </c>
      <c r="I40">
        <v>0.99350297986539504</v>
      </c>
      <c r="J40">
        <v>9</v>
      </c>
      <c r="K40" s="1">
        <v>5.0269855750300101E-7</v>
      </c>
      <c r="L40">
        <v>0.99476111395540401</v>
      </c>
      <c r="M40">
        <v>9</v>
      </c>
      <c r="N40" s="1">
        <v>5.6968921008403303E-7</v>
      </c>
      <c r="O40">
        <v>0.99704856600301905</v>
      </c>
      <c r="P40">
        <v>9</v>
      </c>
      <c r="Q40" s="1">
        <v>6.8438800960384204E-7</v>
      </c>
      <c r="R40">
        <v>0.99864693101752899</v>
      </c>
      <c r="T40">
        <v>9</v>
      </c>
      <c r="U40" s="1">
        <v>9.3767956251406098E-8</v>
      </c>
      <c r="V40">
        <v>0.98575031299474103</v>
      </c>
      <c r="W40">
        <v>9</v>
      </c>
      <c r="X40" s="1">
        <v>5.28200463736594E-8</v>
      </c>
      <c r="Y40">
        <v>0.98858436904817004</v>
      </c>
      <c r="Z40">
        <v>9</v>
      </c>
      <c r="AA40" s="1">
        <v>6.6209641693542401E-8</v>
      </c>
      <c r="AB40">
        <v>0.99136360781343302</v>
      </c>
      <c r="AC40">
        <v>9</v>
      </c>
      <c r="AD40" s="1">
        <v>1.0118492485562101E-7</v>
      </c>
      <c r="AE40">
        <v>0.99586532768767799</v>
      </c>
      <c r="AF40">
        <v>9</v>
      </c>
      <c r="AG40" s="1">
        <v>7.4909786554996797E-8</v>
      </c>
      <c r="AH40">
        <v>0.96500077112086102</v>
      </c>
    </row>
    <row r="41" spans="2:34" x14ac:dyDescent="0.2">
      <c r="D41">
        <v>10</v>
      </c>
      <c r="E41" s="1">
        <v>5.8626237599039698E-7</v>
      </c>
      <c r="F41">
        <v>0.99784837998965303</v>
      </c>
      <c r="G41">
        <v>10</v>
      </c>
      <c r="H41" s="1">
        <v>5.5686810612244904E-7</v>
      </c>
      <c r="I41">
        <v>0.99207927590556</v>
      </c>
      <c r="J41">
        <v>10</v>
      </c>
      <c r="K41" s="1">
        <v>5.1541266506602597E-7</v>
      </c>
      <c r="L41">
        <v>0.99665381310231005</v>
      </c>
      <c r="M41">
        <v>10</v>
      </c>
      <c r="N41" s="1">
        <v>5.8065645954381901E-7</v>
      </c>
      <c r="O41">
        <v>0.99438297870193104</v>
      </c>
      <c r="P41">
        <v>10</v>
      </c>
      <c r="Q41" s="1">
        <v>6.8255717454981905E-7</v>
      </c>
      <c r="R41">
        <v>0.99467887341857697</v>
      </c>
      <c r="T41">
        <v>10</v>
      </c>
      <c r="U41" s="1">
        <v>8.2085415990399607E-8</v>
      </c>
      <c r="V41">
        <v>0.98390690640606804</v>
      </c>
      <c r="W41">
        <v>10</v>
      </c>
      <c r="X41" s="1">
        <v>3.3679006825170698E-8</v>
      </c>
      <c r="Y41">
        <v>0.78720467484775503</v>
      </c>
      <c r="Z41">
        <v>10</v>
      </c>
      <c r="AA41" s="1">
        <v>7.7842909120227994E-8</v>
      </c>
      <c r="AB41">
        <v>0.99215811230804996</v>
      </c>
      <c r="AC41">
        <v>10</v>
      </c>
      <c r="AD41" s="1">
        <v>6.0106867685613803E-8</v>
      </c>
      <c r="AE41">
        <v>0.98067610041565101</v>
      </c>
      <c r="AF41">
        <v>10</v>
      </c>
      <c r="AG41" s="1">
        <v>6.1437872796819798E-8</v>
      </c>
      <c r="AH41">
        <v>0.96970912963026401</v>
      </c>
    </row>
    <row r="42" spans="2:34" x14ac:dyDescent="0.2">
      <c r="D42" t="s">
        <v>21</v>
      </c>
      <c r="E42" s="1">
        <v>5.6078746343337397E-7</v>
      </c>
      <c r="F42" s="1">
        <v>4.2730743527561502E-8</v>
      </c>
      <c r="G42" t="s">
        <v>21</v>
      </c>
      <c r="H42" s="1">
        <v>5.27579851188475E-7</v>
      </c>
      <c r="I42" s="1">
        <v>5.1217613549793398E-8</v>
      </c>
      <c r="J42" t="s">
        <v>21</v>
      </c>
      <c r="K42" s="1">
        <v>5.2549779274909998E-7</v>
      </c>
      <c r="L42" s="1">
        <v>3.40324555098413E-8</v>
      </c>
      <c r="M42" t="s">
        <v>21</v>
      </c>
      <c r="N42" s="1">
        <v>5.9872351673469398E-7</v>
      </c>
      <c r="O42" s="1">
        <v>4.3667967419954902E-8</v>
      </c>
      <c r="P42" t="s">
        <v>21</v>
      </c>
      <c r="Q42" s="1">
        <v>6.3752115625450197E-7</v>
      </c>
      <c r="R42" s="1">
        <v>4.3615157037619001E-8</v>
      </c>
      <c r="T42" t="s">
        <v>21</v>
      </c>
      <c r="U42" s="1">
        <v>7.6202848005700097E-8</v>
      </c>
      <c r="V42" s="1">
        <v>1.29089935813616E-8</v>
      </c>
      <c r="W42" t="s">
        <v>21</v>
      </c>
      <c r="X42" s="1">
        <v>6.7637707930698305E-8</v>
      </c>
      <c r="Y42" s="1">
        <v>1.5872724682636601E-8</v>
      </c>
      <c r="Z42" t="s">
        <v>21</v>
      </c>
      <c r="AA42" s="1">
        <v>7.4446734997374896E-8</v>
      </c>
      <c r="AB42" s="1">
        <v>9.0960522100852004E-9</v>
      </c>
      <c r="AC42" t="s">
        <v>21</v>
      </c>
      <c r="AD42" s="1">
        <v>8.1960221482215203E-8</v>
      </c>
      <c r="AE42" s="1">
        <v>1.4018534041221399E-8</v>
      </c>
      <c r="AF42" t="s">
        <v>21</v>
      </c>
      <c r="AG42" s="1">
        <v>8.0980561115841097E-8</v>
      </c>
      <c r="AH42" s="1">
        <v>1.24979860994991E-8</v>
      </c>
    </row>
    <row r="43" spans="2:34" x14ac:dyDescent="0.2">
      <c r="F43" s="4">
        <f>F42/E42</f>
        <v>7.619775104447972E-2</v>
      </c>
      <c r="I43" s="4">
        <f>I42/H42</f>
        <v>9.7080306297550753E-2</v>
      </c>
      <c r="L43" s="4">
        <f>L42/K42</f>
        <v>6.4762318661327214E-2</v>
      </c>
      <c r="O43" s="4">
        <f>O42/N42</f>
        <v>7.2935113118840503E-2</v>
      </c>
      <c r="R43" s="4">
        <f>R42/Q42</f>
        <v>6.8413662212972251E-2</v>
      </c>
      <c r="V43" s="4">
        <f>V42/U42</f>
        <v>0.16940303307818608</v>
      </c>
      <c r="Y43" s="4">
        <f>Y42/X42</f>
        <v>0.23467271686527016</v>
      </c>
      <c r="AB43" s="4">
        <f>AB42/AA42</f>
        <v>0.12218201658415162</v>
      </c>
      <c r="AE43" s="4">
        <f>AE42/AD42</f>
        <v>0.17104070471873142</v>
      </c>
      <c r="AH43" s="4">
        <f>AH42/AG42</f>
        <v>0.15433316251811316</v>
      </c>
    </row>
    <row r="45" spans="2:34" x14ac:dyDescent="0.2">
      <c r="B45" t="s">
        <v>25</v>
      </c>
      <c r="D45" t="s">
        <v>0</v>
      </c>
      <c r="E45" s="2"/>
      <c r="F45" s="2"/>
      <c r="G45" s="2" t="s">
        <v>1</v>
      </c>
      <c r="H45" s="2"/>
      <c r="I45" s="2"/>
      <c r="J45" s="1" t="s">
        <v>2</v>
      </c>
      <c r="M45" s="2" t="s">
        <v>3</v>
      </c>
      <c r="N45" s="2"/>
      <c r="O45" s="2"/>
      <c r="P45" s="2" t="s">
        <v>4</v>
      </c>
      <c r="Q45" s="2"/>
      <c r="R45" s="1"/>
      <c r="T45" t="s">
        <v>5</v>
      </c>
      <c r="U45" s="2"/>
      <c r="V45" s="2"/>
      <c r="W45" s="2" t="s">
        <v>6</v>
      </c>
      <c r="X45" s="2"/>
      <c r="Y45" s="2"/>
      <c r="Z45" s="1" t="s">
        <v>7</v>
      </c>
      <c r="AC45" s="2" t="s">
        <v>8</v>
      </c>
      <c r="AD45" s="2"/>
      <c r="AE45" s="2"/>
      <c r="AF45" s="2" t="s">
        <v>9</v>
      </c>
      <c r="AG45" s="2"/>
      <c r="AH45" s="1"/>
    </row>
    <row r="46" spans="2:34" x14ac:dyDescent="0.2">
      <c r="D46">
        <v>1</v>
      </c>
      <c r="E46" s="2">
        <v>3.9865474333733499E-7</v>
      </c>
      <c r="F46" s="2">
        <v>0.99453896700367095</v>
      </c>
      <c r="G46">
        <v>1</v>
      </c>
      <c r="H46" s="2">
        <v>3.0860156782713103E-7</v>
      </c>
      <c r="I46" s="2">
        <v>0.98657692963841404</v>
      </c>
      <c r="J46">
        <v>1</v>
      </c>
      <c r="K46" s="1">
        <v>3.6224122833133298E-7</v>
      </c>
      <c r="L46">
        <v>0.997064251341504</v>
      </c>
      <c r="M46">
        <v>1</v>
      </c>
      <c r="N46" s="2">
        <v>3.2094485810324099E-7</v>
      </c>
      <c r="O46" s="2">
        <v>0.99417499102060303</v>
      </c>
      <c r="P46">
        <v>1</v>
      </c>
      <c r="Q46" s="2">
        <v>4.1414989723889499E-7</v>
      </c>
      <c r="R46" s="1">
        <v>0.99564751475535096</v>
      </c>
      <c r="T46">
        <v>1</v>
      </c>
      <c r="U46" s="2">
        <v>4.7499436323408099E-8</v>
      </c>
      <c r="V46" s="2">
        <v>0.97869000028065201</v>
      </c>
      <c r="W46">
        <v>1</v>
      </c>
      <c r="X46" s="2">
        <v>1.6996133683342101E-8</v>
      </c>
      <c r="Y46" s="2">
        <v>0.85381298595158905</v>
      </c>
      <c r="Z46">
        <v>1</v>
      </c>
      <c r="AA46" s="1">
        <v>3.1237972534313501E-8</v>
      </c>
      <c r="AB46">
        <v>0.98797630151609495</v>
      </c>
      <c r="AC46">
        <v>1</v>
      </c>
      <c r="AD46" s="2">
        <v>1.7824522140553599E-8</v>
      </c>
      <c r="AE46" s="2">
        <v>0.97547715609729402</v>
      </c>
      <c r="AF46">
        <v>1</v>
      </c>
      <c r="AG46" s="2">
        <v>2.41944336833421E-8</v>
      </c>
      <c r="AH46" s="1">
        <v>0.91159100043582797</v>
      </c>
    </row>
    <row r="47" spans="2:34" x14ac:dyDescent="0.2">
      <c r="D47">
        <v>2</v>
      </c>
      <c r="E47" s="2">
        <v>3.8970529651860698E-7</v>
      </c>
      <c r="F47" s="2">
        <v>0.993830570803512</v>
      </c>
      <c r="G47">
        <v>2</v>
      </c>
      <c r="H47" s="2">
        <v>3.70233607683073E-7</v>
      </c>
      <c r="I47" s="2">
        <v>0.99793099754568704</v>
      </c>
      <c r="J47">
        <v>2</v>
      </c>
      <c r="K47" s="1">
        <v>3.3843993949579898E-7</v>
      </c>
      <c r="L47">
        <v>0.99261732329505903</v>
      </c>
      <c r="M47">
        <v>2</v>
      </c>
      <c r="N47" s="2">
        <v>3.8510505114045599E-7</v>
      </c>
      <c r="O47" s="2">
        <v>0.99658783857915101</v>
      </c>
      <c r="P47">
        <v>2</v>
      </c>
      <c r="Q47" s="2">
        <v>3.9699810756302501E-7</v>
      </c>
      <c r="R47" s="1">
        <v>0.99315908503734995</v>
      </c>
      <c r="T47">
        <v>2</v>
      </c>
      <c r="U47" s="1">
        <v>3.5822366279156998E-8</v>
      </c>
      <c r="V47">
        <v>0.98113147312454896</v>
      </c>
      <c r="W47">
        <v>2</v>
      </c>
      <c r="X47" s="1">
        <v>2.6853243853596302E-8</v>
      </c>
      <c r="Y47">
        <v>0.9824252493515</v>
      </c>
      <c r="Z47">
        <v>2</v>
      </c>
      <c r="AA47" s="1">
        <v>3.5069405587639703E-8</v>
      </c>
      <c r="AB47">
        <v>0.982667353150805</v>
      </c>
      <c r="AC47">
        <v>2</v>
      </c>
      <c r="AD47" s="1">
        <v>3.8771093324833102E-8</v>
      </c>
      <c r="AE47">
        <v>0.987662986688575</v>
      </c>
      <c r="AF47">
        <v>2</v>
      </c>
      <c r="AG47" s="1">
        <v>3.0987269826745702E-8</v>
      </c>
      <c r="AH47">
        <v>0.98472414976434497</v>
      </c>
    </row>
    <row r="48" spans="2:34" x14ac:dyDescent="0.2">
      <c r="D48">
        <v>3</v>
      </c>
      <c r="E48" s="2">
        <v>2.9810739879952001E-7</v>
      </c>
      <c r="F48" s="2">
        <v>0.99067785658691199</v>
      </c>
      <c r="G48">
        <v>3</v>
      </c>
      <c r="H48" s="2">
        <v>3.7951112989195699E-7</v>
      </c>
      <c r="I48" s="2">
        <v>0.99492159122067703</v>
      </c>
      <c r="J48">
        <v>3</v>
      </c>
      <c r="K48" s="1">
        <v>3.7039425978391403E-7</v>
      </c>
      <c r="L48">
        <v>0.99639784044309598</v>
      </c>
      <c r="M48">
        <v>3</v>
      </c>
      <c r="N48" s="2">
        <v>4.0204442689075597E-7</v>
      </c>
      <c r="O48" s="2">
        <v>0.99730425368318099</v>
      </c>
      <c r="P48">
        <v>3</v>
      </c>
      <c r="Q48" s="2">
        <v>4.6000949867947102E-7</v>
      </c>
      <c r="R48" s="1">
        <v>0.99667398405644603</v>
      </c>
      <c r="T48">
        <v>3</v>
      </c>
      <c r="U48" s="1">
        <v>4.2808913665341698E-8</v>
      </c>
      <c r="V48">
        <v>0.99153159814463998</v>
      </c>
      <c r="W48">
        <v>3</v>
      </c>
      <c r="X48" s="1">
        <v>3.69336143703594E-8</v>
      </c>
      <c r="Y48">
        <v>0.94401437858040904</v>
      </c>
      <c r="Z48">
        <v>3</v>
      </c>
      <c r="AA48" s="1">
        <v>2.11297575039376E-8</v>
      </c>
      <c r="AB48">
        <v>0.88531626118026996</v>
      </c>
      <c r="AC48">
        <v>3</v>
      </c>
      <c r="AD48" s="1">
        <v>1.8623226228155699E-8</v>
      </c>
      <c r="AE48">
        <v>0.817837127551168</v>
      </c>
      <c r="AF48">
        <v>3</v>
      </c>
      <c r="AG48" s="1">
        <v>3.8701219747993802E-8</v>
      </c>
      <c r="AH48">
        <v>0.97331557333460395</v>
      </c>
    </row>
    <row r="49" spans="2:34" x14ac:dyDescent="0.2">
      <c r="D49">
        <v>4</v>
      </c>
      <c r="E49" s="2">
        <v>3.2642938247298899E-7</v>
      </c>
      <c r="F49" s="2">
        <v>0.98416727213028599</v>
      </c>
      <c r="G49">
        <v>4</v>
      </c>
      <c r="H49" s="2">
        <v>2.9137284033613399E-7</v>
      </c>
      <c r="I49" s="2">
        <v>0.99803084838829503</v>
      </c>
      <c r="J49">
        <v>4</v>
      </c>
      <c r="K49" s="1">
        <v>3.6994887635053998E-7</v>
      </c>
      <c r="L49">
        <v>0.99337608759894502</v>
      </c>
      <c r="M49">
        <v>4</v>
      </c>
      <c r="N49" s="2">
        <v>4.2254672701080498E-7</v>
      </c>
      <c r="O49" s="2">
        <v>0.99687697086412697</v>
      </c>
      <c r="P49">
        <v>4</v>
      </c>
      <c r="Q49" s="2">
        <v>3.7344667178871499E-7</v>
      </c>
      <c r="R49" s="1">
        <v>0.99511623381197101</v>
      </c>
      <c r="T49">
        <v>4</v>
      </c>
      <c r="U49" s="1">
        <v>2.7312684234605799E-8</v>
      </c>
      <c r="V49">
        <v>0.98522709696893196</v>
      </c>
      <c r="W49">
        <v>4</v>
      </c>
      <c r="X49" s="1">
        <v>2.70873954923873E-8</v>
      </c>
      <c r="Y49">
        <v>0.96837958860713502</v>
      </c>
      <c r="Z49">
        <v>4</v>
      </c>
      <c r="AA49" s="1">
        <v>3.2996720798019999E-8</v>
      </c>
      <c r="AB49">
        <v>0.98458140473702604</v>
      </c>
      <c r="AC49">
        <v>4</v>
      </c>
      <c r="AD49" s="1">
        <v>4.3313637335933399E-8</v>
      </c>
      <c r="AE49">
        <v>0.99116042385893899</v>
      </c>
      <c r="AF49">
        <v>4</v>
      </c>
      <c r="AG49" s="1">
        <v>1.7248306517663099E-8</v>
      </c>
      <c r="AH49">
        <v>0.86545472365810205</v>
      </c>
    </row>
    <row r="50" spans="2:34" x14ac:dyDescent="0.2">
      <c r="D50">
        <v>5</v>
      </c>
      <c r="E50" s="2">
        <v>3.5373318559423701E-7</v>
      </c>
      <c r="F50" s="2">
        <v>0.99266072879061196</v>
      </c>
      <c r="G50">
        <v>5</v>
      </c>
      <c r="H50" s="2">
        <v>3.1271738919567802E-7</v>
      </c>
      <c r="I50" s="2">
        <v>0.991243493809013</v>
      </c>
      <c r="J50">
        <v>5</v>
      </c>
      <c r="K50" s="1">
        <v>3.7785232028811499E-7</v>
      </c>
      <c r="L50">
        <v>0.99690371209251005</v>
      </c>
      <c r="M50">
        <v>5</v>
      </c>
      <c r="N50" s="2">
        <v>3.6662354909964003E-7</v>
      </c>
      <c r="O50" s="2">
        <v>0.992692029191097</v>
      </c>
      <c r="P50">
        <v>5</v>
      </c>
      <c r="Q50" s="2">
        <v>4.1389501224489801E-7</v>
      </c>
      <c r="R50" s="1">
        <v>0.99684408277085301</v>
      </c>
      <c r="T50">
        <v>5</v>
      </c>
      <c r="U50" s="1">
        <v>3.5385265701642499E-8</v>
      </c>
      <c r="V50">
        <v>0.98331360348029295</v>
      </c>
      <c r="W50">
        <v>5</v>
      </c>
      <c r="X50" s="1">
        <v>2.60225035400886E-8</v>
      </c>
      <c r="Y50">
        <v>0.96231697344417</v>
      </c>
      <c r="Z50">
        <v>5</v>
      </c>
      <c r="AA50" s="1">
        <v>4.3844491577289501E-8</v>
      </c>
      <c r="AB50">
        <v>0.99376349263137997</v>
      </c>
      <c r="AC50">
        <v>5</v>
      </c>
      <c r="AD50" s="1">
        <v>3.13644675841896E-8</v>
      </c>
      <c r="AE50">
        <v>0.98251308579003604</v>
      </c>
      <c r="AF50">
        <v>5</v>
      </c>
      <c r="AG50" s="1">
        <v>3.7071996722417997E-8</v>
      </c>
      <c r="AH50">
        <v>0.98053264035602805</v>
      </c>
    </row>
    <row r="51" spans="2:34" x14ac:dyDescent="0.2">
      <c r="D51">
        <v>6</v>
      </c>
      <c r="E51" s="1">
        <v>3.4240363313325299E-7</v>
      </c>
      <c r="F51" s="1">
        <v>0.99366486814454102</v>
      </c>
      <c r="G51">
        <v>6</v>
      </c>
      <c r="H51" s="1">
        <v>3.50363647539016E-7</v>
      </c>
      <c r="I51" s="1">
        <v>0.99683467581681995</v>
      </c>
      <c r="J51">
        <v>6</v>
      </c>
      <c r="K51" s="1">
        <v>3.0570217575029998E-7</v>
      </c>
      <c r="L51" s="1">
        <v>0.99584966808587205</v>
      </c>
      <c r="M51">
        <v>6</v>
      </c>
      <c r="N51" s="1">
        <v>3.3214348763505401E-7</v>
      </c>
      <c r="O51" s="1">
        <v>0.99558024248741905</v>
      </c>
      <c r="P51">
        <v>6</v>
      </c>
      <c r="Q51" s="1">
        <v>4.2379784777911101E-7</v>
      </c>
      <c r="R51" s="1">
        <v>0.99752495948431796</v>
      </c>
      <c r="T51">
        <v>6</v>
      </c>
      <c r="U51" s="1">
        <v>2.4092174634365799E-8</v>
      </c>
      <c r="V51">
        <v>0.91566000587262997</v>
      </c>
      <c r="W51">
        <v>6</v>
      </c>
      <c r="X51" s="1">
        <v>2.3641142316058001E-8</v>
      </c>
      <c r="Y51">
        <v>0.89644944083074496</v>
      </c>
      <c r="Z51">
        <v>6</v>
      </c>
      <c r="AA51" s="1">
        <v>2.9122929475736901E-8</v>
      </c>
      <c r="AB51">
        <v>0.96762623342513998</v>
      </c>
      <c r="AC51">
        <v>6</v>
      </c>
      <c r="AD51" s="1">
        <v>3.6169614137853502E-8</v>
      </c>
      <c r="AE51">
        <v>0.99303650368123697</v>
      </c>
      <c r="AF51">
        <v>6</v>
      </c>
      <c r="AG51" s="1">
        <v>1.36384782719568E-8</v>
      </c>
      <c r="AH51">
        <v>0.83968010848624797</v>
      </c>
    </row>
    <row r="52" spans="2:34" x14ac:dyDescent="0.2">
      <c r="D52">
        <v>7</v>
      </c>
      <c r="E52" s="1">
        <v>4.6235213685474198E-7</v>
      </c>
      <c r="F52" s="3">
        <v>0.99754298369079897</v>
      </c>
      <c r="G52">
        <v>7</v>
      </c>
      <c r="H52" s="1">
        <v>2.9036794525810299E-7</v>
      </c>
      <c r="I52" s="3">
        <v>0.97917454872487797</v>
      </c>
      <c r="J52">
        <v>7</v>
      </c>
      <c r="K52" s="1">
        <v>3.4317098679471802E-7</v>
      </c>
      <c r="L52" s="3">
        <v>0.985683369367922</v>
      </c>
      <c r="M52">
        <v>7</v>
      </c>
      <c r="N52" s="1">
        <v>3.5072904057622998E-7</v>
      </c>
      <c r="O52" s="3">
        <v>0.98494078805298502</v>
      </c>
      <c r="P52">
        <v>7</v>
      </c>
      <c r="Q52" s="1">
        <v>4.3889346026410602E-7</v>
      </c>
      <c r="R52" s="3">
        <v>0.98795921233730699</v>
      </c>
      <c r="T52">
        <v>7</v>
      </c>
      <c r="U52" s="1">
        <v>2.3290794074851799E-8</v>
      </c>
      <c r="V52">
        <v>0.97348874488098902</v>
      </c>
      <c r="W52">
        <v>7</v>
      </c>
      <c r="X52" s="1">
        <v>2.42294838970972E-8</v>
      </c>
      <c r="Y52">
        <v>0.93405130098788702</v>
      </c>
      <c r="Z52">
        <v>7</v>
      </c>
      <c r="AA52" s="1">
        <v>2.4001870914272901E-8</v>
      </c>
      <c r="AB52">
        <v>0.98425275383919897</v>
      </c>
      <c r="AC52">
        <v>7</v>
      </c>
      <c r="AD52" s="1">
        <v>4.13367343358584E-8</v>
      </c>
      <c r="AE52">
        <v>0.98182297118156903</v>
      </c>
      <c r="AF52">
        <v>7</v>
      </c>
      <c r="AG52" s="1">
        <v>5.15220464486612E-8</v>
      </c>
      <c r="AH52">
        <v>0.99306873703473197</v>
      </c>
    </row>
    <row r="53" spans="2:34" x14ac:dyDescent="0.2">
      <c r="D53">
        <v>8</v>
      </c>
      <c r="E53" s="1">
        <v>4.2108316734693798E-7</v>
      </c>
      <c r="F53">
        <v>0.99618263229059101</v>
      </c>
      <c r="G53">
        <v>8</v>
      </c>
      <c r="H53" s="1">
        <v>3.4557117310924402E-7</v>
      </c>
      <c r="I53">
        <v>0.99628422407303996</v>
      </c>
      <c r="J53">
        <v>8</v>
      </c>
      <c r="K53" s="1">
        <v>2.85203978871548E-7</v>
      </c>
      <c r="L53">
        <v>0.99303008335279896</v>
      </c>
      <c r="M53">
        <v>8</v>
      </c>
      <c r="N53" s="1">
        <v>3.74536433133253E-7</v>
      </c>
      <c r="O53">
        <v>0.99635188180671597</v>
      </c>
      <c r="P53">
        <v>8</v>
      </c>
      <c r="Q53" s="1">
        <v>3.8060379927971201E-7</v>
      </c>
      <c r="R53">
        <v>0.99772478945745402</v>
      </c>
      <c r="T53">
        <v>8</v>
      </c>
      <c r="U53" s="1">
        <v>2.9900088539713497E-8</v>
      </c>
      <c r="V53">
        <v>0.98341304366847404</v>
      </c>
      <c r="W53">
        <v>8</v>
      </c>
      <c r="X53" s="1">
        <v>2.7085732168304202E-8</v>
      </c>
      <c r="Y53">
        <v>0.97477360296025894</v>
      </c>
      <c r="Z53">
        <v>8</v>
      </c>
      <c r="AA53" s="1">
        <v>3.8011873434335803E-8</v>
      </c>
      <c r="AB53">
        <v>0.99129735426331</v>
      </c>
      <c r="AC53">
        <v>8</v>
      </c>
      <c r="AD53" s="1">
        <v>2.92166916897922E-8</v>
      </c>
      <c r="AE53">
        <v>0.98952039436351602</v>
      </c>
      <c r="AF53">
        <v>8</v>
      </c>
      <c r="AG53" s="1">
        <v>3.6459105992649802E-8</v>
      </c>
      <c r="AH53">
        <v>0.96953983604303495</v>
      </c>
    </row>
    <row r="54" spans="2:34" x14ac:dyDescent="0.2">
      <c r="D54">
        <v>9</v>
      </c>
      <c r="E54" s="1">
        <v>3.6763249699879999E-7</v>
      </c>
      <c r="F54">
        <v>0.99299780203561605</v>
      </c>
      <c r="G54">
        <v>9</v>
      </c>
      <c r="H54" s="1">
        <v>3.3591125138055198E-7</v>
      </c>
      <c r="I54">
        <v>0.99446539651019095</v>
      </c>
      <c r="J54">
        <v>9</v>
      </c>
      <c r="K54" s="1">
        <v>2.66772775510204E-7</v>
      </c>
      <c r="L54">
        <v>0.99884924520458196</v>
      </c>
      <c r="M54">
        <v>9</v>
      </c>
      <c r="N54" s="1">
        <v>4.4259144969987999E-7</v>
      </c>
      <c r="O54">
        <v>0.99281075669469798</v>
      </c>
      <c r="P54">
        <v>9</v>
      </c>
      <c r="Q54" s="1">
        <v>3.8748495990396099E-7</v>
      </c>
      <c r="R54">
        <v>0.99848717939971399</v>
      </c>
      <c r="T54">
        <v>9</v>
      </c>
      <c r="U54" s="1">
        <v>2.4296429348233799E-8</v>
      </c>
      <c r="V54">
        <v>0.94723154947981403</v>
      </c>
      <c r="W54">
        <v>9</v>
      </c>
      <c r="X54" s="1">
        <v>2.7597283732093299E-8</v>
      </c>
      <c r="Y54">
        <v>0.962721906825035</v>
      </c>
      <c r="Z54">
        <v>9</v>
      </c>
      <c r="AA54" s="1">
        <v>2.9696988067201801E-8</v>
      </c>
      <c r="AB54">
        <v>0.98629623636562003</v>
      </c>
      <c r="AC54">
        <v>9</v>
      </c>
      <c r="AD54" s="1">
        <v>3.65578300607515E-8</v>
      </c>
      <c r="AE54">
        <v>0.98944936638407899</v>
      </c>
      <c r="AF54">
        <v>9</v>
      </c>
      <c r="AG54" s="1">
        <v>2.1911904522613099E-8</v>
      </c>
      <c r="AH54">
        <v>0.92503433553798597</v>
      </c>
    </row>
    <row r="55" spans="2:34" x14ac:dyDescent="0.2">
      <c r="D55">
        <v>10</v>
      </c>
      <c r="E55" s="1">
        <v>4.12953300840336E-7</v>
      </c>
      <c r="F55">
        <v>0.99398735318446296</v>
      </c>
      <c r="G55">
        <v>10</v>
      </c>
      <c r="H55" s="1">
        <v>4.3011855654261697E-7</v>
      </c>
      <c r="I55">
        <v>0.99847700146714302</v>
      </c>
      <c r="J55">
        <v>10</v>
      </c>
      <c r="K55" s="1">
        <v>3.5832904489795999E-7</v>
      </c>
      <c r="L55">
        <v>0.992978601595771</v>
      </c>
      <c r="M55">
        <v>10</v>
      </c>
      <c r="N55" s="1">
        <v>4.06810720768307E-7</v>
      </c>
      <c r="O55">
        <v>0.99524525942588205</v>
      </c>
      <c r="P55">
        <v>10</v>
      </c>
      <c r="Q55" s="1">
        <v>3.8596821800720301E-7</v>
      </c>
      <c r="R55">
        <v>0.99406169466504801</v>
      </c>
      <c r="T55">
        <v>10</v>
      </c>
      <c r="U55" s="1">
        <v>2.6626351616290501E-8</v>
      </c>
      <c r="V55">
        <v>0.92887422839949896</v>
      </c>
      <c r="W55">
        <v>10</v>
      </c>
      <c r="X55" s="1">
        <v>2.8861697809945299E-8</v>
      </c>
      <c r="Y55">
        <v>0.96186297045748803</v>
      </c>
      <c r="Z55">
        <v>10</v>
      </c>
      <c r="AA55" s="1">
        <v>6.7014081602029299E-10</v>
      </c>
      <c r="AB55">
        <v>8.5194229411727995E-2</v>
      </c>
      <c r="AC55">
        <v>10</v>
      </c>
      <c r="AD55" s="1">
        <v>4.5411093107327699E-8</v>
      </c>
      <c r="AE55">
        <v>0.98944301133593804</v>
      </c>
      <c r="AF55">
        <v>10</v>
      </c>
      <c r="AG55" s="1">
        <v>3.7293899369984197E-8</v>
      </c>
      <c r="AH55">
        <v>0.97934480586502304</v>
      </c>
    </row>
    <row r="56" spans="2:34" x14ac:dyDescent="0.2">
      <c r="D56" t="s">
        <v>21</v>
      </c>
      <c r="E56" s="1">
        <v>3.7730547418967601E-7</v>
      </c>
      <c r="F56" s="1">
        <v>4.9168424059936803E-8</v>
      </c>
      <c r="G56" t="s">
        <v>21</v>
      </c>
      <c r="H56" s="1">
        <v>3.4147691087635101E-7</v>
      </c>
      <c r="I56" s="1">
        <v>4.3828005925083498E-8</v>
      </c>
      <c r="J56" t="s">
        <v>21</v>
      </c>
      <c r="K56" s="1">
        <v>3.3780555860744302E-7</v>
      </c>
      <c r="L56" s="1">
        <v>3.88582535209006E-8</v>
      </c>
      <c r="M56" t="s">
        <v>21</v>
      </c>
      <c r="N56" s="1">
        <v>3.8040757440576202E-7</v>
      </c>
      <c r="O56" s="1">
        <v>3.9158382195436099E-8</v>
      </c>
      <c r="P56" t="s">
        <v>21</v>
      </c>
      <c r="Q56" s="1">
        <v>4.0752474727491E-7</v>
      </c>
      <c r="R56" s="1">
        <v>2.7791029363645898E-8</v>
      </c>
      <c r="T56" t="s">
        <v>21</v>
      </c>
      <c r="U56" s="1">
        <v>3.1703450441761101E-8</v>
      </c>
      <c r="V56" s="1">
        <v>8.4013349285170395E-9</v>
      </c>
      <c r="W56" t="s">
        <v>21</v>
      </c>
      <c r="X56" s="1">
        <v>2.65308230863272E-8</v>
      </c>
      <c r="Y56" s="1">
        <v>4.9477844835323798E-9</v>
      </c>
      <c r="Z56" t="s">
        <v>21</v>
      </c>
      <c r="AA56" s="1">
        <v>2.8578215070876801E-8</v>
      </c>
      <c r="AB56" s="1">
        <v>1.1773876859951199E-8</v>
      </c>
      <c r="AC56" t="s">
        <v>21</v>
      </c>
      <c r="AD56" s="1">
        <v>3.3858890994524899E-8</v>
      </c>
      <c r="AE56" s="1">
        <v>9.6177833914775392E-9</v>
      </c>
      <c r="AF56" t="s">
        <v>21</v>
      </c>
      <c r="AG56" s="1">
        <v>3.0902866110402697E-8</v>
      </c>
      <c r="AH56" s="1">
        <v>1.15762873655957E-8</v>
      </c>
    </row>
    <row r="57" spans="2:34" x14ac:dyDescent="0.2">
      <c r="F57" s="4">
        <f>F56/E56</f>
        <v>0.13031463210422239</v>
      </c>
      <c r="I57" s="4">
        <f>I56/H56</f>
        <v>0.12834837299132545</v>
      </c>
      <c r="L57" s="4">
        <f>L56/K56</f>
        <v>0.11503142127408562</v>
      </c>
      <c r="O57" s="4">
        <f>O56/N56</f>
        <v>0.10293796661805631</v>
      </c>
      <c r="R57" s="4">
        <f>R56/Q56</f>
        <v>6.8194703633294926E-2</v>
      </c>
      <c r="V57" s="4">
        <f>V56/U56</f>
        <v>0.26499749432479602</v>
      </c>
      <c r="Y57" s="4">
        <f>Y56/X56</f>
        <v>0.18649193307848208</v>
      </c>
      <c r="AB57" s="4">
        <f>AB56/AA56</f>
        <v>0.41198783166656211</v>
      </c>
      <c r="AE57" s="4">
        <f>AE56/AD56</f>
        <v>0.28405488511223737</v>
      </c>
      <c r="AH57" s="4">
        <f>AH56/AG56</f>
        <v>0.37460238555992142</v>
      </c>
    </row>
    <row r="59" spans="2:34" x14ac:dyDescent="0.2">
      <c r="B59" t="s">
        <v>24</v>
      </c>
      <c r="D59" t="s">
        <v>0</v>
      </c>
      <c r="E59" s="2"/>
      <c r="F59" s="2"/>
      <c r="G59" s="2" t="s">
        <v>1</v>
      </c>
      <c r="H59" s="2"/>
      <c r="I59" s="2"/>
      <c r="J59" s="1" t="s">
        <v>2</v>
      </c>
      <c r="M59" s="2" t="s">
        <v>3</v>
      </c>
      <c r="N59" s="2"/>
      <c r="O59" s="2"/>
      <c r="P59" s="2" t="s">
        <v>4</v>
      </c>
      <c r="Q59" s="2"/>
      <c r="R59" s="1"/>
      <c r="T59" t="s">
        <v>5</v>
      </c>
      <c r="U59" s="2"/>
      <c r="V59" s="2"/>
      <c r="W59" s="2" t="s">
        <v>6</v>
      </c>
      <c r="X59" s="2"/>
      <c r="Y59" s="2"/>
      <c r="Z59" s="1" t="s">
        <v>7</v>
      </c>
      <c r="AC59" s="2" t="s">
        <v>8</v>
      </c>
      <c r="AD59" s="2"/>
      <c r="AE59" s="2"/>
      <c r="AF59" s="2" t="s">
        <v>9</v>
      </c>
      <c r="AG59" s="2"/>
      <c r="AH59" s="1"/>
    </row>
    <row r="60" spans="2:34" x14ac:dyDescent="0.2">
      <c r="D60">
        <v>1</v>
      </c>
      <c r="E60" s="2">
        <v>1.42484043697479E-7</v>
      </c>
      <c r="F60" s="2">
        <v>0.96781877308286601</v>
      </c>
      <c r="G60">
        <v>1</v>
      </c>
      <c r="H60" s="2">
        <v>1.9267449123649401E-7</v>
      </c>
      <c r="I60" s="2">
        <v>0.96096547846259195</v>
      </c>
      <c r="J60">
        <v>1</v>
      </c>
      <c r="K60" s="1">
        <v>1.7942393709483801E-7</v>
      </c>
      <c r="L60">
        <v>0.97722949778299095</v>
      </c>
      <c r="M60">
        <v>1</v>
      </c>
      <c r="N60" s="2">
        <v>2.5719566674669898E-7</v>
      </c>
      <c r="O60" s="2">
        <v>0.98447488006296902</v>
      </c>
      <c r="P60">
        <v>1</v>
      </c>
      <c r="Q60" s="2">
        <v>2.6526166578631401E-7</v>
      </c>
      <c r="R60" s="1">
        <v>0.99308534520194702</v>
      </c>
      <c r="T60">
        <v>1</v>
      </c>
      <c r="U60" s="2">
        <v>3.8862611115278402E-9</v>
      </c>
      <c r="V60" s="2">
        <v>0.65741385250723605</v>
      </c>
      <c r="W60">
        <v>1</v>
      </c>
      <c r="X60" s="2">
        <v>1.5528512180304498E-8</v>
      </c>
      <c r="Y60" s="2">
        <v>0.96905769128192398</v>
      </c>
      <c r="Z60">
        <v>1</v>
      </c>
      <c r="AA60" s="1">
        <v>1.9083217182929499E-8</v>
      </c>
      <c r="AB60">
        <v>0.95132998693803705</v>
      </c>
      <c r="AC60">
        <v>1</v>
      </c>
      <c r="AD60" s="2">
        <v>1.34813705167629E-8</v>
      </c>
      <c r="AE60" s="2">
        <v>0.921630008029381</v>
      </c>
      <c r="AF60">
        <v>1</v>
      </c>
      <c r="AG60" s="2">
        <v>1.02634035400885E-8</v>
      </c>
      <c r="AH60" s="1">
        <v>0.94546156082011501</v>
      </c>
    </row>
    <row r="61" spans="2:34" x14ac:dyDescent="0.2">
      <c r="D61">
        <v>2</v>
      </c>
      <c r="E61" s="2">
        <v>2.0375340552220899E-7</v>
      </c>
      <c r="F61" s="2">
        <v>0.99585142321132902</v>
      </c>
      <c r="G61">
        <v>2</v>
      </c>
      <c r="H61" s="2">
        <v>2.1820842112845099E-7</v>
      </c>
      <c r="I61" s="2">
        <v>0.97573008194536603</v>
      </c>
      <c r="J61">
        <v>2</v>
      </c>
      <c r="K61" s="1">
        <v>2.17427507803121E-7</v>
      </c>
      <c r="L61">
        <v>0.99264336332307002</v>
      </c>
      <c r="M61">
        <v>2</v>
      </c>
      <c r="N61" s="2">
        <v>2.2737246722689099E-7</v>
      </c>
      <c r="O61" s="2">
        <v>0.99466333332204104</v>
      </c>
      <c r="P61">
        <v>2</v>
      </c>
      <c r="Q61" s="2">
        <v>2.27934837935174E-7</v>
      </c>
      <c r="R61" s="1">
        <v>0.993958194925878</v>
      </c>
      <c r="T61">
        <v>2</v>
      </c>
      <c r="U61" s="1">
        <v>1.4437903592589801E-8</v>
      </c>
      <c r="V61">
        <v>0.93316255211487098</v>
      </c>
      <c r="W61">
        <v>2</v>
      </c>
      <c r="X61" s="1">
        <v>6.6710596714917999E-9</v>
      </c>
      <c r="Y61">
        <v>0.82700819713371898</v>
      </c>
      <c r="Z61">
        <v>2</v>
      </c>
      <c r="AA61" s="1">
        <v>6.7700583589588797E-9</v>
      </c>
      <c r="AB61">
        <v>0.89430495765415896</v>
      </c>
      <c r="AC61">
        <v>2</v>
      </c>
      <c r="AD61" s="1">
        <v>1.87647022650567E-8</v>
      </c>
      <c r="AE61">
        <v>0.97461934372454395</v>
      </c>
      <c r="AF61">
        <v>2</v>
      </c>
      <c r="AG61" s="1">
        <v>1.09408921548038E-8</v>
      </c>
      <c r="AH61">
        <v>0.89897790160565305</v>
      </c>
    </row>
    <row r="62" spans="2:34" x14ac:dyDescent="0.2">
      <c r="D62">
        <v>3</v>
      </c>
      <c r="E62" s="2">
        <v>1.8388771668667501E-7</v>
      </c>
      <c r="F62" s="2">
        <v>0.98172028369652597</v>
      </c>
      <c r="G62">
        <v>3</v>
      </c>
      <c r="H62" s="2">
        <v>2.2617182761104401E-7</v>
      </c>
      <c r="I62" s="2">
        <v>0.99001523458829099</v>
      </c>
      <c r="J62">
        <v>3</v>
      </c>
      <c r="K62" s="1">
        <v>1.6970693397358901E-7</v>
      </c>
      <c r="L62">
        <v>0.98626371978611005</v>
      </c>
      <c r="M62">
        <v>3</v>
      </c>
      <c r="N62" s="2">
        <v>2.3728531476590699E-7</v>
      </c>
      <c r="O62" s="2">
        <v>0.98870861660859299</v>
      </c>
      <c r="P62">
        <v>3</v>
      </c>
      <c r="Q62" s="2">
        <v>2.12349734933973E-7</v>
      </c>
      <c r="R62" s="1">
        <v>0.99244154134701101</v>
      </c>
      <c r="T62">
        <v>3</v>
      </c>
      <c r="U62" s="1">
        <v>2.4020554076351901E-8</v>
      </c>
      <c r="V62">
        <v>0.982506312982102</v>
      </c>
      <c r="W62">
        <v>3</v>
      </c>
      <c r="X62" s="1">
        <v>1.54393795769893E-8</v>
      </c>
      <c r="Y62">
        <v>0.91727325108573499</v>
      </c>
      <c r="Z62">
        <v>3</v>
      </c>
      <c r="AA62" s="1">
        <v>1.27260679816995E-8</v>
      </c>
      <c r="AB62">
        <v>0.97084535343307299</v>
      </c>
      <c r="AC62">
        <v>3</v>
      </c>
      <c r="AD62" s="1">
        <v>8.7278054601365099E-9</v>
      </c>
      <c r="AE62">
        <v>0.93715834683662202</v>
      </c>
      <c r="AF62">
        <v>3</v>
      </c>
      <c r="AG62" s="1">
        <v>1.28803931448286E-8</v>
      </c>
      <c r="AH62">
        <v>0.956955429307906</v>
      </c>
    </row>
    <row r="63" spans="2:34" x14ac:dyDescent="0.2">
      <c r="D63">
        <v>4</v>
      </c>
      <c r="E63" s="2">
        <v>2.17625148139256E-7</v>
      </c>
      <c r="F63" s="2">
        <v>0.99105511024380699</v>
      </c>
      <c r="G63">
        <v>4</v>
      </c>
      <c r="H63" s="2">
        <v>2.7532899879951999E-7</v>
      </c>
      <c r="I63" s="2">
        <v>0.99374165302360895</v>
      </c>
      <c r="J63">
        <v>4</v>
      </c>
      <c r="K63" s="1">
        <v>9.9091357503001101E-8</v>
      </c>
      <c r="L63">
        <v>0.91741131314887803</v>
      </c>
      <c r="M63">
        <v>4</v>
      </c>
      <c r="N63" s="2">
        <v>2.01419148619448E-7</v>
      </c>
      <c r="O63" s="2">
        <v>0.99530518630852605</v>
      </c>
      <c r="P63">
        <v>4</v>
      </c>
      <c r="Q63" s="2">
        <v>2.8427355726290497E-7</v>
      </c>
      <c r="R63" s="1">
        <v>0.98505681706482195</v>
      </c>
      <c r="T63">
        <v>4</v>
      </c>
      <c r="U63" s="1">
        <v>1.17837998499962E-8</v>
      </c>
      <c r="V63">
        <v>0.92761823498638896</v>
      </c>
      <c r="W63">
        <v>4</v>
      </c>
      <c r="X63" s="1">
        <v>1.2649084857121401E-8</v>
      </c>
      <c r="Y63">
        <v>0.91759911752860301</v>
      </c>
      <c r="Z63">
        <v>4</v>
      </c>
      <c r="AA63" s="1">
        <v>1.33547858996476E-8</v>
      </c>
      <c r="AB63">
        <v>0.96057989050926795</v>
      </c>
      <c r="AC63">
        <v>4</v>
      </c>
      <c r="AD63" s="1">
        <v>8.5677194254856407E-9</v>
      </c>
      <c r="AE63">
        <v>0.87496785773152497</v>
      </c>
      <c r="AF63">
        <v>4</v>
      </c>
      <c r="AG63" s="1">
        <v>1.9061122125553199E-8</v>
      </c>
      <c r="AH63">
        <v>0.93493465440260604</v>
      </c>
    </row>
    <row r="64" spans="2:34" x14ac:dyDescent="0.2">
      <c r="D64">
        <v>5</v>
      </c>
      <c r="E64" s="2">
        <v>2.0236310252100901E-7</v>
      </c>
      <c r="F64" s="2">
        <v>0.98631311539494104</v>
      </c>
      <c r="G64">
        <v>5</v>
      </c>
      <c r="H64" s="2">
        <v>1.9877322496998801E-7</v>
      </c>
      <c r="I64" s="2">
        <v>0.99281911653782495</v>
      </c>
      <c r="J64">
        <v>5</v>
      </c>
      <c r="K64" s="1">
        <v>1.4466436206482599E-7</v>
      </c>
      <c r="L64">
        <v>0.92276689226255004</v>
      </c>
      <c r="M64">
        <v>5</v>
      </c>
      <c r="N64" s="2">
        <v>2.6887679135654302E-7</v>
      </c>
      <c r="O64" s="2">
        <v>0.99571776734602802</v>
      </c>
      <c r="P64">
        <v>5</v>
      </c>
      <c r="Q64" s="2">
        <v>2.23725671548619E-7</v>
      </c>
      <c r="R64" s="1">
        <v>0.98676998834211804</v>
      </c>
      <c r="T64">
        <v>5</v>
      </c>
      <c r="U64" s="1">
        <v>1.3443547678692E-8</v>
      </c>
      <c r="V64">
        <v>0.88042085106569401</v>
      </c>
      <c r="W64">
        <v>5</v>
      </c>
      <c r="X64" s="1">
        <v>1.5650129153228799E-8</v>
      </c>
      <c r="Y64">
        <v>0.96374808355369002</v>
      </c>
      <c r="Z64">
        <v>5</v>
      </c>
      <c r="AA64" s="1">
        <v>2.0768492762318598E-9</v>
      </c>
      <c r="AB64">
        <v>0.845475937507839</v>
      </c>
      <c r="AC64">
        <v>5</v>
      </c>
      <c r="AD64" s="1">
        <v>1.29734372984324E-8</v>
      </c>
      <c r="AE64">
        <v>0.91048361948937095</v>
      </c>
      <c r="AF64">
        <v>5</v>
      </c>
      <c r="AG64" s="1">
        <v>1.15256173554339E-8</v>
      </c>
      <c r="AH64">
        <v>0.97835996471494102</v>
      </c>
    </row>
    <row r="65" spans="2:34" x14ac:dyDescent="0.2">
      <c r="D65">
        <v>6</v>
      </c>
      <c r="E65" s="1">
        <v>2.1001774453781501E-7</v>
      </c>
      <c r="F65" s="1">
        <v>0.98591105326555895</v>
      </c>
      <c r="G65">
        <v>6</v>
      </c>
      <c r="H65" s="1">
        <v>2.2429732388955601E-7</v>
      </c>
      <c r="I65" s="1">
        <v>0.99242880268102796</v>
      </c>
      <c r="J65">
        <v>6</v>
      </c>
      <c r="K65" s="1">
        <v>1.6396049363745501E-7</v>
      </c>
      <c r="L65" s="1">
        <v>0.96934858023155002</v>
      </c>
      <c r="M65">
        <v>6</v>
      </c>
      <c r="N65" s="1">
        <v>2.1112305930372201E-7</v>
      </c>
      <c r="O65" s="1">
        <v>0.99278730507116797</v>
      </c>
      <c r="P65">
        <v>6</v>
      </c>
      <c r="Q65" s="1">
        <v>2.4950310396158498E-7</v>
      </c>
      <c r="R65" s="1">
        <v>0.99652043862601203</v>
      </c>
      <c r="T65">
        <v>6</v>
      </c>
      <c r="U65" s="1">
        <v>1.04837035325883E-8</v>
      </c>
      <c r="V65">
        <v>0.90740767683055501</v>
      </c>
      <c r="W65">
        <v>6</v>
      </c>
      <c r="X65" s="1">
        <v>6.1701985824645498E-9</v>
      </c>
      <c r="Y65">
        <v>0.81370519017556198</v>
      </c>
      <c r="Z65">
        <v>6</v>
      </c>
      <c r="AA65" s="1">
        <v>1.6277621930548302E-8</v>
      </c>
      <c r="AB65">
        <v>0.87028995619140104</v>
      </c>
      <c r="AC65">
        <v>6</v>
      </c>
      <c r="AD65" s="1">
        <v>1.2110605400134999E-8</v>
      </c>
      <c r="AE65">
        <v>0.94832003856985403</v>
      </c>
      <c r="AF65">
        <v>6</v>
      </c>
      <c r="AG65" s="1">
        <v>3.4234039750992898E-9</v>
      </c>
      <c r="AH65">
        <v>0.65588876257544204</v>
      </c>
    </row>
    <row r="66" spans="2:34" x14ac:dyDescent="0.2">
      <c r="D66">
        <v>7</v>
      </c>
      <c r="E66" s="1">
        <v>1.8995080720288101E-7</v>
      </c>
      <c r="F66" s="3">
        <v>0.98566988089541197</v>
      </c>
      <c r="G66">
        <v>7</v>
      </c>
      <c r="H66" s="1">
        <v>2.1765516830732301E-7</v>
      </c>
      <c r="I66" s="3">
        <v>0.98236322349606198</v>
      </c>
      <c r="J66">
        <v>7</v>
      </c>
      <c r="K66" s="1">
        <v>2.7323925234093602E-7</v>
      </c>
      <c r="L66" s="3">
        <v>0.98759898019428605</v>
      </c>
      <c r="M66">
        <v>7</v>
      </c>
      <c r="N66" s="1">
        <v>2.5319160912364999E-7</v>
      </c>
      <c r="O66" s="3">
        <v>0.996747850839387</v>
      </c>
      <c r="P66">
        <v>7</v>
      </c>
      <c r="Q66" s="1">
        <v>3.0698742665066001E-7</v>
      </c>
      <c r="R66" s="3">
        <v>0.99801026278884297</v>
      </c>
      <c r="T66">
        <v>7</v>
      </c>
      <c r="U66" s="1">
        <v>1.31411555088877E-8</v>
      </c>
      <c r="V66">
        <v>0.90280768240089104</v>
      </c>
      <c r="W66">
        <v>7</v>
      </c>
      <c r="X66" s="1">
        <v>7.2751258681466496E-9</v>
      </c>
      <c r="Y66">
        <v>0.92053313451159702</v>
      </c>
      <c r="Z66">
        <v>7</v>
      </c>
      <c r="AA66" s="1">
        <v>1.0716312885322101E-8</v>
      </c>
      <c r="AB66">
        <v>0.94601540007496099</v>
      </c>
      <c r="AC66">
        <v>7</v>
      </c>
      <c r="AD66" s="1">
        <v>4.0073028650716597E-9</v>
      </c>
      <c r="AE66">
        <v>0.77390118312689204</v>
      </c>
      <c r="AF66">
        <v>7</v>
      </c>
      <c r="AG66" s="1">
        <v>3.61136512412812E-9</v>
      </c>
      <c r="AH66">
        <v>0.75091158435832295</v>
      </c>
    </row>
    <row r="67" spans="2:34" x14ac:dyDescent="0.2">
      <c r="D67">
        <v>8</v>
      </c>
      <c r="E67" s="1">
        <v>1.6492960576230499E-7</v>
      </c>
      <c r="F67">
        <v>0.990222186549085</v>
      </c>
      <c r="G67">
        <v>8</v>
      </c>
      <c r="H67" s="1">
        <v>1.5356384537815101E-7</v>
      </c>
      <c r="I67">
        <v>0.986842896292497</v>
      </c>
      <c r="J67">
        <v>8</v>
      </c>
      <c r="K67" s="1">
        <v>2.17147507322929E-7</v>
      </c>
      <c r="L67">
        <v>0.98733219233979197</v>
      </c>
      <c r="M67">
        <v>8</v>
      </c>
      <c r="N67" s="1">
        <v>2.0498521680672299E-7</v>
      </c>
      <c r="O67">
        <v>0.99471499317649603</v>
      </c>
      <c r="P67">
        <v>8</v>
      </c>
      <c r="Q67" s="1">
        <v>2.9891696230492198E-7</v>
      </c>
      <c r="R67">
        <v>0.994097055715505</v>
      </c>
      <c r="T67">
        <v>8</v>
      </c>
      <c r="U67" s="1">
        <v>1.53674434035851E-8</v>
      </c>
      <c r="V67">
        <v>0.96438224293741504</v>
      </c>
      <c r="W67">
        <v>8</v>
      </c>
      <c r="X67" s="1">
        <v>9.3400378834470804E-9</v>
      </c>
      <c r="Y67">
        <v>0.92296888386499998</v>
      </c>
      <c r="Z67">
        <v>8</v>
      </c>
      <c r="AA67" s="1">
        <v>1.1308215322883001E-8</v>
      </c>
      <c r="AB67">
        <v>0.98800314573696701</v>
      </c>
      <c r="AC67">
        <v>8</v>
      </c>
      <c r="AD67" s="1">
        <v>1.7854768836720899E-8</v>
      </c>
      <c r="AE67">
        <v>0.97676403382018895</v>
      </c>
      <c r="AF67">
        <v>8</v>
      </c>
      <c r="AG67" s="1">
        <v>1.8038769481737001E-8</v>
      </c>
      <c r="AH67">
        <v>0.97826416103722602</v>
      </c>
    </row>
    <row r="68" spans="2:34" x14ac:dyDescent="0.2">
      <c r="D68">
        <v>9</v>
      </c>
      <c r="E68" s="1">
        <v>1.9761379927971201E-7</v>
      </c>
      <c r="F68">
        <v>0.98942505043530704</v>
      </c>
      <c r="G68">
        <v>9</v>
      </c>
      <c r="H68" s="1">
        <v>1.5487667947178901E-7</v>
      </c>
      <c r="I68">
        <v>0.98301648257305396</v>
      </c>
      <c r="J68">
        <v>9</v>
      </c>
      <c r="K68" s="1">
        <v>2.00252169987995E-7</v>
      </c>
      <c r="L68">
        <v>0.98676155636434404</v>
      </c>
      <c r="M68">
        <v>9</v>
      </c>
      <c r="N68" s="1">
        <v>2.14854220408163E-7</v>
      </c>
      <c r="O68">
        <v>0.98889646343960302</v>
      </c>
      <c r="P68">
        <v>9</v>
      </c>
      <c r="Q68" s="1">
        <v>2.2883909675870399E-7</v>
      </c>
      <c r="R68">
        <v>0.99097018702783402</v>
      </c>
      <c r="T68">
        <v>9</v>
      </c>
      <c r="U68" s="1">
        <v>1.8734490279756899E-8</v>
      </c>
      <c r="V68">
        <v>0.96920821761272402</v>
      </c>
      <c r="W68">
        <v>9</v>
      </c>
      <c r="X68" s="1">
        <v>1.15219843246082E-8</v>
      </c>
      <c r="Y68">
        <v>0.88401102101102502</v>
      </c>
      <c r="Z68">
        <v>9</v>
      </c>
      <c r="AA68" s="1">
        <v>2.9958940823520699E-9</v>
      </c>
      <c r="AB68">
        <v>0.76896374960146396</v>
      </c>
      <c r="AC68">
        <v>9</v>
      </c>
      <c r="AD68" s="1">
        <v>9.5677524938123107E-9</v>
      </c>
      <c r="AE68">
        <v>0.96341176017627905</v>
      </c>
      <c r="AF68">
        <v>9</v>
      </c>
      <c r="AG68" s="1">
        <v>8.9973821195530397E-9</v>
      </c>
      <c r="AH68">
        <v>0.858185794788484</v>
      </c>
    </row>
    <row r="69" spans="2:34" x14ac:dyDescent="0.2">
      <c r="D69">
        <v>10</v>
      </c>
      <c r="E69" s="1">
        <v>2.242477272509E-7</v>
      </c>
      <c r="F69">
        <v>0.99000425037471695</v>
      </c>
      <c r="G69">
        <v>10</v>
      </c>
      <c r="H69" s="1">
        <v>1.7963777767106899E-7</v>
      </c>
      <c r="I69">
        <v>0.96730122843996302</v>
      </c>
      <c r="J69">
        <v>10</v>
      </c>
      <c r="K69" s="1">
        <v>2.2944363217286901E-7</v>
      </c>
      <c r="L69">
        <v>0.99171023494575095</v>
      </c>
      <c r="M69">
        <v>10</v>
      </c>
      <c r="N69" s="1">
        <v>2.4672587322929198E-7</v>
      </c>
      <c r="O69">
        <v>0.99699324851387505</v>
      </c>
      <c r="P69">
        <v>10</v>
      </c>
      <c r="Q69" s="1">
        <v>2.58579659063626E-7</v>
      </c>
      <c r="R69">
        <v>0.98864449548167799</v>
      </c>
      <c r="T69">
        <v>10</v>
      </c>
      <c r="U69" s="1">
        <v>8.4892517662941006E-9</v>
      </c>
      <c r="V69">
        <v>0.81822426346297294</v>
      </c>
      <c r="W69">
        <v>10</v>
      </c>
      <c r="X69" s="1">
        <v>1.4386399572489399E-8</v>
      </c>
      <c r="Y69">
        <v>0.84749524337336701</v>
      </c>
      <c r="Z69">
        <v>10</v>
      </c>
      <c r="AA69" s="1">
        <v>6.23545550138751E-9</v>
      </c>
      <c r="AB69">
        <v>0.81919847095487597</v>
      </c>
      <c r="AC69">
        <v>10</v>
      </c>
      <c r="AD69" s="1">
        <v>4.5059843546088203E-9</v>
      </c>
      <c r="AE69">
        <v>0.80904461208488898</v>
      </c>
      <c r="AF69">
        <v>10</v>
      </c>
      <c r="AG69" s="1">
        <v>1.99843322433061E-8</v>
      </c>
      <c r="AH69">
        <v>0.959898332467638</v>
      </c>
    </row>
    <row r="70" spans="2:34" x14ac:dyDescent="0.2">
      <c r="D70" t="s">
        <v>21</v>
      </c>
      <c r="E70" s="1">
        <v>1.93687310060024E-7</v>
      </c>
      <c r="F70" s="1">
        <v>2.4775500393750901E-8</v>
      </c>
      <c r="G70" t="s">
        <v>21</v>
      </c>
      <c r="H70" s="1">
        <v>2.0411877584633799E-7</v>
      </c>
      <c r="I70" s="1">
        <v>3.6644856630772097E-8</v>
      </c>
      <c r="J70" t="s">
        <v>21</v>
      </c>
      <c r="K70" s="1">
        <v>1.89435715390156E-7</v>
      </c>
      <c r="L70" s="1">
        <v>4.8986585783169797E-8</v>
      </c>
      <c r="M70" t="s">
        <v>21</v>
      </c>
      <c r="N70" s="1">
        <v>2.32302936758704E-7</v>
      </c>
      <c r="O70" s="1">
        <v>2.3813855212901901E-8</v>
      </c>
      <c r="P70" t="s">
        <v>21</v>
      </c>
      <c r="Q70" s="1">
        <v>2.5563717162064803E-7</v>
      </c>
      <c r="R70" s="1">
        <v>3.3076761869584199E-8</v>
      </c>
      <c r="T70" t="s">
        <v>21</v>
      </c>
      <c r="U70" s="1">
        <v>1.3378811080027001E-8</v>
      </c>
      <c r="V70" s="1">
        <v>5.4975651567918197E-9</v>
      </c>
      <c r="W70" t="s">
        <v>21</v>
      </c>
      <c r="X70" s="1">
        <v>1.1463191167029201E-8</v>
      </c>
      <c r="Y70" s="1">
        <v>3.8420230833675201E-9</v>
      </c>
      <c r="Z70" t="s">
        <v>21</v>
      </c>
      <c r="AA70" s="1">
        <v>1.0154447842196E-8</v>
      </c>
      <c r="AB70" s="1">
        <v>5.5679991626091504E-9</v>
      </c>
      <c r="AC70" t="s">
        <v>21</v>
      </c>
      <c r="AD70" s="1">
        <v>1.10561448916223E-8</v>
      </c>
      <c r="AE70" s="1">
        <v>4.9747392506873402E-9</v>
      </c>
      <c r="AF70" t="s">
        <v>21</v>
      </c>
      <c r="AG70" s="1">
        <v>1.18726681264532E-8</v>
      </c>
      <c r="AH70" s="1">
        <v>5.84992047527238E-9</v>
      </c>
    </row>
    <row r="71" spans="2:34" x14ac:dyDescent="0.2">
      <c r="F71" s="4">
        <f>F70/E70</f>
        <v>0.12791493870234935</v>
      </c>
      <c r="I71" s="4">
        <f>I70/H70</f>
        <v>0.17952712325865894</v>
      </c>
      <c r="L71" s="4">
        <f>L70/K70</f>
        <v>0.25859213339088949</v>
      </c>
      <c r="O71" s="4">
        <f>O70/N70</f>
        <v>0.10251207128576964</v>
      </c>
      <c r="R71" s="4">
        <f>R70/Q70</f>
        <v>0.12938948455691865</v>
      </c>
      <c r="V71" s="4">
        <f>V70/U70</f>
        <v>0.41091582233334928</v>
      </c>
      <c r="Y71" s="4">
        <f>Y70/X70</f>
        <v>0.33516173876765404</v>
      </c>
      <c r="AB71" s="4">
        <f>AB70/AA70</f>
        <v>0.54833106133765075</v>
      </c>
      <c r="AE71" s="4">
        <f>AE70/AD70</f>
        <v>0.44995242911992833</v>
      </c>
      <c r="AH71" s="4">
        <f>AH70/AG70</f>
        <v>0.49272163703778732</v>
      </c>
    </row>
    <row r="73" spans="2:34" x14ac:dyDescent="0.2">
      <c r="B73" t="s">
        <v>23</v>
      </c>
      <c r="D73" t="s">
        <v>0</v>
      </c>
      <c r="E73" s="2"/>
      <c r="F73" s="2"/>
      <c r="G73" s="2" t="s">
        <v>1</v>
      </c>
      <c r="H73" s="2"/>
      <c r="I73" s="2"/>
      <c r="J73" s="1" t="s">
        <v>2</v>
      </c>
      <c r="M73" s="2" t="s">
        <v>3</v>
      </c>
      <c r="N73" s="2"/>
      <c r="O73" s="2"/>
      <c r="P73" s="2" t="s">
        <v>4</v>
      </c>
      <c r="Q73" s="2"/>
      <c r="R73" s="1"/>
      <c r="T73" t="s">
        <v>5</v>
      </c>
      <c r="U73" s="2"/>
      <c r="V73" s="2"/>
      <c r="W73" s="2" t="s">
        <v>6</v>
      </c>
      <c r="X73" s="2"/>
      <c r="Y73" s="2"/>
      <c r="Z73" s="1" t="s">
        <v>7</v>
      </c>
      <c r="AC73" s="2" t="s">
        <v>8</v>
      </c>
      <c r="AD73" s="2"/>
      <c r="AE73" s="2"/>
      <c r="AF73" s="2" t="s">
        <v>9</v>
      </c>
      <c r="AG73" s="2"/>
      <c r="AH73" s="1"/>
    </row>
    <row r="74" spans="2:34" x14ac:dyDescent="0.2">
      <c r="D74">
        <v>1</v>
      </c>
      <c r="E74" s="2">
        <v>7.5183262905162002E-8</v>
      </c>
      <c r="F74" s="2">
        <v>0.96813530199739395</v>
      </c>
      <c r="G74">
        <v>1</v>
      </c>
      <c r="H74" s="2">
        <v>1.07910528691477E-7</v>
      </c>
      <c r="I74" s="2">
        <v>0.98139141309047295</v>
      </c>
      <c r="J74">
        <v>1</v>
      </c>
      <c r="K74" s="1">
        <v>5.6500894117646997E-8</v>
      </c>
      <c r="L74">
        <v>0.964341292150249</v>
      </c>
      <c r="M74">
        <v>1</v>
      </c>
      <c r="N74" s="2">
        <v>1.0807046818727501E-7</v>
      </c>
      <c r="O74" s="2">
        <v>0.98448456044976695</v>
      </c>
      <c r="P74">
        <v>1</v>
      </c>
      <c r="Q74" s="2">
        <v>5.0189511164465702E-8</v>
      </c>
      <c r="R74" s="1">
        <v>0.91572769162718703</v>
      </c>
      <c r="T74">
        <v>1</v>
      </c>
      <c r="U74" s="2">
        <v>1.64753453836333E-10</v>
      </c>
      <c r="V74" s="2">
        <v>6.4163298657807594E-2</v>
      </c>
      <c r="W74">
        <v>1</v>
      </c>
      <c r="X74" s="2">
        <v>1.8417908047700999E-9</v>
      </c>
      <c r="Y74" s="2">
        <v>0.595091291949013</v>
      </c>
      <c r="Z74">
        <v>1</v>
      </c>
      <c r="AA74" s="1">
        <v>5.6857183754593801E-9</v>
      </c>
      <c r="AB74">
        <v>0.738504498825857</v>
      </c>
      <c r="AC74">
        <v>1</v>
      </c>
      <c r="AD74" s="2">
        <v>6.1930578414460499E-9</v>
      </c>
      <c r="AE74" s="2">
        <v>0.92718980180252997</v>
      </c>
      <c r="AF74">
        <v>1</v>
      </c>
      <c r="AG74" s="2">
        <v>2.2514827345683301E-9</v>
      </c>
      <c r="AH74" s="1">
        <v>0.72320451375662598</v>
      </c>
    </row>
    <row r="75" spans="2:34" x14ac:dyDescent="0.2">
      <c r="D75">
        <v>2</v>
      </c>
      <c r="E75" s="2">
        <v>8.2306619447778996E-8</v>
      </c>
      <c r="F75" s="2">
        <v>0.98178194592339796</v>
      </c>
      <c r="G75">
        <v>2</v>
      </c>
      <c r="H75" s="2">
        <v>5.7284681392557003E-8</v>
      </c>
      <c r="I75" s="2">
        <v>0.91531654711024801</v>
      </c>
      <c r="J75">
        <v>2</v>
      </c>
      <c r="K75" s="1">
        <v>8.4204266986794604E-8</v>
      </c>
      <c r="L75">
        <v>0.98390764376465101</v>
      </c>
      <c r="M75">
        <v>2</v>
      </c>
      <c r="N75" s="2">
        <v>8.4719116926770594E-8</v>
      </c>
      <c r="O75" s="2">
        <v>0.91451956542079205</v>
      </c>
      <c r="P75">
        <v>2</v>
      </c>
      <c r="Q75" s="2">
        <v>8.6825733493397403E-8</v>
      </c>
      <c r="R75" s="1">
        <v>0.93648049610571305</v>
      </c>
      <c r="T75">
        <v>2</v>
      </c>
      <c r="U75" s="1">
        <v>2.2075740343508799E-9</v>
      </c>
      <c r="V75">
        <v>0.634929942500845</v>
      </c>
      <c r="W75">
        <v>2</v>
      </c>
      <c r="X75" s="1">
        <v>4.3387938423460503E-9</v>
      </c>
      <c r="Y75">
        <v>0.81100416999631397</v>
      </c>
      <c r="Z75">
        <v>2</v>
      </c>
      <c r="AA75" s="1">
        <v>8.2019530488259504E-10</v>
      </c>
      <c r="AB75">
        <v>0.41075721235264601</v>
      </c>
      <c r="AC75">
        <v>2</v>
      </c>
      <c r="AD75" s="1">
        <v>3.5156584114603001E-9</v>
      </c>
      <c r="AE75">
        <v>0.82116538946066997</v>
      </c>
      <c r="AF75">
        <v>2</v>
      </c>
      <c r="AG75" s="1">
        <v>1.5460610065251401E-9</v>
      </c>
      <c r="AH75">
        <v>0.51994689187298904</v>
      </c>
    </row>
    <row r="76" spans="2:34" x14ac:dyDescent="0.2">
      <c r="D76">
        <v>3</v>
      </c>
      <c r="E76" s="2">
        <v>1.08673726770708E-7</v>
      </c>
      <c r="F76" s="2">
        <v>0.96043131804388804</v>
      </c>
      <c r="G76">
        <v>3</v>
      </c>
      <c r="H76" s="2">
        <v>9.3236132052821098E-8</v>
      </c>
      <c r="I76" s="2">
        <v>0.94416985308494605</v>
      </c>
      <c r="J76">
        <v>3</v>
      </c>
      <c r="K76" s="1">
        <v>3.37007822328931E-8</v>
      </c>
      <c r="L76">
        <v>0.844182474982764</v>
      </c>
      <c r="M76">
        <v>3</v>
      </c>
      <c r="N76" s="2">
        <v>8.2583562545017996E-8</v>
      </c>
      <c r="O76" s="2">
        <v>0.96647302096092702</v>
      </c>
      <c r="P76">
        <v>3</v>
      </c>
      <c r="Q76" s="2">
        <v>7.3005997118847498E-8</v>
      </c>
      <c r="R76" s="1">
        <v>0.90471237255126002</v>
      </c>
      <c r="T76">
        <v>3</v>
      </c>
      <c r="U76" s="1">
        <v>3.9830598589964602E-9</v>
      </c>
      <c r="V76">
        <v>0.81790032031330295</v>
      </c>
      <c r="W76">
        <v>3</v>
      </c>
      <c r="X76" s="1">
        <v>4.9191373134328796E-9</v>
      </c>
      <c r="Y76">
        <v>0.93873842265072005</v>
      </c>
      <c r="Z76">
        <v>3</v>
      </c>
      <c r="AA76" s="1">
        <v>1.1809795244791701E-12</v>
      </c>
      <c r="AB76" s="1">
        <v>7.2641984274787601E-6</v>
      </c>
      <c r="AC76">
        <v>3</v>
      </c>
      <c r="AD76" s="1">
        <v>9.4398394509862604E-9</v>
      </c>
      <c r="AE76">
        <v>0.94304445207287901</v>
      </c>
      <c r="AF76">
        <v>3</v>
      </c>
      <c r="AG76" s="1">
        <v>4.9800129903247403E-9</v>
      </c>
      <c r="AH76">
        <v>0.760410188919587</v>
      </c>
    </row>
    <row r="77" spans="2:34" x14ac:dyDescent="0.2">
      <c r="D77">
        <v>4</v>
      </c>
      <c r="E77" s="2">
        <v>1.13071277310924E-7</v>
      </c>
      <c r="F77" s="2">
        <v>0.98143062660235003</v>
      </c>
      <c r="G77">
        <v>4</v>
      </c>
      <c r="H77" s="2">
        <v>1.4550489315726301E-7</v>
      </c>
      <c r="I77" s="2">
        <v>0.99163871705794004</v>
      </c>
      <c r="J77">
        <v>4</v>
      </c>
      <c r="K77" s="1">
        <v>3.7943420888355303E-8</v>
      </c>
      <c r="L77">
        <v>0.94621865097357905</v>
      </c>
      <c r="M77">
        <v>4</v>
      </c>
      <c r="N77" s="2">
        <v>1.1310051524609901E-7</v>
      </c>
      <c r="O77" s="2">
        <v>0.98203262141182501</v>
      </c>
      <c r="P77">
        <v>4</v>
      </c>
      <c r="Q77" s="2">
        <v>1.07821664345738E-7</v>
      </c>
      <c r="R77" s="1">
        <v>0.98468470256585205</v>
      </c>
      <c r="T77">
        <v>4</v>
      </c>
      <c r="U77" s="1">
        <v>3.3623741843547902E-10</v>
      </c>
      <c r="V77">
        <v>0.23534062962813301</v>
      </c>
      <c r="W77">
        <v>4</v>
      </c>
      <c r="X77" s="1">
        <v>5.3490876921922896E-9</v>
      </c>
      <c r="Y77">
        <v>0.87368786625178896</v>
      </c>
      <c r="Z77">
        <v>4</v>
      </c>
      <c r="AA77" s="1">
        <v>4.1743055351383599E-9</v>
      </c>
      <c r="AB77">
        <v>0.87763551196697898</v>
      </c>
      <c r="AC77">
        <v>4</v>
      </c>
      <c r="AD77" s="1">
        <v>7.3772235805895501E-10</v>
      </c>
      <c r="AE77">
        <v>0.29567905380729198</v>
      </c>
      <c r="AF77">
        <v>4</v>
      </c>
      <c r="AG77" s="1">
        <v>1.1924478361956701E-10</v>
      </c>
      <c r="AH77">
        <v>2.2357247939093602E-2</v>
      </c>
    </row>
    <row r="78" spans="2:34" x14ac:dyDescent="0.2">
      <c r="D78">
        <v>5</v>
      </c>
      <c r="E78" s="2">
        <v>1.08553754141657E-7</v>
      </c>
      <c r="F78" s="2">
        <v>0.96813371357090605</v>
      </c>
      <c r="G78">
        <v>5</v>
      </c>
      <c r="H78" s="2">
        <v>1.05474014405763E-7</v>
      </c>
      <c r="I78" s="2">
        <v>0.96557973244280504</v>
      </c>
      <c r="J78">
        <v>5</v>
      </c>
      <c r="K78" s="1">
        <v>9.7878064345738195E-8</v>
      </c>
      <c r="L78">
        <v>0.97287020911637601</v>
      </c>
      <c r="M78">
        <v>5</v>
      </c>
      <c r="N78" s="2">
        <v>1.4818356638655401E-7</v>
      </c>
      <c r="O78" s="2">
        <v>0.98866808332536105</v>
      </c>
      <c r="P78">
        <v>5</v>
      </c>
      <c r="Q78" s="2">
        <v>1.4120925378151301E-7</v>
      </c>
      <c r="R78" s="1">
        <v>0.98301841409145396</v>
      </c>
      <c r="T78">
        <v>5</v>
      </c>
      <c r="U78" s="1">
        <v>-5.2880897022443399E-12</v>
      </c>
      <c r="V78">
        <v>1.0840931875578601E-4</v>
      </c>
      <c r="W78">
        <v>5</v>
      </c>
      <c r="X78" s="1">
        <v>9.5358110777769205E-9</v>
      </c>
      <c r="Y78">
        <v>0.94166743846747802</v>
      </c>
      <c r="Z78">
        <v>5</v>
      </c>
      <c r="AA78" s="1">
        <v>2.99985190879772E-9</v>
      </c>
      <c r="AB78">
        <v>0.79560983307875599</v>
      </c>
      <c r="AC78">
        <v>5</v>
      </c>
      <c r="AD78" s="1">
        <v>6.1149755193880003E-9</v>
      </c>
      <c r="AE78">
        <v>0.86617142576908601</v>
      </c>
      <c r="AF78">
        <v>5</v>
      </c>
      <c r="AG78" s="1">
        <v>9.2993927848196E-10</v>
      </c>
      <c r="AH78">
        <v>0.60369271305358596</v>
      </c>
    </row>
    <row r="79" spans="2:34" x14ac:dyDescent="0.2">
      <c r="D79">
        <v>6</v>
      </c>
      <c r="E79" s="1">
        <v>1.01747999519808E-7</v>
      </c>
      <c r="F79" s="1">
        <v>0.98489846268452197</v>
      </c>
      <c r="G79">
        <v>6</v>
      </c>
      <c r="H79" s="1">
        <v>5.9634945978391402E-8</v>
      </c>
      <c r="I79" s="1">
        <v>0.98293382360583104</v>
      </c>
      <c r="J79">
        <v>6</v>
      </c>
      <c r="K79" s="1">
        <v>4.0095575030011797E-8</v>
      </c>
      <c r="L79" s="1">
        <v>0.91261977476686396</v>
      </c>
      <c r="M79">
        <v>6</v>
      </c>
      <c r="N79" s="1">
        <v>1.17362627611044E-7</v>
      </c>
      <c r="O79" s="1">
        <v>0.95672124096101396</v>
      </c>
      <c r="P79">
        <v>6</v>
      </c>
      <c r="Q79" s="1">
        <v>9.9764516206482504E-8</v>
      </c>
      <c r="R79" s="1">
        <v>0.98001699144843002</v>
      </c>
      <c r="T79">
        <v>6</v>
      </c>
      <c r="U79" s="1">
        <v>1.10925895897397E-9</v>
      </c>
      <c r="V79">
        <v>0.41109075597973699</v>
      </c>
      <c r="W79">
        <v>6</v>
      </c>
      <c r="X79" s="1">
        <v>5.1866222980574101E-9</v>
      </c>
      <c r="Y79">
        <v>0.91009450877241305</v>
      </c>
      <c r="Z79">
        <v>6</v>
      </c>
      <c r="AA79" s="1">
        <v>2.5368743193580102E-9</v>
      </c>
      <c r="AB79">
        <v>0.80537574284231395</v>
      </c>
      <c r="AC79">
        <v>6</v>
      </c>
      <c r="AD79" s="1">
        <v>5.17683424585616E-9</v>
      </c>
      <c r="AE79">
        <v>0.85656992728377002</v>
      </c>
      <c r="AF79">
        <v>6</v>
      </c>
      <c r="AG79" s="1">
        <v>3.3682561014025299E-9</v>
      </c>
      <c r="AH79">
        <v>0.84357705536958305</v>
      </c>
    </row>
    <row r="80" spans="2:34" x14ac:dyDescent="0.2">
      <c r="D80">
        <v>7</v>
      </c>
      <c r="E80" s="1">
        <v>4.4365212484993902E-8</v>
      </c>
      <c r="F80" s="3">
        <v>0.73218173206634696</v>
      </c>
      <c r="G80">
        <v>7</v>
      </c>
      <c r="H80" s="1">
        <v>9.5320630012005003E-8</v>
      </c>
      <c r="I80" s="3">
        <v>0.98654892516030601</v>
      </c>
      <c r="J80">
        <v>7</v>
      </c>
      <c r="K80" s="1">
        <v>1.50736267947179E-7</v>
      </c>
      <c r="L80" s="3">
        <v>0.98876790062106101</v>
      </c>
      <c r="M80">
        <v>7</v>
      </c>
      <c r="N80" s="1">
        <v>7.0077634573829402E-8</v>
      </c>
      <c r="O80" s="3">
        <v>0.81179598638864103</v>
      </c>
      <c r="P80">
        <v>7</v>
      </c>
      <c r="Q80" s="1">
        <v>1.1098932196878801E-7</v>
      </c>
      <c r="R80" s="3">
        <v>0.96375236663350905</v>
      </c>
      <c r="T80">
        <v>7</v>
      </c>
      <c r="U80" s="1">
        <v>2.5086088727218E-9</v>
      </c>
      <c r="V80">
        <v>0.57931688505548995</v>
      </c>
      <c r="W80">
        <v>7</v>
      </c>
      <c r="X80" s="1">
        <v>6.74156387909694E-9</v>
      </c>
      <c r="Y80">
        <v>0.91192022806764494</v>
      </c>
      <c r="Z80">
        <v>7</v>
      </c>
      <c r="AA80" s="1">
        <v>1.8111071026775599E-9</v>
      </c>
      <c r="AB80">
        <v>0.70796336005785099</v>
      </c>
      <c r="AC80">
        <v>7</v>
      </c>
      <c r="AD80" s="1">
        <v>1.13307801320033E-8</v>
      </c>
      <c r="AE80">
        <v>0.958839989649377</v>
      </c>
      <c r="AF80">
        <v>7</v>
      </c>
      <c r="AG80" s="1">
        <v>9.0472916822919704E-10</v>
      </c>
      <c r="AH80">
        <v>0.60905229278767903</v>
      </c>
    </row>
    <row r="81" spans="4:34" x14ac:dyDescent="0.2">
      <c r="D81">
        <v>8</v>
      </c>
      <c r="E81" s="1">
        <v>1.03406438895558E-7</v>
      </c>
      <c r="F81">
        <v>0.98864120180571102</v>
      </c>
      <c r="G81">
        <v>8</v>
      </c>
      <c r="H81" s="1">
        <v>4.88007020408163E-8</v>
      </c>
      <c r="I81">
        <v>0.92685769690269704</v>
      </c>
      <c r="J81">
        <v>8</v>
      </c>
      <c r="K81" s="1">
        <v>1.0395601680672301E-7</v>
      </c>
      <c r="L81">
        <v>0.99027979123504895</v>
      </c>
      <c r="M81">
        <v>8</v>
      </c>
      <c r="N81" s="1">
        <v>1.48007910204082E-7</v>
      </c>
      <c r="O81">
        <v>0.99387397785498099</v>
      </c>
      <c r="P81">
        <v>8</v>
      </c>
      <c r="Q81" s="1">
        <v>6.8831992316926802E-8</v>
      </c>
      <c r="R81">
        <v>0.92076276000427104</v>
      </c>
      <c r="T81">
        <v>8</v>
      </c>
      <c r="U81" s="1">
        <v>3.4106768169204902E-10</v>
      </c>
      <c r="V81">
        <v>0.11996848857855499</v>
      </c>
      <c r="W81">
        <v>8</v>
      </c>
      <c r="X81" s="1">
        <v>6.7477719567989303E-9</v>
      </c>
      <c r="Y81">
        <v>0.87835505066935404</v>
      </c>
      <c r="Z81">
        <v>8</v>
      </c>
      <c r="AA81" s="1">
        <v>2.63257507687693E-9</v>
      </c>
      <c r="AB81">
        <v>0.76858205074427999</v>
      </c>
      <c r="AC81">
        <v>8</v>
      </c>
      <c r="AD81" s="1">
        <v>1.5295833495837901E-9</v>
      </c>
      <c r="AE81">
        <v>0.54107294053433397</v>
      </c>
      <c r="AF81">
        <v>8</v>
      </c>
      <c r="AG81" s="1">
        <v>6.1854949748742998E-9</v>
      </c>
      <c r="AH81">
        <v>0.85378265907172501</v>
      </c>
    </row>
    <row r="82" spans="4:34" x14ac:dyDescent="0.2">
      <c r="D82">
        <v>9</v>
      </c>
      <c r="E82" s="1">
        <v>4.2299349819928001E-8</v>
      </c>
      <c r="F82">
        <v>0.87989873212301495</v>
      </c>
      <c r="G82">
        <v>9</v>
      </c>
      <c r="H82" s="1">
        <v>1.41273527971189E-7</v>
      </c>
      <c r="I82">
        <v>0.98579984881224203</v>
      </c>
      <c r="J82">
        <v>9</v>
      </c>
      <c r="K82" s="1">
        <v>4.9621483793517402E-8</v>
      </c>
      <c r="L82">
        <v>0.90236297003375798</v>
      </c>
      <c r="M82">
        <v>9</v>
      </c>
      <c r="N82" s="1">
        <v>8.0196616086434799E-8</v>
      </c>
      <c r="O82">
        <v>0.95593331437264395</v>
      </c>
      <c r="P82">
        <v>9</v>
      </c>
      <c r="Q82" s="1">
        <v>1.5836753997599001E-7</v>
      </c>
      <c r="R82">
        <v>0.98949871517963295</v>
      </c>
      <c r="T82">
        <v>9</v>
      </c>
      <c r="U82" s="1">
        <v>4.25866300157503E-9</v>
      </c>
      <c r="V82">
        <v>0.90251243932036496</v>
      </c>
      <c r="W82">
        <v>9</v>
      </c>
      <c r="X82" s="1">
        <v>9.5693177079422196E-10</v>
      </c>
      <c r="Y82">
        <v>0.57171035682079996</v>
      </c>
      <c r="Z82">
        <v>9</v>
      </c>
      <c r="AA82" s="1">
        <v>5.4299075376884497E-9</v>
      </c>
      <c r="AB82">
        <v>0.93115923061017902</v>
      </c>
      <c r="AC82">
        <v>9</v>
      </c>
      <c r="AD82" s="1">
        <v>1.6400017625440499E-9</v>
      </c>
      <c r="AE82">
        <v>0.67730579167888705</v>
      </c>
      <c r="AF82">
        <v>9</v>
      </c>
      <c r="AG82" s="1">
        <v>1.2453103952599199E-9</v>
      </c>
      <c r="AH82">
        <v>0.74795097955674605</v>
      </c>
    </row>
    <row r="83" spans="4:34" x14ac:dyDescent="0.2">
      <c r="D83">
        <v>10</v>
      </c>
      <c r="E83" s="1">
        <v>1.73121902521008E-7</v>
      </c>
      <c r="F83">
        <v>0.98814184137085803</v>
      </c>
      <c r="G83">
        <v>10</v>
      </c>
      <c r="H83" s="1">
        <v>5.0829419447779199E-8</v>
      </c>
      <c r="I83">
        <v>0.89104736951363805</v>
      </c>
      <c r="J83">
        <v>10</v>
      </c>
      <c r="K83" s="1">
        <v>4.4054078271308601E-8</v>
      </c>
      <c r="L83">
        <v>0.76327230022330905</v>
      </c>
      <c r="M83">
        <v>10</v>
      </c>
      <c r="N83" s="1">
        <v>1.1983990204081601E-7</v>
      </c>
      <c r="O83">
        <v>0.99144090078959701</v>
      </c>
      <c r="P83">
        <v>10</v>
      </c>
      <c r="Q83" s="1">
        <v>1.24518245378151E-7</v>
      </c>
      <c r="R83">
        <v>0.96801498850108703</v>
      </c>
      <c r="T83">
        <v>10</v>
      </c>
      <c r="U83" s="1">
        <v>3.1677169954249399E-9</v>
      </c>
      <c r="V83">
        <v>0.84928112652760601</v>
      </c>
      <c r="W83">
        <v>10</v>
      </c>
      <c r="X83" s="1">
        <v>7.2515818645466296E-10</v>
      </c>
      <c r="Y83">
        <v>0.42528429800898998</v>
      </c>
      <c r="Z83">
        <v>10</v>
      </c>
      <c r="AA83" s="1">
        <v>3.02979525238132E-9</v>
      </c>
      <c r="AB83">
        <v>0.93066077930480795</v>
      </c>
      <c r="AC83">
        <v>10</v>
      </c>
      <c r="AD83" s="1">
        <v>2.6897003225080399E-9</v>
      </c>
      <c r="AE83">
        <v>0.85022791360944505</v>
      </c>
      <c r="AF83">
        <v>10</v>
      </c>
      <c r="AG83" s="1">
        <v>3.3258631740793601E-9</v>
      </c>
      <c r="AH83">
        <v>0.78506898430183303</v>
      </c>
    </row>
    <row r="84" spans="4:34" x14ac:dyDescent="0.2">
      <c r="D84" t="s">
        <v>21</v>
      </c>
      <c r="E84" s="1">
        <v>9.5272954381752602E-8</v>
      </c>
      <c r="F84" s="1">
        <v>3.7728270653867301E-8</v>
      </c>
      <c r="G84" t="s">
        <v>21</v>
      </c>
      <c r="H84" s="1">
        <v>9.0526947515006097E-8</v>
      </c>
      <c r="I84" s="1">
        <v>3.5792690164412902E-8</v>
      </c>
      <c r="J84" t="s">
        <v>21</v>
      </c>
      <c r="K84" s="1">
        <v>6.9869085042016705E-8</v>
      </c>
      <c r="L84" s="1">
        <v>3.8239544785811799E-8</v>
      </c>
      <c r="M84" t="s">
        <v>21</v>
      </c>
      <c r="N84" s="1">
        <v>1.07214191980792E-7</v>
      </c>
      <c r="O84" s="1">
        <v>2.7612734597974902E-8</v>
      </c>
      <c r="P84" t="s">
        <v>21</v>
      </c>
      <c r="Q84" s="1">
        <v>1.0215237757503E-7</v>
      </c>
      <c r="R84" s="1">
        <v>3.3659331639624397E-8</v>
      </c>
      <c r="T84" t="s">
        <v>21</v>
      </c>
      <c r="U84" s="1">
        <v>1.80716521863047E-9</v>
      </c>
      <c r="V84" s="1">
        <v>1.6340290202494799E-9</v>
      </c>
      <c r="W84" t="s">
        <v>21</v>
      </c>
      <c r="X84" s="1">
        <v>4.6342668821720403E-9</v>
      </c>
      <c r="Y84" s="1">
        <v>2.7991885246764798E-9</v>
      </c>
      <c r="Z84" t="s">
        <v>21</v>
      </c>
      <c r="AA84" s="1">
        <v>2.91215113927848E-9</v>
      </c>
      <c r="AB84" s="1">
        <v>1.8235392235209399E-9</v>
      </c>
      <c r="AC84" t="s">
        <v>21</v>
      </c>
      <c r="AD84" s="1">
        <v>4.8368153393834797E-9</v>
      </c>
      <c r="AE84" s="1">
        <v>3.51605258460781E-9</v>
      </c>
      <c r="AF84" t="s">
        <v>21</v>
      </c>
      <c r="AG84" s="1">
        <v>2.4856394607365098E-9</v>
      </c>
      <c r="AH84" s="1">
        <v>1.95479966481519E-9</v>
      </c>
    </row>
    <row r="85" spans="4:34" x14ac:dyDescent="0.2">
      <c r="F85" s="4">
        <f>F84/E84</f>
        <v>0.39600189685199166</v>
      </c>
      <c r="I85" s="4">
        <f>I84/H84</f>
        <v>0.39538160897869407</v>
      </c>
      <c r="L85" s="4">
        <f>L84/K84</f>
        <v>0.54730278438333546</v>
      </c>
      <c r="O85" s="4">
        <f>O84/N84</f>
        <v>0.25754738330651106</v>
      </c>
      <c r="R85" s="4">
        <f>R84/Q84</f>
        <v>0.32950120632191771</v>
      </c>
      <c r="V85" s="4">
        <f>V84/U84</f>
        <v>0.90419459350141851</v>
      </c>
      <c r="Y85" s="4">
        <f>Y84/X84</f>
        <v>0.60401970707490305</v>
      </c>
      <c r="AB85" s="4">
        <f>AB84/AA84</f>
        <v>0.62618289240741243</v>
      </c>
      <c r="AE85" s="4">
        <f>AE84/AD84</f>
        <v>0.72693546019393418</v>
      </c>
      <c r="AH85" s="4">
        <f>AH84/AG84</f>
        <v>0.78643733159754847</v>
      </c>
    </row>
    <row r="87" spans="4:34" x14ac:dyDescent="0.2">
      <c r="O87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5B34-3E6A-2E4D-B128-23A2E034799E}">
  <dimension ref="A1:AH85"/>
  <sheetViews>
    <sheetView topLeftCell="M58" workbookViewId="0">
      <selection activeCell="AC71" sqref="AC71"/>
    </sheetView>
  </sheetViews>
  <sheetFormatPr baseColWidth="10" defaultRowHeight="16" x14ac:dyDescent="0.2"/>
  <sheetData>
    <row r="1" spans="1:18" x14ac:dyDescent="0.2">
      <c r="E1" s="2"/>
      <c r="F1" s="2"/>
      <c r="G1" s="2"/>
      <c r="H1" s="2"/>
      <c r="I1" s="2"/>
      <c r="J1" s="1"/>
      <c r="K1" s="1"/>
      <c r="M1" s="2"/>
      <c r="N1" s="2"/>
      <c r="O1" s="2"/>
      <c r="P1" s="2"/>
      <c r="Q1" s="2"/>
      <c r="R1" s="1"/>
    </row>
    <row r="2" spans="1:18" x14ac:dyDescent="0.2">
      <c r="D2" t="s">
        <v>12</v>
      </c>
      <c r="E2">
        <v>0</v>
      </c>
      <c r="F2">
        <v>5</v>
      </c>
      <c r="G2">
        <v>10</v>
      </c>
      <c r="H2">
        <v>-5</v>
      </c>
      <c r="I2">
        <v>-10</v>
      </c>
      <c r="L2" t="s">
        <v>12</v>
      </c>
      <c r="M2">
        <v>0</v>
      </c>
      <c r="N2">
        <v>5</v>
      </c>
      <c r="O2">
        <v>10</v>
      </c>
      <c r="P2">
        <v>-5</v>
      </c>
      <c r="Q2">
        <v>-10</v>
      </c>
    </row>
    <row r="3" spans="1:18" x14ac:dyDescent="0.2">
      <c r="C3" t="s">
        <v>13</v>
      </c>
      <c r="D3" t="s">
        <v>14</v>
      </c>
      <c r="L3" t="s">
        <v>15</v>
      </c>
    </row>
    <row r="4" spans="1:18" x14ac:dyDescent="0.2">
      <c r="C4">
        <f>1/((0.000086173)*D4)</f>
        <v>9.670469095114866</v>
      </c>
      <c r="D4">
        <v>1200</v>
      </c>
      <c r="E4" s="1">
        <v>2.1430516514765902E-6</v>
      </c>
      <c r="F4" s="1">
        <v>2.13991557080432E-6</v>
      </c>
      <c r="G4" s="1">
        <v>2.1279873663865502E-6</v>
      </c>
      <c r="H4" s="1">
        <v>2.1457099089075598E-6</v>
      </c>
      <c r="I4" s="1">
        <v>2.0666174061464601E-6</v>
      </c>
      <c r="J4" s="1"/>
      <c r="K4">
        <v>1200</v>
      </c>
      <c r="L4">
        <v>1200</v>
      </c>
      <c r="M4" s="1">
        <v>8.3510232623640597E-7</v>
      </c>
      <c r="N4" s="1">
        <v>8.6186332838971003E-7</v>
      </c>
      <c r="O4" s="1">
        <v>8.9612242285757195E-7</v>
      </c>
      <c r="P4" s="1">
        <v>8.2135260328883199E-7</v>
      </c>
      <c r="Q4" s="1">
        <v>7.5380706200929998E-7</v>
      </c>
      <c r="R4" s="1"/>
    </row>
    <row r="5" spans="1:18" x14ac:dyDescent="0.2">
      <c r="A5" t="s">
        <v>16</v>
      </c>
      <c r="B5">
        <v>1</v>
      </c>
      <c r="C5">
        <f t="shared" ref="C5:C8" si="0">1/((0.000086173)*D5)</f>
        <v>10.549602649216217</v>
      </c>
      <c r="D5">
        <v>1100</v>
      </c>
      <c r="E5" s="1">
        <v>1.8259369727731101E-6</v>
      </c>
      <c r="F5" s="1">
        <v>1.83572606631453E-6</v>
      </c>
      <c r="G5" s="1">
        <v>1.83594835010804E-6</v>
      </c>
      <c r="H5" s="1">
        <v>1.81353048345738E-6</v>
      </c>
      <c r="I5" s="1">
        <v>1.80664594208884E-6</v>
      </c>
      <c r="J5" s="1"/>
      <c r="L5">
        <v>1100</v>
      </c>
      <c r="M5" s="1">
        <v>5.4960770427510698E-7</v>
      </c>
      <c r="N5" s="1">
        <v>5.9664403712592903E-7</v>
      </c>
      <c r="O5" s="1">
        <v>6.0479608391209799E-7</v>
      </c>
      <c r="P5" s="1">
        <v>5.1150607472436797E-7</v>
      </c>
      <c r="Q5" s="1">
        <v>4.9074635384384697E-7</v>
      </c>
      <c r="R5" s="1"/>
    </row>
    <row r="6" spans="1:18" x14ac:dyDescent="0.2">
      <c r="A6" t="s">
        <v>17</v>
      </c>
      <c r="B6">
        <f>B5/0.002</f>
        <v>500</v>
      </c>
      <c r="C6">
        <f t="shared" si="0"/>
        <v>11.604562914137839</v>
      </c>
      <c r="D6">
        <v>1000</v>
      </c>
      <c r="E6" s="1">
        <v>1.58367234717887E-6</v>
      </c>
      <c r="F6" s="1">
        <v>1.6050538936374601E-6</v>
      </c>
      <c r="G6" s="1">
        <v>1.61694492960384E-6</v>
      </c>
      <c r="H6" s="1">
        <v>1.6134430339495801E-6</v>
      </c>
      <c r="I6" s="1">
        <v>1.5600934987755099E-6</v>
      </c>
      <c r="J6" s="1"/>
      <c r="L6">
        <v>1000</v>
      </c>
      <c r="M6" s="1">
        <v>3.53920918757969E-7</v>
      </c>
      <c r="N6" s="1">
        <v>3.8588659071851803E-7</v>
      </c>
      <c r="O6" s="1">
        <v>4.1889013881197101E-7</v>
      </c>
      <c r="P6" s="1">
        <v>3.2516853336383402E-7</v>
      </c>
      <c r="Q6" s="1">
        <v>2.76983448190955E-7</v>
      </c>
      <c r="R6" s="1"/>
    </row>
    <row r="7" spans="1:18" x14ac:dyDescent="0.2">
      <c r="A7" t="s">
        <v>18</v>
      </c>
      <c r="B7">
        <f>B6/(0.000000000001)*(0.0000000000000001)</f>
        <v>4.9999999999999996E-2</v>
      </c>
      <c r="C7">
        <f t="shared" si="0"/>
        <v>12.893958793486487</v>
      </c>
      <c r="D7">
        <v>900</v>
      </c>
      <c r="E7" s="1">
        <v>1.3717452502280901E-6</v>
      </c>
      <c r="F7" s="1">
        <v>1.3790573863625399E-6</v>
      </c>
      <c r="G7" s="1">
        <v>1.3992321485234101E-6</v>
      </c>
      <c r="H7" s="1">
        <v>1.3707024062424999E-6</v>
      </c>
      <c r="I7" s="1">
        <v>1.3519368816806699E-6</v>
      </c>
      <c r="J7" s="1"/>
      <c r="L7">
        <v>900</v>
      </c>
      <c r="M7" s="1">
        <v>2.0879654814820399E-7</v>
      </c>
      <c r="N7" s="1">
        <v>2.3598346813845299E-7</v>
      </c>
      <c r="O7" s="1">
        <v>2.5683580911797798E-7</v>
      </c>
      <c r="P7" s="1">
        <v>1.78731956495162E-7</v>
      </c>
      <c r="Q7" s="1">
        <v>1.49652466526663E-7</v>
      </c>
      <c r="R7" s="1"/>
    </row>
    <row r="8" spans="1:18" x14ac:dyDescent="0.2">
      <c r="C8">
        <f t="shared" si="0"/>
        <v>14.5057036426723</v>
      </c>
      <c r="D8">
        <v>800</v>
      </c>
      <c r="E8" s="1">
        <v>1.1588901790636301E-6</v>
      </c>
      <c r="F8" s="1">
        <v>1.1747986950780299E-6</v>
      </c>
      <c r="G8" s="1">
        <v>1.16814932014406E-6</v>
      </c>
      <c r="H8" s="1">
        <v>1.1357540650660299E-6</v>
      </c>
      <c r="I8" s="1">
        <v>1.1416557937094799E-6</v>
      </c>
      <c r="J8" s="1"/>
      <c r="L8">
        <v>800</v>
      </c>
      <c r="M8" s="1">
        <v>1.0805095855771399E-7</v>
      </c>
      <c r="N8" s="1">
        <v>1.2300488985599599E-7</v>
      </c>
      <c r="O8" s="1">
        <v>1.3871852253881301E-7</v>
      </c>
      <c r="P8" s="1">
        <v>8.6681659972249195E-8</v>
      </c>
      <c r="Q8" s="1">
        <v>6.6879562788569701E-8</v>
      </c>
      <c r="R8" s="1"/>
    </row>
    <row r="9" spans="1:18" x14ac:dyDescent="0.2">
      <c r="D9" t="s">
        <v>19</v>
      </c>
      <c r="E9" s="1"/>
      <c r="F9" s="1"/>
      <c r="G9" s="1"/>
      <c r="H9" s="1"/>
      <c r="I9" s="1"/>
      <c r="J9" s="1"/>
      <c r="L9" t="s">
        <v>19</v>
      </c>
      <c r="M9" s="1"/>
      <c r="N9" s="1"/>
      <c r="O9" s="1"/>
      <c r="P9" s="1"/>
      <c r="Q9" s="1"/>
      <c r="R9" s="1"/>
    </row>
    <row r="10" spans="1:18" x14ac:dyDescent="0.2">
      <c r="D10">
        <v>1200</v>
      </c>
      <c r="E10" s="2">
        <f>E4*5489*$B$7/6</f>
        <v>9.8026754291291685E-5</v>
      </c>
      <c r="F10" s="2">
        <f t="shared" ref="F10:I10" si="1">F4*5489*$B$7/6</f>
        <v>9.788330473454093E-5</v>
      </c>
      <c r="G10" s="2">
        <f t="shared" si="1"/>
        <v>9.7337688784131436E-5</v>
      </c>
      <c r="H10" s="2">
        <f t="shared" si="1"/>
        <v>9.8148347416613283E-5</v>
      </c>
      <c r="I10" s="2">
        <f t="shared" si="1"/>
        <v>9.4530524519482662E-5</v>
      </c>
      <c r="J10" s="1"/>
      <c r="L10">
        <v>1200</v>
      </c>
      <c r="M10" s="2">
        <f>M4*5487*$B$7/6</f>
        <v>3.8185053867159656E-5</v>
      </c>
      <c r="N10" s="2">
        <f t="shared" ref="N10:Q10" si="2">N4*5487*$B$7/6</f>
        <v>3.9408700690619492E-5</v>
      </c>
      <c r="O10" s="2">
        <f t="shared" si="2"/>
        <v>4.0975197785162475E-5</v>
      </c>
      <c r="P10" s="2">
        <f t="shared" si="2"/>
        <v>3.7556347785381837E-5</v>
      </c>
      <c r="Q10" s="2">
        <f t="shared" si="2"/>
        <v>3.4467827910375239E-5</v>
      </c>
      <c r="R10" s="1"/>
    </row>
    <row r="11" spans="1:18" x14ac:dyDescent="0.2">
      <c r="D11">
        <v>1100</v>
      </c>
      <c r="E11" s="2">
        <f t="shared" ref="E11:I14" si="3">E5*5489*$B$7/6</f>
        <v>8.3521400362929999E-5</v>
      </c>
      <c r="F11" s="2">
        <f t="shared" si="3"/>
        <v>8.3969169816670459E-5</v>
      </c>
      <c r="G11" s="2">
        <f t="shared" si="3"/>
        <v>8.3979337447858586E-5</v>
      </c>
      <c r="H11" s="2">
        <f t="shared" si="3"/>
        <v>8.2953906864146321E-5</v>
      </c>
      <c r="I11" s="2">
        <f t="shared" si="3"/>
        <v>8.2638996467713686E-5</v>
      </c>
      <c r="J11" s="1"/>
      <c r="L11">
        <v>1100</v>
      </c>
      <c r="M11" s="2">
        <f t="shared" ref="M11:Q14" si="4">M5*5487*$B$7/6</f>
        <v>2.5130812277979265E-5</v>
      </c>
      <c r="N11" s="2">
        <f t="shared" si="4"/>
        <v>2.7281548597583104E-5</v>
      </c>
      <c r="O11" s="2">
        <f t="shared" si="4"/>
        <v>2.765430093688068E-5</v>
      </c>
      <c r="P11" s="2">
        <f t="shared" si="4"/>
        <v>2.3388615266771722E-5</v>
      </c>
      <c r="Q11" s="2">
        <f t="shared" si="4"/>
        <v>2.2439377029509901E-5</v>
      </c>
      <c r="R11" s="1"/>
    </row>
    <row r="12" spans="1:18" x14ac:dyDescent="0.2">
      <c r="D12">
        <v>1000</v>
      </c>
      <c r="E12" s="2">
        <f t="shared" si="3"/>
        <v>7.2439812613873478E-5</v>
      </c>
      <c r="F12" s="2">
        <f t="shared" si="3"/>
        <v>7.3417840184800156E-5</v>
      </c>
      <c r="G12" s="2">
        <f t="shared" si="3"/>
        <v>7.3961755988295651E-5</v>
      </c>
      <c r="H12" s="2">
        <f t="shared" si="3"/>
        <v>7.3801573444577041E-5</v>
      </c>
      <c r="I12" s="2">
        <f t="shared" si="3"/>
        <v>7.1361276789823114E-5</v>
      </c>
      <c r="J12" s="1"/>
      <c r="L12">
        <v>1000</v>
      </c>
      <c r="M12" s="2">
        <f t="shared" si="4"/>
        <v>1.618303401020813E-5</v>
      </c>
      <c r="N12" s="2">
        <f t="shared" si="4"/>
        <v>1.7644664360604235E-5</v>
      </c>
      <c r="O12" s="2">
        <f t="shared" si="4"/>
        <v>1.9153751597177373E-5</v>
      </c>
      <c r="P12" s="2">
        <f t="shared" si="4"/>
        <v>1.4868331188061309E-5</v>
      </c>
      <c r="Q12" s="2">
        <f t="shared" si="4"/>
        <v>1.2665068168531416E-5</v>
      </c>
      <c r="R12" s="1"/>
    </row>
    <row r="13" spans="1:18" x14ac:dyDescent="0.2">
      <c r="D13">
        <v>900</v>
      </c>
      <c r="E13" s="2">
        <f t="shared" si="3"/>
        <v>6.2745913987516554E-5</v>
      </c>
      <c r="F13" s="2">
        <f t="shared" si="3"/>
        <v>6.3080383281199841E-5</v>
      </c>
      <c r="G13" s="2">
        <f t="shared" si="3"/>
        <v>6.4003210527041645E-5</v>
      </c>
      <c r="H13" s="2">
        <f t="shared" si="3"/>
        <v>6.2698212565542345E-5</v>
      </c>
      <c r="I13" s="2">
        <f t="shared" si="3"/>
        <v>6.1839846196209974E-5</v>
      </c>
      <c r="J13" s="1"/>
      <c r="L13">
        <v>900</v>
      </c>
      <c r="M13" s="2">
        <f t="shared" si="4"/>
        <v>9.5472221640766253E-6</v>
      </c>
      <c r="N13" s="2">
        <f t="shared" si="4"/>
        <v>1.0790344080630763E-5</v>
      </c>
      <c r="O13" s="2">
        <f t="shared" si="4"/>
        <v>1.1743817371919544E-5</v>
      </c>
      <c r="P13" s="2">
        <f t="shared" si="4"/>
        <v>8.1725187107412813E-6</v>
      </c>
      <c r="Q13" s="2">
        <f t="shared" si="4"/>
        <v>6.8428590319316646E-6</v>
      </c>
      <c r="R13" s="1"/>
    </row>
    <row r="14" spans="1:18" x14ac:dyDescent="0.2">
      <c r="D14">
        <v>800</v>
      </c>
      <c r="E14" s="2">
        <f t="shared" si="3"/>
        <v>5.3009568274002203E-5</v>
      </c>
      <c r="F14" s="2">
        <f t="shared" si="3"/>
        <v>5.3737250310694221E-5</v>
      </c>
      <c r="G14" s="2">
        <f t="shared" si="3"/>
        <v>5.3433096818922869E-5</v>
      </c>
      <c r="H14" s="2">
        <f t="shared" si="3"/>
        <v>5.1951283859561979E-5</v>
      </c>
      <c r="I14" s="2">
        <f t="shared" si="3"/>
        <v>5.2221238763927792E-5</v>
      </c>
      <c r="J14" s="1"/>
      <c r="L14">
        <v>800</v>
      </c>
      <c r="M14" s="2">
        <f t="shared" si="4"/>
        <v>4.9406300800514721E-6</v>
      </c>
      <c r="N14" s="2">
        <f t="shared" si="4"/>
        <v>5.6243985886654158E-6</v>
      </c>
      <c r="O14" s="2">
        <f t="shared" si="4"/>
        <v>6.3429044430872249E-6</v>
      </c>
      <c r="P14" s="2">
        <f t="shared" si="4"/>
        <v>3.9635189022310939E-6</v>
      </c>
      <c r="Q14" s="2">
        <f t="shared" si="4"/>
        <v>3.0580680085073494E-6</v>
      </c>
      <c r="R14" s="1"/>
    </row>
    <row r="15" spans="1:18" x14ac:dyDescent="0.2">
      <c r="E15" s="2"/>
      <c r="F15" s="2"/>
      <c r="G15" s="2"/>
      <c r="H15" s="2"/>
      <c r="I15" s="2"/>
      <c r="J15" s="1"/>
      <c r="M15" s="2"/>
      <c r="N15" s="2"/>
      <c r="O15" s="2"/>
      <c r="P15" s="2"/>
      <c r="Q15" s="2"/>
      <c r="R15" s="1"/>
    </row>
    <row r="16" spans="1:18" x14ac:dyDescent="0.2">
      <c r="E16" s="2"/>
      <c r="F16" s="2"/>
      <c r="G16" s="2"/>
      <c r="H16" s="2"/>
      <c r="I16" s="2"/>
      <c r="J16" s="1"/>
      <c r="M16" s="2"/>
      <c r="N16" s="2"/>
      <c r="O16" s="2"/>
      <c r="P16" s="2"/>
      <c r="Q16" s="2"/>
      <c r="R16" s="1"/>
    </row>
    <row r="17" spans="2:34" x14ac:dyDescent="0.2">
      <c r="B17" t="s">
        <v>20</v>
      </c>
      <c r="D17" t="s">
        <v>0</v>
      </c>
      <c r="E17" s="2"/>
      <c r="F17" s="2"/>
      <c r="G17" s="2" t="s">
        <v>1</v>
      </c>
      <c r="H17" s="2"/>
      <c r="I17" s="2"/>
      <c r="J17" s="1" t="s">
        <v>2</v>
      </c>
      <c r="M17" s="2" t="s">
        <v>3</v>
      </c>
      <c r="N17" s="2"/>
      <c r="O17" s="2"/>
      <c r="P17" s="2" t="s">
        <v>4</v>
      </c>
      <c r="Q17" s="2"/>
      <c r="R17" s="1"/>
      <c r="T17" t="s">
        <v>5</v>
      </c>
      <c r="U17" s="2"/>
      <c r="V17" s="2"/>
      <c r="W17" s="2" t="s">
        <v>6</v>
      </c>
      <c r="X17" s="2"/>
      <c r="Y17" s="2"/>
      <c r="Z17" s="1" t="s">
        <v>7</v>
      </c>
      <c r="AC17" s="2" t="s">
        <v>8</v>
      </c>
      <c r="AD17" s="2"/>
      <c r="AE17" s="2"/>
      <c r="AF17" s="2" t="s">
        <v>9</v>
      </c>
      <c r="AG17" s="2"/>
      <c r="AH17" s="1"/>
    </row>
    <row r="18" spans="2:34" x14ac:dyDescent="0.2">
      <c r="D18">
        <v>1</v>
      </c>
      <c r="E18" s="2">
        <v>2.1201329450180098E-6</v>
      </c>
      <c r="F18" s="2">
        <v>0.99960464622557399</v>
      </c>
      <c r="G18">
        <v>1</v>
      </c>
      <c r="H18" s="2">
        <v>2.1254329464585801E-6</v>
      </c>
      <c r="I18" s="2">
        <v>0.99960760129601101</v>
      </c>
      <c r="J18">
        <v>1</v>
      </c>
      <c r="K18" s="1">
        <v>2.0944256196878802E-6</v>
      </c>
      <c r="L18">
        <v>0.99962723539085496</v>
      </c>
      <c r="M18">
        <v>1</v>
      </c>
      <c r="N18" s="2">
        <v>2.2006124653061202E-6</v>
      </c>
      <c r="O18" s="2">
        <v>0.99959067257703005</v>
      </c>
      <c r="P18">
        <v>1</v>
      </c>
      <c r="Q18" s="2">
        <v>2.0197302905162101E-6</v>
      </c>
      <c r="R18" s="1">
        <v>0.99982623320408104</v>
      </c>
      <c r="T18">
        <v>1</v>
      </c>
      <c r="U18" s="2">
        <v>8.3261734172354305E-7</v>
      </c>
      <c r="V18" s="2">
        <v>0.99855955230579896</v>
      </c>
      <c r="W18">
        <v>1</v>
      </c>
      <c r="X18" s="2">
        <v>8.0935485595889896E-7</v>
      </c>
      <c r="Y18" s="2">
        <v>0.99983400241568898</v>
      </c>
      <c r="Z18">
        <v>1</v>
      </c>
      <c r="AA18" s="1">
        <v>8.9182516390909705E-7</v>
      </c>
      <c r="AB18">
        <v>0.99851529029845598</v>
      </c>
      <c r="AC18">
        <v>1</v>
      </c>
      <c r="AD18" s="2">
        <v>8.2792958355958797E-7</v>
      </c>
      <c r="AE18" s="2">
        <v>0.99766418383511901</v>
      </c>
      <c r="AF18">
        <v>1</v>
      </c>
      <c r="AG18" s="2">
        <v>8.5010467519688099E-7</v>
      </c>
      <c r="AH18" s="1">
        <v>0.99723748364150899</v>
      </c>
    </row>
    <row r="19" spans="2:34" x14ac:dyDescent="0.2">
      <c r="D19">
        <v>2</v>
      </c>
      <c r="E19" s="2">
        <v>2.2287927255702301E-6</v>
      </c>
      <c r="F19" s="2">
        <v>0.99907470648227403</v>
      </c>
      <c r="G19">
        <v>2</v>
      </c>
      <c r="H19" s="2">
        <v>2.14627705690276E-6</v>
      </c>
      <c r="I19" s="2">
        <v>0.99940729481834301</v>
      </c>
      <c r="J19">
        <v>2</v>
      </c>
      <c r="K19" s="1">
        <v>2.10674930708283E-6</v>
      </c>
      <c r="L19">
        <v>0.99979648625693196</v>
      </c>
      <c r="M19">
        <v>2</v>
      </c>
      <c r="N19" s="2">
        <v>2.1317404672268898E-6</v>
      </c>
      <c r="O19" s="2">
        <v>0.99924732630169699</v>
      </c>
      <c r="P19">
        <v>2</v>
      </c>
      <c r="Q19" s="2">
        <v>2.0465449522208899E-6</v>
      </c>
      <c r="R19" s="1">
        <v>0.99906291729506302</v>
      </c>
      <c r="T19">
        <v>2</v>
      </c>
      <c r="U19" s="1">
        <v>8.5063831696542404E-7</v>
      </c>
      <c r="V19">
        <v>0.99698195258665301</v>
      </c>
      <c r="W19">
        <v>2</v>
      </c>
      <c r="X19" s="1">
        <v>8.4369025890647305E-7</v>
      </c>
      <c r="Y19">
        <v>0.99985911205872902</v>
      </c>
      <c r="Z19">
        <v>2</v>
      </c>
      <c r="AA19" s="1">
        <v>8.7217022604065195E-7</v>
      </c>
      <c r="AB19">
        <v>0.99974193090971597</v>
      </c>
      <c r="AC19">
        <v>2</v>
      </c>
      <c r="AD19" s="1">
        <v>8.4726242069301702E-7</v>
      </c>
      <c r="AE19">
        <v>0.99677647289956295</v>
      </c>
      <c r="AF19">
        <v>2</v>
      </c>
      <c r="AG19" s="1">
        <v>8.1066325052876298E-7</v>
      </c>
      <c r="AH19">
        <v>0.99918010861277695</v>
      </c>
    </row>
    <row r="20" spans="2:34" x14ac:dyDescent="0.2">
      <c r="D20">
        <v>3</v>
      </c>
      <c r="E20" s="2">
        <v>2.2000587630252102E-6</v>
      </c>
      <c r="F20" s="2">
        <v>0.99729225262819898</v>
      </c>
      <c r="G20">
        <v>3</v>
      </c>
      <c r="H20" s="2">
        <v>2.0817625623049201E-6</v>
      </c>
      <c r="I20" s="2">
        <v>0.99939218477632796</v>
      </c>
      <c r="J20">
        <v>3</v>
      </c>
      <c r="K20" s="1">
        <v>2.2128989080432202E-6</v>
      </c>
      <c r="L20">
        <v>0.99917048288965704</v>
      </c>
      <c r="M20">
        <v>3</v>
      </c>
      <c r="N20" s="2">
        <v>2.1175213805522198E-6</v>
      </c>
      <c r="O20" s="2">
        <v>0.99944662749953295</v>
      </c>
      <c r="P20">
        <v>3</v>
      </c>
      <c r="Q20" s="2">
        <v>2.0374497599039599E-6</v>
      </c>
      <c r="R20" s="1">
        <v>0.99953644371192396</v>
      </c>
      <c r="T20">
        <v>3</v>
      </c>
      <c r="U20" s="1">
        <v>8.2994288897472499E-7</v>
      </c>
      <c r="V20">
        <v>0.99939351192974601</v>
      </c>
      <c r="W20">
        <v>3</v>
      </c>
      <c r="X20" s="1">
        <v>9.1161730936023399E-7</v>
      </c>
      <c r="Y20">
        <v>0.99870849757125002</v>
      </c>
      <c r="Z20">
        <v>3</v>
      </c>
      <c r="AA20" s="1">
        <v>8.6528223153828904E-7</v>
      </c>
      <c r="AB20">
        <v>0.99957963282699802</v>
      </c>
      <c r="AC20">
        <v>3</v>
      </c>
      <c r="AD20" s="1">
        <v>8.6309312948323601E-7</v>
      </c>
      <c r="AE20">
        <v>0.99488652023615398</v>
      </c>
      <c r="AF20">
        <v>3</v>
      </c>
      <c r="AG20" s="1">
        <v>7.5497450466511803E-7</v>
      </c>
      <c r="AH20">
        <v>0.99936166513610303</v>
      </c>
    </row>
    <row r="21" spans="2:34" x14ac:dyDescent="0.2">
      <c r="D21">
        <v>4</v>
      </c>
      <c r="E21" s="2">
        <v>2.0864532537815099E-6</v>
      </c>
      <c r="F21" s="2">
        <v>0.99678290243735601</v>
      </c>
      <c r="G21">
        <v>4</v>
      </c>
      <c r="H21" s="2">
        <v>2.2301335779111599E-6</v>
      </c>
      <c r="I21" s="2">
        <v>0.99948898685973597</v>
      </c>
      <c r="J21">
        <v>4</v>
      </c>
      <c r="K21" s="1">
        <v>2.1292286905162098E-6</v>
      </c>
      <c r="L21">
        <v>0.99983671933778695</v>
      </c>
      <c r="M21">
        <v>4</v>
      </c>
      <c r="N21" s="2">
        <v>2.2586172235294102E-6</v>
      </c>
      <c r="O21" s="2">
        <v>0.99665670952639596</v>
      </c>
      <c r="P21">
        <v>4</v>
      </c>
      <c r="Q21" s="2">
        <v>2.0772552489795901E-6</v>
      </c>
      <c r="R21" s="1">
        <v>0.99981367674146404</v>
      </c>
      <c r="T21">
        <v>4</v>
      </c>
      <c r="U21" s="1">
        <v>8.2893849777244302E-7</v>
      </c>
      <c r="V21">
        <v>0.99928239531621099</v>
      </c>
      <c r="W21">
        <v>4</v>
      </c>
      <c r="X21" s="1">
        <v>8.40787131088277E-7</v>
      </c>
      <c r="Y21">
        <v>0.999331499721686</v>
      </c>
      <c r="Z21">
        <v>4</v>
      </c>
      <c r="AA21" s="1">
        <v>9.2695027905947699E-7</v>
      </c>
      <c r="AB21">
        <v>0.99855132427133397</v>
      </c>
      <c r="AC21">
        <v>4</v>
      </c>
      <c r="AD21" s="1">
        <v>7.9984294524863105E-7</v>
      </c>
      <c r="AE21">
        <v>0.99918681917017504</v>
      </c>
      <c r="AF21">
        <v>4</v>
      </c>
      <c r="AG21" s="1">
        <v>7.5066554759618999E-7</v>
      </c>
      <c r="AH21">
        <v>0.99636012122752604</v>
      </c>
    </row>
    <row r="22" spans="2:34" x14ac:dyDescent="0.2">
      <c r="D22">
        <v>5</v>
      </c>
      <c r="E22" s="2">
        <v>2.06942509819928E-6</v>
      </c>
      <c r="F22" s="2">
        <v>0.99963397315384706</v>
      </c>
      <c r="G22">
        <v>5</v>
      </c>
      <c r="H22" s="2">
        <v>2.1050013584633899E-6</v>
      </c>
      <c r="I22" s="2">
        <v>0.99857625652472803</v>
      </c>
      <c r="J22">
        <v>5</v>
      </c>
      <c r="K22" s="1">
        <v>2.1606408936374602E-6</v>
      </c>
      <c r="L22">
        <v>0.99975444111689704</v>
      </c>
      <c r="M22">
        <v>5</v>
      </c>
      <c r="N22" s="2">
        <v>2.1100518583433401E-6</v>
      </c>
      <c r="O22" s="2">
        <v>0.99985065568033604</v>
      </c>
      <c r="P22">
        <v>5</v>
      </c>
      <c r="Q22" s="2">
        <v>2.03561161584634E-6</v>
      </c>
      <c r="R22" s="1">
        <v>0.99670340860116002</v>
      </c>
      <c r="T22">
        <v>5</v>
      </c>
      <c r="U22" s="1">
        <v>8.1214795282382097E-7</v>
      </c>
      <c r="V22">
        <v>0.99832400260218401</v>
      </c>
      <c r="W22">
        <v>5</v>
      </c>
      <c r="X22" s="1">
        <v>8.3643319117227905E-7</v>
      </c>
      <c r="Y22">
        <v>0.99923105728388595</v>
      </c>
      <c r="Z22">
        <v>5</v>
      </c>
      <c r="AA22" s="1">
        <v>9.1935197124428302E-7</v>
      </c>
      <c r="AB22">
        <v>0.99767177298607301</v>
      </c>
      <c r="AC22">
        <v>5</v>
      </c>
      <c r="AD22" s="1">
        <v>7.9075282249306304E-7</v>
      </c>
      <c r="AE22">
        <v>0.998521781437819</v>
      </c>
      <c r="AF22">
        <v>5</v>
      </c>
      <c r="AG22" s="1">
        <v>7.3321756167404202E-7</v>
      </c>
      <c r="AH22">
        <v>0.99940212558772301</v>
      </c>
    </row>
    <row r="23" spans="2:34" x14ac:dyDescent="0.2">
      <c r="D23">
        <v>6</v>
      </c>
      <c r="E23" s="1">
        <v>2.0848690232893199E-6</v>
      </c>
      <c r="F23" s="1">
        <v>0.99959128335921998</v>
      </c>
      <c r="G23">
        <v>6</v>
      </c>
      <c r="H23" s="1">
        <v>2.1408540499399802E-6</v>
      </c>
      <c r="I23" s="1">
        <v>0.99921177757425395</v>
      </c>
      <c r="J23">
        <v>6</v>
      </c>
      <c r="K23" s="1">
        <v>2.1225350372148901E-6</v>
      </c>
      <c r="L23" s="1">
        <v>0.99974530727135102</v>
      </c>
      <c r="M23">
        <v>6</v>
      </c>
      <c r="N23" s="1">
        <v>2.1297006573829498E-6</v>
      </c>
      <c r="O23" s="1">
        <v>0.99964778660676301</v>
      </c>
      <c r="P23">
        <v>6</v>
      </c>
      <c r="Q23" s="1">
        <v>2.0230261181272498E-6</v>
      </c>
      <c r="R23" s="1">
        <v>0.99981581414346399</v>
      </c>
      <c r="T23">
        <v>6</v>
      </c>
      <c r="U23" s="1">
        <v>8.1656990451511296E-7</v>
      </c>
      <c r="V23">
        <v>0.99954851971595304</v>
      </c>
      <c r="W23">
        <v>6</v>
      </c>
      <c r="X23" s="1">
        <v>8.5204579498237298E-7</v>
      </c>
      <c r="Y23">
        <v>0.99923603357847701</v>
      </c>
      <c r="Z23">
        <v>6</v>
      </c>
      <c r="AA23" s="1">
        <v>8.6697014854871403E-7</v>
      </c>
      <c r="AB23">
        <v>0.99983624143868999</v>
      </c>
      <c r="AC23">
        <v>6</v>
      </c>
      <c r="AD23" s="1">
        <v>8.5979138884722099E-7</v>
      </c>
      <c r="AE23">
        <v>0.99155298474884201</v>
      </c>
      <c r="AF23">
        <v>6</v>
      </c>
      <c r="AG23" s="1">
        <v>7.05369572549314E-7</v>
      </c>
      <c r="AH23">
        <v>0.99951211384413596</v>
      </c>
    </row>
    <row r="24" spans="2:34" x14ac:dyDescent="0.2">
      <c r="D24">
        <v>7</v>
      </c>
      <c r="E24" s="1">
        <v>1.9868589123649501E-6</v>
      </c>
      <c r="F24" s="3">
        <v>0.99973782825439494</v>
      </c>
      <c r="G24">
        <v>7</v>
      </c>
      <c r="H24" s="1">
        <v>2.104612642497E-6</v>
      </c>
      <c r="I24" s="3">
        <v>0.99956660387840401</v>
      </c>
      <c r="J24">
        <v>7</v>
      </c>
      <c r="K24" s="1">
        <v>2.1374223121248498E-6</v>
      </c>
      <c r="L24" s="3">
        <v>0.99963490202800398</v>
      </c>
      <c r="M24">
        <v>7</v>
      </c>
      <c r="N24" s="1">
        <v>2.1137340840336202E-6</v>
      </c>
      <c r="O24" s="3">
        <v>0.99970430362130702</v>
      </c>
      <c r="P24">
        <v>7</v>
      </c>
      <c r="Q24" s="1">
        <v>2.0692284624249701E-6</v>
      </c>
      <c r="R24" s="3">
        <v>0.99969840615771199</v>
      </c>
      <c r="T24">
        <v>7</v>
      </c>
      <c r="U24" s="1">
        <v>8.2517502452561304E-7</v>
      </c>
      <c r="V24">
        <v>0.99928894525314804</v>
      </c>
      <c r="W24">
        <v>7</v>
      </c>
      <c r="X24" s="1">
        <v>9.1127761694292298E-7</v>
      </c>
      <c r="Y24">
        <v>0.99844871948829605</v>
      </c>
      <c r="Z24">
        <v>7</v>
      </c>
      <c r="AA24" s="1">
        <v>9.7087083460586506E-7</v>
      </c>
      <c r="AB24">
        <v>0.99648634627486998</v>
      </c>
      <c r="AC24">
        <v>7</v>
      </c>
      <c r="AD24" s="1">
        <v>8.3963253749343804E-7</v>
      </c>
      <c r="AE24">
        <v>0.99491339826867298</v>
      </c>
      <c r="AF24">
        <v>7</v>
      </c>
      <c r="AG24" s="1">
        <v>7.5046189930998295E-7</v>
      </c>
      <c r="AH24">
        <v>0.99941749971808902</v>
      </c>
    </row>
    <row r="25" spans="2:34" x14ac:dyDescent="0.2">
      <c r="D25">
        <v>8</v>
      </c>
      <c r="E25" s="1">
        <v>2.3991320086434601E-6</v>
      </c>
      <c r="F25">
        <v>0.998626865305975</v>
      </c>
      <c r="G25">
        <v>8</v>
      </c>
      <c r="H25" s="1">
        <v>2.08181794381753E-6</v>
      </c>
      <c r="I25">
        <v>0.99968901346315697</v>
      </c>
      <c r="J25">
        <v>8</v>
      </c>
      <c r="K25" s="1">
        <v>2.1541069262905202E-6</v>
      </c>
      <c r="L25">
        <v>0.99963377198113001</v>
      </c>
      <c r="M25">
        <v>8</v>
      </c>
      <c r="N25" s="1">
        <v>2.21222336422569E-6</v>
      </c>
      <c r="O25">
        <v>0.99810082656270105</v>
      </c>
      <c r="P25">
        <v>8</v>
      </c>
      <c r="Q25" s="1">
        <v>2.1452002890756302E-6</v>
      </c>
      <c r="R25">
        <v>0.99657583052475895</v>
      </c>
      <c r="T25">
        <v>8</v>
      </c>
      <c r="U25" s="1">
        <v>9.0581658145203605E-7</v>
      </c>
      <c r="V25">
        <v>0.99675090017312196</v>
      </c>
      <c r="W25">
        <v>8</v>
      </c>
      <c r="X25" s="1">
        <v>8.1789860113252904E-7</v>
      </c>
      <c r="Y25">
        <v>0.99940470155624195</v>
      </c>
      <c r="Z25">
        <v>8</v>
      </c>
      <c r="AA25" s="1">
        <v>9.1879318181204502E-7</v>
      </c>
      <c r="AB25">
        <v>0.99877425422779198</v>
      </c>
      <c r="AC25">
        <v>8</v>
      </c>
      <c r="AD25" s="1">
        <v>7.9103048039451105E-7</v>
      </c>
      <c r="AE25">
        <v>0.99925036796732702</v>
      </c>
      <c r="AF25">
        <v>8</v>
      </c>
      <c r="AG25" s="1">
        <v>7.1259483159828897E-7</v>
      </c>
      <c r="AH25">
        <v>0.99950585939886205</v>
      </c>
    </row>
    <row r="26" spans="2:34" x14ac:dyDescent="0.2">
      <c r="D26">
        <v>9</v>
      </c>
      <c r="E26" s="1">
        <v>2.16076702857143E-6</v>
      </c>
      <c r="F26">
        <v>0.99917515697098802</v>
      </c>
      <c r="G26">
        <v>9</v>
      </c>
      <c r="H26" s="1">
        <v>2.2766273752701102E-6</v>
      </c>
      <c r="I26">
        <v>0.99230073112126804</v>
      </c>
      <c r="J26">
        <v>9</v>
      </c>
      <c r="K26" s="1">
        <v>2.0420086636254498E-6</v>
      </c>
      <c r="L26">
        <v>0.99986995674853896</v>
      </c>
      <c r="M26">
        <v>9</v>
      </c>
      <c r="N26" s="1">
        <v>2.0766240216086401E-6</v>
      </c>
      <c r="O26">
        <v>0.999635751382282</v>
      </c>
      <c r="P26">
        <v>9</v>
      </c>
      <c r="Q26" s="1">
        <v>2.0989020782713098E-6</v>
      </c>
      <c r="R26">
        <v>0.99975589584381197</v>
      </c>
      <c r="T26">
        <v>9</v>
      </c>
      <c r="U26" s="1">
        <v>8.35574304897623E-7</v>
      </c>
      <c r="V26">
        <v>0.99924766907315599</v>
      </c>
      <c r="W26">
        <v>9</v>
      </c>
      <c r="X26" s="1">
        <v>8.7834810693767398E-7</v>
      </c>
      <c r="Y26">
        <v>0.99807033436696202</v>
      </c>
      <c r="Z26">
        <v>9</v>
      </c>
      <c r="AA26" s="1">
        <v>8.3479516756168796E-7</v>
      </c>
      <c r="AB26">
        <v>0.99977194244016598</v>
      </c>
      <c r="AC26">
        <v>9</v>
      </c>
      <c r="AD26" s="1">
        <v>7.7916377728193204E-7</v>
      </c>
      <c r="AE26">
        <v>0.99932748434254104</v>
      </c>
      <c r="AF26">
        <v>9</v>
      </c>
      <c r="AG26" s="1">
        <v>7.2488336764419201E-7</v>
      </c>
      <c r="AH26">
        <v>0.99707638499450901</v>
      </c>
    </row>
    <row r="27" spans="2:34" x14ac:dyDescent="0.2">
      <c r="D27">
        <v>10</v>
      </c>
      <c r="E27" s="1">
        <v>2.0940267563025202E-6</v>
      </c>
      <c r="F27">
        <v>0.99973930219164298</v>
      </c>
      <c r="G27">
        <v>10</v>
      </c>
      <c r="H27" s="1">
        <v>2.1066361944777902E-6</v>
      </c>
      <c r="I27">
        <v>0.99981041003062998</v>
      </c>
      <c r="J27">
        <v>10</v>
      </c>
      <c r="K27" s="1">
        <v>2.11985730564226E-6</v>
      </c>
      <c r="L27">
        <v>0.99984699629463503</v>
      </c>
      <c r="M27">
        <v>10</v>
      </c>
      <c r="N27" s="1">
        <v>2.1062735668667499E-6</v>
      </c>
      <c r="O27">
        <v>0.99960499772053901</v>
      </c>
      <c r="P27">
        <v>10</v>
      </c>
      <c r="Q27" s="1">
        <v>2.1132252460984399E-6</v>
      </c>
      <c r="R27">
        <v>0.99967364516744806</v>
      </c>
      <c r="T27">
        <v>10</v>
      </c>
      <c r="U27" s="1">
        <v>8.1360244871371803E-7</v>
      </c>
      <c r="V27">
        <v>0.99911696839326802</v>
      </c>
      <c r="W27">
        <v>10</v>
      </c>
      <c r="X27" s="1">
        <v>9.1718041741543503E-7</v>
      </c>
      <c r="Y27">
        <v>0.99752884568695899</v>
      </c>
      <c r="Z27">
        <v>10</v>
      </c>
      <c r="AA27" s="1">
        <v>8.9421502425560704E-7</v>
      </c>
      <c r="AB27">
        <v>0.99925336113402796</v>
      </c>
      <c r="AC27">
        <v>10</v>
      </c>
      <c r="AD27" s="1">
        <v>8.1502694739368498E-7</v>
      </c>
      <c r="AE27">
        <v>0.99830319650916299</v>
      </c>
      <c r="AF27">
        <v>10</v>
      </c>
      <c r="AG27" s="1">
        <v>7.4513540933023198E-7</v>
      </c>
      <c r="AH27">
        <v>0.99937159307770995</v>
      </c>
    </row>
    <row r="28" spans="2:34" x14ac:dyDescent="0.2">
      <c r="D28" t="s">
        <v>21</v>
      </c>
      <c r="E28" s="1">
        <v>2.1430516514765902E-6</v>
      </c>
      <c r="F28" s="1">
        <v>1.1344439257571501E-7</v>
      </c>
      <c r="G28" t="s">
        <v>21</v>
      </c>
      <c r="H28" s="1">
        <v>2.13991557080432E-6</v>
      </c>
      <c r="I28" s="1">
        <v>6.4472581994382494E-8</v>
      </c>
      <c r="J28" t="s">
        <v>21</v>
      </c>
      <c r="K28" s="1">
        <v>2.1279873663865502E-6</v>
      </c>
      <c r="L28" s="1">
        <v>4.4863524355948898E-8</v>
      </c>
      <c r="M28" t="s">
        <v>21</v>
      </c>
      <c r="N28" s="1">
        <v>2.1457099089075598E-6</v>
      </c>
      <c r="O28" s="1">
        <v>5.7787408800137402E-8</v>
      </c>
      <c r="P28" t="s">
        <v>21</v>
      </c>
      <c r="Q28" s="1">
        <v>2.0666174061464601E-6</v>
      </c>
      <c r="R28" s="1">
        <v>4.19304419154786E-8</v>
      </c>
      <c r="T28" t="s">
        <v>21</v>
      </c>
      <c r="U28" s="1">
        <v>8.3510232623640597E-7</v>
      </c>
      <c r="V28" s="1">
        <v>2.7374021242934301E-8</v>
      </c>
      <c r="W28" t="s">
        <v>21</v>
      </c>
      <c r="X28" s="1">
        <v>8.6186332838971003E-7</v>
      </c>
      <c r="Y28" s="1">
        <v>4.0078448220319398E-8</v>
      </c>
      <c r="Z28" t="s">
        <v>21</v>
      </c>
      <c r="AA28" s="1">
        <v>8.9612242285757195E-7</v>
      </c>
      <c r="AB28" s="1">
        <v>3.9085481935381197E-8</v>
      </c>
      <c r="AC28" t="s">
        <v>21</v>
      </c>
      <c r="AD28" s="1">
        <v>8.2135260328883199E-7</v>
      </c>
      <c r="AE28" s="1">
        <v>3.05630443819411E-8</v>
      </c>
      <c r="AF28" t="s">
        <v>21</v>
      </c>
      <c r="AG28" s="1">
        <v>7.5380706200929998E-7</v>
      </c>
      <c r="AH28" s="1">
        <v>4.4607700042627802E-8</v>
      </c>
    </row>
    <row r="29" spans="2:34" x14ac:dyDescent="0.2">
      <c r="F29" s="4">
        <f>F28/E28</f>
        <v>5.2935911506169421E-2</v>
      </c>
      <c r="I29" s="4">
        <f>I28/H28</f>
        <v>3.0128563422784707E-2</v>
      </c>
      <c r="L29" s="4">
        <f>L28/K28</f>
        <v>2.1082608414226559E-2</v>
      </c>
      <c r="O29" s="4">
        <f>O28/N28</f>
        <v>2.6931603643270945E-2</v>
      </c>
      <c r="R29" s="4">
        <f>R28/Q28</f>
        <v>2.0289407120432919E-2</v>
      </c>
      <c r="V29" s="4">
        <f>V28/U28</f>
        <v>3.2779241995770821E-2</v>
      </c>
      <c r="Y29" s="4">
        <f>Y28/X28</f>
        <v>4.6502092501372869E-2</v>
      </c>
      <c r="AB29" s="4">
        <f>AB28/AA28</f>
        <v>4.3616230258745989E-2</v>
      </c>
      <c r="AE29" s="4">
        <f>AE28/AD28</f>
        <v>3.7210625813519804E-2</v>
      </c>
      <c r="AH29" s="4">
        <f>AH28/AG28</f>
        <v>5.9176548338144196E-2</v>
      </c>
    </row>
    <row r="31" spans="2:34" x14ac:dyDescent="0.2">
      <c r="B31" t="s">
        <v>22</v>
      </c>
      <c r="D31" t="s">
        <v>0</v>
      </c>
      <c r="E31" s="2"/>
      <c r="F31" s="2"/>
      <c r="G31" s="2" t="s">
        <v>1</v>
      </c>
      <c r="H31" s="2"/>
      <c r="I31" s="2"/>
      <c r="J31" s="1" t="s">
        <v>2</v>
      </c>
      <c r="M31" s="2" t="s">
        <v>3</v>
      </c>
      <c r="N31" s="2"/>
      <c r="O31" s="2"/>
      <c r="P31" s="2" t="s">
        <v>4</v>
      </c>
      <c r="Q31" s="2"/>
      <c r="R31" s="1"/>
      <c r="T31" t="s">
        <v>5</v>
      </c>
      <c r="U31" s="2"/>
      <c r="V31" s="2"/>
      <c r="W31" s="2" t="s">
        <v>6</v>
      </c>
      <c r="X31" s="2"/>
      <c r="Y31" s="2"/>
      <c r="Z31" s="1" t="s">
        <v>7</v>
      </c>
      <c r="AC31" s="2" t="s">
        <v>8</v>
      </c>
      <c r="AD31" s="2"/>
      <c r="AE31" s="2"/>
      <c r="AF31" s="2" t="s">
        <v>9</v>
      </c>
      <c r="AG31" s="2"/>
      <c r="AH31" s="1"/>
    </row>
    <row r="32" spans="2:34" x14ac:dyDescent="0.2">
      <c r="D32">
        <v>1</v>
      </c>
      <c r="E32" s="2">
        <v>1.7512418338535399E-6</v>
      </c>
      <c r="F32" s="2">
        <v>0.99943275125628095</v>
      </c>
      <c r="G32">
        <v>1</v>
      </c>
      <c r="H32" s="2">
        <v>1.8297867390156101E-6</v>
      </c>
      <c r="I32" s="2">
        <v>0.99977036103870598</v>
      </c>
      <c r="J32">
        <v>1</v>
      </c>
      <c r="K32" s="1">
        <v>1.8455470448979601E-6</v>
      </c>
      <c r="L32">
        <v>0.99956994718947301</v>
      </c>
      <c r="M32">
        <v>1</v>
      </c>
      <c r="N32" s="2">
        <v>1.8124600907562999E-6</v>
      </c>
      <c r="O32" s="2">
        <v>0.99961667910324503</v>
      </c>
      <c r="P32">
        <v>1</v>
      </c>
      <c r="Q32" s="2">
        <v>1.82980950684274E-6</v>
      </c>
      <c r="R32" s="1">
        <v>0.99986849720318205</v>
      </c>
      <c r="T32">
        <v>1</v>
      </c>
      <c r="U32" s="2">
        <v>5.5166182504312505E-7</v>
      </c>
      <c r="V32" s="2">
        <v>0.99952521344811496</v>
      </c>
      <c r="W32">
        <v>1</v>
      </c>
      <c r="X32" s="2">
        <v>5.9165491579539498E-7</v>
      </c>
      <c r="Y32" s="2">
        <v>0.99968113327018504</v>
      </c>
      <c r="Z32">
        <v>1</v>
      </c>
      <c r="AA32" s="1">
        <v>6.0540573677341902E-7</v>
      </c>
      <c r="AB32">
        <v>0.999492577910288</v>
      </c>
      <c r="AC32">
        <v>1</v>
      </c>
      <c r="AD32" s="2">
        <v>5.0646553836345895E-7</v>
      </c>
      <c r="AE32" s="2">
        <v>0.99989668335206605</v>
      </c>
      <c r="AF32">
        <v>1</v>
      </c>
      <c r="AG32" s="2">
        <v>4.6233127872946902E-7</v>
      </c>
      <c r="AH32" s="1">
        <v>0.99981117228261895</v>
      </c>
    </row>
    <row r="33" spans="2:34" x14ac:dyDescent="0.2">
      <c r="D33">
        <v>2</v>
      </c>
      <c r="E33" s="2">
        <v>1.8331046136854701E-6</v>
      </c>
      <c r="F33" s="2">
        <v>0.99981505533765203</v>
      </c>
      <c r="G33">
        <v>2</v>
      </c>
      <c r="H33" s="2">
        <v>1.8147233085234101E-6</v>
      </c>
      <c r="I33" s="2">
        <v>0.99973633962186204</v>
      </c>
      <c r="J33">
        <v>2</v>
      </c>
      <c r="K33" s="1">
        <v>1.7863142847539001E-6</v>
      </c>
      <c r="L33">
        <v>0.99973370804522499</v>
      </c>
      <c r="M33">
        <v>2</v>
      </c>
      <c r="N33" s="2">
        <v>1.85205919183673E-6</v>
      </c>
      <c r="O33" s="2">
        <v>0.99935300753422696</v>
      </c>
      <c r="P33">
        <v>2</v>
      </c>
      <c r="Q33" s="2">
        <v>1.79503589003602E-6</v>
      </c>
      <c r="R33" s="1">
        <v>0.99898293470731503</v>
      </c>
      <c r="T33">
        <v>2</v>
      </c>
      <c r="U33" s="1">
        <v>5.4828927437935901E-7</v>
      </c>
      <c r="V33">
        <v>0.999379417090698</v>
      </c>
      <c r="W33">
        <v>2</v>
      </c>
      <c r="X33" s="1">
        <v>5.7651386616665396E-7</v>
      </c>
      <c r="Y33">
        <v>0.99985558371798899</v>
      </c>
      <c r="Z33">
        <v>2</v>
      </c>
      <c r="AA33" s="1">
        <v>6.1530199844746295E-7</v>
      </c>
      <c r="AB33">
        <v>0.99942489910457</v>
      </c>
      <c r="AC33">
        <v>2</v>
      </c>
      <c r="AD33" s="1">
        <v>5.1528388999474995E-7</v>
      </c>
      <c r="AE33">
        <v>0.99979272660434204</v>
      </c>
      <c r="AF33">
        <v>2</v>
      </c>
      <c r="AG33" s="1">
        <v>4.4794205184879599E-7</v>
      </c>
      <c r="AH33">
        <v>0.99982192316914997</v>
      </c>
    </row>
    <row r="34" spans="2:34" x14ac:dyDescent="0.2">
      <c r="D34">
        <v>3</v>
      </c>
      <c r="E34" s="2">
        <v>1.86532945114046E-6</v>
      </c>
      <c r="F34" s="2">
        <v>0.99959093394088205</v>
      </c>
      <c r="G34">
        <v>3</v>
      </c>
      <c r="H34" s="2">
        <v>1.81609522545018E-6</v>
      </c>
      <c r="I34" s="2">
        <v>0.99974591889457398</v>
      </c>
      <c r="J34">
        <v>3</v>
      </c>
      <c r="K34" s="1">
        <v>1.8308327135654299E-6</v>
      </c>
      <c r="L34">
        <v>0.99975381175376399</v>
      </c>
      <c r="M34">
        <v>3</v>
      </c>
      <c r="N34" s="2">
        <v>1.84050882256903E-6</v>
      </c>
      <c r="O34" s="2">
        <v>0.99982775482708397</v>
      </c>
      <c r="P34">
        <v>3</v>
      </c>
      <c r="Q34" s="2">
        <v>1.7733675322929201E-6</v>
      </c>
      <c r="R34" s="1">
        <v>0.99979519748345702</v>
      </c>
      <c r="T34">
        <v>3</v>
      </c>
      <c r="U34" s="1">
        <v>5.4425877315682802E-7</v>
      </c>
      <c r="V34">
        <v>0.99961771493319795</v>
      </c>
      <c r="W34">
        <v>3</v>
      </c>
      <c r="X34" s="1">
        <v>5.8692079551488802E-7</v>
      </c>
      <c r="Y34">
        <v>0.99975196370402097</v>
      </c>
      <c r="Z34">
        <v>3</v>
      </c>
      <c r="AA34" s="1">
        <v>5.9803178679966997E-7</v>
      </c>
      <c r="AB34">
        <v>0.99986530511474103</v>
      </c>
      <c r="AC34">
        <v>3</v>
      </c>
      <c r="AD34" s="1">
        <v>4.9862070466511697E-7</v>
      </c>
      <c r="AE34">
        <v>0.99939585933363395</v>
      </c>
      <c r="AF34">
        <v>3</v>
      </c>
      <c r="AG34" s="1">
        <v>4.5123104623865601E-7</v>
      </c>
      <c r="AH34">
        <v>0.99957534648267998</v>
      </c>
    </row>
    <row r="35" spans="2:34" x14ac:dyDescent="0.2">
      <c r="D35">
        <v>4</v>
      </c>
      <c r="E35" s="2">
        <v>1.85759998463385E-6</v>
      </c>
      <c r="F35" s="2">
        <v>0.99973281309613904</v>
      </c>
      <c r="G35">
        <v>4</v>
      </c>
      <c r="H35" s="2">
        <v>1.8244445301320499E-6</v>
      </c>
      <c r="I35" s="2">
        <v>0.99968093536093805</v>
      </c>
      <c r="J35">
        <v>4</v>
      </c>
      <c r="K35" s="1">
        <v>1.85130355006002E-6</v>
      </c>
      <c r="L35">
        <v>0.99890809412068304</v>
      </c>
      <c r="M35">
        <v>4</v>
      </c>
      <c r="N35" s="2">
        <v>1.7908020168067201E-6</v>
      </c>
      <c r="O35" s="2">
        <v>0.99969774248118104</v>
      </c>
      <c r="P35">
        <v>4</v>
      </c>
      <c r="Q35" s="2">
        <v>1.8478899414165699E-6</v>
      </c>
      <c r="R35" s="1">
        <v>0.99900809067086704</v>
      </c>
      <c r="T35">
        <v>4</v>
      </c>
      <c r="U35" s="1">
        <v>5.5387771049276304E-7</v>
      </c>
      <c r="V35">
        <v>0.99962543564415196</v>
      </c>
      <c r="W35">
        <v>4</v>
      </c>
      <c r="X35" s="1">
        <v>5.5648972890572195E-7</v>
      </c>
      <c r="Y35">
        <v>0.99984588978648203</v>
      </c>
      <c r="Z35">
        <v>4</v>
      </c>
      <c r="AA35" s="1">
        <v>6.0301678490962295E-7</v>
      </c>
      <c r="AB35">
        <v>0.99967402515290404</v>
      </c>
      <c r="AC35">
        <v>4</v>
      </c>
      <c r="AD35" s="1">
        <v>5.0431779903997505E-7</v>
      </c>
      <c r="AE35">
        <v>0.99954505175075503</v>
      </c>
      <c r="AF35">
        <v>4</v>
      </c>
      <c r="AG35" s="1">
        <v>4.6317000677266902E-7</v>
      </c>
      <c r="AH35">
        <v>0.99983439411568698</v>
      </c>
    </row>
    <row r="36" spans="2:34" x14ac:dyDescent="0.2">
      <c r="D36">
        <v>5</v>
      </c>
      <c r="E36" s="2">
        <v>1.8520707659063599E-6</v>
      </c>
      <c r="F36" s="2">
        <v>0.99958707680881098</v>
      </c>
      <c r="G36">
        <v>5</v>
      </c>
      <c r="H36" s="2">
        <v>1.83977750588235E-6</v>
      </c>
      <c r="I36" s="2">
        <v>0.99976491932112999</v>
      </c>
      <c r="J36">
        <v>5</v>
      </c>
      <c r="K36" s="1">
        <v>1.8449005930372199E-6</v>
      </c>
      <c r="L36">
        <v>0.99987422727698105</v>
      </c>
      <c r="M36">
        <v>5</v>
      </c>
      <c r="N36" s="2">
        <v>1.8307179759904E-6</v>
      </c>
      <c r="O36" s="2">
        <v>0.99976163424544096</v>
      </c>
      <c r="P36">
        <v>5</v>
      </c>
      <c r="Q36" s="2">
        <v>1.72987179447779E-6</v>
      </c>
      <c r="R36" s="1">
        <v>0.99964478242102295</v>
      </c>
      <c r="T36">
        <v>5</v>
      </c>
      <c r="U36" s="1">
        <v>5.3923669319732995E-7</v>
      </c>
      <c r="V36">
        <v>0.999585191944111</v>
      </c>
      <c r="W36">
        <v>5</v>
      </c>
      <c r="X36" s="1">
        <v>5.8086178232955795E-7</v>
      </c>
      <c r="Y36">
        <v>0.99951403535226502</v>
      </c>
      <c r="Z36">
        <v>5</v>
      </c>
      <c r="AA36" s="1">
        <v>6.0401520988524595E-7</v>
      </c>
      <c r="AB36">
        <v>0.99971998188663203</v>
      </c>
      <c r="AC36">
        <v>5</v>
      </c>
      <c r="AD36" s="1">
        <v>5.0497169436735899E-7</v>
      </c>
      <c r="AE36">
        <v>0.99966600533447303</v>
      </c>
      <c r="AF36">
        <v>5</v>
      </c>
      <c r="AG36" s="1">
        <v>4.4997678160203998E-7</v>
      </c>
      <c r="AH36">
        <v>0.99969374689415402</v>
      </c>
    </row>
    <row r="37" spans="2:34" x14ac:dyDescent="0.2">
      <c r="D37">
        <v>6</v>
      </c>
      <c r="E37" s="1">
        <v>1.8354808249699901E-6</v>
      </c>
      <c r="F37" s="1">
        <v>0.99978789007812396</v>
      </c>
      <c r="G37">
        <v>6</v>
      </c>
      <c r="H37" s="1">
        <v>1.82062392220888E-6</v>
      </c>
      <c r="I37" s="1">
        <v>0.99956774435098805</v>
      </c>
      <c r="J37">
        <v>6</v>
      </c>
      <c r="K37" s="1">
        <v>1.84450301320528E-6</v>
      </c>
      <c r="L37" s="1">
        <v>0.999809062017186</v>
      </c>
      <c r="M37">
        <v>6</v>
      </c>
      <c r="N37" s="1">
        <v>1.79755735414166E-6</v>
      </c>
      <c r="O37" s="1">
        <v>0.99979842391138696</v>
      </c>
      <c r="P37">
        <v>6</v>
      </c>
      <c r="Q37" s="1">
        <v>1.8158715471788699E-6</v>
      </c>
      <c r="R37" s="1">
        <v>0.99965811654346104</v>
      </c>
      <c r="T37">
        <v>6</v>
      </c>
      <c r="U37" s="1">
        <v>5.6895425293632403E-7</v>
      </c>
      <c r="V37">
        <v>0.99976981518946095</v>
      </c>
      <c r="W37">
        <v>6</v>
      </c>
      <c r="X37" s="1">
        <v>5.7388217519687995E-7</v>
      </c>
      <c r="Y37">
        <v>0.99988816789198598</v>
      </c>
      <c r="Z37">
        <v>6</v>
      </c>
      <c r="AA37" s="1">
        <v>6.1755182334058397E-7</v>
      </c>
      <c r="AB37">
        <v>0.99970243327285102</v>
      </c>
      <c r="AC37">
        <v>6</v>
      </c>
      <c r="AD37" s="1">
        <v>5.05126249718743E-7</v>
      </c>
      <c r="AE37">
        <v>0.99971021164776697</v>
      </c>
      <c r="AF37">
        <v>6</v>
      </c>
      <c r="AG37" s="1">
        <v>4.5117080821270501E-7</v>
      </c>
      <c r="AH37">
        <v>0.99942708728349205</v>
      </c>
    </row>
    <row r="38" spans="2:34" x14ac:dyDescent="0.2">
      <c r="D38">
        <v>7</v>
      </c>
      <c r="E38" s="1">
        <v>1.8314415164465799E-6</v>
      </c>
      <c r="F38" s="3">
        <v>0.99977912333583496</v>
      </c>
      <c r="G38">
        <v>7</v>
      </c>
      <c r="H38" s="1">
        <v>1.8516199106842701E-6</v>
      </c>
      <c r="I38" s="3">
        <v>0.999801832804176</v>
      </c>
      <c r="J38">
        <v>7</v>
      </c>
      <c r="K38" s="1">
        <v>1.85658343097239E-6</v>
      </c>
      <c r="L38" s="3">
        <v>0.99980434389045403</v>
      </c>
      <c r="M38">
        <v>7</v>
      </c>
      <c r="N38" s="1">
        <v>1.79868996302521E-6</v>
      </c>
      <c r="O38" s="3">
        <v>0.99974140171489101</v>
      </c>
      <c r="P38">
        <v>7</v>
      </c>
      <c r="Q38" s="1">
        <v>1.78999488115246E-6</v>
      </c>
      <c r="R38" s="3">
        <v>0.99978930346615902</v>
      </c>
      <c r="T38">
        <v>7</v>
      </c>
      <c r="U38" s="1">
        <v>5.3711821000525002E-7</v>
      </c>
      <c r="V38">
        <v>0.99978527976265896</v>
      </c>
      <c r="W38">
        <v>7</v>
      </c>
      <c r="X38" s="1">
        <v>5.7763918796969903E-7</v>
      </c>
      <c r="Y38">
        <v>0.99948818119220595</v>
      </c>
      <c r="Z38">
        <v>7</v>
      </c>
      <c r="AA38" s="1">
        <v>6.1630752048301302E-7</v>
      </c>
      <c r="AB38">
        <v>0.99977299043975598</v>
      </c>
      <c r="AC38">
        <v>7</v>
      </c>
      <c r="AD38" s="1">
        <v>5.13874853866347E-7</v>
      </c>
      <c r="AE38">
        <v>0.99985586851084596</v>
      </c>
      <c r="AF38">
        <v>7</v>
      </c>
      <c r="AG38" s="1">
        <v>4.54845845811145E-7</v>
      </c>
      <c r="AH38">
        <v>0.99963524501195999</v>
      </c>
    </row>
    <row r="39" spans="2:34" x14ac:dyDescent="0.2">
      <c r="D39">
        <v>8</v>
      </c>
      <c r="E39" s="1">
        <v>1.8449242290516199E-6</v>
      </c>
      <c r="F39">
        <v>0.99956036463634601</v>
      </c>
      <c r="G39">
        <v>8</v>
      </c>
      <c r="H39" s="1">
        <v>1.89866629579832E-6</v>
      </c>
      <c r="I39">
        <v>0.99938951887639005</v>
      </c>
      <c r="J39">
        <v>8</v>
      </c>
      <c r="K39" s="1">
        <v>1.8205546660264099E-6</v>
      </c>
      <c r="L39">
        <v>0.99928208306620603</v>
      </c>
      <c r="M39">
        <v>8</v>
      </c>
      <c r="N39" s="1">
        <v>1.74552970084033E-6</v>
      </c>
      <c r="O39">
        <v>0.99964233356783205</v>
      </c>
      <c r="P39">
        <v>8</v>
      </c>
      <c r="Q39" s="1">
        <v>1.80264538439376E-6</v>
      </c>
      <c r="R39">
        <v>0.99928670849491497</v>
      </c>
      <c r="T39">
        <v>8</v>
      </c>
      <c r="U39" s="1">
        <v>5.4350841451286203E-7</v>
      </c>
      <c r="V39">
        <v>0.99964073916192597</v>
      </c>
      <c r="W39">
        <v>8</v>
      </c>
      <c r="X39" s="1">
        <v>5.7419378502962503E-7</v>
      </c>
      <c r="Y39">
        <v>0.99988224212824095</v>
      </c>
      <c r="Z39">
        <v>8</v>
      </c>
      <c r="AA39" s="1">
        <v>5.9959186066151702E-7</v>
      </c>
      <c r="AB39">
        <v>0.999791362711414</v>
      </c>
      <c r="AC39">
        <v>8</v>
      </c>
      <c r="AD39" s="1">
        <v>4.8400803235580801E-7</v>
      </c>
      <c r="AE39">
        <v>0.99950906527691596</v>
      </c>
      <c r="AF39">
        <v>8</v>
      </c>
      <c r="AG39" s="1">
        <v>4.6017105896647401E-7</v>
      </c>
      <c r="AH39">
        <v>0.99973368481486202</v>
      </c>
    </row>
    <row r="40" spans="2:34" x14ac:dyDescent="0.2">
      <c r="D40">
        <v>9</v>
      </c>
      <c r="E40" s="1">
        <v>1.7947230953181301E-6</v>
      </c>
      <c r="F40">
        <v>0.99973810406156205</v>
      </c>
      <c r="G40">
        <v>9</v>
      </c>
      <c r="H40" s="1">
        <v>1.8731159188475399E-6</v>
      </c>
      <c r="I40">
        <v>0.99962086233443304</v>
      </c>
      <c r="J40">
        <v>9</v>
      </c>
      <c r="K40" s="1">
        <v>1.83639472460984E-6</v>
      </c>
      <c r="L40">
        <v>0.99969874886103105</v>
      </c>
      <c r="M40">
        <v>9</v>
      </c>
      <c r="N40" s="1">
        <v>1.81509199039616E-6</v>
      </c>
      <c r="O40">
        <v>0.999761917397614</v>
      </c>
      <c r="P40">
        <v>9</v>
      </c>
      <c r="Q40" s="1">
        <v>1.85955362545018E-6</v>
      </c>
      <c r="R40">
        <v>0.99982044740848697</v>
      </c>
      <c r="T40">
        <v>9</v>
      </c>
      <c r="U40" s="1">
        <v>5.5050326097652304E-7</v>
      </c>
      <c r="V40">
        <v>0.99980480998280796</v>
      </c>
      <c r="W40">
        <v>9</v>
      </c>
      <c r="X40" s="1">
        <v>5.9409900792769796E-7</v>
      </c>
      <c r="Y40">
        <v>0.99962597220611804</v>
      </c>
      <c r="Z40">
        <v>9</v>
      </c>
      <c r="AA40" s="1">
        <v>5.9355258712217802E-7</v>
      </c>
      <c r="AB40">
        <v>0.99972987130707203</v>
      </c>
      <c r="AC40">
        <v>9</v>
      </c>
      <c r="AD40" s="1">
        <v>5.0778678482712E-7</v>
      </c>
      <c r="AE40">
        <v>0.99967000657292004</v>
      </c>
      <c r="AF40">
        <v>9</v>
      </c>
      <c r="AG40" s="1">
        <v>4.5139107275931902E-7</v>
      </c>
      <c r="AH40">
        <v>0.99986378630992601</v>
      </c>
    </row>
    <row r="41" spans="2:34" x14ac:dyDescent="0.2">
      <c r="D41">
        <v>10</v>
      </c>
      <c r="E41" s="1">
        <v>1.7934534127250899E-6</v>
      </c>
      <c r="F41">
        <v>0.99966625919347396</v>
      </c>
      <c r="G41">
        <v>10</v>
      </c>
      <c r="H41" s="1">
        <v>1.7884073066026399E-6</v>
      </c>
      <c r="I41">
        <v>0.99986828585946996</v>
      </c>
      <c r="J41">
        <v>10</v>
      </c>
      <c r="K41" s="1">
        <v>1.8425494799519801E-6</v>
      </c>
      <c r="L41">
        <v>0.99985696673679603</v>
      </c>
      <c r="M41">
        <v>10</v>
      </c>
      <c r="N41" s="1">
        <v>1.85188772821128E-6</v>
      </c>
      <c r="O41">
        <v>0.99907159232386999</v>
      </c>
      <c r="P41">
        <v>10</v>
      </c>
      <c r="Q41" s="1">
        <v>1.8224193176470599E-6</v>
      </c>
      <c r="R41">
        <v>0.99942234899069404</v>
      </c>
      <c r="T41">
        <v>10</v>
      </c>
      <c r="U41" s="1">
        <v>5.4960770427510698E-7</v>
      </c>
      <c r="V41">
        <v>0.99977406755628695</v>
      </c>
      <c r="W41">
        <v>10</v>
      </c>
      <c r="X41" s="1">
        <v>5.9664403712592903E-7</v>
      </c>
      <c r="Y41">
        <v>0.99979842638168004</v>
      </c>
      <c r="Z41">
        <v>10</v>
      </c>
      <c r="AA41" s="1">
        <v>6.0479608391209799E-7</v>
      </c>
      <c r="AB41">
        <v>0.99939587435625599</v>
      </c>
      <c r="AC41">
        <v>10</v>
      </c>
      <c r="AD41" s="1">
        <v>5.1150607472436797E-7</v>
      </c>
      <c r="AE41">
        <v>0.99966709313438296</v>
      </c>
      <c r="AF41">
        <v>10</v>
      </c>
      <c r="AG41" s="1">
        <v>4.9074635384384697E-7</v>
      </c>
      <c r="AH41">
        <v>0.99913586851792902</v>
      </c>
    </row>
    <row r="42" spans="2:34" x14ac:dyDescent="0.2">
      <c r="D42" t="s">
        <v>21</v>
      </c>
      <c r="E42" s="1">
        <v>1.8259369727731101E-6</v>
      </c>
      <c r="F42" s="1">
        <v>3.5558115976168599E-8</v>
      </c>
      <c r="G42" t="s">
        <v>21</v>
      </c>
      <c r="H42" s="1">
        <v>1.83572606631453E-6</v>
      </c>
      <c r="I42" s="1">
        <v>3.1771189261599102E-8</v>
      </c>
      <c r="J42" t="s">
        <v>21</v>
      </c>
      <c r="K42" s="1">
        <v>1.83594835010804E-6</v>
      </c>
      <c r="L42" s="1">
        <v>2.0214127181851101E-8</v>
      </c>
      <c r="M42" t="s">
        <v>21</v>
      </c>
      <c r="N42" s="1">
        <v>1.81353048345738E-6</v>
      </c>
      <c r="O42" s="1">
        <v>3.2657542704383301E-8</v>
      </c>
      <c r="P42" t="s">
        <v>21</v>
      </c>
      <c r="Q42" s="1">
        <v>1.80664594208884E-6</v>
      </c>
      <c r="R42" s="1">
        <v>3.7713142769378099E-8</v>
      </c>
      <c r="T42" t="s">
        <v>21</v>
      </c>
      <c r="U42" s="1">
        <v>5.4870161189754698E-7</v>
      </c>
      <c r="V42" s="1">
        <v>8.9469379812441403E-9</v>
      </c>
      <c r="W42" t="s">
        <v>21</v>
      </c>
      <c r="X42" s="1">
        <v>5.8088992819620503E-7</v>
      </c>
      <c r="Y42" s="1">
        <v>1.1990564522284001E-8</v>
      </c>
      <c r="Z42" t="s">
        <v>21</v>
      </c>
      <c r="AA42" s="1">
        <v>6.0575713923348097E-7</v>
      </c>
      <c r="AB42" s="1">
        <v>8.1633547579669402E-9</v>
      </c>
      <c r="AC42" t="s">
        <v>21</v>
      </c>
      <c r="AD42" s="1">
        <v>5.0519616219230496E-7</v>
      </c>
      <c r="AE42" s="1">
        <v>8.9332080967425593E-9</v>
      </c>
      <c r="AF42" t="s">
        <v>21</v>
      </c>
      <c r="AG42" s="1">
        <v>4.5829763047851199E-7</v>
      </c>
      <c r="AH42" s="1">
        <v>1.26194640290789E-8</v>
      </c>
    </row>
    <row r="43" spans="2:34" x14ac:dyDescent="0.2">
      <c r="F43" s="4">
        <f>F42/E42</f>
        <v>1.9473901074561914E-2</v>
      </c>
      <c r="I43" s="4">
        <f>I42/H42</f>
        <v>1.730715156503938E-2</v>
      </c>
      <c r="L43" s="4">
        <f>L42/K42</f>
        <v>1.1010182928436718E-2</v>
      </c>
      <c r="O43" s="4">
        <f>O42/N42</f>
        <v>1.8007716441646893E-2</v>
      </c>
      <c r="R43" s="4">
        <f>R42/Q42</f>
        <v>2.0874672724072459E-2</v>
      </c>
      <c r="V43" s="4">
        <f>V42/U42</f>
        <v>1.6305652812470147E-2</v>
      </c>
      <c r="Y43" s="4">
        <f>Y42/X42</f>
        <v>2.0641715306576967E-2</v>
      </c>
      <c r="AB43" s="4">
        <f>AB42/AA42</f>
        <v>1.3476283198736654E-2</v>
      </c>
      <c r="AE43" s="4">
        <f>AE42/AD42</f>
        <v>1.7682652334445284E-2</v>
      </c>
      <c r="AH43" s="4">
        <f>AH42/AG42</f>
        <v>2.7535521001718518E-2</v>
      </c>
    </row>
    <row r="45" spans="2:34" x14ac:dyDescent="0.2">
      <c r="B45" t="s">
        <v>25</v>
      </c>
      <c r="D45" t="s">
        <v>0</v>
      </c>
      <c r="E45" s="2"/>
      <c r="F45" s="2"/>
      <c r="G45" s="2" t="s">
        <v>1</v>
      </c>
      <c r="H45" s="2"/>
      <c r="I45" s="2"/>
      <c r="J45" s="1" t="s">
        <v>2</v>
      </c>
      <c r="M45" s="2" t="s">
        <v>3</v>
      </c>
      <c r="N45" s="2"/>
      <c r="O45" s="2"/>
      <c r="P45" s="2" t="s">
        <v>4</v>
      </c>
      <c r="Q45" s="2"/>
      <c r="R45" s="1"/>
      <c r="T45" t="s">
        <v>5</v>
      </c>
      <c r="U45" s="2"/>
      <c r="V45" s="2"/>
      <c r="W45" s="2" t="s">
        <v>6</v>
      </c>
      <c r="X45" s="2"/>
      <c r="Y45" s="2"/>
      <c r="Z45" s="1" t="s">
        <v>7</v>
      </c>
      <c r="AC45" s="2" t="s">
        <v>8</v>
      </c>
      <c r="AD45" s="2"/>
      <c r="AE45" s="2"/>
      <c r="AF45" s="2" t="s">
        <v>9</v>
      </c>
      <c r="AG45" s="2"/>
      <c r="AH45" s="1"/>
    </row>
    <row r="46" spans="2:34" x14ac:dyDescent="0.2">
      <c r="D46">
        <v>1</v>
      </c>
      <c r="E46" s="2">
        <v>1.6528377867947199E-6</v>
      </c>
      <c r="F46" s="2">
        <v>0.99964250556799406</v>
      </c>
      <c r="G46">
        <v>1</v>
      </c>
      <c r="H46" s="2">
        <v>1.6247661090036E-6</v>
      </c>
      <c r="I46" s="2">
        <v>0.99960578584042104</v>
      </c>
      <c r="J46">
        <v>1</v>
      </c>
      <c r="K46" s="1">
        <v>1.53449575702281E-6</v>
      </c>
      <c r="L46">
        <v>0.99978530160985202</v>
      </c>
      <c r="M46">
        <v>1</v>
      </c>
      <c r="N46" s="2">
        <v>1.6351884480192099E-6</v>
      </c>
      <c r="O46" s="2">
        <v>0.99869902143882905</v>
      </c>
      <c r="P46">
        <v>1</v>
      </c>
      <c r="Q46" s="2">
        <v>1.55199424009604E-6</v>
      </c>
      <c r="R46" s="1">
        <v>0.99987681877284296</v>
      </c>
      <c r="T46">
        <v>1</v>
      </c>
      <c r="U46" s="2">
        <v>3.6071281930548202E-7</v>
      </c>
      <c r="V46" s="2">
        <v>0.99965034164472399</v>
      </c>
      <c r="W46">
        <v>1</v>
      </c>
      <c r="X46" s="2">
        <v>3.9516768863721599E-7</v>
      </c>
      <c r="Y46" s="2">
        <v>0.99976292484174301</v>
      </c>
      <c r="Z46">
        <v>1</v>
      </c>
      <c r="AA46" s="1">
        <v>4.0668106514662901E-7</v>
      </c>
      <c r="AB46">
        <v>0.99961217263504498</v>
      </c>
      <c r="AC46">
        <v>1</v>
      </c>
      <c r="AD46" s="2">
        <v>3.33247163969099E-7</v>
      </c>
      <c r="AE46" s="2">
        <v>0.99970272510441405</v>
      </c>
      <c r="AF46">
        <v>1</v>
      </c>
      <c r="AG46" s="2">
        <v>2.8087571404035098E-7</v>
      </c>
      <c r="AH46" s="1">
        <v>0.99964047598179495</v>
      </c>
    </row>
    <row r="47" spans="2:34" x14ac:dyDescent="0.2">
      <c r="D47">
        <v>2</v>
      </c>
      <c r="E47" s="2">
        <v>1.60921055942377E-6</v>
      </c>
      <c r="F47" s="2">
        <v>0.99985391527054102</v>
      </c>
      <c r="G47">
        <v>2</v>
      </c>
      <c r="H47" s="2">
        <v>1.60111334789916E-6</v>
      </c>
      <c r="I47" s="2">
        <v>0.99943140054576596</v>
      </c>
      <c r="J47">
        <v>2</v>
      </c>
      <c r="K47" s="1">
        <v>1.59461742280912E-6</v>
      </c>
      <c r="L47">
        <v>0.99893865321073905</v>
      </c>
      <c r="M47">
        <v>2</v>
      </c>
      <c r="N47" s="2">
        <v>1.6218068004801899E-6</v>
      </c>
      <c r="O47" s="2">
        <v>0.99949051869924899</v>
      </c>
      <c r="P47">
        <v>2</v>
      </c>
      <c r="Q47" s="2">
        <v>1.5794563908763501E-6</v>
      </c>
      <c r="R47" s="1">
        <v>0.99972301671734998</v>
      </c>
      <c r="T47">
        <v>2</v>
      </c>
      <c r="U47" s="1">
        <v>3.57820070239256E-7</v>
      </c>
      <c r="V47">
        <v>0.999289512019366</v>
      </c>
      <c r="W47">
        <v>2</v>
      </c>
      <c r="X47" s="1">
        <v>3.8716024721368003E-7</v>
      </c>
      <c r="Y47">
        <v>0.99974455911107896</v>
      </c>
      <c r="Z47">
        <v>2</v>
      </c>
      <c r="AA47" s="1">
        <v>4.1677121547288701E-7</v>
      </c>
      <c r="AB47">
        <v>0.99959245398495</v>
      </c>
      <c r="AC47">
        <v>2</v>
      </c>
      <c r="AD47" s="1">
        <v>3.1695585444386098E-7</v>
      </c>
      <c r="AE47">
        <v>0.99906634400335004</v>
      </c>
      <c r="AF47">
        <v>2</v>
      </c>
      <c r="AG47" s="1">
        <v>2.6834891951548799E-7</v>
      </c>
      <c r="AH47">
        <v>0.999706752022127</v>
      </c>
    </row>
    <row r="48" spans="2:34" x14ac:dyDescent="0.2">
      <c r="D48">
        <v>3</v>
      </c>
      <c r="E48" s="2">
        <v>1.5806910881152501E-6</v>
      </c>
      <c r="F48" s="2">
        <v>0.99928880351508098</v>
      </c>
      <c r="G48">
        <v>3</v>
      </c>
      <c r="H48" s="2">
        <v>1.6104210962785101E-6</v>
      </c>
      <c r="I48" s="2">
        <v>0.999759262702683</v>
      </c>
      <c r="J48">
        <v>3</v>
      </c>
      <c r="K48" s="1">
        <v>1.6459763385354101E-6</v>
      </c>
      <c r="L48">
        <v>0.99954222927226599</v>
      </c>
      <c r="M48">
        <v>3</v>
      </c>
      <c r="N48" s="2">
        <v>1.6036375452581E-6</v>
      </c>
      <c r="O48" s="2">
        <v>0.99981260035215902</v>
      </c>
      <c r="P48">
        <v>3</v>
      </c>
      <c r="Q48" s="2">
        <v>1.5402144499399801E-6</v>
      </c>
      <c r="R48" s="1">
        <v>0.99981673470201904</v>
      </c>
      <c r="T48">
        <v>3</v>
      </c>
      <c r="U48" s="1">
        <v>3.6538377481437002E-7</v>
      </c>
      <c r="V48">
        <v>0.99930806629791102</v>
      </c>
      <c r="W48">
        <v>3</v>
      </c>
      <c r="X48" s="1">
        <v>3.7115095925898098E-7</v>
      </c>
      <c r="Y48">
        <v>0.99944918905840396</v>
      </c>
      <c r="Z48">
        <v>3</v>
      </c>
      <c r="AA48" s="1">
        <v>4.0720456514662901E-7</v>
      </c>
      <c r="AB48">
        <v>0.99943330989161405</v>
      </c>
      <c r="AC48">
        <v>3</v>
      </c>
      <c r="AD48" s="1">
        <v>3.22054721690542E-7</v>
      </c>
      <c r="AE48">
        <v>0.99975324940587396</v>
      </c>
      <c r="AF48">
        <v>3</v>
      </c>
      <c r="AG48" s="1">
        <v>2.8155692940823501E-7</v>
      </c>
      <c r="AH48">
        <v>0.99973540258697802</v>
      </c>
    </row>
    <row r="49" spans="2:34" x14ac:dyDescent="0.2">
      <c r="D49">
        <v>4</v>
      </c>
      <c r="E49" s="2">
        <v>1.58460191788716E-6</v>
      </c>
      <c r="F49" s="2">
        <v>0.99978251601616996</v>
      </c>
      <c r="G49">
        <v>4</v>
      </c>
      <c r="H49" s="2">
        <v>1.61912546602641E-6</v>
      </c>
      <c r="I49" s="2">
        <v>0.99982506948924699</v>
      </c>
      <c r="J49">
        <v>4</v>
      </c>
      <c r="K49" s="1">
        <v>1.6362997277310901E-6</v>
      </c>
      <c r="L49">
        <v>0.99869131452071203</v>
      </c>
      <c r="M49">
        <v>4</v>
      </c>
      <c r="N49" s="2">
        <v>1.65513392509004E-6</v>
      </c>
      <c r="O49" s="2">
        <v>0.99978223301300795</v>
      </c>
      <c r="P49">
        <v>4</v>
      </c>
      <c r="Q49" s="2">
        <v>1.5765321138055201E-6</v>
      </c>
      <c r="R49" s="1">
        <v>0.99951554021434497</v>
      </c>
      <c r="T49">
        <v>4</v>
      </c>
      <c r="U49" s="1">
        <v>3.5619627155178902E-7</v>
      </c>
      <c r="V49">
        <v>0.999596296987039</v>
      </c>
      <c r="W49">
        <v>4</v>
      </c>
      <c r="X49" s="1">
        <v>3.8939136181654498E-7</v>
      </c>
      <c r="Y49">
        <v>0.99984064522854399</v>
      </c>
      <c r="Z49">
        <v>4</v>
      </c>
      <c r="AA49" s="1">
        <v>4.1739806540913601E-7</v>
      </c>
      <c r="AB49">
        <v>0.999869823145217</v>
      </c>
      <c r="AC49">
        <v>4</v>
      </c>
      <c r="AD49" s="1">
        <v>3.33152415937899E-7</v>
      </c>
      <c r="AE49">
        <v>0.99958735249766995</v>
      </c>
      <c r="AF49">
        <v>4</v>
      </c>
      <c r="AG49" s="1">
        <v>2.7553460275256902E-7</v>
      </c>
      <c r="AH49">
        <v>0.99930739300007498</v>
      </c>
    </row>
    <row r="50" spans="2:34" x14ac:dyDescent="0.2">
      <c r="D50">
        <v>5</v>
      </c>
      <c r="E50" s="2">
        <v>1.60892674861945E-6</v>
      </c>
      <c r="F50" s="2">
        <v>0.99949359844084296</v>
      </c>
      <c r="G50">
        <v>5</v>
      </c>
      <c r="H50" s="2">
        <v>1.6207588153661499E-6</v>
      </c>
      <c r="I50" s="2">
        <v>0.99962525559952198</v>
      </c>
      <c r="J50">
        <v>5</v>
      </c>
      <c r="K50" s="1">
        <v>1.6337958545018E-6</v>
      </c>
      <c r="L50">
        <v>0.99975966230598901</v>
      </c>
      <c r="M50">
        <v>5</v>
      </c>
      <c r="N50" s="2">
        <v>1.6217618328931599E-6</v>
      </c>
      <c r="O50" s="2">
        <v>0.99970739421050703</v>
      </c>
      <c r="P50">
        <v>5</v>
      </c>
      <c r="Q50" s="2">
        <v>1.5462472249699901E-6</v>
      </c>
      <c r="R50" s="1">
        <v>0.99959505205642696</v>
      </c>
      <c r="T50">
        <v>5</v>
      </c>
      <c r="U50" s="1">
        <v>3.5696470723018101E-7</v>
      </c>
      <c r="V50">
        <v>0.99961912789205698</v>
      </c>
      <c r="W50">
        <v>5</v>
      </c>
      <c r="X50" s="1">
        <v>3.8276577566189098E-7</v>
      </c>
      <c r="Y50">
        <v>0.99969435841211696</v>
      </c>
      <c r="Z50">
        <v>5</v>
      </c>
      <c r="AA50" s="1">
        <v>4.2636505672391802E-7</v>
      </c>
      <c r="AB50">
        <v>0.99986067112909705</v>
      </c>
      <c r="AC50">
        <v>5</v>
      </c>
      <c r="AD50" s="1">
        <v>3.1646480476262E-7</v>
      </c>
      <c r="AE50">
        <v>0.99969480558426604</v>
      </c>
      <c r="AF50">
        <v>5</v>
      </c>
      <c r="AG50" s="1">
        <v>2.9236046262656598E-7</v>
      </c>
      <c r="AH50">
        <v>0.99952549891241305</v>
      </c>
    </row>
    <row r="51" spans="2:34" x14ac:dyDescent="0.2">
      <c r="D51">
        <v>6</v>
      </c>
      <c r="E51" s="1">
        <v>1.5882653680672299E-6</v>
      </c>
      <c r="F51" s="1">
        <v>0.99980069709851305</v>
      </c>
      <c r="G51">
        <v>6</v>
      </c>
      <c r="H51" s="1">
        <v>1.6007556412965201E-6</v>
      </c>
      <c r="I51" s="1">
        <v>0.99969007996027104</v>
      </c>
      <c r="J51">
        <v>6</v>
      </c>
      <c r="K51" s="1">
        <v>1.59340371764706E-6</v>
      </c>
      <c r="L51" s="1">
        <v>0.99952914578293806</v>
      </c>
      <c r="M51">
        <v>6</v>
      </c>
      <c r="N51" s="1">
        <v>1.6197211270107999E-6</v>
      </c>
      <c r="O51" s="1">
        <v>0.99969131519019805</v>
      </c>
      <c r="P51">
        <v>6</v>
      </c>
      <c r="Q51" s="1">
        <v>1.5751072427370999E-6</v>
      </c>
      <c r="R51" s="1">
        <v>0.99968393479634599</v>
      </c>
      <c r="T51">
        <v>6</v>
      </c>
      <c r="U51" s="1">
        <v>3.5255991168529198E-7</v>
      </c>
      <c r="V51">
        <v>0.99960162505429995</v>
      </c>
      <c r="W51">
        <v>6</v>
      </c>
      <c r="X51" s="1">
        <v>3.84497676261907E-7</v>
      </c>
      <c r="Y51">
        <v>0.99978934249708895</v>
      </c>
      <c r="Z51">
        <v>6</v>
      </c>
      <c r="AA51" s="1">
        <v>4.1183567404185099E-7</v>
      </c>
      <c r="AB51">
        <v>0.99978388256154505</v>
      </c>
      <c r="AC51">
        <v>6</v>
      </c>
      <c r="AD51" s="1">
        <v>3.2625723610590298E-7</v>
      </c>
      <c r="AE51">
        <v>0.99974211661537504</v>
      </c>
      <c r="AF51">
        <v>6</v>
      </c>
      <c r="AG51" s="1">
        <v>2.7350850405010098E-7</v>
      </c>
      <c r="AH51">
        <v>0.99937433876137305</v>
      </c>
    </row>
    <row r="52" spans="2:34" x14ac:dyDescent="0.2">
      <c r="D52">
        <v>7</v>
      </c>
      <c r="E52" s="1">
        <v>1.57357274573829E-6</v>
      </c>
      <c r="F52" s="3">
        <v>0.99977816680531995</v>
      </c>
      <c r="G52">
        <v>7</v>
      </c>
      <c r="H52" s="1">
        <v>1.58775390396158E-6</v>
      </c>
      <c r="I52" s="3">
        <v>0.99959289282538999</v>
      </c>
      <c r="J52">
        <v>7</v>
      </c>
      <c r="K52" s="1">
        <v>1.5967028057623E-6</v>
      </c>
      <c r="L52" s="3">
        <v>0.99961669305584699</v>
      </c>
      <c r="M52">
        <v>7</v>
      </c>
      <c r="N52" s="1">
        <v>1.5839903615846301E-6</v>
      </c>
      <c r="O52" s="3">
        <v>0.99981001445923401</v>
      </c>
      <c r="P52">
        <v>7</v>
      </c>
      <c r="Q52" s="1">
        <v>1.5793110602641E-6</v>
      </c>
      <c r="R52" s="3">
        <v>0.99984840477717996</v>
      </c>
      <c r="T52">
        <v>7</v>
      </c>
      <c r="U52" s="1">
        <v>3.50940902715068E-7</v>
      </c>
      <c r="V52">
        <v>0.99973282699891897</v>
      </c>
      <c r="W52">
        <v>7</v>
      </c>
      <c r="X52" s="1">
        <v>3.94680083552088E-7</v>
      </c>
      <c r="Y52">
        <v>0.99981921097869497</v>
      </c>
      <c r="Z52">
        <v>7</v>
      </c>
      <c r="AA52" s="1">
        <v>4.2641355016125499E-7</v>
      </c>
      <c r="AB52">
        <v>0.99981192168503596</v>
      </c>
      <c r="AC52">
        <v>7</v>
      </c>
      <c r="AD52" s="1">
        <v>3.2621219360234003E-7</v>
      </c>
      <c r="AE52">
        <v>0.99861164331836705</v>
      </c>
      <c r="AF52">
        <v>7</v>
      </c>
      <c r="AG52" s="1">
        <v>2.8390381656791502E-7</v>
      </c>
      <c r="AH52">
        <v>0.99879140979272996</v>
      </c>
    </row>
    <row r="53" spans="2:34" x14ac:dyDescent="0.2">
      <c r="D53">
        <v>8</v>
      </c>
      <c r="E53" s="1">
        <v>1.4586378938775501E-6</v>
      </c>
      <c r="F53">
        <v>0.99970032132026398</v>
      </c>
      <c r="G53">
        <v>8</v>
      </c>
      <c r="H53" s="1">
        <v>1.55023833901561E-6</v>
      </c>
      <c r="I53">
        <v>0.99842935442957403</v>
      </c>
      <c r="J53">
        <v>8</v>
      </c>
      <c r="K53" s="1">
        <v>1.6647452547419E-6</v>
      </c>
      <c r="L53">
        <v>0.999711736995886</v>
      </c>
      <c r="M53">
        <v>8</v>
      </c>
      <c r="N53" s="1">
        <v>1.58503315390156E-6</v>
      </c>
      <c r="O53">
        <v>0.99966602136035199</v>
      </c>
      <c r="P53">
        <v>8</v>
      </c>
      <c r="Q53" s="1">
        <v>1.54410594141657E-6</v>
      </c>
      <c r="R53">
        <v>0.99921176023061697</v>
      </c>
      <c r="T53">
        <v>8</v>
      </c>
      <c r="U53" s="1">
        <v>3.4091655001125002E-7</v>
      </c>
      <c r="V53">
        <v>0.99911820082227298</v>
      </c>
      <c r="W53">
        <v>8</v>
      </c>
      <c r="X53" s="1">
        <v>3.7801363132078299E-7</v>
      </c>
      <c r="Y53">
        <v>0.99977107294413103</v>
      </c>
      <c r="Z53">
        <v>8</v>
      </c>
      <c r="AA53" s="1">
        <v>4.2764315178129502E-7</v>
      </c>
      <c r="AB53">
        <v>0.99961132080536497</v>
      </c>
      <c r="AC53">
        <v>8</v>
      </c>
      <c r="AD53" s="1">
        <v>3.3013258459461502E-7</v>
      </c>
      <c r="AE53">
        <v>0.99942748499530398</v>
      </c>
      <c r="AF53">
        <v>8</v>
      </c>
      <c r="AG53" s="1">
        <v>2.7631416491412302E-7</v>
      </c>
      <c r="AH53">
        <v>0.99945021094049002</v>
      </c>
    </row>
    <row r="54" spans="2:34" x14ac:dyDescent="0.2">
      <c r="D54">
        <v>9</v>
      </c>
      <c r="E54" s="1">
        <v>1.5993145238895601E-6</v>
      </c>
      <c r="F54">
        <v>0.99971916617564005</v>
      </c>
      <c r="G54">
        <v>9</v>
      </c>
      <c r="H54" s="1">
        <v>1.5501977416566599E-6</v>
      </c>
      <c r="I54">
        <v>0.99970963031067805</v>
      </c>
      <c r="J54">
        <v>9</v>
      </c>
      <c r="K54" s="1">
        <v>1.6550413791116399E-6</v>
      </c>
      <c r="L54">
        <v>0.99956652309543503</v>
      </c>
      <c r="M54">
        <v>9</v>
      </c>
      <c r="N54" s="1">
        <v>1.56616211716687E-6</v>
      </c>
      <c r="O54">
        <v>0.99985230229083499</v>
      </c>
      <c r="P54">
        <v>9</v>
      </c>
      <c r="Q54" s="1">
        <v>1.5277981214885901E-6</v>
      </c>
      <c r="R54">
        <v>0.99937236063754697</v>
      </c>
      <c r="T54">
        <v>9</v>
      </c>
      <c r="U54" s="1">
        <v>3.4149789590489702E-7</v>
      </c>
      <c r="V54">
        <v>0.99926757559770196</v>
      </c>
      <c r="W54">
        <v>9</v>
      </c>
      <c r="X54" s="1">
        <v>3.7206996252906302E-7</v>
      </c>
      <c r="Y54">
        <v>0.99956244707694597</v>
      </c>
      <c r="Z54">
        <v>9</v>
      </c>
      <c r="AA54" s="1">
        <v>4.1793754542863598E-7</v>
      </c>
      <c r="AB54">
        <v>0.99982628956267905</v>
      </c>
      <c r="AC54">
        <v>9</v>
      </c>
      <c r="AD54" s="1">
        <v>3.23335711737793E-7</v>
      </c>
      <c r="AE54">
        <v>0.99932890291799903</v>
      </c>
      <c r="AF54">
        <v>9</v>
      </c>
      <c r="AG54" s="1">
        <v>2.65583090294757E-7</v>
      </c>
      <c r="AH54">
        <v>0.99941909282983799</v>
      </c>
    </row>
    <row r="55" spans="2:34" x14ac:dyDescent="0.2">
      <c r="D55">
        <v>10</v>
      </c>
      <c r="E55" s="1">
        <v>1.58066483937575E-6</v>
      </c>
      <c r="F55">
        <v>0.99952097932464501</v>
      </c>
      <c r="G55">
        <v>10</v>
      </c>
      <c r="H55" s="1">
        <v>1.68540847587035E-6</v>
      </c>
      <c r="I55">
        <v>0.99966657432661299</v>
      </c>
      <c r="J55">
        <v>10</v>
      </c>
      <c r="K55" s="1">
        <v>1.6143710381752701E-6</v>
      </c>
      <c r="L55">
        <v>0.99984222656365696</v>
      </c>
      <c r="M55">
        <v>10</v>
      </c>
      <c r="N55" s="1">
        <v>1.6419950280912399E-6</v>
      </c>
      <c r="O55">
        <v>0.99976309441627298</v>
      </c>
      <c r="P55">
        <v>10</v>
      </c>
      <c r="Q55" s="1">
        <v>1.58016820216086E-6</v>
      </c>
      <c r="R55">
        <v>0.99909045744351499</v>
      </c>
      <c r="T55">
        <v>10</v>
      </c>
      <c r="U55" s="1">
        <v>3.56216284122104E-7</v>
      </c>
      <c r="V55">
        <v>0.999355276658073</v>
      </c>
      <c r="W55">
        <v>10</v>
      </c>
      <c r="X55" s="1">
        <v>4.0396852093302301E-7</v>
      </c>
      <c r="Y55">
        <v>0.99968356903169897</v>
      </c>
      <c r="Z55">
        <v>10</v>
      </c>
      <c r="AA55" s="1">
        <v>4.3065149880746999E-7</v>
      </c>
      <c r="AB55">
        <v>0.99982888923211899</v>
      </c>
      <c r="AC55">
        <v>10</v>
      </c>
      <c r="AD55" s="1">
        <v>3.2387264679366999E-7</v>
      </c>
      <c r="AE55">
        <v>0.99960067846874701</v>
      </c>
      <c r="AF55">
        <v>10</v>
      </c>
      <c r="AG55" s="1">
        <v>2.7184827773944403E-7</v>
      </c>
      <c r="AH55">
        <v>0.99958478137071605</v>
      </c>
    </row>
    <row r="56" spans="2:34" x14ac:dyDescent="0.2">
      <c r="D56" t="s">
        <v>21</v>
      </c>
      <c r="E56" s="1">
        <v>1.58367234717887E-6</v>
      </c>
      <c r="F56" s="1">
        <v>4.9546869190562503E-8</v>
      </c>
      <c r="G56" t="s">
        <v>21</v>
      </c>
      <c r="H56" s="1">
        <v>1.6050538936374601E-6</v>
      </c>
      <c r="I56" s="1">
        <v>3.8967402125913601E-8</v>
      </c>
      <c r="J56" t="s">
        <v>21</v>
      </c>
      <c r="K56" s="1">
        <v>1.61694492960384E-6</v>
      </c>
      <c r="L56" s="1">
        <v>3.8736339394942197E-8</v>
      </c>
      <c r="M56" t="s">
        <v>21</v>
      </c>
      <c r="N56" s="1">
        <v>1.6134430339495801E-6</v>
      </c>
      <c r="O56" s="1">
        <v>2.83058556164421E-8</v>
      </c>
      <c r="P56" t="s">
        <v>21</v>
      </c>
      <c r="Q56" s="1">
        <v>1.5600934987755099E-6</v>
      </c>
      <c r="R56" s="1">
        <v>1.99832090749692E-8</v>
      </c>
      <c r="T56" t="s">
        <v>21</v>
      </c>
      <c r="U56" s="1">
        <v>3.53920918757969E-7</v>
      </c>
      <c r="V56" s="1">
        <v>7.7932940134614795E-9</v>
      </c>
      <c r="W56" t="s">
        <v>21</v>
      </c>
      <c r="X56" s="1">
        <v>3.8588659071851803E-7</v>
      </c>
      <c r="Y56" s="1">
        <v>1.04669650970765E-8</v>
      </c>
      <c r="Z56" t="s">
        <v>21</v>
      </c>
      <c r="AA56" s="1">
        <v>4.1889013881197101E-7</v>
      </c>
      <c r="AB56" s="1">
        <v>8.6308495736246295E-9</v>
      </c>
      <c r="AC56" t="s">
        <v>21</v>
      </c>
      <c r="AD56" s="1">
        <v>3.2516853336383402E-7</v>
      </c>
      <c r="AE56" s="1">
        <v>5.9053678523781902E-9</v>
      </c>
      <c r="AF56" t="s">
        <v>21</v>
      </c>
      <c r="AG56" s="1">
        <v>2.76983448190955E-7</v>
      </c>
      <c r="AH56" s="1">
        <v>7.9297336825041093E-9</v>
      </c>
    </row>
    <row r="57" spans="2:34" x14ac:dyDescent="0.2">
      <c r="F57" s="4">
        <f>F56/E56</f>
        <v>3.1286060704933408E-2</v>
      </c>
      <c r="I57" s="4">
        <f>I56/H56</f>
        <v>2.427793999963675E-2</v>
      </c>
      <c r="L57" s="4">
        <f>L56/K56</f>
        <v>2.3956498879917205E-2</v>
      </c>
      <c r="O57" s="4">
        <f>O56/N56</f>
        <v>1.7543758918560401E-2</v>
      </c>
      <c r="R57" s="4">
        <f>R56/Q56</f>
        <v>1.28089816992723E-2</v>
      </c>
      <c r="V57" s="4">
        <f>V56/U56</f>
        <v>2.2019873933450573E-2</v>
      </c>
      <c r="Y57" s="4">
        <f>Y56/X56</f>
        <v>2.7124459229296065E-2</v>
      </c>
      <c r="AB57" s="4">
        <f>AB56/AA56</f>
        <v>2.0604088695195557E-2</v>
      </c>
      <c r="AE57" s="4">
        <f>AE56/AD56</f>
        <v>1.8160945006848558E-2</v>
      </c>
      <c r="AH57" s="4">
        <f>AH56/AG56</f>
        <v>2.8628908096476856E-2</v>
      </c>
    </row>
    <row r="59" spans="2:34" x14ac:dyDescent="0.2">
      <c r="B59" t="s">
        <v>24</v>
      </c>
      <c r="D59" t="s">
        <v>0</v>
      </c>
      <c r="E59" s="2"/>
      <c r="F59" s="2"/>
      <c r="G59" s="2" t="s">
        <v>1</v>
      </c>
      <c r="H59" s="2"/>
      <c r="I59" s="2"/>
      <c r="J59" s="1" t="s">
        <v>2</v>
      </c>
      <c r="M59" s="2" t="s">
        <v>3</v>
      </c>
      <c r="N59" s="2"/>
      <c r="O59" s="2"/>
      <c r="P59" s="2" t="s">
        <v>4</v>
      </c>
      <c r="Q59" s="2"/>
      <c r="R59" s="1"/>
      <c r="T59" t="s">
        <v>5</v>
      </c>
      <c r="U59" s="2"/>
      <c r="V59" s="2"/>
      <c r="W59" s="2" t="s">
        <v>6</v>
      </c>
      <c r="X59" s="2"/>
      <c r="Y59" s="2"/>
      <c r="Z59" s="1" t="s">
        <v>7</v>
      </c>
      <c r="AC59" s="2" t="s">
        <v>8</v>
      </c>
      <c r="AD59" s="2"/>
      <c r="AE59" s="2"/>
      <c r="AF59" s="2" t="s">
        <v>9</v>
      </c>
      <c r="AG59" s="2"/>
      <c r="AH59" s="1"/>
    </row>
    <row r="60" spans="2:34" x14ac:dyDescent="0.2">
      <c r="D60">
        <v>1</v>
      </c>
      <c r="E60" s="2">
        <v>1.4035771702280901E-6</v>
      </c>
      <c r="F60" s="2">
        <v>0.99977534289386205</v>
      </c>
      <c r="G60">
        <v>1</v>
      </c>
      <c r="H60" s="2">
        <v>1.3911356360144099E-6</v>
      </c>
      <c r="I60" s="2">
        <v>0.99977295349355899</v>
      </c>
      <c r="J60">
        <v>1</v>
      </c>
      <c r="K60" s="1">
        <v>1.4455517738295299E-6</v>
      </c>
      <c r="L60">
        <v>0.99955245059296804</v>
      </c>
      <c r="M60">
        <v>1</v>
      </c>
      <c r="N60" s="2">
        <v>1.3849259750300099E-6</v>
      </c>
      <c r="O60" s="2">
        <v>0.99978795441674095</v>
      </c>
      <c r="P60">
        <v>1</v>
      </c>
      <c r="Q60" s="2">
        <v>1.3698858631452601E-6</v>
      </c>
      <c r="R60" s="1">
        <v>0.99959175899255204</v>
      </c>
      <c r="T60">
        <v>1</v>
      </c>
      <c r="U60" s="2">
        <v>2.10817068604215E-7</v>
      </c>
      <c r="V60" s="2">
        <v>0.99957714064505199</v>
      </c>
      <c r="W60">
        <v>1</v>
      </c>
      <c r="X60" s="2">
        <v>2.2812150324008099E-7</v>
      </c>
      <c r="Y60" s="2">
        <v>0.99943507943014098</v>
      </c>
      <c r="Z60">
        <v>1</v>
      </c>
      <c r="AA60" s="1">
        <v>2.52970016215405E-7</v>
      </c>
      <c r="AB60">
        <v>0.99965261028727503</v>
      </c>
      <c r="AC60">
        <v>1</v>
      </c>
      <c r="AD60" s="2">
        <v>1.8271529517737901E-7</v>
      </c>
      <c r="AE60" s="2">
        <v>0.99934075346506501</v>
      </c>
      <c r="AF60">
        <v>1</v>
      </c>
      <c r="AG60" s="2">
        <v>1.5113671435535899E-7</v>
      </c>
      <c r="AH60" s="1">
        <v>0.99945546242657002</v>
      </c>
    </row>
    <row r="61" spans="2:34" x14ac:dyDescent="0.2">
      <c r="D61">
        <v>2</v>
      </c>
      <c r="E61" s="2">
        <v>1.3859718026410601E-6</v>
      </c>
      <c r="F61" s="2">
        <v>0.99953971122334595</v>
      </c>
      <c r="G61">
        <v>2</v>
      </c>
      <c r="H61" s="2">
        <v>1.3760672825930399E-6</v>
      </c>
      <c r="I61" s="2">
        <v>0.99949881822804698</v>
      </c>
      <c r="J61">
        <v>2</v>
      </c>
      <c r="K61" s="1">
        <v>1.39698334213686E-6</v>
      </c>
      <c r="L61">
        <v>0.99978591843662301</v>
      </c>
      <c r="M61">
        <v>2</v>
      </c>
      <c r="N61" s="2">
        <v>1.35810232845138E-6</v>
      </c>
      <c r="O61" s="2">
        <v>0.99978674891160901</v>
      </c>
      <c r="P61">
        <v>2</v>
      </c>
      <c r="Q61" s="2">
        <v>1.3535668187274901E-6</v>
      </c>
      <c r="R61" s="1">
        <v>0.99977201119145198</v>
      </c>
      <c r="T61">
        <v>2</v>
      </c>
      <c r="U61" s="1">
        <v>2.04969765424135E-7</v>
      </c>
      <c r="V61">
        <v>0.99943294752664102</v>
      </c>
      <c r="W61">
        <v>2</v>
      </c>
      <c r="X61" s="1">
        <v>2.29574218607965E-7</v>
      </c>
      <c r="Y61">
        <v>0.99855556160749104</v>
      </c>
      <c r="Z61">
        <v>2</v>
      </c>
      <c r="AA61" s="1">
        <v>2.5123887993699799E-7</v>
      </c>
      <c r="AB61">
        <v>0.999498511329863</v>
      </c>
      <c r="AC61">
        <v>2</v>
      </c>
      <c r="AD61" s="1">
        <v>1.7750307938198501E-7</v>
      </c>
      <c r="AE61">
        <v>0.99911726090131203</v>
      </c>
      <c r="AF61">
        <v>2</v>
      </c>
      <c r="AG61" s="1">
        <v>1.5660058055201399E-7</v>
      </c>
      <c r="AH61">
        <v>0.99955871068960001</v>
      </c>
    </row>
    <row r="62" spans="2:34" x14ac:dyDescent="0.2">
      <c r="D62">
        <v>3</v>
      </c>
      <c r="E62" s="2">
        <v>1.3033656523409299E-6</v>
      </c>
      <c r="F62" s="2">
        <v>0.99960646112623996</v>
      </c>
      <c r="G62">
        <v>3</v>
      </c>
      <c r="H62" s="2">
        <v>1.3809270204081599E-6</v>
      </c>
      <c r="I62" s="2">
        <v>0.99968350863961097</v>
      </c>
      <c r="J62">
        <v>3</v>
      </c>
      <c r="K62" s="1">
        <v>1.4409916427370999E-6</v>
      </c>
      <c r="L62">
        <v>0.99952914436316997</v>
      </c>
      <c r="M62">
        <v>3</v>
      </c>
      <c r="N62" s="2">
        <v>1.36272666986795E-6</v>
      </c>
      <c r="O62" s="2">
        <v>0.99957907285373604</v>
      </c>
      <c r="P62">
        <v>3</v>
      </c>
      <c r="Q62" s="2">
        <v>1.33318618343337E-6</v>
      </c>
      <c r="R62" s="1">
        <v>0.99962520316941395</v>
      </c>
      <c r="T62">
        <v>3</v>
      </c>
      <c r="U62" s="1">
        <v>2.21514305332634E-7</v>
      </c>
      <c r="V62">
        <v>0.99913306359665799</v>
      </c>
      <c r="W62">
        <v>3</v>
      </c>
      <c r="X62" s="1">
        <v>2.36228560594015E-7</v>
      </c>
      <c r="Y62">
        <v>0.99976342264123996</v>
      </c>
      <c r="Z62">
        <v>3</v>
      </c>
      <c r="AA62" s="1">
        <v>2.5754670765769201E-7</v>
      </c>
      <c r="AB62">
        <v>0.99959672616438699</v>
      </c>
      <c r="AC62">
        <v>3</v>
      </c>
      <c r="AD62" s="1">
        <v>1.8599453728343301E-7</v>
      </c>
      <c r="AE62">
        <v>0.99878152733431802</v>
      </c>
      <c r="AF62">
        <v>3</v>
      </c>
      <c r="AG62" s="1">
        <v>1.4881667092177301E-7</v>
      </c>
      <c r="AH62">
        <v>0.99943295510046204</v>
      </c>
    </row>
    <row r="63" spans="2:34" x14ac:dyDescent="0.2">
      <c r="D63">
        <v>4</v>
      </c>
      <c r="E63" s="2">
        <v>1.4610762948379399E-6</v>
      </c>
      <c r="F63" s="2">
        <v>0.99927340249214902</v>
      </c>
      <c r="G63">
        <v>4</v>
      </c>
      <c r="H63" s="2">
        <v>1.3641719418967601E-6</v>
      </c>
      <c r="I63" s="2">
        <v>0.99973209826554099</v>
      </c>
      <c r="J63">
        <v>4</v>
      </c>
      <c r="K63" s="1">
        <v>1.46564462088836E-6</v>
      </c>
      <c r="L63">
        <v>0.99915625724580004</v>
      </c>
      <c r="M63">
        <v>4</v>
      </c>
      <c r="N63" s="2">
        <v>1.38429702521008E-6</v>
      </c>
      <c r="O63" s="2">
        <v>0.99973556212775905</v>
      </c>
      <c r="P63">
        <v>4</v>
      </c>
      <c r="Q63" s="2">
        <v>1.3332991697479001E-6</v>
      </c>
      <c r="R63" s="1">
        <v>0.99976142339639795</v>
      </c>
      <c r="T63">
        <v>4</v>
      </c>
      <c r="U63" s="1">
        <v>2.16216502017551E-7</v>
      </c>
      <c r="V63">
        <v>0.99932610720637605</v>
      </c>
      <c r="W63">
        <v>4</v>
      </c>
      <c r="X63" s="1">
        <v>2.4229474052351398E-7</v>
      </c>
      <c r="Y63">
        <v>0.99932206313124705</v>
      </c>
      <c r="Z63">
        <v>4</v>
      </c>
      <c r="AA63" s="1">
        <v>2.6641582471311801E-7</v>
      </c>
      <c r="AB63">
        <v>0.99971471547524804</v>
      </c>
      <c r="AC63">
        <v>4</v>
      </c>
      <c r="AD63" s="1">
        <v>1.79307938655966E-7</v>
      </c>
      <c r="AE63">
        <v>0.99889234560853402</v>
      </c>
      <c r="AF63">
        <v>4</v>
      </c>
      <c r="AG63" s="1">
        <v>1.5647787356183899E-7</v>
      </c>
      <c r="AH63">
        <v>0.99944981470891803</v>
      </c>
    </row>
    <row r="64" spans="2:34" x14ac:dyDescent="0.2">
      <c r="D64">
        <v>5</v>
      </c>
      <c r="E64" s="2">
        <v>1.36792227082833E-6</v>
      </c>
      <c r="F64" s="2">
        <v>0.999397316247987</v>
      </c>
      <c r="G64">
        <v>5</v>
      </c>
      <c r="H64" s="2">
        <v>1.3800591092437E-6</v>
      </c>
      <c r="I64" s="2">
        <v>0.99939237686676097</v>
      </c>
      <c r="J64">
        <v>5</v>
      </c>
      <c r="K64" s="1">
        <v>1.3315800883553399E-6</v>
      </c>
      <c r="L64">
        <v>0.99915348616211097</v>
      </c>
      <c r="M64">
        <v>5</v>
      </c>
      <c r="N64" s="2">
        <v>1.4029587985594199E-6</v>
      </c>
      <c r="O64" s="2">
        <v>0.99912684751554204</v>
      </c>
      <c r="P64">
        <v>5</v>
      </c>
      <c r="Q64" s="2">
        <v>1.3425676000000001E-6</v>
      </c>
      <c r="R64" s="1">
        <v>0.99881552715256305</v>
      </c>
      <c r="T64">
        <v>5</v>
      </c>
      <c r="U64" s="1">
        <v>1.98686767254182E-7</v>
      </c>
      <c r="V64">
        <v>0.99910553615731701</v>
      </c>
      <c r="W64">
        <v>5</v>
      </c>
      <c r="X64" s="1">
        <v>2.4026065007875203E-7</v>
      </c>
      <c r="Y64">
        <v>0.99932668914402101</v>
      </c>
      <c r="Z64">
        <v>5</v>
      </c>
      <c r="AA64" s="1">
        <v>2.46840447858697E-7</v>
      </c>
      <c r="AB64">
        <v>0.99936872446232194</v>
      </c>
      <c r="AC64">
        <v>5</v>
      </c>
      <c r="AD64" s="1">
        <v>1.7730100157504001E-7</v>
      </c>
      <c r="AE64">
        <v>0.999466097271273</v>
      </c>
      <c r="AF64">
        <v>5</v>
      </c>
      <c r="AG64" s="1">
        <v>1.4360833134328401E-7</v>
      </c>
      <c r="AH64">
        <v>0.99945622136781798</v>
      </c>
    </row>
    <row r="65" spans="2:34" x14ac:dyDescent="0.2">
      <c r="D65">
        <v>6</v>
      </c>
      <c r="E65" s="1">
        <v>1.37514045954382E-6</v>
      </c>
      <c r="F65" s="1">
        <v>0.99948205281208202</v>
      </c>
      <c r="G65">
        <v>6</v>
      </c>
      <c r="H65" s="1">
        <v>1.34733286962785E-6</v>
      </c>
      <c r="I65" s="1">
        <v>0.99968663917674905</v>
      </c>
      <c r="J65">
        <v>6</v>
      </c>
      <c r="K65" s="1">
        <v>1.4153295342136899E-6</v>
      </c>
      <c r="L65" s="1">
        <v>0.99978038298967598</v>
      </c>
      <c r="M65">
        <v>6</v>
      </c>
      <c r="N65" s="1">
        <v>1.36018501032413E-6</v>
      </c>
      <c r="O65" s="1">
        <v>0.99916720828116901</v>
      </c>
      <c r="P65">
        <v>6</v>
      </c>
      <c r="Q65" s="1">
        <v>1.34226501320528E-6</v>
      </c>
      <c r="R65" s="1">
        <v>0.99964816390181899</v>
      </c>
      <c r="T65">
        <v>6</v>
      </c>
      <c r="U65" s="1">
        <v>2.1180908190954701E-7</v>
      </c>
      <c r="V65">
        <v>0.99945768748813602</v>
      </c>
      <c r="W65">
        <v>6</v>
      </c>
      <c r="X65" s="1">
        <v>2.38767179044476E-7</v>
      </c>
      <c r="Y65">
        <v>0.99953015544535595</v>
      </c>
      <c r="Z65">
        <v>6</v>
      </c>
      <c r="AA65" s="1">
        <v>2.6475817939698497E-7</v>
      </c>
      <c r="AB65">
        <v>0.99929988636352596</v>
      </c>
      <c r="AC65">
        <v>6</v>
      </c>
      <c r="AD65" s="1">
        <v>1.9045850373509399E-7</v>
      </c>
      <c r="AE65">
        <v>0.99898013851908496</v>
      </c>
      <c r="AF65">
        <v>6</v>
      </c>
      <c r="AG65" s="1">
        <v>1.5395787880447001E-7</v>
      </c>
      <c r="AH65">
        <v>0.99948687431355199</v>
      </c>
    </row>
    <row r="66" spans="2:34" x14ac:dyDescent="0.2">
      <c r="D66">
        <v>7</v>
      </c>
      <c r="E66" s="1">
        <v>1.3898138578631399E-6</v>
      </c>
      <c r="F66" s="3">
        <v>0.99949075935653997</v>
      </c>
      <c r="G66">
        <v>7</v>
      </c>
      <c r="H66" s="1">
        <v>1.3085541210084E-6</v>
      </c>
      <c r="I66" s="3">
        <v>0.999223307713765</v>
      </c>
      <c r="J66">
        <v>7</v>
      </c>
      <c r="K66" s="1">
        <v>1.4170174424970001E-6</v>
      </c>
      <c r="L66" s="3">
        <v>0.99941006282149902</v>
      </c>
      <c r="M66">
        <v>7</v>
      </c>
      <c r="N66" s="1">
        <v>1.36451555918367E-6</v>
      </c>
      <c r="O66" s="3">
        <v>0.99970259635178904</v>
      </c>
      <c r="P66">
        <v>7</v>
      </c>
      <c r="Q66" s="1">
        <v>1.40457654405762E-6</v>
      </c>
      <c r="R66" s="3">
        <v>0.99967866589941901</v>
      </c>
      <c r="T66">
        <v>7</v>
      </c>
      <c r="U66" s="1">
        <v>2.0357963375834401E-7</v>
      </c>
      <c r="V66">
        <v>0.99950594833638695</v>
      </c>
      <c r="W66">
        <v>7</v>
      </c>
      <c r="X66" s="1">
        <v>2.4108413081077002E-7</v>
      </c>
      <c r="Y66">
        <v>0.99937700353356995</v>
      </c>
      <c r="Z66">
        <v>7</v>
      </c>
      <c r="AA66" s="1">
        <v>2.7166994847371198E-7</v>
      </c>
      <c r="AB66">
        <v>0.99902080018559802</v>
      </c>
      <c r="AC66">
        <v>7</v>
      </c>
      <c r="AD66" s="1">
        <v>1.79444188914723E-7</v>
      </c>
      <c r="AE66">
        <v>0.99935739010676505</v>
      </c>
      <c r="AF66">
        <v>7</v>
      </c>
      <c r="AG66" s="1">
        <v>1.5148760423760601E-7</v>
      </c>
      <c r="AH66">
        <v>0.99914368080549198</v>
      </c>
    </row>
    <row r="67" spans="2:34" x14ac:dyDescent="0.2">
      <c r="D67">
        <v>8</v>
      </c>
      <c r="E67" s="1">
        <v>1.38416337478992E-6</v>
      </c>
      <c r="F67">
        <v>0.99939621486018904</v>
      </c>
      <c r="G67">
        <v>8</v>
      </c>
      <c r="H67" s="1">
        <v>1.39547042304922E-6</v>
      </c>
      <c r="I67">
        <v>0.99972536321359995</v>
      </c>
      <c r="J67">
        <v>8</v>
      </c>
      <c r="K67" s="1">
        <v>1.3690631716686699E-6</v>
      </c>
      <c r="L67">
        <v>0.99979008251422496</v>
      </c>
      <c r="M67">
        <v>8</v>
      </c>
      <c r="N67" s="1">
        <v>1.3811554780312101E-6</v>
      </c>
      <c r="O67">
        <v>0.99970481267618805</v>
      </c>
      <c r="P67">
        <v>8</v>
      </c>
      <c r="Q67" s="1">
        <v>1.3304231673469399E-6</v>
      </c>
      <c r="R67">
        <v>0.99968084037901095</v>
      </c>
      <c r="T67">
        <v>8</v>
      </c>
      <c r="U67" s="1">
        <v>2.04100747558689E-7</v>
      </c>
      <c r="V67">
        <v>0.99961097358127804</v>
      </c>
      <c r="W67">
        <v>8</v>
      </c>
      <c r="X67" s="1">
        <v>2.29111271281782E-7</v>
      </c>
      <c r="Y67">
        <v>0.99981898838566596</v>
      </c>
      <c r="Z67">
        <v>8</v>
      </c>
      <c r="AA67" s="1">
        <v>2.5623659168979303E-7</v>
      </c>
      <c r="AB67">
        <v>0.99971345869002703</v>
      </c>
      <c r="AC67">
        <v>8</v>
      </c>
      <c r="AD67" s="1">
        <v>1.6971090333008299E-7</v>
      </c>
      <c r="AE67">
        <v>0.99954071518278897</v>
      </c>
      <c r="AF67">
        <v>8</v>
      </c>
      <c r="AG67" s="1">
        <v>1.40685588179704E-7</v>
      </c>
      <c r="AH67">
        <v>0.99843987347590402</v>
      </c>
    </row>
    <row r="68" spans="2:34" x14ac:dyDescent="0.2">
      <c r="D68">
        <v>9</v>
      </c>
      <c r="E68" s="1">
        <v>1.34537065018007E-6</v>
      </c>
      <c r="F68">
        <v>0.99976182966257299</v>
      </c>
      <c r="G68">
        <v>9</v>
      </c>
      <c r="H68" s="1">
        <v>1.41834575078031E-6</v>
      </c>
      <c r="I68">
        <v>0.99945738455304201</v>
      </c>
      <c r="J68">
        <v>9</v>
      </c>
      <c r="K68" s="1">
        <v>1.40303182905162E-6</v>
      </c>
      <c r="L68">
        <v>0.99988873994032201</v>
      </c>
      <c r="M68">
        <v>9</v>
      </c>
      <c r="N68" s="1">
        <v>1.3465981022809101E-6</v>
      </c>
      <c r="O68">
        <v>0.99982908942180604</v>
      </c>
      <c r="P68">
        <v>9</v>
      </c>
      <c r="Q68" s="1">
        <v>1.3759769214885901E-6</v>
      </c>
      <c r="R68">
        <v>0.99961871485319398</v>
      </c>
      <c r="T68">
        <v>9</v>
      </c>
      <c r="U68" s="1">
        <v>2.08375026378159E-7</v>
      </c>
      <c r="V68">
        <v>0.99918481090586997</v>
      </c>
      <c r="W68">
        <v>9</v>
      </c>
      <c r="X68" s="1">
        <v>2.29350150078752E-7</v>
      </c>
      <c r="Y68">
        <v>0.99957853399574903</v>
      </c>
      <c r="Z68">
        <v>9</v>
      </c>
      <c r="AA68" s="1">
        <v>2.5259314918622999E-7</v>
      </c>
      <c r="AB68">
        <v>0.99950860216014004</v>
      </c>
      <c r="AC68">
        <v>9</v>
      </c>
      <c r="AD68" s="1">
        <v>1.7000915526888201E-7</v>
      </c>
      <c r="AE68">
        <v>0.99938604565195799</v>
      </c>
      <c r="AF68">
        <v>9</v>
      </c>
      <c r="AG68" s="1">
        <v>1.4480679151728799E-7</v>
      </c>
      <c r="AH68">
        <v>0.99833501452960705</v>
      </c>
    </row>
    <row r="69" spans="2:34" x14ac:dyDescent="0.2">
      <c r="D69">
        <v>10</v>
      </c>
      <c r="E69" s="1">
        <v>1.3010509690276099E-6</v>
      </c>
      <c r="F69">
        <v>0.99965024006189995</v>
      </c>
      <c r="G69">
        <v>10</v>
      </c>
      <c r="H69" s="1">
        <v>1.4285097090036E-6</v>
      </c>
      <c r="I69">
        <v>0.99954756245038001</v>
      </c>
      <c r="J69">
        <v>10</v>
      </c>
      <c r="K69" s="1">
        <v>1.30712803985594E-6</v>
      </c>
      <c r="L69">
        <v>0.99947783527009704</v>
      </c>
      <c r="M69">
        <v>10</v>
      </c>
      <c r="N69" s="1">
        <v>1.3615591154861999E-6</v>
      </c>
      <c r="O69">
        <v>0.99974731539677297</v>
      </c>
      <c r="P69">
        <v>10</v>
      </c>
      <c r="Q69" s="1">
        <v>1.33362153565426E-6</v>
      </c>
      <c r="R69">
        <v>0.99967892520023405</v>
      </c>
      <c r="T69">
        <v>10</v>
      </c>
      <c r="U69" s="1">
        <v>2.07896583244581E-7</v>
      </c>
      <c r="V69">
        <v>0.99934897616265705</v>
      </c>
      <c r="W69">
        <v>10</v>
      </c>
      <c r="X69" s="1">
        <v>2.4504227712442801E-7</v>
      </c>
      <c r="Y69">
        <v>0.99973247104437601</v>
      </c>
      <c r="Z69">
        <v>10</v>
      </c>
      <c r="AA69" s="1">
        <v>2.4808834605115102E-7</v>
      </c>
      <c r="AB69">
        <v>0.99913394403593103</v>
      </c>
      <c r="AC69">
        <v>10</v>
      </c>
      <c r="AD69" s="1">
        <v>1.74874961629041E-7</v>
      </c>
      <c r="AE69">
        <v>0.999618026113827</v>
      </c>
      <c r="AF69">
        <v>10</v>
      </c>
      <c r="AG69" s="1">
        <v>1.4894663179329501E-7</v>
      </c>
      <c r="AH69">
        <v>0.99884031957182295</v>
      </c>
    </row>
    <row r="70" spans="2:34" x14ac:dyDescent="0.2">
      <c r="D70" t="s">
        <v>21</v>
      </c>
      <c r="E70" s="1">
        <v>1.3717452502280901E-6</v>
      </c>
      <c r="F70" s="1">
        <v>4.7224756692717602E-8</v>
      </c>
      <c r="G70" t="s">
        <v>21</v>
      </c>
      <c r="H70" s="1">
        <v>1.3790573863625399E-6</v>
      </c>
      <c r="I70" s="1">
        <v>3.4345549972929599E-8</v>
      </c>
      <c r="J70" t="s">
        <v>21</v>
      </c>
      <c r="K70" s="1">
        <v>1.3992321485234101E-6</v>
      </c>
      <c r="L70" s="1">
        <v>5.0403981306650898E-8</v>
      </c>
      <c r="M70" t="s">
        <v>21</v>
      </c>
      <c r="N70" s="1">
        <v>1.3707024062424999E-6</v>
      </c>
      <c r="O70" s="1">
        <v>1.6907425682451901E-8</v>
      </c>
      <c r="P70" t="s">
        <v>21</v>
      </c>
      <c r="Q70" s="1">
        <v>1.3519368816806699E-6</v>
      </c>
      <c r="R70" s="1">
        <v>2.4386365666737301E-8</v>
      </c>
      <c r="T70" t="s">
        <v>21</v>
      </c>
      <c r="U70" s="1">
        <v>2.0879654814820399E-7</v>
      </c>
      <c r="V70" s="1">
        <v>6.6421316683903399E-9</v>
      </c>
      <c r="W70" t="s">
        <v>21</v>
      </c>
      <c r="X70" s="1">
        <v>2.3598346813845299E-7</v>
      </c>
      <c r="Y70" s="1">
        <v>6.3955827712515802E-9</v>
      </c>
      <c r="Z70" t="s">
        <v>21</v>
      </c>
      <c r="AA70" s="1">
        <v>2.5683580911797798E-7</v>
      </c>
      <c r="AB70" s="1">
        <v>8.2741382193365408E-9</v>
      </c>
      <c r="AC70" t="s">
        <v>21</v>
      </c>
      <c r="AD70" s="1">
        <v>1.78731956495162E-7</v>
      </c>
      <c r="AE70" s="1">
        <v>6.5223023302373003E-9</v>
      </c>
      <c r="AF70" t="s">
        <v>21</v>
      </c>
      <c r="AG70" s="1">
        <v>1.49652466526663E-7</v>
      </c>
      <c r="AH70" s="1">
        <v>5.38086700249335E-9</v>
      </c>
    </row>
    <row r="71" spans="2:34" x14ac:dyDescent="0.2">
      <c r="F71" s="4">
        <f>F70/E70</f>
        <v>3.4426768880639606E-2</v>
      </c>
      <c r="I71" s="4">
        <f>I70/H70</f>
        <v>2.4905091196763665E-2</v>
      </c>
      <c r="L71" s="4">
        <f>L70/K70</f>
        <v>3.6022600938551551E-2</v>
      </c>
      <c r="O71" s="4">
        <f>O70/N70</f>
        <v>1.2334862480325068E-2</v>
      </c>
      <c r="R71" s="4">
        <f>R70/Q70</f>
        <v>1.8038094823200044E-2</v>
      </c>
      <c r="V71" s="4">
        <f>V70/U70</f>
        <v>3.1811501326524556E-2</v>
      </c>
      <c r="Y71" s="4">
        <f>Y70/X70</f>
        <v>2.7101825486772028E-2</v>
      </c>
      <c r="AB71" s="4">
        <f>AB70/AA70</f>
        <v>3.2215672136029133E-2</v>
      </c>
      <c r="AE71" s="4">
        <f>AE70/AD70</f>
        <v>3.6492088254032225E-2</v>
      </c>
      <c r="AH71" s="4">
        <f>AH70/AG70</f>
        <v>3.5955752199611501E-2</v>
      </c>
    </row>
    <row r="73" spans="2:34" x14ac:dyDescent="0.2">
      <c r="B73" t="s">
        <v>23</v>
      </c>
      <c r="D73" t="s">
        <v>0</v>
      </c>
      <c r="E73" s="2"/>
      <c r="F73" s="2"/>
      <c r="G73" s="2" t="s">
        <v>1</v>
      </c>
      <c r="H73" s="2"/>
      <c r="I73" s="2"/>
      <c r="J73" s="1" t="s">
        <v>2</v>
      </c>
      <c r="M73" s="2" t="s">
        <v>3</v>
      </c>
      <c r="N73" s="2"/>
      <c r="O73" s="2"/>
      <c r="P73" s="2" t="s">
        <v>4</v>
      </c>
      <c r="Q73" s="2"/>
      <c r="R73" s="1"/>
      <c r="T73" t="s">
        <v>5</v>
      </c>
      <c r="U73" s="2"/>
      <c r="V73" s="2"/>
      <c r="W73" s="2" t="s">
        <v>6</v>
      </c>
      <c r="X73" s="2"/>
      <c r="Y73" s="2"/>
      <c r="Z73" s="1" t="s">
        <v>7</v>
      </c>
      <c r="AC73" s="2" t="s">
        <v>8</v>
      </c>
      <c r="AD73" s="2"/>
      <c r="AE73" s="2"/>
      <c r="AF73" s="2" t="s">
        <v>9</v>
      </c>
      <c r="AG73" s="2"/>
      <c r="AH73" s="1"/>
    </row>
    <row r="74" spans="2:34" x14ac:dyDescent="0.2">
      <c r="D74">
        <v>1</v>
      </c>
      <c r="E74" s="2">
        <v>1.1600352100840301E-6</v>
      </c>
      <c r="F74" s="2">
        <v>0.99944373168351197</v>
      </c>
      <c r="G74">
        <v>1</v>
      </c>
      <c r="H74" s="2">
        <v>1.20154135990396E-6</v>
      </c>
      <c r="I74" s="2">
        <v>0.99955707303822405</v>
      </c>
      <c r="J74">
        <v>1</v>
      </c>
      <c r="K74" s="1">
        <v>1.1792773901560599E-6</v>
      </c>
      <c r="L74">
        <v>0.99972474427991498</v>
      </c>
      <c r="M74">
        <v>1</v>
      </c>
      <c r="N74" s="2">
        <v>1.1361894256902801E-6</v>
      </c>
      <c r="O74" s="2">
        <v>0.99979517812090102</v>
      </c>
      <c r="P74">
        <v>1</v>
      </c>
      <c r="Q74" s="2">
        <v>1.12278929987995E-6</v>
      </c>
      <c r="R74" s="1">
        <v>0.99955693789317701</v>
      </c>
      <c r="T74">
        <v>1</v>
      </c>
      <c r="U74" s="2">
        <v>1.0418083783844599E-7</v>
      </c>
      <c r="V74" s="2">
        <v>0.99921973595095104</v>
      </c>
      <c r="W74">
        <v>1</v>
      </c>
      <c r="X74" s="2">
        <v>1.28960189739744E-7</v>
      </c>
      <c r="Y74" s="2">
        <v>0.99898721851528804</v>
      </c>
      <c r="Z74">
        <v>1</v>
      </c>
      <c r="AA74" s="1">
        <v>1.3093186798170001E-7</v>
      </c>
      <c r="AB74">
        <v>0.99882873687983598</v>
      </c>
      <c r="AC74">
        <v>1</v>
      </c>
      <c r="AD74" s="2">
        <v>8.47924600465011E-8</v>
      </c>
      <c r="AE74" s="2">
        <v>0.99909871389317495</v>
      </c>
      <c r="AF74">
        <v>1</v>
      </c>
      <c r="AG74" s="2">
        <v>6.2498369076726994E-8</v>
      </c>
      <c r="AH74" s="1">
        <v>0.99459544340401895</v>
      </c>
    </row>
    <row r="75" spans="2:34" x14ac:dyDescent="0.2">
      <c r="D75">
        <v>2</v>
      </c>
      <c r="E75" s="2">
        <v>1.17261818343337E-6</v>
      </c>
      <c r="F75" s="2">
        <v>0.99974593557675995</v>
      </c>
      <c r="G75">
        <v>2</v>
      </c>
      <c r="H75" s="2">
        <v>1.2029483063625399E-6</v>
      </c>
      <c r="I75" s="2">
        <v>0.99960283301475905</v>
      </c>
      <c r="J75">
        <v>2</v>
      </c>
      <c r="K75" s="1">
        <v>1.16256053253301E-6</v>
      </c>
      <c r="L75">
        <v>0.99949636116539198</v>
      </c>
      <c r="M75">
        <v>2</v>
      </c>
      <c r="N75" s="2">
        <v>1.0960750583433401E-6</v>
      </c>
      <c r="O75" s="2">
        <v>0.99882535257278604</v>
      </c>
      <c r="P75">
        <v>2</v>
      </c>
      <c r="Q75" s="2">
        <v>1.13630612388956E-6</v>
      </c>
      <c r="R75" s="1">
        <v>0.99975901801968103</v>
      </c>
      <c r="T75">
        <v>2</v>
      </c>
      <c r="U75" s="1">
        <v>1.05590163309082E-7</v>
      </c>
      <c r="V75">
        <v>0.99824870490004403</v>
      </c>
      <c r="W75">
        <v>2</v>
      </c>
      <c r="X75" s="1">
        <v>1.22040668116703E-7</v>
      </c>
      <c r="Y75">
        <v>0.99929459005487498</v>
      </c>
      <c r="Z75">
        <v>2</v>
      </c>
      <c r="AA75" s="1">
        <v>1.38013075399385E-7</v>
      </c>
      <c r="AB75">
        <v>0.99919414112150295</v>
      </c>
      <c r="AC75">
        <v>2</v>
      </c>
      <c r="AD75" s="1">
        <v>9.1252660796519794E-8</v>
      </c>
      <c r="AE75">
        <v>0.99959090346806201</v>
      </c>
      <c r="AF75">
        <v>2</v>
      </c>
      <c r="AG75" s="1">
        <v>6.4457482727068102E-8</v>
      </c>
      <c r="AH75">
        <v>0.99877826102177703</v>
      </c>
    </row>
    <row r="76" spans="2:34" x14ac:dyDescent="0.2">
      <c r="D76">
        <v>3</v>
      </c>
      <c r="E76" s="2">
        <v>1.1359422496998801E-6</v>
      </c>
      <c r="F76" s="2">
        <v>0.99982860587868905</v>
      </c>
      <c r="G76">
        <v>3</v>
      </c>
      <c r="H76" s="2">
        <v>1.1921622737094799E-6</v>
      </c>
      <c r="I76" s="2">
        <v>0.99903826514765404</v>
      </c>
      <c r="J76">
        <v>3</v>
      </c>
      <c r="K76" s="1">
        <v>1.1113836297719101E-6</v>
      </c>
      <c r="L76">
        <v>0.99942631481386601</v>
      </c>
      <c r="M76">
        <v>3</v>
      </c>
      <c r="N76" s="2">
        <v>1.13913314861945E-6</v>
      </c>
      <c r="O76" s="2">
        <v>0.99982531132461605</v>
      </c>
      <c r="P76">
        <v>3</v>
      </c>
      <c r="Q76" s="2">
        <v>1.1669280216086401E-6</v>
      </c>
      <c r="R76" s="1">
        <v>0.999372972828933</v>
      </c>
      <c r="T76">
        <v>3</v>
      </c>
      <c r="U76" s="1">
        <v>1.1107906037651E-7</v>
      </c>
      <c r="V76">
        <v>0.99924835635740805</v>
      </c>
      <c r="W76">
        <v>3</v>
      </c>
      <c r="X76" s="1">
        <v>1.2062214185854599E-7</v>
      </c>
      <c r="Y76">
        <v>0.99871521883371595</v>
      </c>
      <c r="Z76">
        <v>3</v>
      </c>
      <c r="AA76" s="1">
        <v>1.3733646693167399E-7</v>
      </c>
      <c r="AB76">
        <v>0.99937105939914195</v>
      </c>
      <c r="AC76">
        <v>3</v>
      </c>
      <c r="AD76" s="1">
        <v>8.8794679171979302E-8</v>
      </c>
      <c r="AE76">
        <v>0.99854445957351201</v>
      </c>
      <c r="AF76">
        <v>3</v>
      </c>
      <c r="AG76" s="1">
        <v>7.0065180507012697E-8</v>
      </c>
      <c r="AH76">
        <v>0.99683664283381201</v>
      </c>
    </row>
    <row r="77" spans="2:34" x14ac:dyDescent="0.2">
      <c r="D77">
        <v>4</v>
      </c>
      <c r="E77" s="2">
        <v>1.1277578621848701E-6</v>
      </c>
      <c r="F77" s="2">
        <v>0.99914419690816803</v>
      </c>
      <c r="G77">
        <v>4</v>
      </c>
      <c r="H77" s="2">
        <v>1.19928015270108E-6</v>
      </c>
      <c r="I77" s="2">
        <v>0.99934993003578099</v>
      </c>
      <c r="J77">
        <v>4</v>
      </c>
      <c r="K77" s="1">
        <v>1.1954534031212501E-6</v>
      </c>
      <c r="L77">
        <v>0.99911323330900004</v>
      </c>
      <c r="M77">
        <v>4</v>
      </c>
      <c r="N77" s="2">
        <v>1.1105108542616999E-6</v>
      </c>
      <c r="O77" s="2">
        <v>0.99964133094219698</v>
      </c>
      <c r="P77">
        <v>4</v>
      </c>
      <c r="Q77" s="2">
        <v>1.16769530132053E-6</v>
      </c>
      <c r="R77" s="1">
        <v>0.99956865210895296</v>
      </c>
      <c r="T77">
        <v>4</v>
      </c>
      <c r="U77" s="1">
        <v>1.02805428170704E-7</v>
      </c>
      <c r="V77">
        <v>0.99925008635815205</v>
      </c>
      <c r="W77">
        <v>4</v>
      </c>
      <c r="X77" s="1">
        <v>1.23515525043126E-7</v>
      </c>
      <c r="Y77">
        <v>0.99882235444309697</v>
      </c>
      <c r="Z77">
        <v>4</v>
      </c>
      <c r="AA77" s="1">
        <v>1.4210548589214701E-7</v>
      </c>
      <c r="AB77">
        <v>0.99937209120130299</v>
      </c>
      <c r="AC77">
        <v>4</v>
      </c>
      <c r="AD77" s="1">
        <v>8.4798360474011798E-8</v>
      </c>
      <c r="AE77">
        <v>0.99827621516863496</v>
      </c>
      <c r="AF77">
        <v>4</v>
      </c>
      <c r="AG77" s="1">
        <v>6.5658714145353501E-8</v>
      </c>
      <c r="AH77">
        <v>0.99734301903872802</v>
      </c>
    </row>
    <row r="78" spans="2:34" x14ac:dyDescent="0.2">
      <c r="D78">
        <v>5</v>
      </c>
      <c r="E78" s="2">
        <v>1.1908448470588199E-6</v>
      </c>
      <c r="F78" s="2">
        <v>0.99975671600778404</v>
      </c>
      <c r="G78">
        <v>5</v>
      </c>
      <c r="H78" s="2">
        <v>1.16838153565426E-6</v>
      </c>
      <c r="I78" s="2">
        <v>0.99968322314805402</v>
      </c>
      <c r="J78">
        <v>5</v>
      </c>
      <c r="K78" s="1">
        <v>1.1732749186074401E-6</v>
      </c>
      <c r="L78">
        <v>0.99903972102012195</v>
      </c>
      <c r="M78">
        <v>5</v>
      </c>
      <c r="N78" s="2">
        <v>1.14971505738295E-6</v>
      </c>
      <c r="O78" s="2">
        <v>0.99902271217178096</v>
      </c>
      <c r="P78">
        <v>5</v>
      </c>
      <c r="Q78" s="2">
        <v>1.1808683591836701E-6</v>
      </c>
      <c r="R78" s="1">
        <v>0.99969314442420698</v>
      </c>
      <c r="T78">
        <v>5</v>
      </c>
      <c r="U78" s="1">
        <v>1.1641847606690199E-7</v>
      </c>
      <c r="V78">
        <v>0.99927229766578196</v>
      </c>
      <c r="W78">
        <v>5</v>
      </c>
      <c r="X78" s="1">
        <v>1.2472987520438E-7</v>
      </c>
      <c r="Y78">
        <v>0.999639139717034</v>
      </c>
      <c r="Z78">
        <v>5</v>
      </c>
      <c r="AA78" s="1">
        <v>1.3819479126978199E-7</v>
      </c>
      <c r="AB78">
        <v>0.99967040400549101</v>
      </c>
      <c r="AC78">
        <v>5</v>
      </c>
      <c r="AD78" s="1">
        <v>8.4379159341483502E-8</v>
      </c>
      <c r="AE78">
        <v>0.99871982701967299</v>
      </c>
      <c r="AF78">
        <v>5</v>
      </c>
      <c r="AG78" s="1">
        <v>6.5378276119403098E-8</v>
      </c>
      <c r="AH78">
        <v>0.99653012651002404</v>
      </c>
    </row>
    <row r="79" spans="2:34" x14ac:dyDescent="0.2">
      <c r="D79">
        <v>6</v>
      </c>
      <c r="E79" s="1">
        <v>1.1836170593037199E-6</v>
      </c>
      <c r="F79" s="1">
        <v>0.99966004169270095</v>
      </c>
      <c r="G79">
        <v>6</v>
      </c>
      <c r="H79" s="1">
        <v>1.17635481632653E-6</v>
      </c>
      <c r="I79" s="1">
        <v>0.99951632113196598</v>
      </c>
      <c r="J79">
        <v>6</v>
      </c>
      <c r="K79" s="1">
        <v>1.14504895510204E-6</v>
      </c>
      <c r="L79" s="1">
        <v>0.99975099242364296</v>
      </c>
      <c r="M79">
        <v>6</v>
      </c>
      <c r="N79" s="1">
        <v>1.1006250448979601E-6</v>
      </c>
      <c r="O79" s="1">
        <v>0.99924509159195796</v>
      </c>
      <c r="P79">
        <v>6</v>
      </c>
      <c r="Q79" s="1">
        <v>1.1199934948379301E-6</v>
      </c>
      <c r="R79" s="1">
        <v>0.99971963046226697</v>
      </c>
      <c r="T79">
        <v>6</v>
      </c>
      <c r="U79" s="1">
        <v>1.08410448886222E-7</v>
      </c>
      <c r="V79">
        <v>0.998803399494678</v>
      </c>
      <c r="W79">
        <v>6</v>
      </c>
      <c r="X79" s="1">
        <v>1.23598456356409E-7</v>
      </c>
      <c r="Y79">
        <v>0.99946290852644604</v>
      </c>
      <c r="Z79">
        <v>6</v>
      </c>
      <c r="AA79" s="1">
        <v>1.43232685502137E-7</v>
      </c>
      <c r="AB79">
        <v>0.99901074948079005</v>
      </c>
      <c r="AC79">
        <v>6</v>
      </c>
      <c r="AD79" s="1">
        <v>8.7714410747768804E-8</v>
      </c>
      <c r="AE79">
        <v>0.99569484480102199</v>
      </c>
      <c r="AF79">
        <v>6</v>
      </c>
      <c r="AG79" s="1">
        <v>6.7068971589289799E-8</v>
      </c>
      <c r="AH79">
        <v>0.99739850589272705</v>
      </c>
    </row>
    <row r="80" spans="2:34" x14ac:dyDescent="0.2">
      <c r="D80">
        <v>7</v>
      </c>
      <c r="E80" s="1">
        <v>1.12620489459784E-6</v>
      </c>
      <c r="F80" s="3">
        <v>0.99968370636202197</v>
      </c>
      <c r="G80">
        <v>7</v>
      </c>
      <c r="H80" s="1">
        <v>1.1532162929171701E-6</v>
      </c>
      <c r="I80" s="3">
        <v>0.999303951165881</v>
      </c>
      <c r="J80">
        <v>7</v>
      </c>
      <c r="K80" s="1">
        <v>1.16928043217287E-6</v>
      </c>
      <c r="L80" s="3">
        <v>0.99944075220601902</v>
      </c>
      <c r="M80">
        <v>7</v>
      </c>
      <c r="N80" s="1">
        <v>1.1542164091236501E-6</v>
      </c>
      <c r="O80" s="3">
        <v>0.99960772179588397</v>
      </c>
      <c r="P80">
        <v>7</v>
      </c>
      <c r="Q80" s="1">
        <v>1.0746902554621799E-6</v>
      </c>
      <c r="R80" s="3">
        <v>0.99940810949654102</v>
      </c>
      <c r="T80">
        <v>7</v>
      </c>
      <c r="U80" s="1">
        <v>1.07791037868447E-7</v>
      </c>
      <c r="V80">
        <v>0.99904535682337403</v>
      </c>
      <c r="W80">
        <v>7</v>
      </c>
      <c r="X80" s="1">
        <v>1.28453882712068E-7</v>
      </c>
      <c r="Y80">
        <v>0.99955297702207602</v>
      </c>
      <c r="Z80">
        <v>7</v>
      </c>
      <c r="AA80" s="1">
        <v>1.40820957938948E-7</v>
      </c>
      <c r="AB80">
        <v>0.99913139367036297</v>
      </c>
      <c r="AC80">
        <v>7</v>
      </c>
      <c r="AD80" s="1">
        <v>8.2754257436435996E-8</v>
      </c>
      <c r="AE80">
        <v>0.999242008449438</v>
      </c>
      <c r="AF80">
        <v>7</v>
      </c>
      <c r="AG80" s="1">
        <v>6.2531466166654105E-8</v>
      </c>
      <c r="AH80">
        <v>0.99771307936882603</v>
      </c>
    </row>
    <row r="81" spans="4:34" x14ac:dyDescent="0.2">
      <c r="D81">
        <v>8</v>
      </c>
      <c r="E81" s="1">
        <v>1.2244486708283301E-6</v>
      </c>
      <c r="F81">
        <v>0.99950692690171195</v>
      </c>
      <c r="G81">
        <v>8</v>
      </c>
      <c r="H81" s="1">
        <v>1.1811579150060001E-6</v>
      </c>
      <c r="I81">
        <v>0.99903051668929699</v>
      </c>
      <c r="J81">
        <v>8</v>
      </c>
      <c r="K81" s="1">
        <v>1.2098919534213701E-6</v>
      </c>
      <c r="L81">
        <v>0.99944214487361704</v>
      </c>
      <c r="M81">
        <v>8</v>
      </c>
      <c r="N81" s="1">
        <v>1.11270461560624E-6</v>
      </c>
      <c r="O81">
        <v>0.99973902579685803</v>
      </c>
      <c r="P81">
        <v>8</v>
      </c>
      <c r="Q81" s="1">
        <v>1.1892932926770701E-6</v>
      </c>
      <c r="R81">
        <v>0.99942148105688899</v>
      </c>
      <c r="T81">
        <v>8</v>
      </c>
      <c r="U81" s="1">
        <v>1.1241641281032E-7</v>
      </c>
      <c r="V81">
        <v>0.99942716475086202</v>
      </c>
      <c r="W81">
        <v>8</v>
      </c>
      <c r="X81" s="1">
        <v>1.13614027863197E-7</v>
      </c>
      <c r="Y81">
        <v>0.999061674673281</v>
      </c>
      <c r="Z81">
        <v>8</v>
      </c>
      <c r="AA81" s="1">
        <v>1.4441400713267801E-7</v>
      </c>
      <c r="AB81">
        <v>0.99920719432246297</v>
      </c>
      <c r="AC81">
        <v>8</v>
      </c>
      <c r="AD81" s="1">
        <v>8.53403657841444E-8</v>
      </c>
      <c r="AE81">
        <v>0.99874732246185804</v>
      </c>
      <c r="AF81">
        <v>8</v>
      </c>
      <c r="AG81" s="1">
        <v>7.2714670944273594E-8</v>
      </c>
      <c r="AH81">
        <v>0.99735400388357898</v>
      </c>
    </row>
    <row r="82" spans="4:34" x14ac:dyDescent="0.2">
      <c r="D82">
        <v>9</v>
      </c>
      <c r="E82" s="1">
        <v>1.1243633310924399E-6</v>
      </c>
      <c r="F82">
        <v>0.99896977696649703</v>
      </c>
      <c r="G82">
        <v>9</v>
      </c>
      <c r="H82" s="1">
        <v>1.1107747947178899E-6</v>
      </c>
      <c r="I82">
        <v>0.99934228103189404</v>
      </c>
      <c r="J82">
        <v>9</v>
      </c>
      <c r="K82" s="1">
        <v>1.15732277310924E-6</v>
      </c>
      <c r="L82">
        <v>0.99971958432949104</v>
      </c>
      <c r="M82">
        <v>9</v>
      </c>
      <c r="N82" s="1">
        <v>1.1407987063625499E-6</v>
      </c>
      <c r="O82">
        <v>0.99926041999477</v>
      </c>
      <c r="P82">
        <v>9</v>
      </c>
      <c r="Q82" s="1">
        <v>1.1314454828331301E-6</v>
      </c>
      <c r="R82">
        <v>0.99982521447157702</v>
      </c>
      <c r="T82">
        <v>9</v>
      </c>
      <c r="U82" s="1">
        <v>1.09979425140629E-7</v>
      </c>
      <c r="V82">
        <v>0.99930429532460197</v>
      </c>
      <c r="W82">
        <v>9</v>
      </c>
      <c r="X82" s="1">
        <v>1.1831248419710501E-7</v>
      </c>
      <c r="Y82">
        <v>0.99876983767342098</v>
      </c>
      <c r="Z82">
        <v>9</v>
      </c>
      <c r="AA82" s="1">
        <v>1.3081882222305601E-7</v>
      </c>
      <c r="AB82">
        <v>0.99803015240419801</v>
      </c>
      <c r="AC82">
        <v>9</v>
      </c>
      <c r="AD82" s="1">
        <v>8.5712816837920794E-8</v>
      </c>
      <c r="AE82">
        <v>0.99834422834888104</v>
      </c>
      <c r="AF82">
        <v>9</v>
      </c>
      <c r="AG82" s="1">
        <v>6.8050673366834005E-8</v>
      </c>
      <c r="AH82">
        <v>0.99889535414381003</v>
      </c>
    </row>
    <row r="83" spans="4:34" x14ac:dyDescent="0.2">
      <c r="D83">
        <v>10</v>
      </c>
      <c r="E83" s="1">
        <v>1.1430694823529399E-6</v>
      </c>
      <c r="F83">
        <v>0.99913827592792703</v>
      </c>
      <c r="G83">
        <v>10</v>
      </c>
      <c r="H83" s="1">
        <v>1.1621695034813901E-6</v>
      </c>
      <c r="I83">
        <v>0.99973592029603997</v>
      </c>
      <c r="J83">
        <v>10</v>
      </c>
      <c r="K83" s="1">
        <v>1.1779992134453801E-6</v>
      </c>
      <c r="L83">
        <v>0.99924071371309298</v>
      </c>
      <c r="M83">
        <v>10</v>
      </c>
      <c r="N83" s="1">
        <v>1.2175723303721501E-6</v>
      </c>
      <c r="O83">
        <v>0.99970486955036897</v>
      </c>
      <c r="P83">
        <v>10</v>
      </c>
      <c r="Q83" s="1">
        <v>1.1265483054021599E-6</v>
      </c>
      <c r="R83">
        <v>0.99901924710410495</v>
      </c>
      <c r="T83">
        <v>10</v>
      </c>
      <c r="U83" s="1">
        <v>1.01838295109878E-7</v>
      </c>
      <c r="V83">
        <v>0.99890101111142504</v>
      </c>
      <c r="W83">
        <v>10</v>
      </c>
      <c r="X83" s="1">
        <v>1.2620164746868699E-7</v>
      </c>
      <c r="Y83">
        <v>0.99877570991519904</v>
      </c>
      <c r="Z83">
        <v>10</v>
      </c>
      <c r="AA83" s="1">
        <v>1.4131706511662801E-7</v>
      </c>
      <c r="AB83">
        <v>0.998097442497073</v>
      </c>
      <c r="AC83">
        <v>10</v>
      </c>
      <c r="AD83" s="1">
        <v>9.1277429085726906E-8</v>
      </c>
      <c r="AE83">
        <v>0.99819692017904005</v>
      </c>
      <c r="AF83">
        <v>10</v>
      </c>
      <c r="AG83" s="1">
        <v>7.0371823243081101E-8</v>
      </c>
      <c r="AH83">
        <v>0.99891182821009805</v>
      </c>
    </row>
    <row r="84" spans="4:34" x14ac:dyDescent="0.2">
      <c r="D84" t="s">
        <v>21</v>
      </c>
      <c r="E84" s="1">
        <v>1.1588901790636301E-6</v>
      </c>
      <c r="F84" s="1">
        <v>3.3543932333809303E-8</v>
      </c>
      <c r="G84" t="s">
        <v>21</v>
      </c>
      <c r="H84" s="1">
        <v>1.1747986950780299E-6</v>
      </c>
      <c r="I84" s="1">
        <v>2.8317257939573101E-8</v>
      </c>
      <c r="J84" t="s">
        <v>21</v>
      </c>
      <c r="K84" s="1">
        <v>1.16814932014406E-6</v>
      </c>
      <c r="L84" s="1">
        <v>2.7163670653973401E-8</v>
      </c>
      <c r="M84" t="s">
        <v>21</v>
      </c>
      <c r="N84" s="1">
        <v>1.1357540650660299E-6</v>
      </c>
      <c r="O84" s="1">
        <v>3.5345942069779103E-8</v>
      </c>
      <c r="P84" t="s">
        <v>21</v>
      </c>
      <c r="Q84" s="1">
        <v>1.1416557937094799E-6</v>
      </c>
      <c r="R84" s="1">
        <v>3.4632012761906499E-8</v>
      </c>
      <c r="T84" t="s">
        <v>21</v>
      </c>
      <c r="U84" s="1">
        <v>1.0805095855771399E-7</v>
      </c>
      <c r="V84" s="1">
        <v>4.5862577329825902E-9</v>
      </c>
      <c r="W84" t="s">
        <v>21</v>
      </c>
      <c r="X84" s="1">
        <v>1.2300488985599599E-7</v>
      </c>
      <c r="Y84" s="1">
        <v>4.66403728829362E-9</v>
      </c>
      <c r="Z84" t="s">
        <v>21</v>
      </c>
      <c r="AA84" s="1">
        <v>1.3871852253881301E-7</v>
      </c>
      <c r="AB84" s="1">
        <v>4.7279273471128603E-9</v>
      </c>
      <c r="AC84" t="s">
        <v>21</v>
      </c>
      <c r="AD84" s="1">
        <v>8.6681659972249195E-8</v>
      </c>
      <c r="AE84" s="1">
        <v>2.9463006351302E-9</v>
      </c>
      <c r="AF84" t="s">
        <v>21</v>
      </c>
      <c r="AG84" s="1">
        <v>6.6879562788569701E-8</v>
      </c>
      <c r="AH84" s="1">
        <v>3.4239599178349799E-9</v>
      </c>
    </row>
    <row r="85" spans="4:34" x14ac:dyDescent="0.2">
      <c r="F85" s="4">
        <f>F84/E84</f>
        <v>2.8944875830177814E-2</v>
      </c>
      <c r="I85" s="4">
        <f>I84/H84</f>
        <v>2.4103923555764822E-2</v>
      </c>
      <c r="L85" s="4">
        <f>L84/K84</f>
        <v>2.3253594540998825E-2</v>
      </c>
      <c r="O85" s="4">
        <f>O84/N84</f>
        <v>3.11211230995895E-2</v>
      </c>
      <c r="R85" s="4">
        <f>R84/Q84</f>
        <v>3.03348986206953E-2</v>
      </c>
      <c r="V85" s="4">
        <f>V84/U84</f>
        <v>4.2445322042496285E-2</v>
      </c>
      <c r="Y85" s="4">
        <f>Y84/X84</f>
        <v>3.7917494936615052E-2</v>
      </c>
      <c r="AB85" s="4">
        <f>AB84/AA84</f>
        <v>3.4082884250659466E-2</v>
      </c>
      <c r="AE85" s="4">
        <f>AE84/AD84</f>
        <v>3.3989896318015217E-2</v>
      </c>
      <c r="AH85" s="4">
        <f>AH84/AG84</f>
        <v>5.1195907614697569E-2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7334-A86D-6C46-BA62-641A5BD74092}">
  <dimension ref="A1:AH117"/>
  <sheetViews>
    <sheetView topLeftCell="A85" workbookViewId="0">
      <selection activeCell="AA75" sqref="AA75"/>
    </sheetView>
  </sheetViews>
  <sheetFormatPr baseColWidth="10" defaultRowHeight="16" x14ac:dyDescent="0.2"/>
  <sheetData>
    <row r="1" spans="1:18" x14ac:dyDescent="0.2">
      <c r="E1" s="2"/>
      <c r="F1" s="2"/>
      <c r="G1" s="2"/>
      <c r="H1" s="2"/>
      <c r="I1" s="2"/>
      <c r="J1" s="1"/>
      <c r="K1" s="1"/>
      <c r="M1" s="2"/>
      <c r="N1" s="2"/>
      <c r="O1" s="2"/>
      <c r="P1" s="2"/>
      <c r="Q1" s="2"/>
      <c r="R1" s="1"/>
    </row>
    <row r="2" spans="1:18" x14ac:dyDescent="0.2">
      <c r="D2" t="s">
        <v>12</v>
      </c>
      <c r="E2">
        <v>0</v>
      </c>
      <c r="F2">
        <v>5</v>
      </c>
      <c r="G2">
        <v>10</v>
      </c>
      <c r="H2">
        <v>-5</v>
      </c>
      <c r="I2">
        <v>-10</v>
      </c>
      <c r="L2" t="s">
        <v>12</v>
      </c>
      <c r="M2">
        <v>0</v>
      </c>
      <c r="N2">
        <v>5</v>
      </c>
      <c r="O2">
        <v>10</v>
      </c>
      <c r="P2">
        <v>-5</v>
      </c>
      <c r="Q2">
        <v>-10</v>
      </c>
    </row>
    <row r="3" spans="1:18" x14ac:dyDescent="0.2">
      <c r="C3" t="s">
        <v>13</v>
      </c>
      <c r="D3" t="s">
        <v>14</v>
      </c>
      <c r="L3" t="s">
        <v>15</v>
      </c>
    </row>
    <row r="4" spans="1:18" x14ac:dyDescent="0.2">
      <c r="C4">
        <f>1/((0.000086173)*D4)</f>
        <v>8.2889735100984563</v>
      </c>
      <c r="D4">
        <v>1400</v>
      </c>
      <c r="E4" s="1">
        <v>1.65897158468187E-6</v>
      </c>
      <c r="F4" s="1">
        <v>1.69530970357743E-6</v>
      </c>
      <c r="G4" s="1">
        <v>1.6420010511884699E-6</v>
      </c>
      <c r="H4" s="1">
        <v>1.6502386679362701E-6</v>
      </c>
      <c r="I4" s="1">
        <v>1.6623772990156101E-6</v>
      </c>
      <c r="L4">
        <v>1400</v>
      </c>
      <c r="M4" s="1">
        <v>1.7235400075001899E-8</v>
      </c>
      <c r="N4" s="1">
        <v>1.6676436765169099E-8</v>
      </c>
      <c r="O4" s="1">
        <v>1.6613821489012199E-8</v>
      </c>
      <c r="P4" s="1">
        <v>1.6217694515112901E-8</v>
      </c>
      <c r="Q4" s="1">
        <v>1.6415661351533801E-8</v>
      </c>
    </row>
    <row r="5" spans="1:18" x14ac:dyDescent="0.2">
      <c r="C5">
        <f>1/((0.000086173)*D5)</f>
        <v>8.9265868570291058</v>
      </c>
      <c r="D5">
        <v>1300</v>
      </c>
      <c r="E5" s="1">
        <v>1.41541491894358E-6</v>
      </c>
      <c r="F5" s="1">
        <v>1.40206238871549E-6</v>
      </c>
      <c r="G5" s="1">
        <v>1.4098801294117599E-6</v>
      </c>
      <c r="H5" s="1">
        <v>1.4064701098199299E-6</v>
      </c>
      <c r="I5" s="1">
        <v>1.4125895298439401E-6</v>
      </c>
      <c r="L5">
        <v>1300</v>
      </c>
      <c r="M5" s="1">
        <v>7.1874032222305497E-9</v>
      </c>
      <c r="N5" s="1">
        <v>7.3360292037050996E-9</v>
      </c>
      <c r="O5" s="1">
        <v>7.7867827836195797E-9</v>
      </c>
      <c r="P5" s="1">
        <v>7.3783117081677204E-9</v>
      </c>
      <c r="Q5" s="1">
        <v>7.0000240957023997E-9</v>
      </c>
    </row>
    <row r="6" spans="1:18" x14ac:dyDescent="0.2">
      <c r="C6">
        <f>1/((0.000086173)*D6)</f>
        <v>9.670469095114866</v>
      </c>
      <c r="D6">
        <v>1200</v>
      </c>
      <c r="E6" s="1">
        <v>1.1694905289315699E-6</v>
      </c>
      <c r="F6" s="1">
        <v>1.18569899937575E-6</v>
      </c>
      <c r="G6" s="1">
        <v>1.17855972048019E-6</v>
      </c>
      <c r="H6" s="1">
        <v>1.17214622156062E-6</v>
      </c>
      <c r="I6" s="1">
        <v>1.16414096605042E-6</v>
      </c>
      <c r="J6" s="1"/>
      <c r="L6">
        <v>1200</v>
      </c>
      <c r="M6" s="1">
        <v>2.7583550872271899E-9</v>
      </c>
      <c r="N6" s="1">
        <v>3.0552004748368801E-9</v>
      </c>
      <c r="O6" s="1">
        <v>2.9652791207530298E-9</v>
      </c>
      <c r="P6" s="1">
        <v>3.0786983097577401E-9</v>
      </c>
      <c r="Q6" s="1">
        <v>2.9065197501687601E-9</v>
      </c>
      <c r="R6" s="1"/>
    </row>
    <row r="7" spans="1:18" x14ac:dyDescent="0.2">
      <c r="A7" t="s">
        <v>16</v>
      </c>
      <c r="B7">
        <v>1</v>
      </c>
      <c r="C7">
        <f t="shared" ref="C7:C10" si="0">1/((0.000086173)*D7)</f>
        <v>10.549602649216217</v>
      </c>
      <c r="D7">
        <v>1100</v>
      </c>
      <c r="E7" s="1">
        <v>9.28480525138055E-7</v>
      </c>
      <c r="F7" s="1">
        <v>9.3287339356542598E-7</v>
      </c>
      <c r="G7" s="1">
        <v>9.5250946660264099E-7</v>
      </c>
      <c r="H7" s="1">
        <v>9.2036184686674604E-7</v>
      </c>
      <c r="I7" s="1">
        <v>9.3993075188475402E-7</v>
      </c>
      <c r="J7" s="1"/>
      <c r="L7">
        <v>1100</v>
      </c>
      <c r="M7" s="1">
        <v>6.6688374049351404E-10</v>
      </c>
      <c r="N7" s="1">
        <v>1.0664833345083599E-9</v>
      </c>
      <c r="O7" s="1">
        <v>1.1150404789619799E-9</v>
      </c>
      <c r="P7" s="1">
        <v>9.9959043943598809E-10</v>
      </c>
      <c r="Q7" s="1">
        <v>9.1988949808744599E-10</v>
      </c>
      <c r="R7" s="1"/>
    </row>
    <row r="8" spans="1:18" x14ac:dyDescent="0.2">
      <c r="A8" t="s">
        <v>17</v>
      </c>
      <c r="B8">
        <f>B7/0.002</f>
        <v>500</v>
      </c>
      <c r="C8">
        <f t="shared" si="0"/>
        <v>11.604562914137839</v>
      </c>
      <c r="D8">
        <v>1000</v>
      </c>
      <c r="E8" s="1">
        <v>7.0730829224489797E-7</v>
      </c>
      <c r="F8" s="1">
        <v>7.0422602266506605E-7</v>
      </c>
      <c r="G8" s="1">
        <v>7.2327981867947202E-7</v>
      </c>
      <c r="H8" s="1">
        <v>6.9058634722689104E-7</v>
      </c>
      <c r="I8" s="1">
        <v>6.9155746617046797E-7</v>
      </c>
      <c r="J8" s="1"/>
      <c r="L8">
        <v>1000</v>
      </c>
      <c r="M8" s="1"/>
      <c r="N8" s="1"/>
      <c r="O8" s="1"/>
      <c r="P8" s="1"/>
      <c r="Q8" s="1"/>
      <c r="R8" s="1"/>
    </row>
    <row r="9" spans="1:18" x14ac:dyDescent="0.2">
      <c r="A9" t="s">
        <v>18</v>
      </c>
      <c r="B9">
        <f>B8/(0.000000000001)*(0.0000000000000001)</f>
        <v>4.9999999999999996E-2</v>
      </c>
      <c r="C9">
        <f t="shared" si="0"/>
        <v>12.893958793486487</v>
      </c>
      <c r="D9">
        <v>900</v>
      </c>
      <c r="E9" s="1">
        <v>4.8374156515726302E-7</v>
      </c>
      <c r="F9" s="1">
        <v>4.9882016914285697E-7</v>
      </c>
      <c r="G9" s="1">
        <v>5.0263857242737102E-7</v>
      </c>
      <c r="H9" s="1">
        <v>4.8621712618967595E-7</v>
      </c>
      <c r="I9" s="1">
        <v>4.8322917551020399E-7</v>
      </c>
      <c r="J9" s="1"/>
      <c r="L9">
        <v>900</v>
      </c>
      <c r="M9" s="1"/>
      <c r="N9" s="1"/>
      <c r="O9" s="1"/>
      <c r="P9" s="1"/>
      <c r="Q9" s="1"/>
      <c r="R9" s="1"/>
    </row>
    <row r="10" spans="1:18" x14ac:dyDescent="0.2">
      <c r="C10">
        <f t="shared" si="0"/>
        <v>14.5057036426723</v>
      </c>
      <c r="D10">
        <v>800</v>
      </c>
      <c r="E10" s="1">
        <v>3.0443533211524598E-7</v>
      </c>
      <c r="F10" s="1">
        <v>3.2140839069867899E-7</v>
      </c>
      <c r="G10" s="1">
        <v>3.1828144474910002E-7</v>
      </c>
      <c r="H10" s="1">
        <v>3.0370024593517402E-7</v>
      </c>
      <c r="I10" s="1">
        <v>2.9902775816086402E-7</v>
      </c>
      <c r="J10" s="1"/>
      <c r="L10">
        <v>800</v>
      </c>
      <c r="M10" s="1"/>
      <c r="N10" s="1"/>
      <c r="O10" s="1"/>
      <c r="P10" s="1"/>
      <c r="Q10" s="1"/>
      <c r="R10" s="1"/>
    </row>
    <row r="11" spans="1:18" x14ac:dyDescent="0.2">
      <c r="D11" t="s">
        <v>19</v>
      </c>
      <c r="E11" s="1"/>
      <c r="F11" s="1"/>
      <c r="G11" s="1"/>
      <c r="H11" s="1"/>
      <c r="I11" s="1"/>
      <c r="J11" s="1"/>
      <c r="L11" t="s">
        <v>19</v>
      </c>
      <c r="M11" s="1"/>
      <c r="N11" s="1"/>
      <c r="O11" s="1"/>
      <c r="P11" s="1"/>
      <c r="Q11" s="1"/>
      <c r="R11" s="1"/>
    </row>
    <row r="12" spans="1:18" x14ac:dyDescent="0.2">
      <c r="D12">
        <v>1400</v>
      </c>
      <c r="E12" s="2">
        <f t="shared" ref="E12:I13" si="1">E4*5489*$B$9/6</f>
        <v>7.5884125235989867E-5</v>
      </c>
      <c r="F12" s="2">
        <f t="shared" si="1"/>
        <v>7.7546291357804276E-5</v>
      </c>
      <c r="G12" s="2">
        <f t="shared" si="1"/>
        <v>7.5107864749779255E-5</v>
      </c>
      <c r="H12" s="2">
        <f t="shared" si="1"/>
        <v>7.5484667069184881E-5</v>
      </c>
      <c r="I12" s="2">
        <f t="shared" si="1"/>
        <v>7.603990828580568E-5</v>
      </c>
      <c r="J12" s="1"/>
      <c r="L12">
        <v>1400</v>
      </c>
      <c r="M12" s="2">
        <f>M4*5487*$B$9/6</f>
        <v>7.8808866842946179E-7</v>
      </c>
      <c r="N12" s="2">
        <f t="shared" ref="N12:Q14" si="2">N4*5487*$B$9/6</f>
        <v>7.6253007108735698E-7</v>
      </c>
      <c r="O12" s="2">
        <f t="shared" si="2"/>
        <v>7.5966698758508282E-7</v>
      </c>
      <c r="P12" s="2">
        <f t="shared" si="2"/>
        <v>7.415540817035372E-7</v>
      </c>
      <c r="Q12" s="2">
        <f t="shared" si="2"/>
        <v>7.50606115298883E-7</v>
      </c>
      <c r="R12" s="1"/>
    </row>
    <row r="13" spans="1:18" x14ac:dyDescent="0.2">
      <c r="D13">
        <v>1300</v>
      </c>
      <c r="E13" s="2">
        <f t="shared" si="1"/>
        <v>6.4743437417344248E-5</v>
      </c>
      <c r="F13" s="2">
        <f t="shared" si="1"/>
        <v>6.4132670430494366E-5</v>
      </c>
      <c r="G13" s="2">
        <f t="shared" si="1"/>
        <v>6.4490266919509581E-5</v>
      </c>
      <c r="H13" s="2">
        <f t="shared" si="1"/>
        <v>6.4334286940013279E-5</v>
      </c>
      <c r="I13" s="2">
        <f t="shared" si="1"/>
        <v>6.4614199410944885E-5</v>
      </c>
      <c r="J13" s="1"/>
      <c r="L13">
        <v>1300</v>
      </c>
      <c r="M13" s="2">
        <f>M5*5487*$B$9/6</f>
        <v>3.2864401233649184E-7</v>
      </c>
      <c r="N13" s="2">
        <f t="shared" si="2"/>
        <v>3.354399353394156E-7</v>
      </c>
      <c r="O13" s="2">
        <f t="shared" si="2"/>
        <v>3.5605064278100521E-7</v>
      </c>
      <c r="P13" s="2">
        <f t="shared" si="2"/>
        <v>3.3737330285596901E-7</v>
      </c>
      <c r="Q13" s="2">
        <f t="shared" si="2"/>
        <v>3.2007610177599217E-7</v>
      </c>
      <c r="R13" s="1"/>
    </row>
    <row r="14" spans="1:18" x14ac:dyDescent="0.2">
      <c r="D14">
        <v>1200</v>
      </c>
      <c r="E14" s="2">
        <f>E6*5489*$B$9/6</f>
        <v>5.3494445944211557E-5</v>
      </c>
      <c r="F14" s="2">
        <f t="shared" ref="F14:I14" si="3">F6*5489*$B$9/6</f>
        <v>5.4235848396445759E-5</v>
      </c>
      <c r="G14" s="2">
        <f t="shared" si="3"/>
        <v>5.3909285880964689E-5</v>
      </c>
      <c r="H14" s="2">
        <f t="shared" si="3"/>
        <v>5.3615921751218695E-5</v>
      </c>
      <c r="I14" s="2">
        <f t="shared" si="3"/>
        <v>5.3249748022089621E-5</v>
      </c>
      <c r="J14" s="1"/>
      <c r="L14">
        <v>1200</v>
      </c>
      <c r="M14" s="2">
        <f>M6*5487*$B$9/6</f>
        <v>1.2612578636346326E-7</v>
      </c>
      <c r="N14" s="2">
        <f t="shared" si="2"/>
        <v>1.3969904171191634E-7</v>
      </c>
      <c r="O14" s="2">
        <f t="shared" si="2"/>
        <v>1.3558738779643227E-7</v>
      </c>
      <c r="P14" s="2">
        <f t="shared" si="2"/>
        <v>1.4077348021367264E-7</v>
      </c>
      <c r="Q14" s="2">
        <f t="shared" si="2"/>
        <v>1.3290061557646655E-7</v>
      </c>
      <c r="R14" s="1"/>
    </row>
    <row r="15" spans="1:18" x14ac:dyDescent="0.2">
      <c r="D15">
        <v>1100</v>
      </c>
      <c r="E15" s="2">
        <f t="shared" ref="E15:I18" si="4">E7*5489*$B$9/6</f>
        <v>4.2470246687356521E-5</v>
      </c>
      <c r="F15" s="2">
        <f t="shared" si="4"/>
        <v>4.2671183810671855E-5</v>
      </c>
      <c r="G15" s="2">
        <f t="shared" si="4"/>
        <v>4.3569370518182463E-5</v>
      </c>
      <c r="H15" s="2">
        <f t="shared" si="4"/>
        <v>4.209888481209641E-5</v>
      </c>
      <c r="I15" s="2">
        <f t="shared" si="4"/>
        <v>4.2993999142461786E-5</v>
      </c>
      <c r="J15" s="1"/>
      <c r="L15">
        <v>1100</v>
      </c>
      <c r="M15" s="2">
        <f>M7*5487*$B$9/6</f>
        <v>3.0493259034065925E-8</v>
      </c>
      <c r="N15" s="2">
        <f>N7*5487*$B$9/6</f>
        <v>4.8764950470394749E-8</v>
      </c>
      <c r="O15" s="2">
        <f>O7*5487*$B$9/6</f>
        <v>5.0985225900536523E-8</v>
      </c>
      <c r="P15" s="2">
        <f>P7*5487*$B$9/6</f>
        <v>4.5706272843210552E-8</v>
      </c>
      <c r="Q15" s="2">
        <f>Q7*5487*$B$9/6</f>
        <v>4.2061947300048467E-8</v>
      </c>
      <c r="R15" s="1"/>
    </row>
    <row r="16" spans="1:18" x14ac:dyDescent="0.2">
      <c r="D16">
        <v>1000</v>
      </c>
      <c r="E16" s="2">
        <f t="shared" si="4"/>
        <v>3.2353460134435369E-5</v>
      </c>
      <c r="F16" s="2">
        <f t="shared" si="4"/>
        <v>3.221247198673789E-5</v>
      </c>
      <c r="G16" s="2">
        <f t="shared" si="4"/>
        <v>3.3084024372763509E-5</v>
      </c>
      <c r="H16" s="2">
        <f t="shared" si="4"/>
        <v>3.1588570499403371E-5</v>
      </c>
      <c r="I16" s="2">
        <f t="shared" si="4"/>
        <v>3.1632991098414152E-5</v>
      </c>
      <c r="J16" s="1"/>
      <c r="L16">
        <v>1000</v>
      </c>
      <c r="M16" s="2"/>
      <c r="N16" s="2"/>
      <c r="O16" s="2"/>
      <c r="P16" s="2"/>
      <c r="Q16" s="2"/>
      <c r="R16" s="1"/>
    </row>
    <row r="17" spans="2:34" x14ac:dyDescent="0.2">
      <c r="D17">
        <v>900</v>
      </c>
      <c r="E17" s="2">
        <f t="shared" si="4"/>
        <v>2.2127145426235138E-5</v>
      </c>
      <c r="F17" s="2">
        <f t="shared" si="4"/>
        <v>2.2816865903542848E-5</v>
      </c>
      <c r="G17" s="2">
        <f t="shared" si="4"/>
        <v>2.2991526033781998E-5</v>
      </c>
      <c r="H17" s="2">
        <f t="shared" si="4"/>
        <v>2.2240381713792757E-5</v>
      </c>
      <c r="I17" s="2">
        <f t="shared" si="4"/>
        <v>2.2103707869795913E-5</v>
      </c>
      <c r="J17" s="1"/>
      <c r="L17">
        <v>900</v>
      </c>
      <c r="M17" s="2"/>
      <c r="N17" s="2"/>
      <c r="O17" s="2"/>
      <c r="P17" s="2"/>
      <c r="Q17" s="2"/>
      <c r="R17" s="1"/>
    </row>
    <row r="18" spans="2:34" x14ac:dyDescent="0.2">
      <c r="D18">
        <v>800</v>
      </c>
      <c r="E18" s="2">
        <f t="shared" si="4"/>
        <v>1.3925379483171542E-5</v>
      </c>
      <c r="F18" s="2">
        <f t="shared" si="4"/>
        <v>1.4701755471208739E-5</v>
      </c>
      <c r="G18" s="2">
        <f t="shared" si="4"/>
        <v>1.4558723751898416E-5</v>
      </c>
      <c r="H18" s="2">
        <f t="shared" si="4"/>
        <v>1.3891755416151417E-5</v>
      </c>
      <c r="I18" s="2">
        <f t="shared" si="4"/>
        <v>1.3678028037874853E-5</v>
      </c>
      <c r="J18" s="1"/>
      <c r="L18">
        <v>800</v>
      </c>
      <c r="M18" s="2"/>
      <c r="N18" s="2"/>
      <c r="O18" s="2"/>
      <c r="P18" s="2"/>
      <c r="Q18" s="2"/>
      <c r="R18" s="1"/>
    </row>
    <row r="19" spans="2:34" x14ac:dyDescent="0.2">
      <c r="E19" s="2"/>
      <c r="F19" s="2"/>
      <c r="G19" s="2"/>
      <c r="H19" s="2"/>
      <c r="I19" s="2"/>
      <c r="J19" s="1"/>
      <c r="M19" s="2"/>
      <c r="N19" s="2"/>
      <c r="O19" s="2"/>
      <c r="P19" s="2"/>
      <c r="Q19" s="2"/>
      <c r="R19" s="1"/>
    </row>
    <row r="20" spans="2:34" x14ac:dyDescent="0.2">
      <c r="E20" s="2"/>
      <c r="F20" s="2"/>
      <c r="G20" s="2"/>
      <c r="H20" s="2"/>
      <c r="I20" s="2"/>
      <c r="J20" s="1"/>
      <c r="M20" s="2"/>
      <c r="N20" s="2"/>
      <c r="O20" s="2"/>
      <c r="P20" s="2"/>
      <c r="Q20" s="2"/>
      <c r="R20" s="1"/>
    </row>
    <row r="21" spans="2:34" x14ac:dyDescent="0.2">
      <c r="B21" t="s">
        <v>34</v>
      </c>
      <c r="D21" t="s">
        <v>0</v>
      </c>
      <c r="E21" s="2"/>
      <c r="F21" s="2"/>
      <c r="G21" s="2" t="s">
        <v>1</v>
      </c>
      <c r="H21" s="2"/>
      <c r="I21" s="2"/>
      <c r="J21" s="1" t="s">
        <v>2</v>
      </c>
      <c r="M21" s="2" t="s">
        <v>3</v>
      </c>
      <c r="N21" s="2"/>
      <c r="O21" s="2"/>
      <c r="P21" s="2" t="s">
        <v>4</v>
      </c>
      <c r="Q21" s="2"/>
      <c r="R21" s="1"/>
      <c r="T21" t="s">
        <v>5</v>
      </c>
      <c r="U21" s="2"/>
      <c r="V21" s="2"/>
      <c r="W21" s="2" t="s">
        <v>6</v>
      </c>
      <c r="X21" s="2"/>
      <c r="Y21" s="2"/>
      <c r="Z21" s="1" t="s">
        <v>7</v>
      </c>
      <c r="AC21" s="2" t="s">
        <v>8</v>
      </c>
      <c r="AD21" s="2"/>
      <c r="AE21" s="2"/>
      <c r="AF21" s="2" t="s">
        <v>9</v>
      </c>
      <c r="AG21" s="2"/>
      <c r="AH21" s="1"/>
    </row>
    <row r="22" spans="2:34" x14ac:dyDescent="0.2">
      <c r="D22">
        <v>1</v>
      </c>
      <c r="E22" s="2">
        <v>1.6321417267707099E-6</v>
      </c>
      <c r="F22" s="2">
        <v>0.99987794978451805</v>
      </c>
      <c r="G22">
        <v>1</v>
      </c>
      <c r="H22" s="2">
        <v>1.6535674909964E-6</v>
      </c>
      <c r="I22" s="2">
        <v>0.99971744111792005</v>
      </c>
      <c r="J22">
        <v>1</v>
      </c>
      <c r="K22" s="1">
        <v>1.60137588955582E-6</v>
      </c>
      <c r="L22">
        <v>0.99972667468127996</v>
      </c>
      <c r="M22">
        <v>1</v>
      </c>
      <c r="N22" s="2">
        <v>1.6322513939976E-6</v>
      </c>
      <c r="O22" s="2">
        <v>0.99987824943897596</v>
      </c>
      <c r="P22">
        <v>1</v>
      </c>
      <c r="Q22" s="2">
        <v>1.64827286242497E-6</v>
      </c>
      <c r="R22" s="1">
        <v>0.99983542293251604</v>
      </c>
      <c r="T22">
        <v>1</v>
      </c>
      <c r="U22" s="2">
        <v>1.63818175054377E-8</v>
      </c>
      <c r="V22" s="2">
        <v>0.98947463135263103</v>
      </c>
      <c r="W22">
        <v>1</v>
      </c>
      <c r="X22" s="2">
        <v>1.66800383034576E-8</v>
      </c>
      <c r="Y22" s="2">
        <v>0.99359545431880603</v>
      </c>
      <c r="Z22">
        <v>1</v>
      </c>
      <c r="AA22" s="1">
        <v>1.5586964200105099E-8</v>
      </c>
      <c r="AB22">
        <v>0.99453138430117805</v>
      </c>
      <c r="AC22">
        <v>1</v>
      </c>
      <c r="AD22" s="2">
        <v>1.6184812960324E-8</v>
      </c>
      <c r="AE22" s="2">
        <v>0.99460464645095903</v>
      </c>
      <c r="AF22">
        <v>1</v>
      </c>
      <c r="AG22" s="2">
        <v>1.5993961314032901E-8</v>
      </c>
      <c r="AH22" s="1">
        <v>0.99350955630418003</v>
      </c>
    </row>
    <row r="23" spans="2:34" x14ac:dyDescent="0.2">
      <c r="D23">
        <v>2</v>
      </c>
      <c r="E23" s="2">
        <v>1.59944479759904E-6</v>
      </c>
      <c r="F23" s="2">
        <v>0.99940349342146495</v>
      </c>
      <c r="G23">
        <v>2</v>
      </c>
      <c r="H23" s="2">
        <v>1.6624678876350501E-6</v>
      </c>
      <c r="I23" s="2">
        <v>0.99952412015692604</v>
      </c>
      <c r="J23">
        <v>2</v>
      </c>
      <c r="K23" s="1">
        <v>1.6496563539015601E-6</v>
      </c>
      <c r="L23">
        <v>0.99962824314352094</v>
      </c>
      <c r="M23">
        <v>2</v>
      </c>
      <c r="N23" s="2">
        <v>1.6357652105642299E-6</v>
      </c>
      <c r="O23" s="2">
        <v>0.99979481122908498</v>
      </c>
      <c r="P23">
        <v>2</v>
      </c>
      <c r="Q23" s="2">
        <v>1.68476198991597E-6</v>
      </c>
      <c r="R23" s="1">
        <v>0.99987830885846096</v>
      </c>
      <c r="T23">
        <v>2</v>
      </c>
      <c r="U23" s="1">
        <v>1.6299730225755599E-8</v>
      </c>
      <c r="V23">
        <v>0.99605407893253695</v>
      </c>
      <c r="W23">
        <v>2</v>
      </c>
      <c r="X23" s="1">
        <v>1.5473713830345801E-8</v>
      </c>
      <c r="Y23">
        <v>0.99801498548424095</v>
      </c>
      <c r="Z23">
        <v>2</v>
      </c>
      <c r="AA23" s="1">
        <v>1.93019511175279E-8</v>
      </c>
      <c r="AB23">
        <v>0.99743965237426102</v>
      </c>
      <c r="AC23">
        <v>2</v>
      </c>
      <c r="AD23" s="1">
        <v>1.3955881242031E-8</v>
      </c>
      <c r="AE23">
        <v>0.995393460572086</v>
      </c>
      <c r="AF23">
        <v>2</v>
      </c>
      <c r="AG23" s="1">
        <v>1.7781344026100701E-8</v>
      </c>
      <c r="AH23">
        <v>0.99466448736964597</v>
      </c>
    </row>
    <row r="24" spans="2:34" x14ac:dyDescent="0.2">
      <c r="D24">
        <v>3</v>
      </c>
      <c r="E24" s="2">
        <v>1.6794697454982E-6</v>
      </c>
      <c r="F24" s="2">
        <v>0.99970075877116804</v>
      </c>
      <c r="G24">
        <v>3</v>
      </c>
      <c r="H24" s="2">
        <v>1.7402151414165601E-6</v>
      </c>
      <c r="I24" s="2">
        <v>0.99986310807624501</v>
      </c>
      <c r="J24">
        <v>3</v>
      </c>
      <c r="K24" s="1">
        <v>1.6435431332533E-6</v>
      </c>
      <c r="L24">
        <v>0.99952755421783901</v>
      </c>
      <c r="M24">
        <v>3</v>
      </c>
      <c r="N24" s="2">
        <v>1.67268079220779E-6</v>
      </c>
      <c r="O24" s="2">
        <v>0.99909799364326601</v>
      </c>
      <c r="P24">
        <v>3</v>
      </c>
      <c r="Q24" s="2">
        <v>1.71417924369748E-6</v>
      </c>
      <c r="R24" s="1">
        <v>0.99975462549809901</v>
      </c>
      <c r="T24">
        <v>3</v>
      </c>
      <c r="U24" s="1">
        <v>1.85520315307882E-8</v>
      </c>
      <c r="V24">
        <v>0.99532377317040499</v>
      </c>
      <c r="W24">
        <v>3</v>
      </c>
      <c r="X24" s="1">
        <v>1.7023606720168E-8</v>
      </c>
      <c r="Y24">
        <v>0.99648044972619099</v>
      </c>
      <c r="Z24">
        <v>3</v>
      </c>
      <c r="AA24" s="1">
        <v>1.7595955291382302E-8</v>
      </c>
      <c r="AB24">
        <v>0.99505804378117002</v>
      </c>
      <c r="AC24">
        <v>3</v>
      </c>
      <c r="AD24" s="1">
        <v>1.5443704815120399E-8</v>
      </c>
      <c r="AE24">
        <v>0.99624689699981805</v>
      </c>
      <c r="AF24">
        <v>3</v>
      </c>
      <c r="AG24" s="1">
        <v>1.46223080027001E-8</v>
      </c>
      <c r="AH24">
        <v>0.99357943351920797</v>
      </c>
    </row>
    <row r="25" spans="2:34" x14ac:dyDescent="0.2">
      <c r="D25">
        <v>4</v>
      </c>
      <c r="E25" s="2">
        <v>1.7042378607443E-6</v>
      </c>
      <c r="F25" s="2">
        <v>0.99922272860212902</v>
      </c>
      <c r="G25">
        <v>4</v>
      </c>
      <c r="H25" s="2">
        <v>1.7175298516206501E-6</v>
      </c>
      <c r="I25" s="2">
        <v>0.99974663634713301</v>
      </c>
      <c r="J25">
        <v>4</v>
      </c>
      <c r="K25" s="1">
        <v>1.60708876590636E-6</v>
      </c>
      <c r="L25">
        <v>0.99984536485828601</v>
      </c>
      <c r="M25">
        <v>4</v>
      </c>
      <c r="N25" s="2">
        <v>1.60422109243697E-6</v>
      </c>
      <c r="O25" s="2">
        <v>0.99960614041988705</v>
      </c>
      <c r="P25">
        <v>4</v>
      </c>
      <c r="Q25" s="2">
        <v>1.6511082228091201E-6</v>
      </c>
      <c r="R25" s="1">
        <v>0.999650007850169</v>
      </c>
      <c r="T25">
        <v>4</v>
      </c>
      <c r="U25" s="1">
        <v>1.7235321900547501E-8</v>
      </c>
      <c r="V25">
        <v>0.99612338029608105</v>
      </c>
      <c r="W25">
        <v>4</v>
      </c>
      <c r="X25" s="1">
        <v>1.6981972684316999E-8</v>
      </c>
      <c r="Y25">
        <v>0.99730546045940505</v>
      </c>
      <c r="Z25">
        <v>4</v>
      </c>
      <c r="AA25" s="1">
        <v>1.7655045788644699E-8</v>
      </c>
      <c r="AB25">
        <v>0.99301169270451695</v>
      </c>
      <c r="AC25">
        <v>4</v>
      </c>
      <c r="AD25" s="1">
        <v>1.6294338213455398E-8</v>
      </c>
      <c r="AE25">
        <v>0.99734376630087795</v>
      </c>
      <c r="AF25">
        <v>4</v>
      </c>
      <c r="AG25" s="1">
        <v>1.83996039150979E-8</v>
      </c>
      <c r="AH25">
        <v>0.99426418793023197</v>
      </c>
    </row>
    <row r="26" spans="2:34" x14ac:dyDescent="0.2">
      <c r="D26">
        <v>5</v>
      </c>
      <c r="E26" s="2">
        <v>1.73097769363745E-6</v>
      </c>
      <c r="F26" s="2">
        <v>0.99988300596628898</v>
      </c>
      <c r="G26">
        <v>5</v>
      </c>
      <c r="H26" s="2">
        <v>1.7128172662665099E-6</v>
      </c>
      <c r="I26" s="2">
        <v>0.99955204368582296</v>
      </c>
      <c r="J26">
        <v>5</v>
      </c>
      <c r="K26" s="1">
        <v>1.64299469771909E-6</v>
      </c>
      <c r="L26">
        <v>0.99985004785807596</v>
      </c>
      <c r="M26">
        <v>5</v>
      </c>
      <c r="N26" s="2">
        <v>1.6695007524609799E-6</v>
      </c>
      <c r="O26" s="2">
        <v>0.99922604929026404</v>
      </c>
      <c r="P26">
        <v>5</v>
      </c>
      <c r="Q26" s="2">
        <v>1.7104010722689099E-6</v>
      </c>
      <c r="R26" s="1">
        <v>0.99982331116887802</v>
      </c>
      <c r="T26">
        <v>5</v>
      </c>
      <c r="U26" s="1">
        <v>1.5316518427960699E-8</v>
      </c>
      <c r="V26">
        <v>0.99675143744184203</v>
      </c>
      <c r="W26">
        <v>5</v>
      </c>
      <c r="X26" s="1">
        <v>1.73756827345684E-8</v>
      </c>
      <c r="Y26">
        <v>0.997877923605335</v>
      </c>
      <c r="Z26">
        <v>5</v>
      </c>
      <c r="AA26" s="1">
        <v>1.77662705017626E-8</v>
      </c>
      <c r="AB26">
        <v>0.99268570829676295</v>
      </c>
      <c r="AC26">
        <v>5</v>
      </c>
      <c r="AD26" s="1">
        <v>1.65222906622666E-8</v>
      </c>
      <c r="AE26">
        <v>0.99796300748394495</v>
      </c>
      <c r="AF26">
        <v>5</v>
      </c>
      <c r="AG26" s="1">
        <v>1.65844812045301E-8</v>
      </c>
      <c r="AH26">
        <v>0.995163229147352</v>
      </c>
    </row>
    <row r="27" spans="2:34" x14ac:dyDescent="0.2">
      <c r="D27">
        <v>6</v>
      </c>
      <c r="E27" s="1">
        <v>1.67037653253301E-6</v>
      </c>
      <c r="F27" s="1">
        <v>0.99970923448148696</v>
      </c>
      <c r="G27">
        <v>6</v>
      </c>
      <c r="H27" s="1">
        <v>1.6526293507803101E-6</v>
      </c>
      <c r="I27" s="1">
        <v>0.99972995726763103</v>
      </c>
      <c r="J27">
        <v>6</v>
      </c>
      <c r="K27" s="1">
        <v>1.72380464441777E-6</v>
      </c>
      <c r="L27" s="1">
        <v>0.99966095464987503</v>
      </c>
      <c r="M27">
        <v>6</v>
      </c>
      <c r="N27" s="1">
        <v>1.65202823721489E-6</v>
      </c>
      <c r="O27" s="1">
        <v>0.99932594047326595</v>
      </c>
      <c r="P27">
        <v>6</v>
      </c>
      <c r="Q27" s="1">
        <v>1.64163350828331E-6</v>
      </c>
      <c r="R27" s="1">
        <v>0.99978733912085804</v>
      </c>
      <c r="T27">
        <v>6</v>
      </c>
      <c r="U27" s="1">
        <v>1.7271537148428801E-8</v>
      </c>
      <c r="V27">
        <v>0.98947960293859205</v>
      </c>
      <c r="W27">
        <v>6</v>
      </c>
      <c r="X27" s="1">
        <v>1.7137409135228298E-8</v>
      </c>
      <c r="Y27">
        <v>0.99488827780976397</v>
      </c>
      <c r="Z27">
        <v>6</v>
      </c>
      <c r="AA27" s="1">
        <v>1.6817982959573999E-8</v>
      </c>
      <c r="AB27">
        <v>0.99653331967534398</v>
      </c>
      <c r="AC27">
        <v>6</v>
      </c>
      <c r="AD27" s="1">
        <v>1.5756015472886901E-8</v>
      </c>
      <c r="AE27">
        <v>0.99424651525302199</v>
      </c>
      <c r="AF27">
        <v>6</v>
      </c>
      <c r="AG27" s="1">
        <v>1.5973947963699101E-8</v>
      </c>
      <c r="AH27">
        <v>0.99670931681885799</v>
      </c>
    </row>
    <row r="28" spans="2:34" x14ac:dyDescent="0.2">
      <c r="D28">
        <v>7</v>
      </c>
      <c r="E28" s="1">
        <v>1.63054964417767E-6</v>
      </c>
      <c r="F28" s="3">
        <v>0.99980228012649697</v>
      </c>
      <c r="G28">
        <v>7</v>
      </c>
      <c r="H28" s="1">
        <v>1.7566254271308499E-6</v>
      </c>
      <c r="I28" s="3">
        <v>0.99980654469730501</v>
      </c>
      <c r="J28">
        <v>7</v>
      </c>
      <c r="K28" s="1">
        <v>1.63578501992797E-6</v>
      </c>
      <c r="L28" s="3">
        <v>0.99978979153095204</v>
      </c>
      <c r="M28">
        <v>7</v>
      </c>
      <c r="N28" s="1">
        <v>1.6807798021608601E-6</v>
      </c>
      <c r="O28" s="3">
        <v>0.99975611549379595</v>
      </c>
      <c r="P28">
        <v>7</v>
      </c>
      <c r="Q28" s="1">
        <v>1.6094946093637501E-6</v>
      </c>
      <c r="R28" s="3">
        <v>0.99978104166300796</v>
      </c>
      <c r="T28">
        <v>7</v>
      </c>
      <c r="U28" s="1">
        <v>1.91783988224705E-8</v>
      </c>
      <c r="V28">
        <v>0.995177832464193</v>
      </c>
      <c r="W28">
        <v>7</v>
      </c>
      <c r="X28" s="1">
        <v>1.5690504410110201E-8</v>
      </c>
      <c r="Y28">
        <v>0.99520940677409797</v>
      </c>
      <c r="Z28">
        <v>7</v>
      </c>
      <c r="AA28" s="1">
        <v>1.6020771056776402E-8</v>
      </c>
      <c r="AB28">
        <v>0.99695028686700404</v>
      </c>
      <c r="AC28">
        <v>7</v>
      </c>
      <c r="AD28" s="1">
        <v>1.7166205917647998E-8</v>
      </c>
      <c r="AE28">
        <v>0.99699325986839404</v>
      </c>
      <c r="AF28">
        <v>7</v>
      </c>
      <c r="AG28" s="1">
        <v>1.8836686492162301E-8</v>
      </c>
      <c r="AH28">
        <v>0.99576153084298302</v>
      </c>
    </row>
    <row r="29" spans="2:34" x14ac:dyDescent="0.2">
      <c r="D29">
        <v>8</v>
      </c>
      <c r="E29" s="1">
        <v>1.6371477291716701E-6</v>
      </c>
      <c r="F29">
        <v>0.99971528186735004</v>
      </c>
      <c r="G29">
        <v>8</v>
      </c>
      <c r="H29" s="1">
        <v>1.64507394957983E-6</v>
      </c>
      <c r="I29">
        <v>0.99949726370431902</v>
      </c>
      <c r="J29">
        <v>8</v>
      </c>
      <c r="K29" s="1">
        <v>1.6522274717887201E-6</v>
      </c>
      <c r="L29">
        <v>0.99975037434952496</v>
      </c>
      <c r="M29">
        <v>8</v>
      </c>
      <c r="N29" s="1">
        <v>1.6890369853541401E-6</v>
      </c>
      <c r="O29">
        <v>0.99973868692916001</v>
      </c>
      <c r="P29">
        <v>8</v>
      </c>
      <c r="Q29" s="1">
        <v>1.6251048931572599E-6</v>
      </c>
      <c r="R29">
        <v>0.99975635065449697</v>
      </c>
      <c r="T29">
        <v>8</v>
      </c>
      <c r="U29" s="1">
        <v>1.9638422830570801E-8</v>
      </c>
      <c r="V29">
        <v>0.99806337105613396</v>
      </c>
      <c r="W29">
        <v>8</v>
      </c>
      <c r="X29" s="1">
        <v>1.6252567486687199E-8</v>
      </c>
      <c r="Y29">
        <v>0.996686805483879</v>
      </c>
      <c r="Z29">
        <v>8</v>
      </c>
      <c r="AA29" s="1">
        <v>1.53028244206105E-8</v>
      </c>
      <c r="AB29">
        <v>0.99757837981751696</v>
      </c>
      <c r="AC29">
        <v>8</v>
      </c>
      <c r="AD29" s="1">
        <v>1.8413192657316399E-8</v>
      </c>
      <c r="AE29">
        <v>0.99703159372778605</v>
      </c>
      <c r="AF29">
        <v>8</v>
      </c>
      <c r="AG29" s="1">
        <v>1.42488709817746E-8</v>
      </c>
      <c r="AH29">
        <v>0.99383956779447602</v>
      </c>
    </row>
    <row r="30" spans="2:34" x14ac:dyDescent="0.2">
      <c r="D30">
        <v>9</v>
      </c>
      <c r="E30" s="1">
        <v>1.62359777286915E-6</v>
      </c>
      <c r="F30">
        <v>0.99981654030976397</v>
      </c>
      <c r="G30">
        <v>9</v>
      </c>
      <c r="H30" s="1">
        <v>1.7057025680672301E-6</v>
      </c>
      <c r="I30">
        <v>0.99983842911926801</v>
      </c>
      <c r="J30">
        <v>9</v>
      </c>
      <c r="K30" s="1">
        <v>1.6495051884753901E-6</v>
      </c>
      <c r="L30">
        <v>0.999834030514407</v>
      </c>
      <c r="M30">
        <v>9</v>
      </c>
      <c r="N30" s="1">
        <v>1.62459730468187E-6</v>
      </c>
      <c r="O30">
        <v>0.99980553973799802</v>
      </c>
      <c r="P30">
        <v>9</v>
      </c>
      <c r="Q30" s="1">
        <v>1.6419263313325299E-6</v>
      </c>
      <c r="R30">
        <v>0.99980947815458499</v>
      </c>
      <c r="T30">
        <v>9</v>
      </c>
      <c r="U30" s="1">
        <v>1.6161550048751201E-8</v>
      </c>
      <c r="V30">
        <v>0.99688682393362205</v>
      </c>
      <c r="W30">
        <v>9</v>
      </c>
      <c r="X30" s="1">
        <v>1.7375524998125E-8</v>
      </c>
      <c r="Y30">
        <v>0.99584480923015495</v>
      </c>
      <c r="Z30">
        <v>9</v>
      </c>
      <c r="AA30" s="1">
        <v>1.6190101312532801E-8</v>
      </c>
      <c r="AB30">
        <v>0.98739707608142602</v>
      </c>
      <c r="AC30">
        <v>9</v>
      </c>
      <c r="AD30" s="1">
        <v>1.7422917662941599E-8</v>
      </c>
      <c r="AE30">
        <v>0.99392173702810505</v>
      </c>
      <c r="AF30">
        <v>9</v>
      </c>
      <c r="AG30" s="1">
        <v>1.5247272729318199E-8</v>
      </c>
      <c r="AH30">
        <v>0.99710883578204501</v>
      </c>
    </row>
    <row r="31" spans="2:34" x14ac:dyDescent="0.2">
      <c r="D31">
        <v>10</v>
      </c>
      <c r="E31" s="1">
        <v>1.68177234381753E-6</v>
      </c>
      <c r="F31">
        <v>0.99973831177920502</v>
      </c>
      <c r="G31">
        <v>10</v>
      </c>
      <c r="H31" s="1">
        <v>1.70646810228091E-6</v>
      </c>
      <c r="I31">
        <v>0.99933917442341202</v>
      </c>
      <c r="J31">
        <v>10</v>
      </c>
      <c r="K31" s="1">
        <v>1.61402934693878E-6</v>
      </c>
      <c r="L31">
        <v>0.99986971779882305</v>
      </c>
      <c r="M31">
        <v>10</v>
      </c>
      <c r="N31" s="1">
        <v>1.64152510828331E-6</v>
      </c>
      <c r="O31">
        <v>0.99969715244663304</v>
      </c>
      <c r="P31">
        <v>10</v>
      </c>
      <c r="Q31" s="1">
        <v>1.6968902569027599E-6</v>
      </c>
      <c r="R31">
        <v>0.999866032586048</v>
      </c>
      <c r="T31">
        <v>10</v>
      </c>
      <c r="U31" s="1">
        <v>1.6318672309307799E-8</v>
      </c>
      <c r="V31">
        <v>0.99587600876819105</v>
      </c>
      <c r="W31">
        <v>10</v>
      </c>
      <c r="X31" s="1">
        <v>1.6773347348683699E-8</v>
      </c>
      <c r="Y31">
        <v>0.99501686025713898</v>
      </c>
      <c r="Z31">
        <v>10</v>
      </c>
      <c r="AA31" s="1">
        <v>1.3900348241205999E-8</v>
      </c>
      <c r="AB31">
        <v>0.99221683775334402</v>
      </c>
      <c r="AC31">
        <v>10</v>
      </c>
      <c r="AD31" s="1">
        <v>1.5017585547138701E-8</v>
      </c>
      <c r="AE31">
        <v>0.99115214961988696</v>
      </c>
      <c r="AF31">
        <v>10</v>
      </c>
      <c r="AG31" s="1">
        <v>1.6468136885922099E-8</v>
      </c>
      <c r="AH31">
        <v>0.99147704730879105</v>
      </c>
    </row>
    <row r="32" spans="2:34" x14ac:dyDescent="0.2">
      <c r="D32" t="s">
        <v>21</v>
      </c>
      <c r="E32" s="1">
        <v>1.65897158468187E-6</v>
      </c>
      <c r="F32" s="1">
        <v>4.0964362715846799E-8</v>
      </c>
      <c r="G32" t="s">
        <v>21</v>
      </c>
      <c r="H32" s="1">
        <v>1.69530970357743E-6</v>
      </c>
      <c r="I32" s="1">
        <v>3.9405482143780901E-8</v>
      </c>
      <c r="J32" t="s">
        <v>21</v>
      </c>
      <c r="K32" s="1">
        <v>1.6420010511884699E-6</v>
      </c>
      <c r="L32" s="1">
        <v>3.4326885049237E-8</v>
      </c>
      <c r="M32" t="s">
        <v>21</v>
      </c>
      <c r="N32" s="1">
        <v>1.6502386679362701E-6</v>
      </c>
      <c r="O32" s="1">
        <v>2.7284500265594898E-8</v>
      </c>
      <c r="P32" t="s">
        <v>21</v>
      </c>
      <c r="Q32" s="1">
        <v>1.6623772990156101E-6</v>
      </c>
      <c r="R32" s="1">
        <v>3.65790288517334E-8</v>
      </c>
      <c r="T32" t="s">
        <v>43</v>
      </c>
      <c r="U32" s="1">
        <v>1.7235400075001899E-8</v>
      </c>
      <c r="V32" s="1">
        <v>1.43621100668379E-9</v>
      </c>
      <c r="W32" t="s">
        <v>43</v>
      </c>
      <c r="X32" s="1">
        <v>1.6676436765169099E-8</v>
      </c>
      <c r="Y32" s="1">
        <v>6.6764252318619502E-10</v>
      </c>
      <c r="Z32" t="s">
        <v>43</v>
      </c>
      <c r="AA32" s="1">
        <v>1.6613821489012199E-8</v>
      </c>
      <c r="AB32" s="1">
        <v>1.5388282069840801E-9</v>
      </c>
      <c r="AC32" t="s">
        <v>43</v>
      </c>
      <c r="AD32" s="1">
        <v>1.6217694515112901E-8</v>
      </c>
      <c r="AE32" s="1">
        <v>1.27542809746587E-9</v>
      </c>
      <c r="AF32" t="s">
        <v>43</v>
      </c>
      <c r="AG32" s="1">
        <v>1.6415661351533801E-8</v>
      </c>
      <c r="AH32" s="1">
        <v>1.5399460369535899E-9</v>
      </c>
    </row>
    <row r="33" spans="2:34" x14ac:dyDescent="0.2">
      <c r="F33" s="4">
        <f>F32/E32</f>
        <v>2.4692624692364617E-2</v>
      </c>
      <c r="I33" s="4">
        <f>I32/H32</f>
        <v>2.3243825043074869E-2</v>
      </c>
      <c r="L33" s="4">
        <f>L32/K32</f>
        <v>2.090551953324964E-2</v>
      </c>
      <c r="O33" s="4">
        <f>O32/N32</f>
        <v>1.6533669217505324E-2</v>
      </c>
      <c r="R33" s="4">
        <f>R32/Q32</f>
        <v>2.2004047380455666E-2</v>
      </c>
      <c r="V33" s="4">
        <f>V32/U32</f>
        <v>8.3329136569731274E-2</v>
      </c>
      <c r="Y33" s="4">
        <f>Y32/X32</f>
        <v>4.0035082589144767E-2</v>
      </c>
      <c r="AB33" s="4">
        <f>AB32/AA32</f>
        <v>9.2623374339359993E-2</v>
      </c>
      <c r="AE33" s="4">
        <f>AE32/AD32</f>
        <v>7.8644229996891815E-2</v>
      </c>
      <c r="AH33" s="4">
        <f>AH32/AG32</f>
        <v>9.3809564170237017E-2</v>
      </c>
    </row>
    <row r="35" spans="2:34" x14ac:dyDescent="0.2">
      <c r="B35" t="s">
        <v>31</v>
      </c>
      <c r="D35" t="s">
        <v>0</v>
      </c>
      <c r="E35" s="2"/>
      <c r="F35" s="2"/>
      <c r="G35" s="2" t="s">
        <v>1</v>
      </c>
      <c r="H35" s="2"/>
      <c r="I35" s="2"/>
      <c r="J35" s="1" t="s">
        <v>2</v>
      </c>
      <c r="M35" s="2" t="s">
        <v>3</v>
      </c>
      <c r="N35" s="2"/>
      <c r="O35" s="2"/>
      <c r="P35" s="2" t="s">
        <v>4</v>
      </c>
      <c r="Q35" s="2"/>
      <c r="R35" s="1"/>
      <c r="T35" t="s">
        <v>5</v>
      </c>
      <c r="U35" s="2"/>
      <c r="V35" s="2"/>
      <c r="W35" s="2" t="s">
        <v>6</v>
      </c>
      <c r="X35" s="2"/>
      <c r="Y35" s="2"/>
      <c r="Z35" s="1" t="s">
        <v>7</v>
      </c>
      <c r="AC35" s="2" t="s">
        <v>8</v>
      </c>
      <c r="AD35" s="2"/>
      <c r="AE35" s="2"/>
      <c r="AF35" s="2" t="s">
        <v>9</v>
      </c>
      <c r="AG35" s="2"/>
      <c r="AH35" s="1"/>
    </row>
    <row r="36" spans="2:34" x14ac:dyDescent="0.2">
      <c r="D36">
        <v>1</v>
      </c>
      <c r="E36" s="2">
        <v>1.4134857863145201E-6</v>
      </c>
      <c r="F36" s="2">
        <v>0.99975497840740002</v>
      </c>
      <c r="G36">
        <v>1</v>
      </c>
      <c r="H36" s="2">
        <v>1.41281881248499E-6</v>
      </c>
      <c r="I36" s="2">
        <v>0.99920445155692905</v>
      </c>
      <c r="J36">
        <v>1</v>
      </c>
      <c r="K36" s="1">
        <v>1.4622398991596599E-6</v>
      </c>
      <c r="L36">
        <v>0.99956817146492105</v>
      </c>
      <c r="M36">
        <v>1</v>
      </c>
      <c r="N36" s="2">
        <v>1.4062483250900401E-6</v>
      </c>
      <c r="O36" s="2">
        <v>0.99974489792626398</v>
      </c>
      <c r="P36">
        <v>1</v>
      </c>
      <c r="Q36" s="2">
        <v>1.46017124513806E-6</v>
      </c>
      <c r="R36" s="1">
        <v>0.99885163773089503</v>
      </c>
      <c r="T36">
        <v>1</v>
      </c>
      <c r="U36" s="2">
        <v>7.5998341378534494E-9</v>
      </c>
      <c r="V36" s="2">
        <v>0.98514540979448895</v>
      </c>
      <c r="W36">
        <v>1</v>
      </c>
      <c r="X36" s="2">
        <v>7.7706407110177994E-9</v>
      </c>
      <c r="Y36" s="2">
        <v>0.99249682451344401</v>
      </c>
      <c r="Z36">
        <v>1</v>
      </c>
      <c r="AA36" s="1">
        <v>8.3746845421135493E-9</v>
      </c>
      <c r="AB36">
        <v>0.99248242917356799</v>
      </c>
      <c r="AC36">
        <v>1</v>
      </c>
      <c r="AD36" s="2">
        <v>6.9486983672091697E-9</v>
      </c>
      <c r="AE36" s="2">
        <v>0.98792456078670599</v>
      </c>
      <c r="AF36">
        <v>1</v>
      </c>
      <c r="AG36" s="2">
        <v>6.32670949448737E-9</v>
      </c>
      <c r="AH36" s="1">
        <v>0.98522370446487495</v>
      </c>
    </row>
    <row r="37" spans="2:34" x14ac:dyDescent="0.2">
      <c r="D37">
        <v>2</v>
      </c>
      <c r="E37" s="2">
        <v>1.39987378535414E-6</v>
      </c>
      <c r="F37" s="2">
        <v>0.99963121973428104</v>
      </c>
      <c r="G37">
        <v>2</v>
      </c>
      <c r="H37" s="2">
        <v>1.4254217435774299E-6</v>
      </c>
      <c r="I37" s="2">
        <v>0.99961281965885596</v>
      </c>
      <c r="J37">
        <v>2</v>
      </c>
      <c r="K37" s="1">
        <v>1.4051111611044401E-6</v>
      </c>
      <c r="L37">
        <v>0.99973870080280502</v>
      </c>
      <c r="M37">
        <v>2</v>
      </c>
      <c r="N37" s="2">
        <v>1.42299161632653E-6</v>
      </c>
      <c r="O37" s="2">
        <v>0.999352131226387</v>
      </c>
      <c r="P37">
        <v>2</v>
      </c>
      <c r="Q37" s="2">
        <v>1.4073370007202899E-6</v>
      </c>
      <c r="R37" s="1">
        <v>0.99970302216666096</v>
      </c>
      <c r="T37">
        <v>2</v>
      </c>
      <c r="U37" s="1">
        <v>7.2423098619965201E-9</v>
      </c>
      <c r="V37">
        <v>0.98178194139387098</v>
      </c>
      <c r="W37">
        <v>2</v>
      </c>
      <c r="X37" s="1">
        <v>8.9914952036300903E-9</v>
      </c>
      <c r="Y37">
        <v>0.98466385112381205</v>
      </c>
      <c r="Z37">
        <v>2</v>
      </c>
      <c r="AA37" s="1">
        <v>7.4044756228905599E-9</v>
      </c>
      <c r="AB37">
        <v>0.99042047067767303</v>
      </c>
      <c r="AC37">
        <v>2</v>
      </c>
      <c r="AD37" s="1">
        <v>7.1070319155478603E-9</v>
      </c>
      <c r="AE37">
        <v>0.98689864276950301</v>
      </c>
      <c r="AF37">
        <v>2</v>
      </c>
      <c r="AG37" s="1">
        <v>7.0431748758719101E-9</v>
      </c>
      <c r="AH37">
        <v>0.99308033495549497</v>
      </c>
    </row>
    <row r="38" spans="2:34" x14ac:dyDescent="0.2">
      <c r="D38">
        <v>3</v>
      </c>
      <c r="E38" s="2">
        <v>1.38997809315726E-6</v>
      </c>
      <c r="F38" s="2">
        <v>0.99975262759694905</v>
      </c>
      <c r="G38">
        <v>3</v>
      </c>
      <c r="H38" s="2">
        <v>1.4048544729891999E-6</v>
      </c>
      <c r="I38" s="2">
        <v>0.99955927874008699</v>
      </c>
      <c r="J38">
        <v>3</v>
      </c>
      <c r="K38" s="1">
        <v>1.3860663711884799E-6</v>
      </c>
      <c r="L38">
        <v>0.99975228186242804</v>
      </c>
      <c r="M38">
        <v>3</v>
      </c>
      <c r="N38" s="2">
        <v>1.4544560110444201E-6</v>
      </c>
      <c r="O38" s="2">
        <v>0.99980977899037105</v>
      </c>
      <c r="P38">
        <v>3</v>
      </c>
      <c r="Q38" s="2">
        <v>1.44986105642257E-6</v>
      </c>
      <c r="R38" s="1">
        <v>0.99942256224995796</v>
      </c>
      <c r="T38">
        <v>3</v>
      </c>
      <c r="U38" s="1">
        <v>5.4164548511212902E-9</v>
      </c>
      <c r="V38">
        <v>0.98303681909445395</v>
      </c>
      <c r="W38">
        <v>3</v>
      </c>
      <c r="X38" s="1">
        <v>6.8774487219680403E-9</v>
      </c>
      <c r="Y38">
        <v>0.979233639002135</v>
      </c>
      <c r="Z38">
        <v>3</v>
      </c>
      <c r="AA38" s="1">
        <v>7.3802846448661096E-9</v>
      </c>
      <c r="AB38">
        <v>0.95542454510075403</v>
      </c>
      <c r="AC38">
        <v>3</v>
      </c>
      <c r="AD38" s="1">
        <v>8.3752688112203197E-9</v>
      </c>
      <c r="AE38">
        <v>0.99376502746935103</v>
      </c>
      <c r="AF38">
        <v>3</v>
      </c>
      <c r="AG38" s="1">
        <v>5.8364188464711702E-9</v>
      </c>
      <c r="AH38">
        <v>0.979470070894494</v>
      </c>
    </row>
    <row r="39" spans="2:34" x14ac:dyDescent="0.2">
      <c r="D39">
        <v>4</v>
      </c>
      <c r="E39" s="2">
        <v>1.37339891908764E-6</v>
      </c>
      <c r="F39" s="2">
        <v>0.999468005486151</v>
      </c>
      <c r="G39">
        <v>4</v>
      </c>
      <c r="H39" s="2">
        <v>1.3693648912364901E-6</v>
      </c>
      <c r="I39" s="2">
        <v>0.99963235449546795</v>
      </c>
      <c r="J39">
        <v>4</v>
      </c>
      <c r="K39" s="1">
        <v>1.3812989334933999E-6</v>
      </c>
      <c r="L39">
        <v>0.999705363780241</v>
      </c>
      <c r="M39">
        <v>4</v>
      </c>
      <c r="N39" s="2">
        <v>1.3427290324129601E-6</v>
      </c>
      <c r="O39" s="2">
        <v>0.99980670627744805</v>
      </c>
      <c r="P39">
        <v>4</v>
      </c>
      <c r="Q39" s="2">
        <v>1.36286109771909E-6</v>
      </c>
      <c r="R39" s="1">
        <v>0.99956097352337503</v>
      </c>
      <c r="T39">
        <v>4</v>
      </c>
      <c r="U39" s="1">
        <v>7.8197675579389696E-9</v>
      </c>
      <c r="V39">
        <v>0.98949166879222805</v>
      </c>
      <c r="W39">
        <v>4</v>
      </c>
      <c r="X39" s="1">
        <v>6.8670457721442901E-9</v>
      </c>
      <c r="Y39">
        <v>0.98820974338315304</v>
      </c>
      <c r="Z39">
        <v>4</v>
      </c>
      <c r="AA39" s="1">
        <v>8.36615678916971E-9</v>
      </c>
      <c r="AB39">
        <v>0.98545659326532198</v>
      </c>
      <c r="AC39">
        <v>4</v>
      </c>
      <c r="AD39" s="1">
        <v>7.7120996624915598E-9</v>
      </c>
      <c r="AE39">
        <v>0.99122161400750097</v>
      </c>
      <c r="AF39">
        <v>4</v>
      </c>
      <c r="AG39" s="1">
        <v>6.4952718405460298E-9</v>
      </c>
      <c r="AH39">
        <v>0.98807594145211797</v>
      </c>
    </row>
    <row r="40" spans="2:34" x14ac:dyDescent="0.2">
      <c r="D40">
        <v>5</v>
      </c>
      <c r="E40" s="2">
        <v>1.4140713402160899E-6</v>
      </c>
      <c r="F40" s="2">
        <v>0.99870237014271301</v>
      </c>
      <c r="G40">
        <v>5</v>
      </c>
      <c r="H40" s="2">
        <v>1.37617736758704E-6</v>
      </c>
      <c r="I40" s="2">
        <v>0.99967506781995097</v>
      </c>
      <c r="J40">
        <v>5</v>
      </c>
      <c r="K40" s="1">
        <v>1.40141067082833E-6</v>
      </c>
      <c r="L40">
        <v>0.99978718995557203</v>
      </c>
      <c r="M40">
        <v>5</v>
      </c>
      <c r="N40" s="2">
        <v>1.46376328547419E-6</v>
      </c>
      <c r="O40" s="2">
        <v>0.99962877443114395</v>
      </c>
      <c r="P40">
        <v>5</v>
      </c>
      <c r="Q40" s="2">
        <v>1.43366873565426E-6</v>
      </c>
      <c r="R40" s="1">
        <v>0.99954833845882696</v>
      </c>
      <c r="T40">
        <v>5</v>
      </c>
      <c r="U40" s="1">
        <v>7.3337623828095499E-9</v>
      </c>
      <c r="V40">
        <v>0.991131721620091</v>
      </c>
      <c r="W40">
        <v>5</v>
      </c>
      <c r="X40" s="1">
        <v>6.7593204875122097E-9</v>
      </c>
      <c r="Y40">
        <v>0.97415092525685298</v>
      </c>
      <c r="Z40">
        <v>5</v>
      </c>
      <c r="AA40" s="1">
        <v>7.4844299617490004E-9</v>
      </c>
      <c r="AB40">
        <v>0.99072190271133498</v>
      </c>
      <c r="AC40">
        <v>5</v>
      </c>
      <c r="AD40" s="1">
        <v>8.8719056986424805E-9</v>
      </c>
      <c r="AE40">
        <v>0.98493892650207304</v>
      </c>
      <c r="AF40">
        <v>5</v>
      </c>
      <c r="AG40" s="1">
        <v>8.7520085404635007E-9</v>
      </c>
      <c r="AH40">
        <v>0.99372056841234802</v>
      </c>
    </row>
    <row r="41" spans="2:34" x14ac:dyDescent="0.2">
      <c r="D41">
        <v>6</v>
      </c>
      <c r="E41" s="1">
        <v>1.3899849925570201E-6</v>
      </c>
      <c r="F41" s="1">
        <v>0.99950807730943703</v>
      </c>
      <c r="G41">
        <v>6</v>
      </c>
      <c r="H41" s="1">
        <v>1.39423870348139E-6</v>
      </c>
      <c r="I41" s="1">
        <v>0.99950393743283195</v>
      </c>
      <c r="J41">
        <v>6</v>
      </c>
      <c r="K41" s="1">
        <v>1.4541877843937599E-6</v>
      </c>
      <c r="L41" s="1">
        <v>0.99918492780394397</v>
      </c>
      <c r="M41">
        <v>6</v>
      </c>
      <c r="N41" s="1">
        <v>1.41491128259304E-6</v>
      </c>
      <c r="O41" s="1">
        <v>0.99982147634771901</v>
      </c>
      <c r="P41">
        <v>6</v>
      </c>
      <c r="Q41" s="1">
        <v>1.41582585786315E-6</v>
      </c>
      <c r="R41" s="1">
        <v>0.99985425649079795</v>
      </c>
      <c r="T41">
        <v>6</v>
      </c>
      <c r="U41" s="1">
        <v>8.1600233405834999E-9</v>
      </c>
      <c r="V41">
        <v>0.99547874715121198</v>
      </c>
      <c r="W41">
        <v>6</v>
      </c>
      <c r="X41" s="1">
        <v>7.0368409127728401E-9</v>
      </c>
      <c r="Y41">
        <v>0.96872361028799703</v>
      </c>
      <c r="Z41">
        <v>6</v>
      </c>
      <c r="AA41" s="1">
        <v>9.2120841491037196E-9</v>
      </c>
      <c r="AB41">
        <v>0.99523810126122703</v>
      </c>
      <c r="AC41">
        <v>6</v>
      </c>
      <c r="AD41" s="1">
        <v>7.6143166399160202E-9</v>
      </c>
      <c r="AE41">
        <v>0.99150237177788303</v>
      </c>
      <c r="AF41">
        <v>6</v>
      </c>
      <c r="AG41" s="1">
        <v>6.0741776449411303E-9</v>
      </c>
      <c r="AH41">
        <v>0.98617317497250701</v>
      </c>
    </row>
    <row r="42" spans="2:34" x14ac:dyDescent="0.2">
      <c r="D42">
        <v>7</v>
      </c>
      <c r="E42" s="1">
        <v>1.4614415087635101E-6</v>
      </c>
      <c r="F42" s="3">
        <v>0.99971224754147203</v>
      </c>
      <c r="G42">
        <v>7</v>
      </c>
      <c r="H42" s="1">
        <v>1.4438000019207701E-6</v>
      </c>
      <c r="I42" s="3">
        <v>0.999711333401887</v>
      </c>
      <c r="J42">
        <v>7</v>
      </c>
      <c r="K42" s="1">
        <v>1.42240315918367E-6</v>
      </c>
      <c r="L42" s="3">
        <v>0.99939300463026004</v>
      </c>
      <c r="M42">
        <v>7</v>
      </c>
      <c r="N42" s="1">
        <v>1.3900489608643501E-6</v>
      </c>
      <c r="O42" s="3">
        <v>0.99977686001711796</v>
      </c>
      <c r="P42">
        <v>7</v>
      </c>
      <c r="Q42" s="1">
        <v>1.4052374386554599E-6</v>
      </c>
      <c r="R42" s="3">
        <v>0.99953507241009398</v>
      </c>
      <c r="T42">
        <v>7</v>
      </c>
      <c r="U42" s="1">
        <v>7.7703230758268905E-9</v>
      </c>
      <c r="V42">
        <v>0.96478090355717105</v>
      </c>
      <c r="W42">
        <v>7</v>
      </c>
      <c r="X42" s="1">
        <v>7.1622581699542502E-9</v>
      </c>
      <c r="Y42">
        <v>0.97557394655014795</v>
      </c>
      <c r="Z42">
        <v>7</v>
      </c>
      <c r="AA42" s="1">
        <v>8.7531652456311906E-9</v>
      </c>
      <c r="AB42">
        <v>0.99189285593322396</v>
      </c>
      <c r="AC42">
        <v>7</v>
      </c>
      <c r="AD42" s="1">
        <v>5.21236331133283E-9</v>
      </c>
      <c r="AE42">
        <v>0.98306571012522204</v>
      </c>
      <c r="AF42">
        <v>7</v>
      </c>
      <c r="AG42" s="1">
        <v>8.0065285952149095E-9</v>
      </c>
      <c r="AH42">
        <v>0.99524972477737095</v>
      </c>
    </row>
    <row r="43" spans="2:34" x14ac:dyDescent="0.2">
      <c r="D43">
        <v>8</v>
      </c>
      <c r="E43" s="1">
        <v>1.4557216653061201E-6</v>
      </c>
      <c r="F43">
        <v>0.99980295298600597</v>
      </c>
      <c r="G43">
        <v>8</v>
      </c>
      <c r="H43" s="1">
        <v>1.4247773949579799E-6</v>
      </c>
      <c r="I43">
        <v>0.99974045915119403</v>
      </c>
      <c r="J43">
        <v>8</v>
      </c>
      <c r="K43" s="1">
        <v>1.4060436148859501E-6</v>
      </c>
      <c r="L43">
        <v>0.999880976985145</v>
      </c>
      <c r="M43">
        <v>8</v>
      </c>
      <c r="N43" s="1">
        <v>1.34824854885954E-6</v>
      </c>
      <c r="O43">
        <v>0.99930043436069405</v>
      </c>
      <c r="P43">
        <v>8</v>
      </c>
      <c r="Q43" s="1">
        <v>1.38961854165666E-6</v>
      </c>
      <c r="R43">
        <v>0.99942171965762205</v>
      </c>
      <c r="T43">
        <v>8</v>
      </c>
      <c r="U43" s="1">
        <v>5.53260157428934E-9</v>
      </c>
      <c r="V43">
        <v>0.98484923443965799</v>
      </c>
      <c r="W43">
        <v>8</v>
      </c>
      <c r="X43" s="1">
        <v>7.7070682359558895E-9</v>
      </c>
      <c r="Y43">
        <v>0.98346159414177903</v>
      </c>
      <c r="Z43">
        <v>8</v>
      </c>
      <c r="AA43" s="1">
        <v>7.5108660721518006E-9</v>
      </c>
      <c r="AB43">
        <v>0.98712375782051398</v>
      </c>
      <c r="AC43">
        <v>8</v>
      </c>
      <c r="AD43" s="1">
        <v>8.0684210395259802E-9</v>
      </c>
      <c r="AE43">
        <v>0.98576363858764204</v>
      </c>
      <c r="AF43">
        <v>8</v>
      </c>
      <c r="AG43" s="1">
        <v>7.7502711062776493E-9</v>
      </c>
      <c r="AH43">
        <v>0.992145722236491</v>
      </c>
    </row>
    <row r="44" spans="2:34" x14ac:dyDescent="0.2">
      <c r="D44">
        <v>9</v>
      </c>
      <c r="E44" s="1">
        <v>1.4007158122449001E-6</v>
      </c>
      <c r="F44">
        <v>0.99936664137186804</v>
      </c>
      <c r="G44">
        <v>9</v>
      </c>
      <c r="H44" s="1">
        <v>1.3877654098439401E-6</v>
      </c>
      <c r="I44">
        <v>0.99962085828673797</v>
      </c>
      <c r="J44">
        <v>9</v>
      </c>
      <c r="K44" s="1">
        <v>1.4222059169267701E-6</v>
      </c>
      <c r="L44">
        <v>0.99990545530536401</v>
      </c>
      <c r="M44">
        <v>9</v>
      </c>
      <c r="N44" s="1">
        <v>1.4511386362545001E-6</v>
      </c>
      <c r="O44">
        <v>0.99974896575864203</v>
      </c>
      <c r="P44">
        <v>9</v>
      </c>
      <c r="Q44" s="1">
        <v>1.35479168691477E-6</v>
      </c>
      <c r="R44">
        <v>0.99969434918862699</v>
      </c>
      <c r="T44">
        <v>9</v>
      </c>
      <c r="U44" s="1">
        <v>7.59842744168606E-9</v>
      </c>
      <c r="V44">
        <v>0.99154235840118099</v>
      </c>
      <c r="W44">
        <v>9</v>
      </c>
      <c r="X44" s="1">
        <v>7.5014547258681395E-9</v>
      </c>
      <c r="Y44">
        <v>0.99167189353521801</v>
      </c>
      <c r="Z44">
        <v>9</v>
      </c>
      <c r="AA44" s="1">
        <v>6.8487480499512499E-9</v>
      </c>
      <c r="AB44">
        <v>0.99170937835290696</v>
      </c>
      <c r="AC44">
        <v>9</v>
      </c>
      <c r="AD44" s="1">
        <v>8.1017791374784495E-9</v>
      </c>
      <c r="AE44">
        <v>0.99040677636337304</v>
      </c>
      <c r="AF44">
        <v>9</v>
      </c>
      <c r="AG44" s="1">
        <v>7.8104079546988692E-9</v>
      </c>
      <c r="AH44">
        <v>0.99121938657765696</v>
      </c>
    </row>
    <row r="45" spans="2:34" x14ac:dyDescent="0.2">
      <c r="D45">
        <v>10</v>
      </c>
      <c r="E45" s="1">
        <v>1.4554772864345701E-6</v>
      </c>
      <c r="F45">
        <v>0.99974572180056098</v>
      </c>
      <c r="G45">
        <v>10</v>
      </c>
      <c r="H45" s="1">
        <v>1.38140508907563E-6</v>
      </c>
      <c r="I45">
        <v>0.99948167225489704</v>
      </c>
      <c r="J45">
        <v>10</v>
      </c>
      <c r="K45" s="1">
        <v>1.35783378295318E-6</v>
      </c>
      <c r="L45">
        <v>0.99936548271503101</v>
      </c>
      <c r="M45">
        <v>10</v>
      </c>
      <c r="N45" s="1">
        <v>1.37016539927971E-6</v>
      </c>
      <c r="O45">
        <v>0.999657489789744</v>
      </c>
      <c r="P45">
        <v>10</v>
      </c>
      <c r="Q45" s="1">
        <v>1.44652263769508E-6</v>
      </c>
      <c r="R45">
        <v>0.99960212514680202</v>
      </c>
      <c r="T45">
        <v>10</v>
      </c>
      <c r="U45" s="1">
        <v>7.4005279981999496E-9</v>
      </c>
      <c r="V45">
        <v>0.99019973561071595</v>
      </c>
      <c r="W45">
        <v>10</v>
      </c>
      <c r="X45" s="1">
        <v>6.6867190962274199E-9</v>
      </c>
      <c r="Y45">
        <v>0.99571833913618102</v>
      </c>
      <c r="Z45">
        <v>10</v>
      </c>
      <c r="AA45" s="1">
        <v>6.5329327585689399E-9</v>
      </c>
      <c r="AB45">
        <v>0.98047738077621205</v>
      </c>
      <c r="AC45">
        <v>10</v>
      </c>
      <c r="AD45" s="1">
        <v>5.7712324983125198E-9</v>
      </c>
      <c r="AE45">
        <v>0.99065494896924899</v>
      </c>
      <c r="AF45">
        <v>10</v>
      </c>
      <c r="AG45" s="1">
        <v>5.90527205805143E-9</v>
      </c>
      <c r="AH45">
        <v>0.97026346296139598</v>
      </c>
    </row>
    <row r="46" spans="2:34" x14ac:dyDescent="0.2">
      <c r="D46" t="s">
        <v>43</v>
      </c>
      <c r="E46" s="1">
        <v>1.41541491894358E-6</v>
      </c>
      <c r="F46" s="1">
        <v>3.1393999595207299E-8</v>
      </c>
      <c r="G46" t="s">
        <v>43</v>
      </c>
      <c r="H46" s="1">
        <v>1.40206238871549E-6</v>
      </c>
      <c r="I46" s="1">
        <v>2.4400942730542299E-8</v>
      </c>
      <c r="J46" t="s">
        <v>43</v>
      </c>
      <c r="K46" s="1">
        <v>1.4098801294117599E-6</v>
      </c>
      <c r="L46" s="1">
        <v>3.1999063774910598E-8</v>
      </c>
      <c r="M46" t="s">
        <v>43</v>
      </c>
      <c r="N46" s="1">
        <v>1.4064701098199299E-6</v>
      </c>
      <c r="O46" s="1">
        <v>4.3416658298536803E-8</v>
      </c>
      <c r="P46" t="s">
        <v>43</v>
      </c>
      <c r="Q46" s="1">
        <v>1.4125895298439401E-6</v>
      </c>
      <c r="R46" s="1">
        <v>3.6028175830576602E-8</v>
      </c>
      <c r="T46" t="s">
        <v>21</v>
      </c>
      <c r="U46" s="1">
        <v>7.1874032222305497E-9</v>
      </c>
      <c r="V46" s="1">
        <v>9.4099207771074502E-10</v>
      </c>
      <c r="W46" t="s">
        <v>21</v>
      </c>
      <c r="X46" s="1">
        <v>7.3360292037050996E-9</v>
      </c>
      <c r="Y46" s="1">
        <v>6.9909771117641102E-10</v>
      </c>
      <c r="Z46" t="s">
        <v>21</v>
      </c>
      <c r="AA46" s="1">
        <v>7.7867827836195797E-9</v>
      </c>
      <c r="AB46" s="1">
        <v>8.5489944637332705E-10</v>
      </c>
      <c r="AC46" t="s">
        <v>21</v>
      </c>
      <c r="AD46" s="1">
        <v>7.3783117081677204E-9</v>
      </c>
      <c r="AE46" s="1">
        <v>1.1510242590157901E-9</v>
      </c>
      <c r="AF46" t="s">
        <v>21</v>
      </c>
      <c r="AG46" s="1">
        <v>7.0000240957023997E-9</v>
      </c>
      <c r="AH46" s="1">
        <v>1.0231614193009599E-9</v>
      </c>
    </row>
    <row r="47" spans="2:34" x14ac:dyDescent="0.2">
      <c r="F47" s="4">
        <f>F46/E46</f>
        <v>2.2180068314271242E-2</v>
      </c>
      <c r="I47" s="4">
        <f>I46/H46</f>
        <v>1.7403606948544856E-2</v>
      </c>
      <c r="L47" s="4">
        <f>L46/K46</f>
        <v>2.269630098855388E-2</v>
      </c>
      <c r="O47" s="4">
        <f>O46/N46</f>
        <v>3.0869236392158685E-2</v>
      </c>
      <c r="R47" s="4">
        <f>R46/Q46</f>
        <v>2.5505056542898856E-2</v>
      </c>
      <c r="V47" s="4">
        <f>V46/U46</f>
        <v>0.13092239973406086</v>
      </c>
      <c r="Y47" s="4">
        <f>Y46/X46</f>
        <v>9.5296473305112817E-2</v>
      </c>
      <c r="AB47" s="4">
        <f>AB46/AA46</f>
        <v>0.10978853142939975</v>
      </c>
      <c r="AE47" s="4">
        <f>AE46/AD46</f>
        <v>0.15600103445638075</v>
      </c>
      <c r="AH47" s="4">
        <f>AH46/AG46</f>
        <v>0.1461654139060922</v>
      </c>
    </row>
    <row r="49" spans="2:34" x14ac:dyDescent="0.2">
      <c r="B49" t="s">
        <v>20</v>
      </c>
      <c r="D49" t="s">
        <v>0</v>
      </c>
      <c r="E49" s="2"/>
      <c r="F49" s="2"/>
      <c r="G49" s="2" t="s">
        <v>1</v>
      </c>
      <c r="H49" s="2"/>
      <c r="I49" s="2"/>
      <c r="J49" s="1" t="s">
        <v>2</v>
      </c>
      <c r="M49" s="2" t="s">
        <v>3</v>
      </c>
      <c r="N49" s="2"/>
      <c r="O49" s="2"/>
      <c r="P49" s="2" t="s">
        <v>4</v>
      </c>
      <c r="Q49" s="2"/>
      <c r="R49" s="1"/>
      <c r="T49" t="s">
        <v>5</v>
      </c>
      <c r="U49" s="2"/>
      <c r="V49" s="2"/>
      <c r="W49" s="2" t="s">
        <v>6</v>
      </c>
      <c r="X49" s="2"/>
      <c r="Y49" s="2"/>
      <c r="Z49" s="1" t="s">
        <v>7</v>
      </c>
      <c r="AC49" s="2" t="s">
        <v>8</v>
      </c>
      <c r="AD49" s="2"/>
      <c r="AE49" s="2"/>
      <c r="AF49" s="2" t="s">
        <v>9</v>
      </c>
      <c r="AG49" s="2"/>
      <c r="AH49" s="1"/>
    </row>
    <row r="50" spans="2:34" x14ac:dyDescent="0.2">
      <c r="D50">
        <v>1</v>
      </c>
      <c r="E50" s="2">
        <v>1.1517906602641101E-6</v>
      </c>
      <c r="F50" s="2">
        <v>0.99951549335678502</v>
      </c>
      <c r="G50">
        <v>1</v>
      </c>
      <c r="H50" s="2">
        <v>1.2455255865546201E-6</v>
      </c>
      <c r="I50" s="2">
        <v>0.99989610609078206</v>
      </c>
      <c r="J50">
        <v>1</v>
      </c>
      <c r="K50" s="1">
        <v>1.1607989815126E-6</v>
      </c>
      <c r="L50">
        <v>0.99980698256197797</v>
      </c>
      <c r="M50">
        <v>1</v>
      </c>
      <c r="N50" s="2">
        <v>1.15602064873949E-6</v>
      </c>
      <c r="O50" s="2">
        <v>0.99941752034897502</v>
      </c>
      <c r="P50">
        <v>1</v>
      </c>
      <c r="Q50" s="2">
        <v>1.1518306232893199E-6</v>
      </c>
      <c r="R50" s="1">
        <v>0.99959976985258903</v>
      </c>
      <c r="T50">
        <v>1</v>
      </c>
      <c r="U50" s="2">
        <v>2.4354147063676602E-9</v>
      </c>
      <c r="V50" s="2">
        <v>0.95950196387568998</v>
      </c>
      <c r="W50">
        <v>1</v>
      </c>
      <c r="X50" s="2">
        <v>2.7476647348683998E-9</v>
      </c>
      <c r="Y50" s="2">
        <v>0.97832405545374002</v>
      </c>
      <c r="Z50">
        <v>1</v>
      </c>
      <c r="AA50" s="1">
        <v>3.1246754436360998E-9</v>
      </c>
      <c r="AB50">
        <v>0.97833679180543898</v>
      </c>
      <c r="AC50">
        <v>1</v>
      </c>
      <c r="AD50" s="2">
        <v>3.46049240080999E-9</v>
      </c>
      <c r="AE50" s="2">
        <v>0.97818441804490097</v>
      </c>
      <c r="AF50">
        <v>1</v>
      </c>
      <c r="AG50" s="2">
        <v>4.0493846966174299E-9</v>
      </c>
      <c r="AH50" s="1">
        <v>0.99105373610992997</v>
      </c>
    </row>
    <row r="51" spans="2:34" x14ac:dyDescent="0.2">
      <c r="D51">
        <v>2</v>
      </c>
      <c r="E51" s="2">
        <v>1.20678384537815E-6</v>
      </c>
      <c r="F51" s="2">
        <v>0.999694391732044</v>
      </c>
      <c r="G51">
        <v>2</v>
      </c>
      <c r="H51" s="2">
        <v>1.1721442079231699E-6</v>
      </c>
      <c r="I51" s="2">
        <v>0.99982792252389596</v>
      </c>
      <c r="J51">
        <v>2</v>
      </c>
      <c r="K51" s="1">
        <v>1.2133703865546201E-6</v>
      </c>
      <c r="L51">
        <v>0.99940326191005002</v>
      </c>
      <c r="M51">
        <v>2</v>
      </c>
      <c r="N51" s="2">
        <v>1.16805299591837E-6</v>
      </c>
      <c r="O51" s="2">
        <v>0.99929507423024899</v>
      </c>
      <c r="P51">
        <v>2</v>
      </c>
      <c r="Q51" s="2">
        <v>1.1889689565426199E-6</v>
      </c>
      <c r="R51" s="1">
        <v>0.99941582063241396</v>
      </c>
      <c r="T51">
        <v>2</v>
      </c>
      <c r="U51" s="1">
        <v>2.61533489912246E-9</v>
      </c>
      <c r="V51">
        <v>0.95370149410113303</v>
      </c>
      <c r="W51">
        <v>2</v>
      </c>
      <c r="X51" s="1">
        <v>2.9962872826821001E-9</v>
      </c>
      <c r="Y51">
        <v>0.97388829404099497</v>
      </c>
      <c r="Z51">
        <v>2</v>
      </c>
      <c r="AA51" s="1">
        <v>3.1066918525463001E-9</v>
      </c>
      <c r="AB51">
        <v>0.96046008328360299</v>
      </c>
      <c r="AC51">
        <v>2</v>
      </c>
      <c r="AD51" s="1">
        <v>3.14438654466361E-9</v>
      </c>
      <c r="AE51">
        <v>0.98415378497289996</v>
      </c>
      <c r="AF51">
        <v>2</v>
      </c>
      <c r="AG51" s="1">
        <v>2.2426983574589498E-9</v>
      </c>
      <c r="AH51">
        <v>0.96992617427468297</v>
      </c>
    </row>
    <row r="52" spans="2:34" x14ac:dyDescent="0.2">
      <c r="D52">
        <v>3</v>
      </c>
      <c r="E52" s="2">
        <v>1.1696278314525799E-6</v>
      </c>
      <c r="F52" s="2">
        <v>0.99980447516024296</v>
      </c>
      <c r="G52">
        <v>3</v>
      </c>
      <c r="H52" s="2">
        <v>1.2006583092436999E-6</v>
      </c>
      <c r="I52" s="2">
        <v>0.999797265396831</v>
      </c>
      <c r="J52">
        <v>3</v>
      </c>
      <c r="K52" s="1">
        <v>1.1718628043217299E-6</v>
      </c>
      <c r="L52">
        <v>0.99981420262308296</v>
      </c>
      <c r="M52">
        <v>3</v>
      </c>
      <c r="N52" s="2">
        <v>1.16910904585834E-6</v>
      </c>
      <c r="O52" s="2">
        <v>0.99972611948149104</v>
      </c>
      <c r="P52">
        <v>3</v>
      </c>
      <c r="Q52" s="2">
        <v>1.1755968869147699E-6</v>
      </c>
      <c r="R52" s="1">
        <v>0.999845493031285</v>
      </c>
      <c r="T52">
        <v>3</v>
      </c>
      <c r="U52" s="1">
        <v>2.6172062641566101E-9</v>
      </c>
      <c r="V52">
        <v>0.95153468551868103</v>
      </c>
      <c r="W52">
        <v>3</v>
      </c>
      <c r="X52" s="1">
        <v>3.3100072174304501E-9</v>
      </c>
      <c r="Y52">
        <v>0.98453407250346403</v>
      </c>
      <c r="Z52">
        <v>3</v>
      </c>
      <c r="AA52" s="1">
        <v>2.1403468259206898E-9</v>
      </c>
      <c r="AB52">
        <v>0.97431717158306896</v>
      </c>
      <c r="AC52">
        <v>3</v>
      </c>
      <c r="AD52" s="1">
        <v>2.9162423888097201E-9</v>
      </c>
      <c r="AE52">
        <v>0.96279975994165101</v>
      </c>
      <c r="AF52">
        <v>3</v>
      </c>
      <c r="AG52" s="1">
        <v>3.3442897007424998E-9</v>
      </c>
      <c r="AH52">
        <v>0.98270792378731697</v>
      </c>
    </row>
    <row r="53" spans="2:34" x14ac:dyDescent="0.2">
      <c r="D53">
        <v>4</v>
      </c>
      <c r="E53" s="2">
        <v>1.1818019577431E-6</v>
      </c>
      <c r="F53" s="2">
        <v>0.99956038085183396</v>
      </c>
      <c r="G53">
        <v>4</v>
      </c>
      <c r="H53" s="2">
        <v>1.1795755490996399E-6</v>
      </c>
      <c r="I53" s="2">
        <v>0.99932277464171504</v>
      </c>
      <c r="J53">
        <v>4</v>
      </c>
      <c r="K53" s="1">
        <v>1.1731212043217301E-6</v>
      </c>
      <c r="L53">
        <v>0.99967557005170005</v>
      </c>
      <c r="M53">
        <v>4</v>
      </c>
      <c r="N53" s="2">
        <v>1.1562959054021599E-6</v>
      </c>
      <c r="O53" s="2">
        <v>0.99962171904711505</v>
      </c>
      <c r="P53">
        <v>4</v>
      </c>
      <c r="Q53" s="2">
        <v>1.1812013603841501E-6</v>
      </c>
      <c r="R53" s="1">
        <v>0.99974963166941699</v>
      </c>
      <c r="T53">
        <v>4</v>
      </c>
      <c r="U53" s="1">
        <v>1.9628908505212701E-9</v>
      </c>
      <c r="V53">
        <v>0.95289688671136497</v>
      </c>
      <c r="W53">
        <v>4</v>
      </c>
      <c r="X53" s="1">
        <v>3.6963178871972001E-9</v>
      </c>
      <c r="Y53">
        <v>0.97232106125287798</v>
      </c>
      <c r="Z53">
        <v>4</v>
      </c>
      <c r="AA53" s="1">
        <v>3.19200313357836E-9</v>
      </c>
      <c r="AB53">
        <v>0.96660609637438999</v>
      </c>
      <c r="AC53">
        <v>4</v>
      </c>
      <c r="AD53" s="1">
        <v>2.9443246531163201E-9</v>
      </c>
      <c r="AE53">
        <v>0.98353735132786801</v>
      </c>
      <c r="AF53">
        <v>4</v>
      </c>
      <c r="AG53" s="1">
        <v>3.0882233870846899E-9</v>
      </c>
      <c r="AH53">
        <v>0.97903916598958296</v>
      </c>
    </row>
    <row r="54" spans="2:34" x14ac:dyDescent="0.2">
      <c r="D54">
        <v>5</v>
      </c>
      <c r="E54" s="2">
        <v>1.16641837454982E-6</v>
      </c>
      <c r="F54" s="2">
        <v>0.99937807745721396</v>
      </c>
      <c r="G54">
        <v>5</v>
      </c>
      <c r="H54" s="2">
        <v>1.1636704667467E-6</v>
      </c>
      <c r="I54" s="2">
        <v>0.99967654760009605</v>
      </c>
      <c r="J54">
        <v>5</v>
      </c>
      <c r="K54" s="1">
        <v>1.21247088115246E-6</v>
      </c>
      <c r="L54">
        <v>0.99989031951918905</v>
      </c>
      <c r="M54">
        <v>5</v>
      </c>
      <c r="N54" s="2">
        <v>1.1976307265306101E-6</v>
      </c>
      <c r="O54" s="2">
        <v>0.99950134765827803</v>
      </c>
      <c r="P54">
        <v>5</v>
      </c>
      <c r="Q54" s="2">
        <v>1.18140778295318E-6</v>
      </c>
      <c r="R54" s="1">
        <v>0.99979996215983702</v>
      </c>
      <c r="T54">
        <v>5</v>
      </c>
      <c r="U54" s="1">
        <v>2.4861980807020299E-9</v>
      </c>
      <c r="V54">
        <v>0.977174601111511</v>
      </c>
      <c r="W54">
        <v>5</v>
      </c>
      <c r="X54" s="1">
        <v>3.8609658921473103E-9</v>
      </c>
      <c r="Y54">
        <v>0.98227369555877797</v>
      </c>
      <c r="Z54">
        <v>5</v>
      </c>
      <c r="AA54" s="1">
        <v>3.2824457121428499E-9</v>
      </c>
      <c r="AB54">
        <v>0.97227483575866902</v>
      </c>
      <c r="AC54">
        <v>5</v>
      </c>
      <c r="AD54" s="1">
        <v>3.5493463579089601E-9</v>
      </c>
      <c r="AE54">
        <v>0.98122387282656498</v>
      </c>
      <c r="AF54">
        <v>5</v>
      </c>
      <c r="AG54" s="1">
        <v>3.0208576966924302E-9</v>
      </c>
      <c r="AH54">
        <v>0.98032636988869903</v>
      </c>
    </row>
    <row r="55" spans="2:34" x14ac:dyDescent="0.2">
      <c r="D55">
        <v>6</v>
      </c>
      <c r="E55" s="1">
        <v>1.1689334799519801E-6</v>
      </c>
      <c r="F55" s="1">
        <v>0.99974049942434495</v>
      </c>
      <c r="G55">
        <v>6</v>
      </c>
      <c r="H55" s="1">
        <v>1.1674567370948401E-6</v>
      </c>
      <c r="I55" s="1">
        <v>0.99982466806596804</v>
      </c>
      <c r="J55">
        <v>6</v>
      </c>
      <c r="K55" s="1">
        <v>1.1741684528211301E-6</v>
      </c>
      <c r="L55" s="1">
        <v>0.99961024826845901</v>
      </c>
      <c r="M55">
        <v>6</v>
      </c>
      <c r="N55" s="1">
        <v>1.18698171284514E-6</v>
      </c>
      <c r="O55" s="1">
        <v>0.99973461133478203</v>
      </c>
      <c r="P55">
        <v>6</v>
      </c>
      <c r="Q55" s="1">
        <v>1.1619156417767101E-6</v>
      </c>
      <c r="R55" s="1">
        <v>0.99968292625438904</v>
      </c>
      <c r="T55">
        <v>6</v>
      </c>
      <c r="U55" s="1">
        <v>3.29465154953876E-9</v>
      </c>
      <c r="V55">
        <v>0.98528758220642898</v>
      </c>
      <c r="W55">
        <v>6</v>
      </c>
      <c r="X55" s="1">
        <v>2.2368429880747199E-9</v>
      </c>
      <c r="Y55">
        <v>0.96718861813773704</v>
      </c>
      <c r="Z55">
        <v>6</v>
      </c>
      <c r="AA55" s="1">
        <v>2.9850803487587199E-9</v>
      </c>
      <c r="AB55">
        <v>0.97510362735751899</v>
      </c>
      <c r="AC55">
        <v>6</v>
      </c>
      <c r="AD55" s="1">
        <v>2.97663372759318E-9</v>
      </c>
      <c r="AE55">
        <v>0.974898655744039</v>
      </c>
      <c r="AF55">
        <v>6</v>
      </c>
      <c r="AG55" s="1">
        <v>3.0536593662341402E-9</v>
      </c>
      <c r="AH55">
        <v>0.97710288088314201</v>
      </c>
    </row>
    <row r="56" spans="2:34" x14ac:dyDescent="0.2">
      <c r="D56">
        <v>7</v>
      </c>
      <c r="E56" s="1">
        <v>1.1539245339735901E-6</v>
      </c>
      <c r="F56" s="3">
        <v>0.99977018758884395</v>
      </c>
      <c r="G56">
        <v>7</v>
      </c>
      <c r="H56" s="1">
        <v>1.15795133301321E-6</v>
      </c>
      <c r="I56" s="3">
        <v>0.99981957349313999</v>
      </c>
      <c r="J56">
        <v>7</v>
      </c>
      <c r="K56" s="1">
        <v>1.21100042689076E-6</v>
      </c>
      <c r="L56" s="3">
        <v>0.99982183923530299</v>
      </c>
      <c r="M56">
        <v>7</v>
      </c>
      <c r="N56" s="1">
        <v>1.1949654108043199E-6</v>
      </c>
      <c r="O56" s="3">
        <v>0.99966946911018595</v>
      </c>
      <c r="P56">
        <v>7</v>
      </c>
      <c r="Q56" s="1">
        <v>1.17950063193277E-6</v>
      </c>
      <c r="R56" s="3">
        <v>0.99949976863741996</v>
      </c>
      <c r="T56">
        <v>7</v>
      </c>
      <c r="U56" s="1">
        <v>3.2453503735093402E-9</v>
      </c>
      <c r="V56">
        <v>0.98374000702365605</v>
      </c>
      <c r="W56">
        <v>7</v>
      </c>
      <c r="X56" s="1">
        <v>2.2868711505287598E-9</v>
      </c>
      <c r="Y56">
        <v>0.94874206951212503</v>
      </c>
      <c r="Z56">
        <v>7</v>
      </c>
      <c r="AA56" s="1">
        <v>2.9451543156078899E-9</v>
      </c>
      <c r="AB56">
        <v>0.96579145557771395</v>
      </c>
      <c r="AC56">
        <v>7</v>
      </c>
      <c r="AD56" s="1">
        <v>3.3239119477986798E-9</v>
      </c>
      <c r="AE56">
        <v>0.977659159111672</v>
      </c>
      <c r="AF56">
        <v>7</v>
      </c>
      <c r="AG56" s="1">
        <v>3.03797844821123E-9</v>
      </c>
      <c r="AH56">
        <v>0.98273429690945902</v>
      </c>
    </row>
    <row r="57" spans="2:34" x14ac:dyDescent="0.2">
      <c r="D57">
        <v>8</v>
      </c>
      <c r="E57" s="1">
        <v>1.20662448355342E-6</v>
      </c>
      <c r="F57">
        <v>0.99983548792348698</v>
      </c>
      <c r="G57">
        <v>8</v>
      </c>
      <c r="H57" s="1">
        <v>1.24000760528211E-6</v>
      </c>
      <c r="I57">
        <v>0.999564161439914</v>
      </c>
      <c r="J57">
        <v>8</v>
      </c>
      <c r="K57" s="1">
        <v>1.1532905214886E-6</v>
      </c>
      <c r="L57">
        <v>0.99969227739776001</v>
      </c>
      <c r="M57">
        <v>8</v>
      </c>
      <c r="N57" s="1">
        <v>1.1684318525810299E-6</v>
      </c>
      <c r="O57">
        <v>0.99967993644331798</v>
      </c>
      <c r="P57">
        <v>8</v>
      </c>
      <c r="Q57" s="1">
        <v>1.14177808595438E-6</v>
      </c>
      <c r="R57">
        <v>0.99983918327675103</v>
      </c>
      <c r="T57">
        <v>8</v>
      </c>
      <c r="U57" s="1">
        <v>2.7140740598515201E-9</v>
      </c>
      <c r="V57">
        <v>0.97355443335046599</v>
      </c>
      <c r="W57">
        <v>8</v>
      </c>
      <c r="X57" s="1">
        <v>3.7042993542338498E-9</v>
      </c>
      <c r="Y57">
        <v>0.98239586716680805</v>
      </c>
      <c r="Z57">
        <v>8</v>
      </c>
      <c r="AA57" s="1">
        <v>2.9770499152478799E-9</v>
      </c>
      <c r="AB57">
        <v>0.95113494317575797</v>
      </c>
      <c r="AC57">
        <v>8</v>
      </c>
      <c r="AD57" s="1">
        <v>2.4280553558838901E-9</v>
      </c>
      <c r="AE57">
        <v>0.96271409030640798</v>
      </c>
      <c r="AF57">
        <v>8</v>
      </c>
      <c r="AG57" s="1">
        <v>2.5870565619140301E-9</v>
      </c>
      <c r="AH57">
        <v>0.97161426074156199</v>
      </c>
    </row>
    <row r="58" spans="2:34" x14ac:dyDescent="0.2">
      <c r="D58">
        <v>9</v>
      </c>
      <c r="E58" s="1">
        <v>1.1389476576230499E-6</v>
      </c>
      <c r="F58">
        <v>0.99929478232610103</v>
      </c>
      <c r="G58">
        <v>9</v>
      </c>
      <c r="H58" s="1">
        <v>1.1967787370948399E-6</v>
      </c>
      <c r="I58">
        <v>0.99985398199825604</v>
      </c>
      <c r="J58">
        <v>9</v>
      </c>
      <c r="K58" s="1">
        <v>1.1331031222088799E-6</v>
      </c>
      <c r="L58">
        <v>0.99967007871060698</v>
      </c>
      <c r="M58">
        <v>9</v>
      </c>
      <c r="N58" s="1">
        <v>1.13848143769508E-6</v>
      </c>
      <c r="O58">
        <v>0.99937604904350796</v>
      </c>
      <c r="P58">
        <v>9</v>
      </c>
      <c r="Q58" s="1">
        <v>1.14949443841537E-6</v>
      </c>
      <c r="R58">
        <v>0.99986907259701896</v>
      </c>
      <c r="T58">
        <v>9</v>
      </c>
      <c r="U58" s="1">
        <v>2.4817831223280799E-9</v>
      </c>
      <c r="V58">
        <v>0.97813157409446305</v>
      </c>
      <c r="W58">
        <v>9</v>
      </c>
      <c r="X58" s="1">
        <v>2.51810051526285E-9</v>
      </c>
      <c r="Y58">
        <v>0.96569497329931497</v>
      </c>
      <c r="Z58">
        <v>9</v>
      </c>
      <c r="AA58" s="1">
        <v>3.2668975939398602E-9</v>
      </c>
      <c r="AB58">
        <v>0.983018917228905</v>
      </c>
      <c r="AC58">
        <v>9</v>
      </c>
      <c r="AD58" s="1">
        <v>3.2652947498687701E-9</v>
      </c>
      <c r="AE58">
        <v>0.97399689011912605</v>
      </c>
      <c r="AF58">
        <v>9</v>
      </c>
      <c r="AG58" s="1">
        <v>1.78686429160731E-9</v>
      </c>
      <c r="AH58">
        <v>0.95498490121165602</v>
      </c>
    </row>
    <row r="59" spans="2:34" x14ac:dyDescent="0.2">
      <c r="D59">
        <v>10</v>
      </c>
      <c r="E59" s="1">
        <v>1.1500524648259299E-6</v>
      </c>
      <c r="F59">
        <v>0.99943644178061897</v>
      </c>
      <c r="G59">
        <v>10</v>
      </c>
      <c r="H59" s="1">
        <v>1.13322146170468E-6</v>
      </c>
      <c r="I59">
        <v>0.99967435786286596</v>
      </c>
      <c r="J59">
        <v>10</v>
      </c>
      <c r="K59" s="1">
        <v>1.1824104235294099E-6</v>
      </c>
      <c r="L59">
        <v>0.99959257020713399</v>
      </c>
      <c r="M59">
        <v>10</v>
      </c>
      <c r="N59" s="1">
        <v>1.18549247923169E-6</v>
      </c>
      <c r="O59">
        <v>0.99983754280375903</v>
      </c>
      <c r="P59">
        <v>10</v>
      </c>
      <c r="Q59" s="1">
        <v>1.1297152523409401E-6</v>
      </c>
      <c r="R59">
        <v>0.99967169086447605</v>
      </c>
      <c r="T59">
        <v>10</v>
      </c>
      <c r="U59" s="1">
        <v>3.73064696617415E-9</v>
      </c>
      <c r="V59">
        <v>0.98655322860556605</v>
      </c>
      <c r="W59">
        <v>10</v>
      </c>
      <c r="X59" s="1">
        <v>3.1946477259431199E-9</v>
      </c>
      <c r="Y59">
        <v>0.95632919506826197</v>
      </c>
      <c r="Z59">
        <v>10</v>
      </c>
      <c r="AA59" s="1">
        <v>2.6324460661516299E-9</v>
      </c>
      <c r="AB59">
        <v>0.96666661282828303</v>
      </c>
      <c r="AC59">
        <v>10</v>
      </c>
      <c r="AD59" s="1">
        <v>2.7782949711242798E-9</v>
      </c>
      <c r="AE59">
        <v>0.98108896468930096</v>
      </c>
      <c r="AF59">
        <v>10</v>
      </c>
      <c r="AG59" s="1">
        <v>2.8541849951248399E-9</v>
      </c>
      <c r="AH59">
        <v>0.94357440778885604</v>
      </c>
    </row>
    <row r="60" spans="2:34" x14ac:dyDescent="0.2">
      <c r="D60" t="s">
        <v>21</v>
      </c>
      <c r="E60" s="1">
        <v>1.1694905289315699E-6</v>
      </c>
      <c r="F60" s="1">
        <v>2.30876385365229E-8</v>
      </c>
      <c r="G60" t="s">
        <v>21</v>
      </c>
      <c r="H60" s="1">
        <v>1.18569899937575E-6</v>
      </c>
      <c r="I60" s="1">
        <v>3.5649960409390497E-8</v>
      </c>
      <c r="J60" t="s">
        <v>21</v>
      </c>
      <c r="K60" s="1">
        <v>1.17855972048019E-6</v>
      </c>
      <c r="L60" s="1">
        <v>2.6962864597069701E-8</v>
      </c>
      <c r="M60" t="s">
        <v>21</v>
      </c>
      <c r="N60" s="1">
        <v>1.17214622156062E-6</v>
      </c>
      <c r="O60" s="1">
        <v>1.9010960434995101E-8</v>
      </c>
      <c r="P60" t="s">
        <v>21</v>
      </c>
      <c r="Q60" s="1">
        <v>1.16414096605042E-6</v>
      </c>
      <c r="R60" s="1">
        <v>2.00804828984232E-8</v>
      </c>
      <c r="T60" t="s">
        <v>21</v>
      </c>
      <c r="U60" s="1">
        <v>2.7583550872271899E-9</v>
      </c>
      <c r="V60" s="1">
        <v>5.1640678469347202E-10</v>
      </c>
      <c r="W60" t="s">
        <v>21</v>
      </c>
      <c r="X60" s="1">
        <v>3.0552004748368801E-9</v>
      </c>
      <c r="Y60" s="1">
        <v>5.9745340126847205E-10</v>
      </c>
      <c r="Z60" t="s">
        <v>21</v>
      </c>
      <c r="AA60" s="1">
        <v>2.9652791207530298E-9</v>
      </c>
      <c r="AB60" s="1">
        <v>3.4650695965806E-10</v>
      </c>
      <c r="AC60" t="s">
        <v>21</v>
      </c>
      <c r="AD60" s="1">
        <v>3.0786983097577401E-9</v>
      </c>
      <c r="AE60" s="1">
        <v>3.3911371760482798E-10</v>
      </c>
      <c r="AF60" t="s">
        <v>21</v>
      </c>
      <c r="AG60" s="1">
        <v>2.9065197501687601E-9</v>
      </c>
      <c r="AH60" s="1">
        <v>6.1299687252945996E-10</v>
      </c>
    </row>
    <row r="61" spans="2:34" x14ac:dyDescent="0.2">
      <c r="F61" s="4">
        <f>F60/E60</f>
        <v>1.9741620787314489E-2</v>
      </c>
      <c r="I61" s="4">
        <f>I60/H60</f>
        <v>3.0066619292214623E-2</v>
      </c>
      <c r="L61" s="4">
        <f>L60/K60</f>
        <v>2.2877809353677898E-2</v>
      </c>
      <c r="O61" s="4">
        <f>O60/N60</f>
        <v>1.6218932489227761E-2</v>
      </c>
      <c r="R61" s="4">
        <f>R60/Q60</f>
        <v>1.7249185007680159E-2</v>
      </c>
      <c r="V61" s="4">
        <f>V60/U60</f>
        <v>0.18721548472302926</v>
      </c>
      <c r="Y61" s="4">
        <f>Y60/X60</f>
        <v>0.19555292891225759</v>
      </c>
      <c r="AB61" s="4">
        <f>AB60/AA60</f>
        <v>0.11685475314380013</v>
      </c>
      <c r="AE61" s="4">
        <f>AE60/AD60</f>
        <v>0.11014840802362104</v>
      </c>
      <c r="AH61" s="4">
        <f>AH60/AG60</f>
        <v>0.21090407952461626</v>
      </c>
    </row>
    <row r="63" spans="2:34" x14ac:dyDescent="0.2">
      <c r="B63" t="s">
        <v>22</v>
      </c>
      <c r="D63" t="s">
        <v>0</v>
      </c>
      <c r="E63" s="2"/>
      <c r="F63" s="2"/>
      <c r="G63" s="2" t="s">
        <v>1</v>
      </c>
      <c r="H63" s="2"/>
      <c r="I63" s="2"/>
      <c r="J63" s="1" t="s">
        <v>2</v>
      </c>
      <c r="M63" s="2" t="s">
        <v>3</v>
      </c>
      <c r="N63" s="2"/>
      <c r="O63" s="2"/>
      <c r="P63" s="2" t="s">
        <v>4</v>
      </c>
      <c r="Q63" s="2"/>
      <c r="R63" s="1"/>
      <c r="T63" t="s">
        <v>5</v>
      </c>
      <c r="U63" s="2"/>
      <c r="V63" s="2"/>
      <c r="W63" s="2" t="s">
        <v>6</v>
      </c>
      <c r="X63" s="2"/>
      <c r="Y63" s="2"/>
      <c r="Z63" s="1" t="s">
        <v>7</v>
      </c>
      <c r="AC63" s="2" t="s">
        <v>8</v>
      </c>
      <c r="AD63" s="2"/>
      <c r="AE63" s="2"/>
      <c r="AF63" s="2" t="s">
        <v>9</v>
      </c>
      <c r="AG63" s="2"/>
      <c r="AH63" s="1"/>
    </row>
    <row r="64" spans="2:34" x14ac:dyDescent="0.2">
      <c r="D64">
        <v>1</v>
      </c>
      <c r="E64" s="2">
        <v>9.1973694885954399E-7</v>
      </c>
      <c r="F64" s="2">
        <v>0.99941634999490603</v>
      </c>
      <c r="G64">
        <v>1</v>
      </c>
      <c r="H64" s="2">
        <v>9.3741913901560604E-7</v>
      </c>
      <c r="I64" s="2">
        <v>0.99984858730334103</v>
      </c>
      <c r="J64">
        <v>1</v>
      </c>
      <c r="K64" s="1">
        <v>9.66658738535414E-7</v>
      </c>
      <c r="L64">
        <v>0.99968331563062796</v>
      </c>
      <c r="M64">
        <v>1</v>
      </c>
      <c r="N64" s="2">
        <v>8.9353860600240099E-7</v>
      </c>
      <c r="O64" s="2">
        <v>0.99975331409437296</v>
      </c>
      <c r="P64">
        <v>1</v>
      </c>
      <c r="Q64" s="2">
        <v>9.3375435534213596E-7</v>
      </c>
      <c r="R64" s="1">
        <v>0.99908456041282301</v>
      </c>
      <c r="T64">
        <v>1</v>
      </c>
      <c r="U64" s="2">
        <v>6.7055127878204496E-11</v>
      </c>
      <c r="V64" s="2">
        <v>5.2741361776743899E-2</v>
      </c>
      <c r="W64">
        <v>1</v>
      </c>
      <c r="X64" s="2">
        <v>1.30160382134556E-9</v>
      </c>
      <c r="Y64" s="2">
        <v>0.91193414394544603</v>
      </c>
      <c r="Z64">
        <v>1</v>
      </c>
      <c r="AA64" s="1">
        <v>1.1922266594164999E-9</v>
      </c>
      <c r="AB64">
        <v>0.94748195518917699</v>
      </c>
      <c r="AC64">
        <v>1</v>
      </c>
      <c r="AD64" s="2">
        <v>7.7711353708842399E-10</v>
      </c>
      <c r="AE64" s="2">
        <v>0.78498000956129599</v>
      </c>
      <c r="AF64">
        <v>1</v>
      </c>
      <c r="AG64" s="2">
        <v>1.18087467186677E-9</v>
      </c>
      <c r="AH64" s="1">
        <v>0.90510986291987205</v>
      </c>
    </row>
    <row r="65" spans="2:34" x14ac:dyDescent="0.2">
      <c r="D65">
        <v>2</v>
      </c>
      <c r="E65" s="2">
        <v>9.5303535654261805E-7</v>
      </c>
      <c r="F65" s="2">
        <v>0.99978984561507001</v>
      </c>
      <c r="G65">
        <v>2</v>
      </c>
      <c r="H65" s="2">
        <v>9.2372376086434699E-7</v>
      </c>
      <c r="I65" s="2">
        <v>0.99940929320330896</v>
      </c>
      <c r="J65">
        <v>2</v>
      </c>
      <c r="K65" s="1">
        <v>9.8592545258103195E-7</v>
      </c>
      <c r="L65">
        <v>0.99964536094169998</v>
      </c>
      <c r="M65">
        <v>2</v>
      </c>
      <c r="N65" s="2">
        <v>9.1082783097238903E-7</v>
      </c>
      <c r="O65" s="2">
        <v>0.99880560480294001</v>
      </c>
      <c r="P65">
        <v>2</v>
      </c>
      <c r="Q65" s="2">
        <v>9.0593826170468204E-7</v>
      </c>
      <c r="R65" s="1">
        <v>0.99974235777824705</v>
      </c>
      <c r="T65">
        <v>2</v>
      </c>
      <c r="U65" s="1">
        <v>4.3827839720991702E-10</v>
      </c>
      <c r="V65">
        <v>0.64952477403361397</v>
      </c>
      <c r="W65">
        <v>2</v>
      </c>
      <c r="X65" s="1">
        <v>8.6357476261906098E-10</v>
      </c>
      <c r="Y65">
        <v>0.86230053871586498</v>
      </c>
      <c r="Z65">
        <v>2</v>
      </c>
      <c r="AA65" s="1">
        <v>1.14736677866946E-9</v>
      </c>
      <c r="AB65">
        <v>0.94392431322304504</v>
      </c>
      <c r="AC65">
        <v>2</v>
      </c>
      <c r="AD65" s="1">
        <v>9.5106301657540406E-10</v>
      </c>
      <c r="AE65">
        <v>0.92274612666095301</v>
      </c>
      <c r="AF65">
        <v>2</v>
      </c>
      <c r="AG65" s="1">
        <v>8.0886889372232799E-10</v>
      </c>
      <c r="AH65">
        <v>0.88149417272846398</v>
      </c>
    </row>
    <row r="66" spans="2:34" x14ac:dyDescent="0.2">
      <c r="D66">
        <v>3</v>
      </c>
      <c r="E66" s="2">
        <v>9.2589132533013202E-7</v>
      </c>
      <c r="F66" s="2">
        <v>0.99900414161794004</v>
      </c>
      <c r="G66">
        <v>3</v>
      </c>
      <c r="H66" s="2">
        <v>9.7585185354141604E-7</v>
      </c>
      <c r="I66" s="2">
        <v>0.99915383813606296</v>
      </c>
      <c r="J66">
        <v>3</v>
      </c>
      <c r="K66" s="1">
        <v>9.2835428091236496E-7</v>
      </c>
      <c r="L66">
        <v>0.99984574109409197</v>
      </c>
      <c r="M66">
        <v>3</v>
      </c>
      <c r="N66" s="2">
        <v>9.4314739207683096E-7</v>
      </c>
      <c r="O66" s="2">
        <v>0.99906225192309495</v>
      </c>
      <c r="P66">
        <v>3</v>
      </c>
      <c r="Q66" s="2">
        <v>9.4333953517406896E-7</v>
      </c>
      <c r="R66" s="1">
        <v>0.99959031204640203</v>
      </c>
      <c r="T66">
        <v>3</v>
      </c>
      <c r="U66" s="1">
        <v>9.1294151728793203E-10</v>
      </c>
      <c r="V66">
        <v>0.92309754949549805</v>
      </c>
      <c r="W66">
        <v>3</v>
      </c>
      <c r="X66" s="1">
        <v>1.22832312982828E-9</v>
      </c>
      <c r="Y66">
        <v>0.88755046446803798</v>
      </c>
      <c r="Z66">
        <v>3</v>
      </c>
      <c r="AA66" s="1">
        <v>1.21063126903172E-9</v>
      </c>
      <c r="AB66">
        <v>0.94299336006365797</v>
      </c>
      <c r="AC66">
        <v>3</v>
      </c>
      <c r="AD66" s="1">
        <v>1.2700073569339201E-9</v>
      </c>
      <c r="AE66">
        <v>0.92117896040884795</v>
      </c>
      <c r="AF66">
        <v>3</v>
      </c>
      <c r="AG66" s="1">
        <v>3.7513011475288602E-10</v>
      </c>
      <c r="AH66">
        <v>0.73449101129370997</v>
      </c>
    </row>
    <row r="67" spans="2:34" x14ac:dyDescent="0.2">
      <c r="D67">
        <v>4</v>
      </c>
      <c r="E67" s="2">
        <v>9.4413839951980797E-7</v>
      </c>
      <c r="F67" s="2">
        <v>0.99958151376298199</v>
      </c>
      <c r="G67">
        <v>4</v>
      </c>
      <c r="H67" s="2">
        <v>9.0526938871548604E-7</v>
      </c>
      <c r="I67" s="2">
        <v>0.99924460180704899</v>
      </c>
      <c r="J67">
        <v>4</v>
      </c>
      <c r="K67" s="1">
        <v>9.7588185498199206E-7</v>
      </c>
      <c r="L67">
        <v>0.999686263708361</v>
      </c>
      <c r="M67">
        <v>4</v>
      </c>
      <c r="N67" s="2">
        <v>8.9116406002401E-7</v>
      </c>
      <c r="O67" s="2">
        <v>0.99965574423957304</v>
      </c>
      <c r="P67">
        <v>4</v>
      </c>
      <c r="Q67" s="2">
        <v>9.48535084753902E-7</v>
      </c>
      <c r="R67" s="1">
        <v>0.99929052685445297</v>
      </c>
      <c r="T67">
        <v>4</v>
      </c>
      <c r="U67" s="1">
        <v>5.4864460361509505E-10</v>
      </c>
      <c r="V67">
        <v>0.76663309712417604</v>
      </c>
      <c r="W67">
        <v>4</v>
      </c>
      <c r="X67" s="1">
        <v>1.2642583979599601E-9</v>
      </c>
      <c r="Y67">
        <v>0.94072202670784399</v>
      </c>
      <c r="Z67">
        <v>4</v>
      </c>
      <c r="AA67" s="1">
        <v>1.2876356798920199E-9</v>
      </c>
      <c r="AB67">
        <v>0.948913380757753</v>
      </c>
      <c r="AC67">
        <v>4</v>
      </c>
      <c r="AD67" s="1">
        <v>1.5595878219455501E-9</v>
      </c>
      <c r="AE67">
        <v>0.94172319292804596</v>
      </c>
      <c r="AF67">
        <v>4</v>
      </c>
      <c r="AG67" s="1">
        <v>9.2765675616891105E-10</v>
      </c>
      <c r="AH67">
        <v>0.92666739726981096</v>
      </c>
    </row>
    <row r="68" spans="2:34" x14ac:dyDescent="0.2">
      <c r="D68">
        <v>5</v>
      </c>
      <c r="E68" s="2">
        <v>9.0030856662665099E-7</v>
      </c>
      <c r="F68" s="2">
        <v>0.99898894911800695</v>
      </c>
      <c r="G68">
        <v>5</v>
      </c>
      <c r="H68" s="2">
        <v>9.5409578871548605E-7</v>
      </c>
      <c r="I68" s="2">
        <v>0.99953843224948202</v>
      </c>
      <c r="J68">
        <v>5</v>
      </c>
      <c r="K68" s="1">
        <v>9.5151296518607401E-7</v>
      </c>
      <c r="L68">
        <v>0.99956041157805298</v>
      </c>
      <c r="M68">
        <v>5</v>
      </c>
      <c r="N68" s="2">
        <v>9.2479176806722701E-7</v>
      </c>
      <c r="O68" s="2">
        <v>0.99946962107985104</v>
      </c>
      <c r="P68">
        <v>5</v>
      </c>
      <c r="Q68" s="2">
        <v>9.7646790636254507E-7</v>
      </c>
      <c r="R68" s="1">
        <v>0.99976312428984704</v>
      </c>
      <c r="T68">
        <v>5</v>
      </c>
      <c r="U68" s="1">
        <v>6.9573675691892402E-10</v>
      </c>
      <c r="V68">
        <v>0.84504997573700802</v>
      </c>
      <c r="W68">
        <v>5</v>
      </c>
      <c r="X68" s="1">
        <v>1.1002432243305899E-9</v>
      </c>
      <c r="Y68">
        <v>0.90300669226769303</v>
      </c>
      <c r="Z68">
        <v>5</v>
      </c>
      <c r="AA68" s="1">
        <v>1.2155431733293399E-9</v>
      </c>
      <c r="AB68">
        <v>0.909601495788113</v>
      </c>
      <c r="AC68">
        <v>5</v>
      </c>
      <c r="AD68" s="1">
        <v>1.07768584264607E-9</v>
      </c>
      <c r="AE68">
        <v>0.88019503837013402</v>
      </c>
      <c r="AF68">
        <v>5</v>
      </c>
      <c r="AG68" s="1">
        <v>8.5193626640664696E-10</v>
      </c>
      <c r="AH68">
        <v>0.91465180169289795</v>
      </c>
    </row>
    <row r="69" spans="2:34" x14ac:dyDescent="0.2">
      <c r="D69">
        <v>6</v>
      </c>
      <c r="E69" s="1">
        <v>9.4667533109243698E-7</v>
      </c>
      <c r="F69" s="1">
        <v>0.99928353935610104</v>
      </c>
      <c r="G69">
        <v>6</v>
      </c>
      <c r="H69" s="1">
        <v>9.0308521728691402E-7</v>
      </c>
      <c r="I69" s="1">
        <v>0.99943888058136299</v>
      </c>
      <c r="J69">
        <v>6</v>
      </c>
      <c r="K69" s="1">
        <v>9.18672022088836E-7</v>
      </c>
      <c r="L69" s="1">
        <v>0.99907488558729995</v>
      </c>
      <c r="M69">
        <v>6</v>
      </c>
      <c r="N69" s="1">
        <v>9.2176849411764702E-7</v>
      </c>
      <c r="O69" s="1">
        <v>0.99868800793159196</v>
      </c>
      <c r="P69">
        <v>6</v>
      </c>
      <c r="Q69" s="1">
        <v>9.5240982809123704E-7</v>
      </c>
      <c r="R69" s="1">
        <v>0.99963330234839098</v>
      </c>
      <c r="T69">
        <v>6</v>
      </c>
      <c r="U69" s="1">
        <v>2.7528589064726798E-10</v>
      </c>
      <c r="V69">
        <v>0.55764988710684305</v>
      </c>
      <c r="W69">
        <v>6</v>
      </c>
      <c r="X69" s="1">
        <v>1.0618739375984599E-9</v>
      </c>
      <c r="Y69">
        <v>0.852150580290015</v>
      </c>
      <c r="Z69">
        <v>6</v>
      </c>
      <c r="AA69" s="1">
        <v>8.1182074176854801E-10</v>
      </c>
      <c r="AB69">
        <v>0.84835704380626797</v>
      </c>
      <c r="AC69">
        <v>6</v>
      </c>
      <c r="AD69" s="1">
        <v>8.40224454361344E-10</v>
      </c>
      <c r="AE69">
        <v>0.91356234223872401</v>
      </c>
      <c r="AF69">
        <v>6</v>
      </c>
      <c r="AG69" s="1">
        <v>1.29252498612465E-9</v>
      </c>
      <c r="AH69">
        <v>0.946784389447346</v>
      </c>
    </row>
    <row r="70" spans="2:34" x14ac:dyDescent="0.2">
      <c r="D70">
        <v>7</v>
      </c>
      <c r="E70" s="1">
        <v>9.2909198703481398E-7</v>
      </c>
      <c r="F70" s="3">
        <v>0.99970496430123601</v>
      </c>
      <c r="G70">
        <v>7</v>
      </c>
      <c r="H70" s="1">
        <v>9.5201814885954397E-7</v>
      </c>
      <c r="I70" s="3">
        <v>0.99962453108560501</v>
      </c>
      <c r="J70">
        <v>7</v>
      </c>
      <c r="K70" s="1">
        <v>9.5767081680672304E-7</v>
      </c>
      <c r="L70" s="3">
        <v>0.99966001190821296</v>
      </c>
      <c r="M70">
        <v>7</v>
      </c>
      <c r="N70" s="1">
        <v>9.4014347082833103E-7</v>
      </c>
      <c r="O70" s="3">
        <v>0.99972297884143102</v>
      </c>
      <c r="P70">
        <v>7</v>
      </c>
      <c r="Q70" s="1">
        <v>9.40794440816326E-7</v>
      </c>
      <c r="R70" s="3">
        <v>0.99953041668864895</v>
      </c>
      <c r="T70">
        <v>7</v>
      </c>
      <c r="U70" s="1">
        <v>1.05894593714842E-9</v>
      </c>
      <c r="V70">
        <v>0.93482244991725805</v>
      </c>
      <c r="W70">
        <v>7</v>
      </c>
      <c r="X70" s="1">
        <v>1.09886798694967E-9</v>
      </c>
      <c r="Y70">
        <v>0.95539285559589204</v>
      </c>
      <c r="Z70">
        <v>7</v>
      </c>
      <c r="AA70" s="1">
        <v>1.01507157803944E-9</v>
      </c>
      <c r="AB70">
        <v>0.89708538913721902</v>
      </c>
      <c r="AC70">
        <v>7</v>
      </c>
      <c r="AD70" s="1">
        <v>1.08434318382961E-9</v>
      </c>
      <c r="AE70">
        <v>0.91392932744300703</v>
      </c>
      <c r="AF70">
        <v>7</v>
      </c>
      <c r="AG70" s="1">
        <v>7.81735778144444E-10</v>
      </c>
      <c r="AH70">
        <v>0.88202373118085498</v>
      </c>
    </row>
    <row r="71" spans="2:34" x14ac:dyDescent="0.2">
      <c r="D71">
        <v>8</v>
      </c>
      <c r="E71" s="1">
        <v>9.3745168163265301E-7</v>
      </c>
      <c r="F71">
        <v>0.999764708678898</v>
      </c>
      <c r="G71">
        <v>8</v>
      </c>
      <c r="H71" s="1">
        <v>9.1573105354141802E-7</v>
      </c>
      <c r="I71">
        <v>0.99958487374903304</v>
      </c>
      <c r="J71">
        <v>8</v>
      </c>
      <c r="K71" s="1">
        <v>9.5337495750300104E-7</v>
      </c>
      <c r="L71">
        <v>0.99947470322606502</v>
      </c>
      <c r="M71">
        <v>8</v>
      </c>
      <c r="N71" s="1">
        <v>9.3397727971188496E-7</v>
      </c>
      <c r="O71">
        <v>0.99978397018437104</v>
      </c>
      <c r="P71">
        <v>8</v>
      </c>
      <c r="Q71" s="1">
        <v>9.2211194717887299E-7</v>
      </c>
      <c r="R71">
        <v>0.99976654005907895</v>
      </c>
      <c r="T71">
        <v>8</v>
      </c>
      <c r="U71" s="1">
        <v>9.7410513162829292E-10</v>
      </c>
      <c r="V71">
        <v>0.881689880879725</v>
      </c>
      <c r="W71">
        <v>8</v>
      </c>
      <c r="X71" s="1">
        <v>9.8873700367504902E-10</v>
      </c>
      <c r="Y71">
        <v>0.93408829840399299</v>
      </c>
      <c r="Z71">
        <v>8</v>
      </c>
      <c r="AA71" s="1">
        <v>1.1745776321908101E-9</v>
      </c>
      <c r="AB71">
        <v>0.96581078877702697</v>
      </c>
      <c r="AC71">
        <v>8</v>
      </c>
      <c r="AD71" s="1">
        <v>6.8875972699318797E-10</v>
      </c>
      <c r="AE71">
        <v>0.90824771921398095</v>
      </c>
      <c r="AF71">
        <v>8</v>
      </c>
      <c r="AG71" s="1">
        <v>5.9190386184652802E-10</v>
      </c>
      <c r="AH71">
        <v>0.81846930629065595</v>
      </c>
    </row>
    <row r="72" spans="2:34" x14ac:dyDescent="0.2">
      <c r="D72">
        <v>9</v>
      </c>
      <c r="E72" s="1">
        <v>9.1858503001200499E-7</v>
      </c>
      <c r="F72">
        <v>0.99958217301913399</v>
      </c>
      <c r="G72">
        <v>9</v>
      </c>
      <c r="H72" s="1">
        <v>9.2577562016806697E-7</v>
      </c>
      <c r="I72">
        <v>0.99975280152827095</v>
      </c>
      <c r="J72">
        <v>9</v>
      </c>
      <c r="K72" s="1">
        <v>9.0351804561824695E-7</v>
      </c>
      <c r="L72">
        <v>0.99961196154731902</v>
      </c>
      <c r="M72">
        <v>9</v>
      </c>
      <c r="N72" s="1">
        <v>9.2616656374549801E-7</v>
      </c>
      <c r="O72">
        <v>0.99957851199008296</v>
      </c>
      <c r="P72">
        <v>9</v>
      </c>
      <c r="Q72" s="1">
        <v>9.5275778487395004E-7</v>
      </c>
      <c r="R72">
        <v>0.99805265621118</v>
      </c>
      <c r="T72">
        <v>9</v>
      </c>
      <c r="U72" s="1">
        <v>6.7200699842499198E-10</v>
      </c>
      <c r="V72">
        <v>0.80470393437919796</v>
      </c>
      <c r="W72">
        <v>9</v>
      </c>
      <c r="X72" s="1">
        <v>9.9645316282906504E-10</v>
      </c>
      <c r="Y72">
        <v>0.91584296358815198</v>
      </c>
      <c r="Z72">
        <v>9</v>
      </c>
      <c r="AA72" s="1">
        <v>1.1078780919523E-9</v>
      </c>
      <c r="AB72">
        <v>0.90238915703823197</v>
      </c>
      <c r="AC72">
        <v>9</v>
      </c>
      <c r="AD72" s="1">
        <v>9.3937502587566703E-10</v>
      </c>
      <c r="AE72">
        <v>0.85458146721177097</v>
      </c>
      <c r="AF72">
        <v>9</v>
      </c>
      <c r="AG72" s="1">
        <v>1.0627941386034601E-9</v>
      </c>
      <c r="AH72">
        <v>0.94713327475569498</v>
      </c>
    </row>
    <row r="73" spans="2:34" x14ac:dyDescent="0.2">
      <c r="D73">
        <v>10</v>
      </c>
      <c r="E73" s="1">
        <v>9.0989062472989204E-7</v>
      </c>
      <c r="F73">
        <v>0.99911210861194399</v>
      </c>
      <c r="G73">
        <v>10</v>
      </c>
      <c r="H73" s="1">
        <v>9.3576396494597703E-7</v>
      </c>
      <c r="I73">
        <v>0.99961858719733698</v>
      </c>
      <c r="J73">
        <v>10</v>
      </c>
      <c r="K73" s="1">
        <v>9.835255318127251E-7</v>
      </c>
      <c r="L73">
        <v>0.99971067445957196</v>
      </c>
      <c r="M73">
        <v>10</v>
      </c>
      <c r="N73" s="1">
        <v>9.1809300312124797E-7</v>
      </c>
      <c r="O73">
        <v>0.99879015058402798</v>
      </c>
      <c r="P73">
        <v>10</v>
      </c>
      <c r="Q73" s="1">
        <v>9.2319837454982003E-7</v>
      </c>
      <c r="R73">
        <v>0.99959330540656199</v>
      </c>
      <c r="T73">
        <v>10</v>
      </c>
      <c r="U73" s="1">
        <v>1.0258370441761E-9</v>
      </c>
      <c r="V73">
        <v>0.90829091023035902</v>
      </c>
      <c r="W73">
        <v>10</v>
      </c>
      <c r="X73" s="1">
        <v>7.6089791794794395E-10</v>
      </c>
      <c r="Y73">
        <v>0.89536596345892105</v>
      </c>
      <c r="Z73">
        <v>10</v>
      </c>
      <c r="AA73" s="1">
        <v>9.8765318532963005E-10</v>
      </c>
      <c r="AB73">
        <v>0.92300558000821697</v>
      </c>
      <c r="AC73">
        <v>10</v>
      </c>
      <c r="AD73" s="1">
        <v>8.0774442811069697E-10</v>
      </c>
      <c r="AE73">
        <v>0.91883580135630605</v>
      </c>
      <c r="AF73">
        <v>10</v>
      </c>
      <c r="AG73" s="1">
        <v>1.32546951323784E-9</v>
      </c>
      <c r="AH73">
        <v>0.91722695100752505</v>
      </c>
    </row>
    <row r="74" spans="2:34" x14ac:dyDescent="0.2">
      <c r="D74" t="s">
        <v>21</v>
      </c>
      <c r="E74" s="1">
        <v>9.28480525138055E-7</v>
      </c>
      <c r="F74" s="1">
        <v>1.6932328785188499E-8</v>
      </c>
      <c r="G74" t="s">
        <v>21</v>
      </c>
      <c r="H74" s="1">
        <v>9.3287339356542598E-7</v>
      </c>
      <c r="I74" s="1">
        <v>2.3022572147803801E-8</v>
      </c>
      <c r="J74" t="s">
        <v>21</v>
      </c>
      <c r="K74" s="1">
        <v>9.5250946660264099E-7</v>
      </c>
      <c r="L74" s="1">
        <v>2.7852950087786801E-8</v>
      </c>
      <c r="M74" t="s">
        <v>21</v>
      </c>
      <c r="N74" s="1">
        <v>9.2036184686674604E-7</v>
      </c>
      <c r="O74" s="1">
        <v>1.7698755270131602E-8</v>
      </c>
      <c r="P74" t="s">
        <v>21</v>
      </c>
      <c r="Q74" s="1">
        <v>9.3993075188475402E-7</v>
      </c>
      <c r="R74" s="1">
        <v>1.9812295837386702E-8</v>
      </c>
      <c r="T74" t="s">
        <v>21</v>
      </c>
      <c r="U74" s="1">
        <v>6.6688374049351404E-10</v>
      </c>
      <c r="V74" s="1">
        <v>3.3627576882254798E-10</v>
      </c>
      <c r="W74" t="s">
        <v>21</v>
      </c>
      <c r="X74" s="1">
        <v>1.0664833345083599E-9</v>
      </c>
      <c r="Y74" s="1">
        <v>1.72659437777087E-10</v>
      </c>
      <c r="Z74" t="s">
        <v>21</v>
      </c>
      <c r="AA74" s="1">
        <v>1.1150404789619799E-9</v>
      </c>
      <c r="AB74" s="1">
        <v>1.40550376641984E-10</v>
      </c>
      <c r="AC74" t="s">
        <v>21</v>
      </c>
      <c r="AD74" s="1">
        <v>9.9959043943598809E-10</v>
      </c>
      <c r="AE74" s="1">
        <v>2.6125747566279802E-10</v>
      </c>
      <c r="AF74" t="s">
        <v>21</v>
      </c>
      <c r="AG74" s="1">
        <v>9.1988949808744599E-10</v>
      </c>
      <c r="AH74" s="1">
        <v>3.0410427909606101E-10</v>
      </c>
    </row>
    <row r="75" spans="2:34" x14ac:dyDescent="0.2">
      <c r="F75" s="4">
        <f>F74/E74</f>
        <v>1.8236600905194911E-2</v>
      </c>
      <c r="I75" s="4">
        <f>I74/H74</f>
        <v>2.4679203315909705E-2</v>
      </c>
      <c r="L75" s="4">
        <f>L74/K74</f>
        <v>2.9241651725658107E-2</v>
      </c>
      <c r="O75" s="4">
        <f>O74/N74</f>
        <v>1.9230213997228095E-2</v>
      </c>
      <c r="R75" s="4">
        <f>R74/Q74</f>
        <v>2.1078463277915935E-2</v>
      </c>
      <c r="V75" s="4">
        <f>V74/U74</f>
        <v>0.50424946419250494</v>
      </c>
      <c r="Y75" s="4">
        <f>Y74/X74</f>
        <v>0.16189604862103316</v>
      </c>
      <c r="AB75" s="4">
        <f>AB74/AA74</f>
        <v>0.12604957335075942</v>
      </c>
      <c r="AE75" s="4">
        <f>AE74/AD74</f>
        <v>0.26136452026312967</v>
      </c>
      <c r="AH75" s="4">
        <f>AH74/AG74</f>
        <v>0.33058783661334118</v>
      </c>
    </row>
    <row r="77" spans="2:34" x14ac:dyDescent="0.2">
      <c r="B77" t="s">
        <v>25</v>
      </c>
      <c r="D77" t="s">
        <v>0</v>
      </c>
      <c r="E77" s="2"/>
      <c r="F77" s="2"/>
      <c r="G77" s="2" t="s">
        <v>1</v>
      </c>
      <c r="H77" s="2"/>
      <c r="I77" s="2"/>
      <c r="J77" s="1" t="s">
        <v>2</v>
      </c>
      <c r="M77" s="2" t="s">
        <v>3</v>
      </c>
      <c r="N77" s="2"/>
      <c r="O77" s="2"/>
      <c r="P77" s="2" t="s">
        <v>4</v>
      </c>
      <c r="Q77" s="2"/>
      <c r="R77" s="1"/>
      <c r="T77" t="s">
        <v>5</v>
      </c>
      <c r="U77" s="2"/>
      <c r="V77" s="2"/>
      <c r="W77" s="2" t="s">
        <v>6</v>
      </c>
      <c r="X77" s="2"/>
      <c r="Y77" s="2"/>
      <c r="Z77" s="1" t="s">
        <v>7</v>
      </c>
      <c r="AC77" s="2" t="s">
        <v>8</v>
      </c>
      <c r="AD77" s="2"/>
      <c r="AE77" s="2"/>
      <c r="AF77" s="2" t="s">
        <v>9</v>
      </c>
      <c r="AG77" s="2"/>
      <c r="AH77" s="1"/>
    </row>
    <row r="78" spans="2:34" x14ac:dyDescent="0.2">
      <c r="D78">
        <v>1</v>
      </c>
      <c r="E78" s="2">
        <v>7.0811810324129604E-7</v>
      </c>
      <c r="F78" s="2">
        <v>0.99951852628558702</v>
      </c>
      <c r="G78">
        <v>1</v>
      </c>
      <c r="H78" s="2">
        <v>7.0345847106842696E-7</v>
      </c>
      <c r="I78" s="2">
        <v>0.99962546298330701</v>
      </c>
      <c r="J78">
        <v>1</v>
      </c>
      <c r="K78" s="1">
        <v>7.2323699111644697E-7</v>
      </c>
      <c r="L78">
        <v>0.999642850734904</v>
      </c>
      <c r="M78">
        <v>1</v>
      </c>
      <c r="N78" s="2">
        <v>7.0948338871548601E-7</v>
      </c>
      <c r="O78" s="2">
        <v>0.99885683803748504</v>
      </c>
      <c r="P78">
        <v>1</v>
      </c>
      <c r="Q78" s="2">
        <v>6.9698841344537899E-7</v>
      </c>
      <c r="R78" s="1">
        <v>0.99902250400290005</v>
      </c>
      <c r="T78">
        <v>1</v>
      </c>
      <c r="U78" s="2">
        <v>9.5670872271802997E-11</v>
      </c>
      <c r="V78" s="2">
        <v>0.11126863283758701</v>
      </c>
      <c r="W78">
        <v>1</v>
      </c>
      <c r="X78" s="2">
        <v>1.47949563489092E-10</v>
      </c>
      <c r="Y78" s="2">
        <v>0.375439030090295</v>
      </c>
      <c r="Z78">
        <v>1</v>
      </c>
      <c r="AA78" s="1">
        <v>1.03473720092986E-10</v>
      </c>
      <c r="AB78">
        <v>0.23411373725436299</v>
      </c>
      <c r="AC78">
        <v>1</v>
      </c>
      <c r="AD78" s="2">
        <v>2.2164378684468101E-10</v>
      </c>
      <c r="AE78" s="2">
        <v>0.50371107315708696</v>
      </c>
      <c r="AF78">
        <v>1</v>
      </c>
      <c r="AG78" s="2">
        <v>2.20127137178439E-10</v>
      </c>
      <c r="AH78" s="1">
        <v>0.58144803620943997</v>
      </c>
    </row>
    <row r="79" spans="2:34" x14ac:dyDescent="0.2">
      <c r="D79">
        <v>2</v>
      </c>
      <c r="E79" s="2">
        <v>7.1616583433373296E-7</v>
      </c>
      <c r="F79" s="2">
        <v>0.99915233321372798</v>
      </c>
      <c r="G79">
        <v>2</v>
      </c>
      <c r="H79" s="2">
        <v>6.3088232076830705E-7</v>
      </c>
      <c r="I79" s="2">
        <v>0.999205244711876</v>
      </c>
      <c r="J79">
        <v>2</v>
      </c>
      <c r="K79" s="1">
        <v>7.1977277551020405E-7</v>
      </c>
      <c r="L79">
        <v>0.99923771197937605</v>
      </c>
      <c r="M79">
        <v>2</v>
      </c>
      <c r="N79" s="2">
        <v>7.4393337046818805E-7</v>
      </c>
      <c r="O79" s="2">
        <v>0.99943152607223396</v>
      </c>
      <c r="P79">
        <v>2</v>
      </c>
      <c r="Q79" s="2">
        <v>7.0272386362544999E-7</v>
      </c>
      <c r="R79" s="1">
        <v>0.99968991872049995</v>
      </c>
      <c r="T79">
        <v>2</v>
      </c>
      <c r="U79" s="1">
        <v>3.2090264456612101E-10</v>
      </c>
      <c r="V79">
        <v>0.41520065877564799</v>
      </c>
      <c r="W79">
        <v>2</v>
      </c>
      <c r="X79" s="1">
        <v>3.3133468836720698E-10</v>
      </c>
      <c r="Y79">
        <v>0.68650405815373505</v>
      </c>
      <c r="Z79">
        <v>2</v>
      </c>
      <c r="AA79" s="1">
        <v>2.19255996400097E-11</v>
      </c>
      <c r="AB79">
        <v>8.2665439027089296E-3</v>
      </c>
      <c r="AC79">
        <v>2</v>
      </c>
      <c r="AD79" s="1">
        <v>1.84982621315535E-10</v>
      </c>
      <c r="AE79">
        <v>0.50847975441348903</v>
      </c>
      <c r="AF79">
        <v>2</v>
      </c>
      <c r="AG79" s="1">
        <v>6.5397635940894605E-11</v>
      </c>
      <c r="AH79">
        <v>0.106208038898638</v>
      </c>
    </row>
    <row r="80" spans="2:34" x14ac:dyDescent="0.2">
      <c r="D80">
        <v>3</v>
      </c>
      <c r="E80" s="2">
        <v>7.32952948859543E-7</v>
      </c>
      <c r="F80" s="2">
        <v>0.99901656585735299</v>
      </c>
      <c r="G80">
        <v>3</v>
      </c>
      <c r="H80" s="2">
        <v>7.2500901560624205E-7</v>
      </c>
      <c r="I80" s="2">
        <v>0.99975901759744301</v>
      </c>
      <c r="J80">
        <v>3</v>
      </c>
      <c r="K80" s="1">
        <v>7.0949258727490999E-7</v>
      </c>
      <c r="L80">
        <v>0.999102782797469</v>
      </c>
      <c r="M80">
        <v>3</v>
      </c>
      <c r="N80" s="2">
        <v>6.6727241584633895E-7</v>
      </c>
      <c r="O80" s="2">
        <v>0.99953968244957803</v>
      </c>
      <c r="P80">
        <v>3</v>
      </c>
      <c r="Q80" s="2">
        <v>7.0214378967586997E-7</v>
      </c>
      <c r="R80" s="1">
        <v>0.99940173096698703</v>
      </c>
      <c r="T80">
        <v>3</v>
      </c>
      <c r="U80" s="1">
        <v>2.8245111902799202E-10</v>
      </c>
      <c r="V80">
        <v>0.67952257639130798</v>
      </c>
      <c r="W80">
        <v>3</v>
      </c>
      <c r="X80" s="1">
        <v>2.39084302107593E-11</v>
      </c>
      <c r="Y80">
        <v>1.24754093166888E-2</v>
      </c>
      <c r="Z80">
        <v>3</v>
      </c>
      <c r="AA80" s="1">
        <v>1.1294272481810399E-10</v>
      </c>
      <c r="AB80">
        <v>0.184588059008716</v>
      </c>
      <c r="AC80">
        <v>3</v>
      </c>
      <c r="AD80" s="1">
        <v>4.5279008100201898E-10</v>
      </c>
      <c r="AE80">
        <v>0.73776331348145996</v>
      </c>
      <c r="AF80">
        <v>3</v>
      </c>
      <c r="AG80" s="1">
        <v>4.51027815195394E-10</v>
      </c>
      <c r="AH80">
        <v>0.86312697494524704</v>
      </c>
    </row>
    <row r="81" spans="2:34" x14ac:dyDescent="0.2">
      <c r="D81">
        <v>4</v>
      </c>
      <c r="E81" s="2">
        <v>7.3616360240096002E-7</v>
      </c>
      <c r="F81" s="2">
        <v>0.99883432972021002</v>
      </c>
      <c r="G81">
        <v>4</v>
      </c>
      <c r="H81" s="2">
        <v>7.3813262857142797E-7</v>
      </c>
      <c r="I81" s="2">
        <v>0.99912269559656397</v>
      </c>
      <c r="J81">
        <v>4</v>
      </c>
      <c r="K81" s="1">
        <v>7.2145305450180101E-7</v>
      </c>
      <c r="L81">
        <v>0.999119454801353</v>
      </c>
      <c r="M81">
        <v>4</v>
      </c>
      <c r="N81" s="2">
        <v>6.7508269051620697E-7</v>
      </c>
      <c r="O81" s="2">
        <v>0.99901019900620203</v>
      </c>
      <c r="P81">
        <v>4</v>
      </c>
      <c r="Q81" s="2">
        <v>6.9947362352941101E-7</v>
      </c>
      <c r="R81" s="1">
        <v>0.99868053068752805</v>
      </c>
      <c r="T81">
        <v>4</v>
      </c>
      <c r="U81" s="1">
        <v>1.9992578939473601E-10</v>
      </c>
      <c r="V81">
        <v>0.44350519592333498</v>
      </c>
      <c r="W81">
        <v>4</v>
      </c>
      <c r="X81" s="1">
        <v>2.5090170104253001E-10</v>
      </c>
      <c r="Y81">
        <v>0.62632964238357203</v>
      </c>
      <c r="Z81">
        <v>4</v>
      </c>
      <c r="AA81" s="1">
        <v>3.7810919897996502E-10</v>
      </c>
      <c r="AB81">
        <v>0.76150273509177802</v>
      </c>
      <c r="AC81">
        <v>4</v>
      </c>
      <c r="AD81" s="1">
        <v>2.1683263931598201E-10</v>
      </c>
      <c r="AE81">
        <v>0.53157251423455298</v>
      </c>
      <c r="AF81">
        <v>4</v>
      </c>
      <c r="AG81" s="1">
        <v>2.73105739893496E-10</v>
      </c>
      <c r="AH81">
        <v>0.61345069006316899</v>
      </c>
    </row>
    <row r="82" spans="2:34" x14ac:dyDescent="0.2">
      <c r="D82">
        <v>5</v>
      </c>
      <c r="E82" s="2">
        <v>7.4115165474189695E-7</v>
      </c>
      <c r="F82" s="2">
        <v>0.99969882929520204</v>
      </c>
      <c r="G82">
        <v>5</v>
      </c>
      <c r="H82" s="2">
        <v>7.0254421848739498E-7</v>
      </c>
      <c r="I82" s="2">
        <v>0.99960195980093203</v>
      </c>
      <c r="J82">
        <v>5</v>
      </c>
      <c r="K82" s="1">
        <v>7.1845695462184903E-7</v>
      </c>
      <c r="L82">
        <v>0.99960970010903905</v>
      </c>
      <c r="M82">
        <v>5</v>
      </c>
      <c r="N82" s="2">
        <v>6.6783683409363704E-7</v>
      </c>
      <c r="O82" s="2">
        <v>0.99874378891237103</v>
      </c>
      <c r="P82">
        <v>5</v>
      </c>
      <c r="Q82" s="2">
        <v>6.68113386314525E-7</v>
      </c>
      <c r="R82" s="1">
        <v>0.99855449320614698</v>
      </c>
      <c r="T82">
        <v>5</v>
      </c>
      <c r="U82" s="1">
        <v>-5.09395559890401E-12</v>
      </c>
      <c r="V82">
        <v>7.0890184223821196E-4</v>
      </c>
      <c r="W82">
        <v>5</v>
      </c>
      <c r="X82" s="1">
        <v>1.6802438835971201E-10</v>
      </c>
      <c r="Y82">
        <v>0.51315067860377195</v>
      </c>
      <c r="Z82">
        <v>5</v>
      </c>
      <c r="AA82" s="1">
        <v>3.3437673516837E-10</v>
      </c>
      <c r="AB82">
        <v>0.70198247152499504</v>
      </c>
      <c r="AC82">
        <v>5</v>
      </c>
      <c r="AD82" s="1">
        <v>2.36188985224622E-10</v>
      </c>
      <c r="AE82">
        <v>0.53386392060872701</v>
      </c>
      <c r="AF82">
        <v>5</v>
      </c>
      <c r="AG82" s="1">
        <v>6.7392967074177395E-11</v>
      </c>
      <c r="AH82">
        <v>0.116724529208551</v>
      </c>
    </row>
    <row r="83" spans="2:34" x14ac:dyDescent="0.2">
      <c r="D83">
        <v>6</v>
      </c>
      <c r="E83" s="1">
        <v>7.0215402737094804E-7</v>
      </c>
      <c r="F83" s="1">
        <v>0.99951189195162105</v>
      </c>
      <c r="G83">
        <v>6</v>
      </c>
      <c r="H83" s="1">
        <v>7.1002960048019197E-7</v>
      </c>
      <c r="I83" s="1">
        <v>0.99968920586801402</v>
      </c>
      <c r="J83">
        <v>6</v>
      </c>
      <c r="K83" s="1">
        <v>7.6680140024009605E-7</v>
      </c>
      <c r="L83" s="1">
        <v>0.99908495325188595</v>
      </c>
      <c r="M83">
        <v>6</v>
      </c>
      <c r="N83" s="1">
        <v>7.1901052869147597E-7</v>
      </c>
      <c r="O83" s="1">
        <v>0.99971593127710101</v>
      </c>
      <c r="P83">
        <v>6</v>
      </c>
      <c r="Q83" s="1">
        <v>6.7377546794717899E-7</v>
      </c>
      <c r="R83" s="1">
        <v>0.99896235111981602</v>
      </c>
      <c r="T83">
        <v>6</v>
      </c>
      <c r="U83" s="1">
        <v>5.6235858621465302E-10</v>
      </c>
      <c r="V83">
        <v>0.76526626145042798</v>
      </c>
      <c r="W83">
        <v>6</v>
      </c>
      <c r="X83" s="1">
        <v>1.44840490512269E-10</v>
      </c>
      <c r="Y83">
        <v>0.43392593025496501</v>
      </c>
      <c r="Z83">
        <v>6</v>
      </c>
      <c r="AA83" s="1">
        <v>-1.40652223805651E-11</v>
      </c>
      <c r="AB83">
        <v>6.6641437184124502E-3</v>
      </c>
      <c r="AC83">
        <v>6</v>
      </c>
      <c r="AD83" s="1">
        <v>1.04171272031809E-10</v>
      </c>
      <c r="AE83">
        <v>0.203627772522367</v>
      </c>
      <c r="AF83">
        <v>6</v>
      </c>
      <c r="AG83" s="1">
        <v>2.5805602715068697E-10</v>
      </c>
      <c r="AH83">
        <v>0.507089129028509</v>
      </c>
    </row>
    <row r="84" spans="2:34" x14ac:dyDescent="0.2">
      <c r="D84">
        <v>7</v>
      </c>
      <c r="E84" s="1">
        <v>7.1081293109243696E-7</v>
      </c>
      <c r="F84" s="3">
        <v>0.99987305365747203</v>
      </c>
      <c r="G84">
        <v>7</v>
      </c>
      <c r="H84" s="1">
        <v>7.0056216854741897E-7</v>
      </c>
      <c r="I84" s="3">
        <v>0.99949110962220999</v>
      </c>
      <c r="J84">
        <v>7</v>
      </c>
      <c r="K84" s="1">
        <v>7.0238137190876398E-7</v>
      </c>
      <c r="L84" s="3">
        <v>0.99865118784638696</v>
      </c>
      <c r="M84">
        <v>7</v>
      </c>
      <c r="N84" s="1">
        <v>6.5923822376950797E-7</v>
      </c>
      <c r="O84" s="3">
        <v>0.99914609151533795</v>
      </c>
      <c r="P84">
        <v>7</v>
      </c>
      <c r="Q84" s="1">
        <v>6.9741830300120098E-7</v>
      </c>
      <c r="R84" s="3">
        <v>0.999574226549375</v>
      </c>
      <c r="T84">
        <v>7</v>
      </c>
      <c r="U84" s="1">
        <v>6.24744717617935E-10</v>
      </c>
      <c r="V84">
        <v>0.89872613951908198</v>
      </c>
      <c r="W84">
        <v>7</v>
      </c>
      <c r="X84" s="1">
        <v>1.5843621315533599E-10</v>
      </c>
      <c r="Y84">
        <v>0.32308282872045602</v>
      </c>
      <c r="Z84">
        <v>7</v>
      </c>
      <c r="AA84" s="1">
        <v>6.2435342758568995E-10</v>
      </c>
      <c r="AB84">
        <v>0.84517821288958594</v>
      </c>
      <c r="AC84">
        <v>7</v>
      </c>
      <c r="AD84" s="1">
        <v>1.9087945173629E-10</v>
      </c>
      <c r="AE84">
        <v>0.52572229232115997</v>
      </c>
      <c r="AF84">
        <v>7</v>
      </c>
      <c r="AG84" s="1">
        <v>3.1354876996927202E-10</v>
      </c>
      <c r="AH84">
        <v>0.63275569382354402</v>
      </c>
    </row>
    <row r="85" spans="2:34" x14ac:dyDescent="0.2">
      <c r="D85">
        <v>8</v>
      </c>
      <c r="E85" s="1">
        <v>6.6860879231692803E-7</v>
      </c>
      <c r="F85">
        <v>0.99908367272060095</v>
      </c>
      <c r="G85">
        <v>8</v>
      </c>
      <c r="H85" s="1">
        <v>7.2646972100840396E-7</v>
      </c>
      <c r="I85">
        <v>0.99964647418423302</v>
      </c>
      <c r="J85">
        <v>8</v>
      </c>
      <c r="K85" s="1">
        <v>7.2167640288115203E-7</v>
      </c>
      <c r="L85">
        <v>0.99955933247941497</v>
      </c>
      <c r="M85">
        <v>8</v>
      </c>
      <c r="N85" s="1">
        <v>7.0635041632653104E-7</v>
      </c>
      <c r="O85">
        <v>0.99947753342794698</v>
      </c>
      <c r="P85">
        <v>8</v>
      </c>
      <c r="Q85" s="1">
        <v>7.0077691188475399E-7</v>
      </c>
      <c r="R85">
        <v>0.99965845197768</v>
      </c>
      <c r="T85">
        <v>8</v>
      </c>
      <c r="U85" s="1">
        <v>3.7219823295583401E-10</v>
      </c>
      <c r="V85">
        <v>0.72152763932500996</v>
      </c>
      <c r="W85">
        <v>8</v>
      </c>
      <c r="X85" s="1">
        <v>3.18699537988441E-10</v>
      </c>
      <c r="Y85">
        <v>0.70797853187284698</v>
      </c>
      <c r="Z85">
        <v>8</v>
      </c>
      <c r="AA85" s="1">
        <v>4.44888600465001E-10</v>
      </c>
      <c r="AB85">
        <v>0.80705432937324095</v>
      </c>
      <c r="AC85">
        <v>8</v>
      </c>
      <c r="AD85" s="1">
        <v>4.3361199954995898E-10</v>
      </c>
      <c r="AE85">
        <v>0.79318346008683904</v>
      </c>
      <c r="AF85">
        <v>8</v>
      </c>
      <c r="AG85" s="1">
        <v>3.2711972549313398E-10</v>
      </c>
      <c r="AH85">
        <v>0.67894960999161202</v>
      </c>
    </row>
    <row r="86" spans="2:34" x14ac:dyDescent="0.2">
      <c r="D86">
        <v>9</v>
      </c>
      <c r="E86" s="1">
        <v>6.8258311692677103E-7</v>
      </c>
      <c r="F86">
        <v>0.99936455253685497</v>
      </c>
      <c r="G86">
        <v>9</v>
      </c>
      <c r="H86" s="1">
        <v>6.7634340552220904E-7</v>
      </c>
      <c r="I86">
        <v>0.99927641182543403</v>
      </c>
      <c r="J86">
        <v>9</v>
      </c>
      <c r="K86" s="1">
        <v>7.2102131284513896E-7</v>
      </c>
      <c r="L86">
        <v>0.99945221384627203</v>
      </c>
      <c r="M86">
        <v>9</v>
      </c>
      <c r="N86" s="1">
        <v>6.7931215366146395E-7</v>
      </c>
      <c r="O86">
        <v>0.99934121890776295</v>
      </c>
      <c r="P86">
        <v>9</v>
      </c>
      <c r="Q86" s="1">
        <v>6.7037334165666296E-7</v>
      </c>
      <c r="R86">
        <v>0.99943760627793898</v>
      </c>
      <c r="T86">
        <v>9</v>
      </c>
      <c r="U86" s="1">
        <v>3.3204334358353402E-11</v>
      </c>
      <c r="V86">
        <v>3.2451502786347501E-2</v>
      </c>
      <c r="W86">
        <v>9</v>
      </c>
      <c r="X86" s="1">
        <v>2.5142555388884899E-10</v>
      </c>
      <c r="Y86">
        <v>0.60660220719955105</v>
      </c>
      <c r="Z86">
        <v>9</v>
      </c>
      <c r="AA86" s="1">
        <v>5.5485569939249101E-10</v>
      </c>
      <c r="AB86">
        <v>0.87687691662320399</v>
      </c>
      <c r="AC86">
        <v>9</v>
      </c>
      <c r="AD86" s="1">
        <v>2.5830918322959702E-10</v>
      </c>
      <c r="AE86">
        <v>0.60920357719010798</v>
      </c>
      <c r="AF86">
        <v>9</v>
      </c>
      <c r="AG86" s="1">
        <v>3.6429048226204802E-10</v>
      </c>
      <c r="AH86">
        <v>0.72784902831645104</v>
      </c>
    </row>
    <row r="87" spans="2:34" x14ac:dyDescent="0.2">
      <c r="D87">
        <v>10</v>
      </c>
      <c r="E87" s="1">
        <v>6.7437191116446597E-7</v>
      </c>
      <c r="F87">
        <v>0.99955643323096799</v>
      </c>
      <c r="G87">
        <v>10</v>
      </c>
      <c r="H87" s="1">
        <v>7.2882867659063497E-7</v>
      </c>
      <c r="I87">
        <v>0.99938975973348099</v>
      </c>
      <c r="J87">
        <v>10</v>
      </c>
      <c r="K87" s="1">
        <v>7.2850533589435802E-7</v>
      </c>
      <c r="L87">
        <v>0.99917067989598995</v>
      </c>
      <c r="M87">
        <v>10</v>
      </c>
      <c r="N87" s="1">
        <v>6.78343450180072E-7</v>
      </c>
      <c r="O87">
        <v>0.99947297542791402</v>
      </c>
      <c r="P87">
        <v>10</v>
      </c>
      <c r="Q87" s="1">
        <v>7.0378756062424901E-7</v>
      </c>
      <c r="R87">
        <v>0.99966804389654795</v>
      </c>
      <c r="T87">
        <v>10</v>
      </c>
      <c r="U87" s="1">
        <v>2.4842520738017699E-10</v>
      </c>
      <c r="V87">
        <v>0.59461228854109105</v>
      </c>
      <c r="W87">
        <v>10</v>
      </c>
      <c r="X87" s="1">
        <v>3.9701782569563901E-10</v>
      </c>
      <c r="Y87">
        <v>0.77517283410511795</v>
      </c>
      <c r="Z87">
        <v>10</v>
      </c>
      <c r="AA87" s="1">
        <v>1.5918188104701401E-10</v>
      </c>
      <c r="AB87">
        <v>0.38561397283867899</v>
      </c>
      <c r="AC87">
        <v>10</v>
      </c>
      <c r="AD87" s="1">
        <v>2.7026812045299098E-10</v>
      </c>
      <c r="AE87">
        <v>0.54240985077120196</v>
      </c>
      <c r="AF87">
        <v>10</v>
      </c>
      <c r="AG87" s="1">
        <v>2.8705350558765202E-10</v>
      </c>
      <c r="AH87">
        <v>0.73805587600179301</v>
      </c>
    </row>
    <row r="88" spans="2:34" x14ac:dyDescent="0.2">
      <c r="D88" t="s">
        <v>21</v>
      </c>
      <c r="E88" s="1">
        <v>7.0730829224489797E-7</v>
      </c>
      <c r="F88" s="1">
        <v>2.57064671836988E-8</v>
      </c>
      <c r="G88" t="s">
        <v>21</v>
      </c>
      <c r="H88" s="1">
        <v>7.0422602266506605E-7</v>
      </c>
      <c r="I88" s="1">
        <v>3.1427032429115399E-8</v>
      </c>
      <c r="J88" t="s">
        <v>21</v>
      </c>
      <c r="K88" s="1">
        <v>7.2327981867947202E-7</v>
      </c>
      <c r="L88" s="1">
        <v>1.6979847469634901E-8</v>
      </c>
      <c r="M88" t="s">
        <v>21</v>
      </c>
      <c r="N88" s="1">
        <v>6.9058634722689104E-7</v>
      </c>
      <c r="O88" s="1">
        <v>2.7528948320728401E-8</v>
      </c>
      <c r="P88" t="s">
        <v>21</v>
      </c>
      <c r="Q88" s="1">
        <v>6.9155746617046797E-7</v>
      </c>
      <c r="R88" s="1">
        <v>1.45771269979257E-8</v>
      </c>
      <c r="T88" t="s">
        <v>21</v>
      </c>
      <c r="U88" s="1">
        <v>2.7347875481886999E-10</v>
      </c>
      <c r="V88" s="1">
        <v>2.0867367181672401E-10</v>
      </c>
      <c r="W88" t="s">
        <v>21</v>
      </c>
      <c r="X88" s="1">
        <v>2.1925383927098299E-10</v>
      </c>
      <c r="Y88" s="1">
        <v>1.1115200818872101E-10</v>
      </c>
      <c r="Z88" t="s">
        <v>21</v>
      </c>
      <c r="AA88" s="1">
        <v>2.7200423648090599E-10</v>
      </c>
      <c r="AB88" s="1">
        <v>2.26077553247806E-10</v>
      </c>
      <c r="AC88" t="s">
        <v>21</v>
      </c>
      <c r="AD88" s="1">
        <v>2.5696781407034802E-10</v>
      </c>
      <c r="AE88" s="1">
        <v>1.0848191229785301E-10</v>
      </c>
      <c r="AF88" t="s">
        <v>21</v>
      </c>
      <c r="AG88" s="1">
        <v>2.6271198057451901E-10</v>
      </c>
      <c r="AH88" s="1">
        <v>1.2116652307673801E-10</v>
      </c>
    </row>
    <row r="89" spans="2:34" x14ac:dyDescent="0.2">
      <c r="F89" s="4">
        <f>F88/E88</f>
        <v>3.6344077208695029E-2</v>
      </c>
      <c r="I89" s="4">
        <f>I88/H88</f>
        <v>4.4626343556835979E-2</v>
      </c>
      <c r="L89" s="4">
        <f>L88/K88</f>
        <v>2.3476180353871692E-2</v>
      </c>
      <c r="O89" s="4">
        <f>O88/N88</f>
        <v>3.9863151698948676E-2</v>
      </c>
      <c r="R89" s="4">
        <f>R88/Q88</f>
        <v>2.1078692243245132E-2</v>
      </c>
      <c r="U89" t="s">
        <v>32</v>
      </c>
      <c r="V89" s="4">
        <f>V88/U88</f>
        <v>0.76303430573586029</v>
      </c>
      <c r="Y89" s="4">
        <f>Y88/X88</f>
        <v>0.50695581230550135</v>
      </c>
      <c r="AB89" s="4">
        <f>AB88/AA88</f>
        <v>0.83115452969673165</v>
      </c>
      <c r="AE89" s="4">
        <f>AE88/AD88</f>
        <v>0.42216147843385077</v>
      </c>
      <c r="AH89" s="4">
        <f>AH88/AG88</f>
        <v>0.46121430325241208</v>
      </c>
    </row>
    <row r="90" spans="2:34" x14ac:dyDescent="0.2">
      <c r="U90" t="s">
        <v>33</v>
      </c>
      <c r="V90" s="4">
        <f>(V88/SQRT(10))/U88</f>
        <v>0.24129263389705996</v>
      </c>
      <c r="Y90" s="4">
        <f>(Y88/SQRT(10))/X88</f>
        <v>0.16031350399462005</v>
      </c>
      <c r="AB90" s="4">
        <f>(AB88/SQRT(10))/AA88</f>
        <v>0.262834140140773</v>
      </c>
      <c r="AE90" s="4">
        <f>(AE88/SQRT(10))/AD88</f>
        <v>0.13349918122350216</v>
      </c>
      <c r="AH90" s="4">
        <f>(AH88/SQRT(10))/AG88</f>
        <v>0.14584876877252267</v>
      </c>
    </row>
    <row r="91" spans="2:34" x14ac:dyDescent="0.2">
      <c r="B91" t="s">
        <v>24</v>
      </c>
      <c r="D91" t="s">
        <v>0</v>
      </c>
      <c r="E91" s="2"/>
      <c r="F91" s="2"/>
      <c r="G91" s="2" t="s">
        <v>1</v>
      </c>
      <c r="H91" s="2"/>
      <c r="I91" s="2"/>
      <c r="J91" s="1" t="s">
        <v>2</v>
      </c>
      <c r="M91" s="2" t="s">
        <v>3</v>
      </c>
      <c r="N91" s="2"/>
      <c r="O91" s="2"/>
      <c r="P91" s="2" t="s">
        <v>4</v>
      </c>
      <c r="Q91" s="2"/>
      <c r="R91" s="1"/>
      <c r="T91" t="s">
        <v>5</v>
      </c>
      <c r="U91" s="2"/>
      <c r="V91" s="2"/>
      <c r="W91" s="2" t="s">
        <v>6</v>
      </c>
      <c r="X91" s="2"/>
      <c r="Y91" s="2"/>
      <c r="Z91" s="1" t="s">
        <v>7</v>
      </c>
      <c r="AC91" s="2" t="s">
        <v>8</v>
      </c>
      <c r="AD91" s="2"/>
      <c r="AE91" s="2"/>
      <c r="AF91" s="2" t="s">
        <v>9</v>
      </c>
      <c r="AG91" s="2"/>
      <c r="AH91" s="1"/>
    </row>
    <row r="92" spans="2:34" x14ac:dyDescent="0.2">
      <c r="D92">
        <v>1</v>
      </c>
      <c r="E92" s="2">
        <v>4.9410042304922004E-7</v>
      </c>
      <c r="F92" s="2">
        <v>0.99962224252360399</v>
      </c>
      <c r="G92">
        <v>1</v>
      </c>
      <c r="H92" s="2">
        <v>5.0291089843937602E-7</v>
      </c>
      <c r="I92" s="2">
        <v>0.99886870454197896</v>
      </c>
      <c r="J92">
        <v>1</v>
      </c>
      <c r="K92" s="1">
        <v>4.9441135870348097E-7</v>
      </c>
      <c r="L92">
        <v>0.99804051924529602</v>
      </c>
      <c r="M92">
        <v>1</v>
      </c>
      <c r="N92" s="2">
        <v>4.8921254453781604E-7</v>
      </c>
      <c r="O92" s="2">
        <v>0.99838615002585696</v>
      </c>
      <c r="P92">
        <v>1</v>
      </c>
      <c r="Q92" s="2">
        <v>4.8254555726290496E-7</v>
      </c>
      <c r="R92" s="1">
        <v>0.99975514560637202</v>
      </c>
      <c r="T92">
        <v>1</v>
      </c>
      <c r="U92" s="2">
        <v>3.6444626115651999E-11</v>
      </c>
      <c r="V92" s="2">
        <v>4.0570680133292097E-2</v>
      </c>
      <c r="W92">
        <v>1</v>
      </c>
      <c r="X92" s="2">
        <v>1.5488822845570699E-10</v>
      </c>
      <c r="Y92" s="2">
        <v>0.419377363998852</v>
      </c>
      <c r="Z92">
        <v>1</v>
      </c>
      <c r="AA92" s="1">
        <v>9.8968835220884199E-11</v>
      </c>
      <c r="AB92">
        <v>0.27254449164425998</v>
      </c>
      <c r="AC92">
        <v>1</v>
      </c>
      <c r="AD92" s="2">
        <v>1.05808462461545E-10</v>
      </c>
      <c r="AE92" s="2">
        <v>0.31563659817001999</v>
      </c>
      <c r="AF92">
        <v>1</v>
      </c>
      <c r="AG92" s="2">
        <v>3.1284047851185702E-11</v>
      </c>
      <c r="AH92" s="1">
        <v>3.6588573029279897E-2</v>
      </c>
    </row>
    <row r="93" spans="2:34" x14ac:dyDescent="0.2">
      <c r="D93">
        <v>2</v>
      </c>
      <c r="E93" s="2">
        <v>4.8390736230492197E-7</v>
      </c>
      <c r="F93" s="2">
        <v>0.99806686482583895</v>
      </c>
      <c r="G93">
        <v>2</v>
      </c>
      <c r="H93" s="2">
        <v>4.9931646429771899E-7</v>
      </c>
      <c r="I93" s="2">
        <v>0.99848232389555303</v>
      </c>
      <c r="J93">
        <v>2</v>
      </c>
      <c r="K93" s="1">
        <v>5.0221358751500597E-7</v>
      </c>
      <c r="L93">
        <v>0.99940546057753099</v>
      </c>
      <c r="M93">
        <v>2</v>
      </c>
      <c r="N93" s="2">
        <v>4.5152373061224498E-7</v>
      </c>
      <c r="O93" s="2">
        <v>0.99932273147516604</v>
      </c>
      <c r="P93">
        <v>2</v>
      </c>
      <c r="Q93" s="2">
        <v>4.8711204705882404E-7</v>
      </c>
      <c r="R93" s="1">
        <v>0.99849754405911295</v>
      </c>
      <c r="T93">
        <v>2</v>
      </c>
      <c r="U93" s="1">
        <v>1.39049399234982E-10</v>
      </c>
      <c r="V93">
        <v>0.42059794901738401</v>
      </c>
      <c r="W93">
        <v>2</v>
      </c>
      <c r="X93" s="1">
        <v>6.9687767194237996E-12</v>
      </c>
      <c r="Y93">
        <v>2.2072921363594199E-3</v>
      </c>
      <c r="Z93">
        <v>2</v>
      </c>
      <c r="AA93" s="1">
        <v>8.0991105527637905E-11</v>
      </c>
      <c r="AB93">
        <v>0.209855138890891</v>
      </c>
      <c r="AC93">
        <v>2</v>
      </c>
      <c r="AD93" s="1">
        <v>2.2615778894468399E-11</v>
      </c>
      <c r="AE93">
        <v>1.9898980991256799E-2</v>
      </c>
      <c r="AF93">
        <v>2</v>
      </c>
      <c r="AG93" s="1">
        <v>2.1812434560863801E-11</v>
      </c>
      <c r="AH93">
        <v>2.0582805074335599E-2</v>
      </c>
    </row>
    <row r="94" spans="2:34" x14ac:dyDescent="0.2">
      <c r="D94">
        <v>3</v>
      </c>
      <c r="E94" s="2">
        <v>4.5956851284513801E-7</v>
      </c>
      <c r="F94" s="2">
        <v>0.99841892964889001</v>
      </c>
      <c r="G94">
        <v>3</v>
      </c>
      <c r="H94" s="2">
        <v>5.1083962545018002E-7</v>
      </c>
      <c r="I94" s="2">
        <v>0.99914501633776598</v>
      </c>
      <c r="J94">
        <v>3</v>
      </c>
      <c r="K94" s="1">
        <v>4.6272182007202902E-7</v>
      </c>
      <c r="L94">
        <v>0.99947658500328895</v>
      </c>
      <c r="M94">
        <v>3</v>
      </c>
      <c r="N94" s="2">
        <v>4.9307244225690199E-7</v>
      </c>
      <c r="O94" s="2">
        <v>0.99843107930083697</v>
      </c>
      <c r="P94">
        <v>3</v>
      </c>
      <c r="Q94" s="2">
        <v>4.7896519231692705E-7</v>
      </c>
      <c r="R94" s="1">
        <v>0.99913538941500002</v>
      </c>
      <c r="T94">
        <v>3</v>
      </c>
      <c r="U94" s="1">
        <v>1.11088344708632E-10</v>
      </c>
      <c r="V94">
        <v>0.25089969295081699</v>
      </c>
      <c r="W94">
        <v>3</v>
      </c>
      <c r="X94" s="1">
        <v>1.96705242631173E-11</v>
      </c>
      <c r="Y94">
        <v>1.7940748482912699E-2</v>
      </c>
      <c r="Z94">
        <v>3</v>
      </c>
      <c r="AA94" s="1">
        <v>7.9426888172252592E-12</v>
      </c>
      <c r="AB94">
        <v>3.2670726017845898E-3</v>
      </c>
      <c r="AC94">
        <v>3</v>
      </c>
      <c r="AD94" s="1">
        <v>-1.20653116328074E-11</v>
      </c>
      <c r="AE94">
        <v>6.0178025108822298E-3</v>
      </c>
      <c r="AF94">
        <v>3</v>
      </c>
      <c r="AG94" s="1">
        <v>-6.9508595214747996E-12</v>
      </c>
      <c r="AH94">
        <v>2.2781814621986298E-3</v>
      </c>
    </row>
    <row r="95" spans="2:34" x14ac:dyDescent="0.2">
      <c r="D95">
        <v>4</v>
      </c>
      <c r="E95" s="2">
        <v>4.8367408595438202E-7</v>
      </c>
      <c r="F95" s="2">
        <v>0.99938194368337796</v>
      </c>
      <c r="G95">
        <v>4</v>
      </c>
      <c r="H95" s="2">
        <v>4.9895157358943603E-7</v>
      </c>
      <c r="I95" s="2">
        <v>0.99937482390430599</v>
      </c>
      <c r="J95">
        <v>4</v>
      </c>
      <c r="K95" s="1">
        <v>4.9899397839135704E-7</v>
      </c>
      <c r="L95">
        <v>0.998947774441867</v>
      </c>
      <c r="M95">
        <v>4</v>
      </c>
      <c r="N95" s="2">
        <v>4.7908887726290504E-7</v>
      </c>
      <c r="O95" s="2">
        <v>0.99957964439923197</v>
      </c>
      <c r="P95">
        <v>4</v>
      </c>
      <c r="Q95" s="2">
        <v>5.02413612484994E-7</v>
      </c>
      <c r="R95" s="1">
        <v>0.99916698965723805</v>
      </c>
      <c r="T95">
        <v>4</v>
      </c>
      <c r="U95" s="1">
        <v>-1.3134140853409599E-12</v>
      </c>
      <c r="V95" s="1">
        <v>8.4166484222654005E-5</v>
      </c>
      <c r="W95">
        <v>4</v>
      </c>
      <c r="X95" s="1">
        <v>3.72314940373368E-11</v>
      </c>
      <c r="Y95">
        <v>4.8131200720297002E-2</v>
      </c>
      <c r="Z95">
        <v>4</v>
      </c>
      <c r="AA95" s="1">
        <v>7.4215180378275596E-13</v>
      </c>
      <c r="AB95" s="1">
        <v>2.6845579199492199E-5</v>
      </c>
      <c r="AC95">
        <v>4</v>
      </c>
      <c r="AD95" s="1">
        <v>-9.0184737118519207E-12</v>
      </c>
      <c r="AE95">
        <v>3.3545829145208701E-3</v>
      </c>
      <c r="AF95">
        <v>4</v>
      </c>
      <c r="AG95" s="1">
        <v>1.58641063526383E-11</v>
      </c>
      <c r="AH95">
        <v>1.22154601677155E-2</v>
      </c>
    </row>
    <row r="96" spans="2:34" x14ac:dyDescent="0.2">
      <c r="D96">
        <v>5</v>
      </c>
      <c r="E96" s="2">
        <v>4.5001691956782801E-7</v>
      </c>
      <c r="F96" s="2">
        <v>0.99968858253017101</v>
      </c>
      <c r="G96">
        <v>5</v>
      </c>
      <c r="H96" s="2">
        <v>5.0007974645858395E-7</v>
      </c>
      <c r="I96" s="2">
        <v>0.99877176885533403</v>
      </c>
      <c r="J96">
        <v>5</v>
      </c>
      <c r="K96" s="1">
        <v>4.9702617430972304E-7</v>
      </c>
      <c r="L96">
        <v>0.99967899064283905</v>
      </c>
      <c r="M96">
        <v>5</v>
      </c>
      <c r="N96" s="2">
        <v>5.0680026122449005E-7</v>
      </c>
      <c r="O96" s="2">
        <v>0.99943265979062301</v>
      </c>
      <c r="P96">
        <v>5</v>
      </c>
      <c r="Q96" s="2">
        <v>4.5996096182472998E-7</v>
      </c>
      <c r="R96" s="1">
        <v>0.99734062897387699</v>
      </c>
      <c r="T96">
        <v>5</v>
      </c>
      <c r="U96" s="1">
        <v>-8.2875571892962996E-14</v>
      </c>
      <c r="V96" s="1">
        <v>2.93291049159002E-7</v>
      </c>
      <c r="W96">
        <v>5</v>
      </c>
      <c r="X96" s="1">
        <v>7.1192180304523499E-11</v>
      </c>
      <c r="Y96">
        <v>0.168065678454492</v>
      </c>
      <c r="Z96">
        <v>5</v>
      </c>
      <c r="AA96" s="1">
        <v>2.9484134928373702E-10</v>
      </c>
      <c r="AB96">
        <v>0.70491508789564195</v>
      </c>
      <c r="AC96">
        <v>5</v>
      </c>
      <c r="AD96" s="1">
        <v>8.1245273381844894E-11</v>
      </c>
      <c r="AE96">
        <v>0.21974519938567999</v>
      </c>
      <c r="AF96">
        <v>5</v>
      </c>
      <c r="AG96" s="1">
        <v>1.3459714992872201E-11</v>
      </c>
      <c r="AH96">
        <v>8.3266774706445904E-3</v>
      </c>
    </row>
    <row r="97" spans="2:34" x14ac:dyDescent="0.2">
      <c r="D97">
        <v>6</v>
      </c>
      <c r="E97" s="1">
        <v>4.6830018775510199E-7</v>
      </c>
      <c r="F97" s="1">
        <v>0.99955934182688999</v>
      </c>
      <c r="G97">
        <v>6</v>
      </c>
      <c r="H97" s="1">
        <v>4.8781735462184899E-7</v>
      </c>
      <c r="I97" s="1">
        <v>0.99918773439259601</v>
      </c>
      <c r="J97">
        <v>6</v>
      </c>
      <c r="K97" s="1">
        <v>5.2551630972388999E-7</v>
      </c>
      <c r="L97" s="1">
        <v>0.99875590443308304</v>
      </c>
      <c r="M97">
        <v>6</v>
      </c>
      <c r="N97" s="1">
        <v>4.7891736134453696E-7</v>
      </c>
      <c r="O97" s="1">
        <v>0.99931302292027002</v>
      </c>
      <c r="P97">
        <v>6</v>
      </c>
      <c r="Q97" s="1">
        <v>4.7179029915966401E-7</v>
      </c>
      <c r="R97" s="1">
        <v>0.99708361199571505</v>
      </c>
      <c r="T97">
        <v>6</v>
      </c>
      <c r="U97" s="1">
        <v>1.7549830045751801E-10</v>
      </c>
      <c r="V97">
        <v>0.53315010868187396</v>
      </c>
      <c r="W97">
        <v>6</v>
      </c>
      <c r="X97" s="1">
        <v>-7.17763369083002E-12</v>
      </c>
      <c r="Y97">
        <v>1.9701510582217402E-3</v>
      </c>
      <c r="Z97">
        <v>6</v>
      </c>
      <c r="AA97" s="1">
        <v>-2.1492374559369401E-11</v>
      </c>
      <c r="AB97">
        <v>2.1722701147967E-2</v>
      </c>
      <c r="AC97">
        <v>6</v>
      </c>
      <c r="AD97" s="1">
        <v>1.02075639390998E-11</v>
      </c>
      <c r="AE97">
        <v>4.5986260875030497E-3</v>
      </c>
      <c r="AF97">
        <v>6</v>
      </c>
      <c r="AG97" s="1">
        <v>9.5900895522387E-11</v>
      </c>
      <c r="AH97">
        <v>0.28765067026364799</v>
      </c>
    </row>
    <row r="98" spans="2:34" x14ac:dyDescent="0.2">
      <c r="D98">
        <v>7</v>
      </c>
      <c r="E98" s="1">
        <v>5.0639683793517403E-7</v>
      </c>
      <c r="F98" s="3">
        <v>0.99891782606165203</v>
      </c>
      <c r="G98">
        <v>7</v>
      </c>
      <c r="H98" s="1">
        <v>5.0849514117647099E-7</v>
      </c>
      <c r="I98" s="3">
        <v>0.99836713359635498</v>
      </c>
      <c r="J98">
        <v>7</v>
      </c>
      <c r="K98" s="1">
        <v>4.8048215078031199E-7</v>
      </c>
      <c r="L98" s="3">
        <v>0.99917924716472395</v>
      </c>
      <c r="M98">
        <v>7</v>
      </c>
      <c r="N98" s="1">
        <v>5.0407557503001195E-7</v>
      </c>
      <c r="O98" s="3">
        <v>0.99955140780943497</v>
      </c>
      <c r="P98">
        <v>7</v>
      </c>
      <c r="Q98" s="1">
        <v>4.8995268859543798E-7</v>
      </c>
      <c r="R98" s="3">
        <v>0.99864655056865004</v>
      </c>
      <c r="T98">
        <v>7</v>
      </c>
      <c r="U98" s="1">
        <v>7.5394237605938305E-11</v>
      </c>
      <c r="V98">
        <v>0.18737536019075901</v>
      </c>
      <c r="W98">
        <v>7</v>
      </c>
      <c r="X98" s="1">
        <v>9.3186409660284408E-12</v>
      </c>
      <c r="Y98">
        <v>4.2801133146938399E-3</v>
      </c>
      <c r="Z98">
        <v>7</v>
      </c>
      <c r="AA98" s="1">
        <v>-7.3163781594525597E-12</v>
      </c>
      <c r="AB98">
        <v>3.1343656412424099E-3</v>
      </c>
      <c r="AC98">
        <v>7</v>
      </c>
      <c r="AD98" s="1">
        <v>1.57772969324492E-12</v>
      </c>
      <c r="AE98">
        <v>1.21097006889095E-4</v>
      </c>
      <c r="AF98">
        <v>7</v>
      </c>
      <c r="AG98" s="1">
        <v>6.6129489237234603E-11</v>
      </c>
      <c r="AH98">
        <v>0.16206144945585599</v>
      </c>
    </row>
    <row r="99" spans="2:34" x14ac:dyDescent="0.2">
      <c r="D99">
        <v>8</v>
      </c>
      <c r="E99" s="1">
        <v>4.9403246290516203E-7</v>
      </c>
      <c r="F99">
        <v>0.99874307952356001</v>
      </c>
      <c r="G99">
        <v>8</v>
      </c>
      <c r="H99" s="1">
        <v>5.0148022040816296E-7</v>
      </c>
      <c r="I99">
        <v>0.99916595770565697</v>
      </c>
      <c r="J99">
        <v>8</v>
      </c>
      <c r="K99" s="1">
        <v>5.3560011188475396E-7</v>
      </c>
      <c r="L99">
        <v>0.99858293354518102</v>
      </c>
      <c r="M99">
        <v>8</v>
      </c>
      <c r="N99" s="1">
        <v>4.6211065402160902E-7</v>
      </c>
      <c r="O99">
        <v>0.99961805432530204</v>
      </c>
      <c r="P99">
        <v>8</v>
      </c>
      <c r="Q99" s="1">
        <v>4.8318439567827203E-7</v>
      </c>
      <c r="R99">
        <v>0.99947628339272199</v>
      </c>
      <c r="T99">
        <v>8</v>
      </c>
      <c r="U99" s="1">
        <v>1.27079074476751E-11</v>
      </c>
      <c r="V99">
        <v>6.6530175183905603E-3</v>
      </c>
      <c r="W99">
        <v>8</v>
      </c>
      <c r="X99" s="1">
        <v>6.6752396310018601E-12</v>
      </c>
      <c r="Y99">
        <v>2.0989304775533798E-3</v>
      </c>
      <c r="Z99">
        <v>8</v>
      </c>
      <c r="AA99" s="1">
        <v>1.80040330008257E-10</v>
      </c>
      <c r="AB99">
        <v>0.46686569570630398</v>
      </c>
      <c r="AC99">
        <v>8</v>
      </c>
      <c r="AD99" s="1">
        <v>1.96982700817516E-10</v>
      </c>
      <c r="AE99">
        <v>0.55450211372617497</v>
      </c>
      <c r="AF99">
        <v>8</v>
      </c>
      <c r="AG99" s="1">
        <v>-1.41081377035284E-12</v>
      </c>
      <c r="AH99" s="1">
        <v>8.8250275575634703E-5</v>
      </c>
    </row>
    <row r="100" spans="2:34" x14ac:dyDescent="0.2">
      <c r="D100">
        <v>9</v>
      </c>
      <c r="E100" s="1">
        <v>5.0356207270107995E-7</v>
      </c>
      <c r="F100">
        <v>0.999277401656116</v>
      </c>
      <c r="G100">
        <v>9</v>
      </c>
      <c r="H100" s="1">
        <v>5.0503346650660298E-7</v>
      </c>
      <c r="I100">
        <v>0.998828412716393</v>
      </c>
      <c r="J100">
        <v>9</v>
      </c>
      <c r="K100" s="1">
        <v>5.3066668427371003E-7</v>
      </c>
      <c r="L100">
        <v>0.99931537420527095</v>
      </c>
      <c r="M100">
        <v>9</v>
      </c>
      <c r="N100" s="1">
        <v>4.9929299351740703E-7</v>
      </c>
      <c r="O100">
        <v>0.99960644960466405</v>
      </c>
      <c r="P100">
        <v>9</v>
      </c>
      <c r="Q100" s="1">
        <v>5.0113645330131995E-7</v>
      </c>
      <c r="R100">
        <v>0.99884951056106297</v>
      </c>
      <c r="T100">
        <v>9</v>
      </c>
      <c r="U100" s="1">
        <v>1.0083666091655301E-11</v>
      </c>
      <c r="V100">
        <v>5.1491040276455801E-3</v>
      </c>
      <c r="W100">
        <v>9</v>
      </c>
      <c r="X100" s="1">
        <v>1.6766714917865099E-11</v>
      </c>
      <c r="Y100">
        <v>8.7912196237769392E-3</v>
      </c>
      <c r="Z100">
        <v>9</v>
      </c>
      <c r="AA100" s="1">
        <v>-3.9427778444465E-11</v>
      </c>
      <c r="AB100">
        <v>5.9084558199112201E-2</v>
      </c>
      <c r="AC100">
        <v>9</v>
      </c>
      <c r="AD100" s="1">
        <v>-1.63466459161556E-11</v>
      </c>
      <c r="AE100">
        <v>1.1498482737745799E-2</v>
      </c>
      <c r="AF100">
        <v>9</v>
      </c>
      <c r="AG100" s="1">
        <v>1.1794480462011199E-10</v>
      </c>
      <c r="AH100">
        <v>0.35322004666295398</v>
      </c>
    </row>
    <row r="101" spans="2:34" x14ac:dyDescent="0.2">
      <c r="D101">
        <v>10</v>
      </c>
      <c r="E101" s="1">
        <v>4.9385678655462202E-7</v>
      </c>
      <c r="F101">
        <v>0.99938400270798</v>
      </c>
      <c r="G101">
        <v>10</v>
      </c>
      <c r="H101" s="1">
        <v>4.73277200480192E-7</v>
      </c>
      <c r="I101">
        <v>0.99841588026633998</v>
      </c>
      <c r="J101">
        <v>10</v>
      </c>
      <c r="K101" s="1">
        <v>4.9875354861944901E-7</v>
      </c>
      <c r="L101">
        <v>0.99933899058459696</v>
      </c>
      <c r="M101">
        <v>10</v>
      </c>
      <c r="N101" s="1">
        <v>4.9807682208883505E-7</v>
      </c>
      <c r="O101">
        <v>0.99927979201585604</v>
      </c>
      <c r="P101">
        <v>10</v>
      </c>
      <c r="Q101" s="1">
        <v>4.7523054741896698E-7</v>
      </c>
      <c r="R101">
        <v>0.99959711310036303</v>
      </c>
      <c r="T101">
        <v>10</v>
      </c>
      <c r="U101" s="1">
        <v>3.7074823370582401E-11</v>
      </c>
      <c r="V101">
        <v>4.9720201173461397E-2</v>
      </c>
      <c r="W101">
        <v>10</v>
      </c>
      <c r="X101" s="1">
        <v>4.6081355283878303E-11</v>
      </c>
      <c r="Y101">
        <v>7.5306322462353303E-2</v>
      </c>
      <c r="Z101">
        <v>10</v>
      </c>
      <c r="AA101" s="1">
        <v>1.00924399609989E-10</v>
      </c>
      <c r="AB101">
        <v>0.220838735149083</v>
      </c>
      <c r="AC101">
        <v>10</v>
      </c>
      <c r="AD101" s="1">
        <v>1.2288459161479601E-10</v>
      </c>
      <c r="AE101">
        <v>0.33295601726103302</v>
      </c>
      <c r="AF101">
        <v>10</v>
      </c>
      <c r="AG101" s="1">
        <v>1.7238572714312299E-11</v>
      </c>
      <c r="AH101">
        <v>1.50263325919555E-2</v>
      </c>
    </row>
    <row r="102" spans="2:34" x14ac:dyDescent="0.2">
      <c r="D102" t="s">
        <v>21</v>
      </c>
      <c r="E102" s="1">
        <v>4.8374156515726302E-7</v>
      </c>
      <c r="F102" s="1">
        <v>1.8802471697943799E-8</v>
      </c>
      <c r="G102" t="s">
        <v>21</v>
      </c>
      <c r="H102" s="1">
        <v>4.9882016914285697E-7</v>
      </c>
      <c r="I102" s="1">
        <v>1.0933347069736601E-8</v>
      </c>
      <c r="J102" t="s">
        <v>21</v>
      </c>
      <c r="K102" s="1">
        <v>5.0263857242737102E-7</v>
      </c>
      <c r="L102" s="1">
        <v>2.2626008352780298E-8</v>
      </c>
      <c r="M102" t="s">
        <v>21</v>
      </c>
      <c r="N102" s="1">
        <v>4.8621712618967595E-7</v>
      </c>
      <c r="O102" s="1">
        <v>1.8254498447528699E-8</v>
      </c>
      <c r="P102" t="s">
        <v>21</v>
      </c>
      <c r="Q102" s="1">
        <v>4.8322917551020399E-7</v>
      </c>
      <c r="R102" s="1">
        <v>1.29266397757584E-8</v>
      </c>
      <c r="T102" t="s">
        <v>21</v>
      </c>
      <c r="U102" s="1">
        <v>5.9594501537540095E-11</v>
      </c>
      <c r="V102" s="1">
        <v>6.2903727684479805E-11</v>
      </c>
      <c r="W102" t="s">
        <v>21</v>
      </c>
      <c r="X102" s="1">
        <v>3.6161552088805198E-11</v>
      </c>
      <c r="Y102" s="1">
        <v>4.7599389854713899E-11</v>
      </c>
      <c r="Z102" t="s">
        <v>21</v>
      </c>
      <c r="AA102" s="1">
        <v>6.9621432910822596E-11</v>
      </c>
      <c r="AB102" s="1">
        <v>1.05170900490141E-10</v>
      </c>
      <c r="AC102" t="s">
        <v>21</v>
      </c>
      <c r="AD102" s="1">
        <v>5.0389166954169997E-11</v>
      </c>
      <c r="AE102" s="1">
        <v>7.2587591136401401E-11</v>
      </c>
      <c r="AF102" t="s">
        <v>21</v>
      </c>
      <c r="AG102" s="1">
        <v>3.7127239255977801E-11</v>
      </c>
      <c r="AH102" s="1">
        <v>4.2073388369789698E-11</v>
      </c>
    </row>
    <row r="103" spans="2:34" x14ac:dyDescent="0.2">
      <c r="F103" s="4">
        <f>F102/E102</f>
        <v>3.8868836280031405E-2</v>
      </c>
      <c r="I103" s="4">
        <f>I102/H102</f>
        <v>2.1918414182256936E-2</v>
      </c>
      <c r="L103" s="4">
        <f>L102/K102</f>
        <v>4.5014468832969744E-2</v>
      </c>
      <c r="O103" s="4">
        <f>O102/N102</f>
        <v>3.7543923206866885E-2</v>
      </c>
      <c r="R103" s="4">
        <f>R102/Q102</f>
        <v>2.6750536662257966E-2</v>
      </c>
      <c r="V103" s="4">
        <f>V102/U102</f>
        <v>1.0555290515326341</v>
      </c>
      <c r="Y103" s="4">
        <f>Y102/X102</f>
        <v>1.3162983087069871</v>
      </c>
      <c r="AB103" s="4">
        <f>AB102/AA102</f>
        <v>1.5106109726993606</v>
      </c>
      <c r="AE103" s="4">
        <f>AE102/AD102</f>
        <v>1.4405396144457268</v>
      </c>
      <c r="AH103" s="4">
        <f>AH102/AG102</f>
        <v>1.1332215702791724</v>
      </c>
    </row>
    <row r="105" spans="2:34" x14ac:dyDescent="0.2">
      <c r="B105" t="s">
        <v>23</v>
      </c>
      <c r="D105" t="s">
        <v>0</v>
      </c>
      <c r="E105" s="2"/>
      <c r="F105" s="2"/>
      <c r="G105" s="2" t="s">
        <v>1</v>
      </c>
      <c r="H105" s="2"/>
      <c r="I105" s="2"/>
      <c r="J105" s="1" t="s">
        <v>2</v>
      </c>
      <c r="M105" s="2" t="s">
        <v>3</v>
      </c>
      <c r="N105" s="2"/>
      <c r="O105" s="2"/>
      <c r="P105" s="2" t="s">
        <v>4</v>
      </c>
      <c r="Q105" s="2"/>
      <c r="R105" s="1"/>
      <c r="T105" t="s">
        <v>5</v>
      </c>
      <c r="U105" s="2"/>
      <c r="V105" s="2"/>
      <c r="W105" s="2" t="s">
        <v>6</v>
      </c>
      <c r="X105" s="2"/>
      <c r="Y105" s="2"/>
      <c r="Z105" s="1" t="s">
        <v>7</v>
      </c>
      <c r="AC105" s="2" t="s">
        <v>8</v>
      </c>
      <c r="AD105" s="2"/>
      <c r="AE105" s="2"/>
      <c r="AF105" s="2" t="s">
        <v>9</v>
      </c>
      <c r="AG105" s="2"/>
      <c r="AH105" s="1"/>
    </row>
    <row r="106" spans="2:34" x14ac:dyDescent="0.2">
      <c r="D106">
        <v>1</v>
      </c>
      <c r="E106" s="2">
        <v>2.8072831044417699E-7</v>
      </c>
      <c r="F106" s="2">
        <v>0.99857571037530501</v>
      </c>
      <c r="G106">
        <v>1</v>
      </c>
      <c r="H106" s="2">
        <v>3.1745896768307299E-7</v>
      </c>
      <c r="I106" s="2">
        <v>0.99938363312710299</v>
      </c>
      <c r="J106">
        <v>1</v>
      </c>
      <c r="K106" s="1">
        <v>2.9645764225690299E-7</v>
      </c>
      <c r="L106">
        <v>0.99804116167922996</v>
      </c>
      <c r="M106">
        <v>1</v>
      </c>
      <c r="N106" s="2">
        <v>3.0142843030012001E-7</v>
      </c>
      <c r="O106" s="2">
        <v>0.99959313563674801</v>
      </c>
      <c r="P106">
        <v>1</v>
      </c>
      <c r="Q106" s="2">
        <v>2.8902235908763499E-7</v>
      </c>
      <c r="R106" s="1">
        <v>0.997939382107078</v>
      </c>
      <c r="T106">
        <v>1</v>
      </c>
      <c r="U106" s="2">
        <v>-9.2504312602182403E-14</v>
      </c>
      <c r="V106" s="2">
        <v>5.3859534522698997E-7</v>
      </c>
      <c r="W106">
        <v>1</v>
      </c>
      <c r="X106" s="2">
        <v>9.4071101776650297E-13</v>
      </c>
      <c r="Y106" s="2">
        <v>6.7287148645611697E-5</v>
      </c>
      <c r="Z106">
        <v>1</v>
      </c>
      <c r="AA106" s="1">
        <v>1.17878976974463E-11</v>
      </c>
      <c r="AB106">
        <v>1.0407094687421899E-2</v>
      </c>
      <c r="AC106">
        <v>1</v>
      </c>
      <c r="AD106" s="2">
        <v>-1.6386962424058699E-11</v>
      </c>
      <c r="AE106" s="2">
        <v>1.37469430750364E-2</v>
      </c>
      <c r="AF106">
        <v>1</v>
      </c>
      <c r="AG106" s="2">
        <v>-3.2655493887341801E-12</v>
      </c>
      <c r="AH106" s="1">
        <v>5.8253889969436302E-4</v>
      </c>
    </row>
    <row r="107" spans="2:34" x14ac:dyDescent="0.2">
      <c r="D107">
        <v>2</v>
      </c>
      <c r="E107" s="2">
        <v>3.0264447202881202E-7</v>
      </c>
      <c r="F107" s="2">
        <v>0.99806812385606702</v>
      </c>
      <c r="G107">
        <v>2</v>
      </c>
      <c r="H107" s="2">
        <v>3.24332986362545E-7</v>
      </c>
      <c r="I107" s="2">
        <v>0.99864640125258097</v>
      </c>
      <c r="J107">
        <v>2</v>
      </c>
      <c r="K107" s="1">
        <v>3.2240339961584602E-7</v>
      </c>
      <c r="L107">
        <v>0.99854262940099303</v>
      </c>
      <c r="M107">
        <v>2</v>
      </c>
      <c r="N107" s="2">
        <v>3.1501394617046801E-7</v>
      </c>
      <c r="O107" s="2">
        <v>0.997455075038849</v>
      </c>
      <c r="P107">
        <v>2</v>
      </c>
      <c r="Q107" s="2">
        <v>3.2724469661464602E-7</v>
      </c>
      <c r="R107" s="1">
        <v>0.99942292957147305</v>
      </c>
      <c r="T107">
        <v>2</v>
      </c>
      <c r="U107" s="1">
        <v>-1.4739775744396401E-11</v>
      </c>
      <c r="V107">
        <v>1.50028312792823E-2</v>
      </c>
      <c r="W107">
        <v>2</v>
      </c>
      <c r="X107" s="1">
        <v>5.07811895299636E-12</v>
      </c>
      <c r="Y107">
        <v>1.6565633049049401E-3</v>
      </c>
      <c r="Z107">
        <v>2</v>
      </c>
      <c r="AA107" s="1">
        <v>-6.2090294757331397E-12</v>
      </c>
      <c r="AB107">
        <v>2.6377464707231699E-3</v>
      </c>
      <c r="AC107">
        <v>2</v>
      </c>
      <c r="AD107" s="1">
        <v>7.0319845496146295E-11</v>
      </c>
      <c r="AE107">
        <v>0.23237058970562799</v>
      </c>
      <c r="AF107">
        <v>2</v>
      </c>
      <c r="AG107" s="1">
        <v>-8.6454368859098101E-12</v>
      </c>
      <c r="AH107">
        <v>3.9924172515568099E-3</v>
      </c>
    </row>
    <row r="108" spans="2:34" x14ac:dyDescent="0.2">
      <c r="D108">
        <v>3</v>
      </c>
      <c r="E108" s="2">
        <v>3.1089534650660301E-7</v>
      </c>
      <c r="F108" s="2">
        <v>0.99675205025512403</v>
      </c>
      <c r="G108">
        <v>3</v>
      </c>
      <c r="H108" s="2">
        <v>3.1897108821128398E-7</v>
      </c>
      <c r="I108" s="2">
        <v>0.997914881924435</v>
      </c>
      <c r="J108">
        <v>3</v>
      </c>
      <c r="K108" s="1">
        <v>3.2988713882352899E-7</v>
      </c>
      <c r="L108">
        <v>0.99930345720444003</v>
      </c>
      <c r="M108">
        <v>3</v>
      </c>
      <c r="N108" s="2">
        <v>3.0111773450180098E-7</v>
      </c>
      <c r="O108" s="2">
        <v>0.99960026790342205</v>
      </c>
      <c r="P108">
        <v>3</v>
      </c>
      <c r="Q108" s="2">
        <v>3.0731525959183699E-7</v>
      </c>
      <c r="R108" s="1">
        <v>0.99946791899381704</v>
      </c>
      <c r="T108">
        <v>3</v>
      </c>
      <c r="U108" s="1">
        <v>1.1465913897856501E-11</v>
      </c>
      <c r="V108">
        <v>7.5906049408252301E-3</v>
      </c>
      <c r="W108">
        <v>3</v>
      </c>
      <c r="X108" s="1">
        <v>5.2093654841504297E-12</v>
      </c>
      <c r="Y108">
        <v>1.56882457330302E-3</v>
      </c>
      <c r="Z108">
        <v>3</v>
      </c>
      <c r="AA108" s="1">
        <v>-5.7497869946723601E-12</v>
      </c>
      <c r="AB108">
        <v>2.3201093225451502E-3</v>
      </c>
      <c r="AC108">
        <v>3</v>
      </c>
      <c r="AD108" s="1">
        <v>-4.2087639691027998E-12</v>
      </c>
      <c r="AE108">
        <v>1.10716316211031E-3</v>
      </c>
      <c r="AF108">
        <v>3</v>
      </c>
      <c r="AG108" s="1">
        <v>5.9133921098029202E-11</v>
      </c>
      <c r="AH108">
        <v>0.158012655494182</v>
      </c>
    </row>
    <row r="109" spans="2:34" x14ac:dyDescent="0.2">
      <c r="D109">
        <v>4</v>
      </c>
      <c r="E109" s="2">
        <v>2.9327101704681801E-7</v>
      </c>
      <c r="F109" s="2">
        <v>0.99966323256085499</v>
      </c>
      <c r="G109">
        <v>4</v>
      </c>
      <c r="H109" s="2">
        <v>3.1996454943577399E-7</v>
      </c>
      <c r="I109" s="2">
        <v>0.99636284753404303</v>
      </c>
      <c r="J109">
        <v>4</v>
      </c>
      <c r="K109" s="1">
        <v>3.2809490593037202E-7</v>
      </c>
      <c r="L109">
        <v>0.99846021166776699</v>
      </c>
      <c r="M109">
        <v>4</v>
      </c>
      <c r="N109" s="2">
        <v>2.90720400672269E-7</v>
      </c>
      <c r="O109" s="2">
        <v>0.99875068498703101</v>
      </c>
      <c r="P109">
        <v>4</v>
      </c>
      <c r="Q109" s="2">
        <v>3.0264855980792299E-7</v>
      </c>
      <c r="R109" s="1">
        <v>0.99938949462971105</v>
      </c>
      <c r="T109">
        <v>4</v>
      </c>
      <c r="U109" s="1">
        <v>-1.5173334583377499E-11</v>
      </c>
      <c r="V109">
        <v>1.2567592086382501E-2</v>
      </c>
      <c r="W109">
        <v>4</v>
      </c>
      <c r="X109" s="1">
        <v>1.9132570314257999E-11</v>
      </c>
      <c r="Y109">
        <v>2.52987870821345E-2</v>
      </c>
      <c r="Z109">
        <v>4</v>
      </c>
      <c r="AA109" s="1">
        <v>-1.0264953873851001E-11</v>
      </c>
      <c r="AB109">
        <v>6.3985392614205197E-3</v>
      </c>
      <c r="AC109">
        <v>4</v>
      </c>
      <c r="AD109" s="1">
        <v>2.2318640216001499E-11</v>
      </c>
      <c r="AE109">
        <v>2.78528473103275E-2</v>
      </c>
      <c r="AF109">
        <v>4</v>
      </c>
      <c r="AG109" s="1">
        <v>4.7948098702369195E-13</v>
      </c>
      <c r="AH109" s="1">
        <v>1.5276024433709099E-5</v>
      </c>
    </row>
    <row r="110" spans="2:34" x14ac:dyDescent="0.2">
      <c r="D110">
        <v>5</v>
      </c>
      <c r="E110" s="2">
        <v>2.9858240240095998E-7</v>
      </c>
      <c r="F110" s="2">
        <v>0.99884286942724199</v>
      </c>
      <c r="G110">
        <v>5</v>
      </c>
      <c r="H110" s="2">
        <v>3.3242729536614699E-7</v>
      </c>
      <c r="I110" s="2">
        <v>0.99947637122524302</v>
      </c>
      <c r="J110">
        <v>5</v>
      </c>
      <c r="K110" s="1">
        <v>3.2359886420168E-7</v>
      </c>
      <c r="L110">
        <v>0.99913529658818301</v>
      </c>
      <c r="M110">
        <v>5</v>
      </c>
      <c r="N110" s="2">
        <v>3.1280162703481397E-7</v>
      </c>
      <c r="O110" s="2">
        <v>0.99854857637292005</v>
      </c>
      <c r="P110">
        <v>5</v>
      </c>
      <c r="Q110" s="2">
        <v>2.9976997599039598E-7</v>
      </c>
      <c r="R110" s="1">
        <v>0.99908641930372399</v>
      </c>
      <c r="T110">
        <v>5</v>
      </c>
      <c r="U110" s="1">
        <v>8.4401582539627005E-12</v>
      </c>
      <c r="V110">
        <v>4.3056373379665204E-3</v>
      </c>
      <c r="W110">
        <v>5</v>
      </c>
      <c r="X110" s="1">
        <v>8.3936773419295198E-12</v>
      </c>
      <c r="Y110">
        <v>4.0050324890543599E-3</v>
      </c>
      <c r="Z110">
        <v>5</v>
      </c>
      <c r="AA110" s="1">
        <v>2.80981257031383E-11</v>
      </c>
      <c r="AB110">
        <v>5.26414900372182E-2</v>
      </c>
      <c r="AC110">
        <v>5</v>
      </c>
      <c r="AD110" s="1">
        <v>1.7019067726701301E-11</v>
      </c>
      <c r="AE110">
        <v>1.7527136834558098E-2</v>
      </c>
      <c r="AF110">
        <v>5</v>
      </c>
      <c r="AG110" s="1">
        <v>7.1933179329473002E-11</v>
      </c>
      <c r="AH110">
        <v>0.21198944040696999</v>
      </c>
    </row>
    <row r="111" spans="2:34" x14ac:dyDescent="0.2">
      <c r="D111">
        <v>6</v>
      </c>
      <c r="E111" s="1">
        <v>2.9051685008403402E-7</v>
      </c>
      <c r="F111" s="1">
        <v>0.99964180001228098</v>
      </c>
      <c r="G111">
        <v>6</v>
      </c>
      <c r="H111" s="1">
        <v>3.1650069551020398E-7</v>
      </c>
      <c r="I111" s="1">
        <v>0.99826163534656898</v>
      </c>
      <c r="J111">
        <v>6</v>
      </c>
      <c r="K111" s="1">
        <v>3.1592217632653098E-7</v>
      </c>
      <c r="L111" s="1">
        <v>0.99914804507948796</v>
      </c>
      <c r="M111">
        <v>6</v>
      </c>
      <c r="N111" s="1">
        <v>2.9441740235294101E-7</v>
      </c>
      <c r="O111" s="1">
        <v>0.99933800257509697</v>
      </c>
      <c r="P111">
        <v>6</v>
      </c>
      <c r="Q111" s="1">
        <v>2.9345239875150101E-7</v>
      </c>
      <c r="R111" s="1">
        <v>0.99893411442241897</v>
      </c>
      <c r="T111">
        <v>6</v>
      </c>
      <c r="U111" s="1">
        <v>3.45773194329818E-11</v>
      </c>
      <c r="V111">
        <v>6.4146496714907394E-2</v>
      </c>
      <c r="W111">
        <v>6</v>
      </c>
      <c r="X111" s="1">
        <v>3.0456821420433598E-12</v>
      </c>
      <c r="Y111">
        <v>5.4697132485317403E-4</v>
      </c>
      <c r="Z111">
        <v>6</v>
      </c>
      <c r="AA111" s="1">
        <v>4.3835415135387601E-11</v>
      </c>
      <c r="AB111">
        <v>8.7045348313915999E-2</v>
      </c>
      <c r="AC111">
        <v>6</v>
      </c>
      <c r="AD111" s="1">
        <v>-3.7262589064777597E-12</v>
      </c>
      <c r="AE111">
        <v>8.3612957516801696E-4</v>
      </c>
      <c r="AF111">
        <v>6</v>
      </c>
      <c r="AG111" s="1">
        <v>3.6449861246593801E-12</v>
      </c>
      <c r="AH111">
        <v>7.5523810396526596E-4</v>
      </c>
    </row>
    <row r="112" spans="2:34" x14ac:dyDescent="0.2">
      <c r="D112">
        <v>7</v>
      </c>
      <c r="E112" s="1">
        <v>3.2394632139255698E-7</v>
      </c>
      <c r="F112" s="3">
        <v>0.999211104494244</v>
      </c>
      <c r="G112">
        <v>7</v>
      </c>
      <c r="H112" s="1">
        <v>3.2274349954381699E-7</v>
      </c>
      <c r="I112" s="3">
        <v>0.99846299578813302</v>
      </c>
      <c r="J112">
        <v>7</v>
      </c>
      <c r="K112" s="1">
        <v>3.26322166242497E-7</v>
      </c>
      <c r="L112" s="3">
        <v>0.99936167086969996</v>
      </c>
      <c r="M112">
        <v>7</v>
      </c>
      <c r="N112" s="1">
        <v>3.1476952835534201E-7</v>
      </c>
      <c r="O112" s="3">
        <v>0.99927083013429396</v>
      </c>
      <c r="P112">
        <v>7</v>
      </c>
      <c r="Q112" s="1">
        <v>2.9928268235294101E-7</v>
      </c>
      <c r="R112" s="3">
        <v>0.99923486608588696</v>
      </c>
      <c r="T112">
        <v>7</v>
      </c>
      <c r="U112" s="1">
        <v>-1.54266256656586E-12</v>
      </c>
      <c r="V112">
        <v>1.4698870535871401E-4</v>
      </c>
      <c r="W112">
        <v>7</v>
      </c>
      <c r="X112" s="1">
        <v>-9.94484212104954E-12</v>
      </c>
      <c r="Y112">
        <v>5.2445392669892904E-3</v>
      </c>
      <c r="Z112">
        <v>7</v>
      </c>
      <c r="AA112" s="1">
        <v>1.13856138903551E-11</v>
      </c>
      <c r="AB112">
        <v>8.3504896322301406E-3</v>
      </c>
      <c r="AC112">
        <v>7</v>
      </c>
      <c r="AD112" s="1">
        <v>5.9948676216922402E-12</v>
      </c>
      <c r="AE112">
        <v>1.8192265647856401E-3</v>
      </c>
      <c r="AF112">
        <v>7</v>
      </c>
      <c r="AG112" s="1">
        <v>8.8401560038786401E-12</v>
      </c>
      <c r="AH112">
        <v>4.7350581218899897E-3</v>
      </c>
    </row>
    <row r="113" spans="4:34" x14ac:dyDescent="0.2">
      <c r="D113">
        <v>8</v>
      </c>
      <c r="E113" s="1">
        <v>3.0697836484994003E-7</v>
      </c>
      <c r="F113">
        <v>0.99918673496514798</v>
      </c>
      <c r="G113">
        <v>8</v>
      </c>
      <c r="H113" s="1">
        <v>3.1690995947178799E-7</v>
      </c>
      <c r="I113">
        <v>0.99925058164597502</v>
      </c>
      <c r="J113">
        <v>8</v>
      </c>
      <c r="K113" s="1">
        <v>3.1190337426170501E-7</v>
      </c>
      <c r="L113">
        <v>0.99948892181990101</v>
      </c>
      <c r="M113">
        <v>8</v>
      </c>
      <c r="N113" s="1">
        <v>3.1005548561824701E-7</v>
      </c>
      <c r="O113">
        <v>0.99887242530345699</v>
      </c>
      <c r="P113">
        <v>8</v>
      </c>
      <c r="Q113" s="1">
        <v>2.9587693800720299E-7</v>
      </c>
      <c r="R113">
        <v>0.99895576667215902</v>
      </c>
      <c r="T113">
        <v>8</v>
      </c>
      <c r="U113" s="1">
        <v>-7.0880334508452102E-12</v>
      </c>
      <c r="V113">
        <v>2.6295999993479302E-3</v>
      </c>
      <c r="W113">
        <v>8</v>
      </c>
      <c r="X113" s="1">
        <v>5.5095627386482501E-14</v>
      </c>
      <c r="Y113" s="1">
        <v>2.31202391041901E-7</v>
      </c>
      <c r="Z113">
        <v>8</v>
      </c>
      <c r="AA113" s="1">
        <v>-6.46813020325607E-12</v>
      </c>
      <c r="AB113">
        <v>2.3273405805382102E-3</v>
      </c>
      <c r="AC113">
        <v>8</v>
      </c>
      <c r="AD113" s="1">
        <v>1.78559086477172E-11</v>
      </c>
      <c r="AE113">
        <v>1.7043882247158401E-2</v>
      </c>
      <c r="AF113">
        <v>8</v>
      </c>
      <c r="AG113" s="1">
        <v>-1.00584714617883E-11</v>
      </c>
      <c r="AH113">
        <v>5.5276453377174403E-3</v>
      </c>
    </row>
    <row r="114" spans="4:34" x14ac:dyDescent="0.2">
      <c r="D114">
        <v>9</v>
      </c>
      <c r="E114" s="1">
        <v>3.1229232129651903E-7</v>
      </c>
      <c r="F114">
        <v>0.99937574434779597</v>
      </c>
      <c r="G114">
        <v>9</v>
      </c>
      <c r="H114" s="1">
        <v>3.2426970674669901E-7</v>
      </c>
      <c r="I114">
        <v>0.99936009662812197</v>
      </c>
      <c r="J114">
        <v>9</v>
      </c>
      <c r="K114" s="1">
        <v>3.0433970093637402E-7</v>
      </c>
      <c r="L114">
        <v>0.99897492658466303</v>
      </c>
      <c r="M114">
        <v>9</v>
      </c>
      <c r="N114" s="1">
        <v>2.9208794213685502E-7</v>
      </c>
      <c r="O114">
        <v>0.99937920650082901</v>
      </c>
      <c r="P114">
        <v>9</v>
      </c>
      <c r="Q114" s="1">
        <v>2.9451945978391397E-7</v>
      </c>
      <c r="R114">
        <v>0.99879418160739197</v>
      </c>
      <c r="T114">
        <v>9</v>
      </c>
      <c r="U114" s="1">
        <v>-8.2754653866213398E-12</v>
      </c>
      <c r="V114">
        <v>3.8082132520002301E-3</v>
      </c>
      <c r="W114">
        <v>9</v>
      </c>
      <c r="X114" s="1">
        <v>8.2540658516536199E-12</v>
      </c>
      <c r="Y114">
        <v>3.8824190023998401E-3</v>
      </c>
      <c r="Z114">
        <v>9</v>
      </c>
      <c r="AA114" s="1">
        <v>5.3889934748225698E-12</v>
      </c>
      <c r="AB114">
        <v>1.61226054175455E-3</v>
      </c>
      <c r="AC114">
        <v>9</v>
      </c>
      <c r="AD114" s="1">
        <v>-1.22250536263418E-11</v>
      </c>
      <c r="AE114">
        <v>8.6565000475526798E-3</v>
      </c>
      <c r="AF114">
        <v>9</v>
      </c>
      <c r="AG114" s="1">
        <v>1.8591031650791E-10</v>
      </c>
      <c r="AH114">
        <v>0.58616145565545097</v>
      </c>
    </row>
    <row r="115" spans="4:34" x14ac:dyDescent="0.2">
      <c r="D115">
        <v>10</v>
      </c>
      <c r="E115" s="1">
        <v>3.2449791510204098E-7</v>
      </c>
      <c r="F115">
        <v>0.998722999740144</v>
      </c>
      <c r="G115">
        <v>10</v>
      </c>
      <c r="H115" s="1">
        <v>3.2050515865546201E-7</v>
      </c>
      <c r="I115">
        <v>0.99350682096516296</v>
      </c>
      <c r="J115">
        <v>10</v>
      </c>
      <c r="K115" s="1">
        <v>3.2388507889555799E-7</v>
      </c>
      <c r="L115">
        <v>0.999140901608081</v>
      </c>
      <c r="M115">
        <v>10</v>
      </c>
      <c r="N115" s="1">
        <v>3.0458996220888301E-7</v>
      </c>
      <c r="O115">
        <v>0.99864273636668599</v>
      </c>
      <c r="P115">
        <v>10</v>
      </c>
      <c r="Q115" s="1">
        <v>2.8114525162064802E-7</v>
      </c>
      <c r="R115">
        <v>0.99921283629466096</v>
      </c>
      <c r="T115">
        <v>10</v>
      </c>
      <c r="U115" s="1">
        <v>-3.6554578864381302E-12</v>
      </c>
      <c r="V115">
        <v>7.0903686640612102E-4</v>
      </c>
      <c r="W115">
        <v>10</v>
      </c>
      <c r="X115" s="1">
        <v>1.55224705616407E-12</v>
      </c>
      <c r="Y115">
        <v>1.6646245307831299E-4</v>
      </c>
      <c r="Z115">
        <v>10</v>
      </c>
      <c r="AA115" s="1">
        <v>-1.3490963774092899E-11</v>
      </c>
      <c r="AB115">
        <v>1.1112088316644E-2</v>
      </c>
      <c r="AC115">
        <v>10</v>
      </c>
      <c r="AD115" s="1">
        <v>3.6233705841689399E-13</v>
      </c>
      <c r="AE115" s="1">
        <v>8.1025352919051294E-6</v>
      </c>
      <c r="AF115">
        <v>10</v>
      </c>
      <c r="AG115" s="1">
        <v>1.1244732618323E-11</v>
      </c>
      <c r="AH115">
        <v>8.7432187138733498E-3</v>
      </c>
    </row>
    <row r="116" spans="4:34" x14ac:dyDescent="0.2">
      <c r="D116" t="s">
        <v>21</v>
      </c>
      <c r="E116" s="1">
        <v>3.0443533211524598E-7</v>
      </c>
      <c r="F116" s="1">
        <v>1.41851641384176E-8</v>
      </c>
      <c r="G116" t="s">
        <v>21</v>
      </c>
      <c r="H116" s="1">
        <v>3.2140839069867899E-7</v>
      </c>
      <c r="I116" s="1">
        <v>4.8154774988402899E-9</v>
      </c>
      <c r="J116" t="s">
        <v>21</v>
      </c>
      <c r="K116" s="1">
        <v>3.1828144474910002E-7</v>
      </c>
      <c r="L116" s="1">
        <v>1.10010708621959E-8</v>
      </c>
      <c r="M116" t="s">
        <v>21</v>
      </c>
      <c r="N116" s="1">
        <v>3.0370024593517402E-7</v>
      </c>
      <c r="O116" s="1">
        <v>9.2848042510225108E-9</v>
      </c>
      <c r="P116" t="s">
        <v>21</v>
      </c>
      <c r="Q116" s="1">
        <v>2.9902775816086402E-7</v>
      </c>
      <c r="R116" s="1">
        <v>1.2291973348064501E-8</v>
      </c>
      <c r="T116" t="s">
        <v>21</v>
      </c>
      <c r="U116" s="1">
        <v>3.9161576539543999E-13</v>
      </c>
      <c r="V116" s="1">
        <v>1.48276251080345E-11</v>
      </c>
      <c r="W116" t="s">
        <v>21</v>
      </c>
      <c r="X116" s="1">
        <v>4.1716691667298798E-12</v>
      </c>
      <c r="Y116" s="1">
        <v>7.4162638235847807E-12</v>
      </c>
      <c r="Z116" t="s">
        <v>21</v>
      </c>
      <c r="AA116" s="1">
        <v>5.8313181579544402E-12</v>
      </c>
      <c r="AB116" s="1">
        <v>1.8467562395282001E-11</v>
      </c>
      <c r="AC116" t="s">
        <v>21</v>
      </c>
      <c r="AD116" s="1">
        <v>9.7323627840694307E-12</v>
      </c>
      <c r="AE116" s="1">
        <v>2.4921986181756999E-11</v>
      </c>
      <c r="AF116" t="s">
        <v>21</v>
      </c>
      <c r="AG116" s="1">
        <v>3.1921731493286498E-11</v>
      </c>
      <c r="AH116" s="1">
        <v>6.0963165306102994E-11</v>
      </c>
    </row>
    <row r="117" spans="4:34" x14ac:dyDescent="0.2">
      <c r="F117" s="4">
        <f>F116/E116</f>
        <v>4.6594999469535006E-2</v>
      </c>
      <c r="I117" s="4">
        <f>I116/H116</f>
        <v>1.4982426215981429E-2</v>
      </c>
      <c r="L117" s="4">
        <f>L116/K116</f>
        <v>3.4563971741638916E-2</v>
      </c>
      <c r="O117" s="4">
        <f>O116/N116</f>
        <v>3.0572264511779117E-2</v>
      </c>
      <c r="R117" s="4">
        <f>R116/Q116</f>
        <v>4.1106462569444641E-2</v>
      </c>
      <c r="V117" s="4">
        <f>V116/U116</f>
        <v>37.862686894288025</v>
      </c>
      <c r="Y117" s="4">
        <f>Y116/X116</f>
        <v>1.7777689282581099</v>
      </c>
      <c r="AB117" s="4">
        <f>AB116/AA116</f>
        <v>3.1669618935284114</v>
      </c>
      <c r="AE117" s="4">
        <f>AE116/AD116</f>
        <v>2.5607333732514515</v>
      </c>
      <c r="AH117" s="4">
        <f>AH116/AG116</f>
        <v>1.9097700047669481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7E1B-F9D8-3843-9222-702CB9B4EAB3}">
  <dimension ref="A1:AH88"/>
  <sheetViews>
    <sheetView topLeftCell="M3" workbookViewId="0">
      <selection activeCell="X25" sqref="X25"/>
    </sheetView>
  </sheetViews>
  <sheetFormatPr baseColWidth="10" defaultRowHeight="16" x14ac:dyDescent="0.2"/>
  <sheetData>
    <row r="1" spans="1:18" x14ac:dyDescent="0.2">
      <c r="E1" s="2"/>
      <c r="F1" s="2"/>
      <c r="G1" s="2"/>
      <c r="H1" s="2"/>
      <c r="I1" s="2"/>
      <c r="J1" s="1"/>
      <c r="K1" s="1"/>
      <c r="M1" s="2"/>
      <c r="N1" s="2"/>
      <c r="O1" s="2"/>
      <c r="P1" s="2"/>
      <c r="Q1" s="2"/>
      <c r="R1" s="1"/>
    </row>
    <row r="2" spans="1:18" x14ac:dyDescent="0.2">
      <c r="D2" t="s">
        <v>12</v>
      </c>
      <c r="E2">
        <v>0</v>
      </c>
      <c r="F2">
        <v>5</v>
      </c>
      <c r="G2">
        <v>10</v>
      </c>
      <c r="H2">
        <v>-5</v>
      </c>
      <c r="I2">
        <v>-10</v>
      </c>
      <c r="L2" t="s">
        <v>12</v>
      </c>
      <c r="M2">
        <v>0</v>
      </c>
      <c r="N2">
        <v>5</v>
      </c>
      <c r="O2">
        <v>10</v>
      </c>
      <c r="P2">
        <v>-5</v>
      </c>
      <c r="Q2">
        <v>-10</v>
      </c>
    </row>
    <row r="3" spans="1:18" x14ac:dyDescent="0.2">
      <c r="C3" t="s">
        <v>13</v>
      </c>
      <c r="D3" t="s">
        <v>14</v>
      </c>
      <c r="L3" t="s">
        <v>15</v>
      </c>
    </row>
    <row r="4" spans="1:18" x14ac:dyDescent="0.2">
      <c r="C4">
        <f>1/((0.000086173)*D4)</f>
        <v>8.2889735100984563</v>
      </c>
      <c r="D4">
        <v>1400</v>
      </c>
      <c r="E4" s="1">
        <v>9.0204762175270096E-7</v>
      </c>
      <c r="F4" s="2">
        <v>8.4397969382953199E-7</v>
      </c>
      <c r="G4" s="1">
        <v>8.2928697786314502E-7</v>
      </c>
      <c r="H4" s="2">
        <v>9.2987522775510204E-7</v>
      </c>
      <c r="I4" s="2">
        <v>9.2852650136854804E-7</v>
      </c>
      <c r="L4">
        <v>1400</v>
      </c>
      <c r="M4" s="1">
        <v>1.7322802214655401E-7</v>
      </c>
      <c r="N4" s="1">
        <v>1.6156526126078101E-7</v>
      </c>
      <c r="O4" s="1">
        <v>1.6730717209405199E-7</v>
      </c>
      <c r="P4" s="1">
        <v>1.7886491871371801E-7</v>
      </c>
      <c r="Q4" s="1">
        <v>1.8197947040051E-7</v>
      </c>
    </row>
    <row r="5" spans="1:18" x14ac:dyDescent="0.2">
      <c r="C5">
        <f>1/((0.000086173)*D5)</f>
        <v>8.9265868570291058</v>
      </c>
      <c r="D5">
        <v>1300</v>
      </c>
      <c r="E5" s="1">
        <v>6.5464413987995201E-7</v>
      </c>
      <c r="F5" s="1">
        <v>6.3321047937574999E-7</v>
      </c>
      <c r="G5" s="1">
        <v>5.9612518280912396E-7</v>
      </c>
      <c r="H5" s="1">
        <v>6.5340863553421399E-7</v>
      </c>
      <c r="I5" s="1">
        <v>6.9110432753901605E-7</v>
      </c>
      <c r="L5">
        <v>1300</v>
      </c>
      <c r="M5" s="1">
        <v>1.1048635228830699E-7</v>
      </c>
      <c r="N5" s="1">
        <v>9.7741076690167196E-8</v>
      </c>
      <c r="O5" s="1">
        <v>9.1358330352508903E-8</v>
      </c>
      <c r="P5" s="1">
        <v>9.8182278812720306E-8</v>
      </c>
      <c r="Q5" s="1">
        <v>1.0267874078152E-7</v>
      </c>
    </row>
    <row r="6" spans="1:18" x14ac:dyDescent="0.2">
      <c r="C6">
        <f>1/((0.000086173)*D6)</f>
        <v>9.670469095114866</v>
      </c>
      <c r="D6">
        <v>1200</v>
      </c>
      <c r="E6" s="1">
        <v>4.0642779635054E-7</v>
      </c>
      <c r="F6" s="1">
        <v>4.0912772614645901E-7</v>
      </c>
      <c r="G6" s="1">
        <v>3.8530428158463401E-7</v>
      </c>
      <c r="H6" s="1">
        <v>4.3517025642256899E-7</v>
      </c>
      <c r="I6" s="1">
        <v>4.7426131980792298E-7</v>
      </c>
      <c r="J6" s="1"/>
      <c r="L6">
        <v>1200</v>
      </c>
      <c r="M6" s="1">
        <v>5.35675913477837E-8</v>
      </c>
      <c r="N6" s="1">
        <v>4.3744575760144002E-8</v>
      </c>
      <c r="O6" s="1">
        <v>4.9818185214880399E-8</v>
      </c>
      <c r="P6" s="1">
        <v>5.0241556891922297E-8</v>
      </c>
      <c r="Q6" s="1">
        <v>5.6944981804545102E-8</v>
      </c>
      <c r="R6" s="1"/>
    </row>
    <row r="7" spans="1:18" x14ac:dyDescent="0.2">
      <c r="A7" t="s">
        <v>16</v>
      </c>
      <c r="B7">
        <v>1</v>
      </c>
      <c r="C7">
        <f t="shared" ref="C7:C10" si="0">1/((0.000086173)*D7)</f>
        <v>10.549602649216217</v>
      </c>
      <c r="D7">
        <v>1100</v>
      </c>
      <c r="E7" s="1">
        <v>2.4187382252100899E-7</v>
      </c>
      <c r="F7" s="1">
        <v>2.26577201920768E-7</v>
      </c>
      <c r="G7" s="1">
        <v>2.3466626607443001E-7</v>
      </c>
      <c r="H7" s="1">
        <v>2.4553678698679503E-7</v>
      </c>
      <c r="I7" s="1">
        <v>2.5823618847538999E-7</v>
      </c>
      <c r="J7" s="1"/>
      <c r="L7">
        <v>1100</v>
      </c>
      <c r="M7" s="1">
        <v>2.66829152591315E-8</v>
      </c>
      <c r="N7" s="1">
        <v>2.6430038894472399E-8</v>
      </c>
      <c r="O7" s="1">
        <v>2.4990406629415699E-8</v>
      </c>
      <c r="P7" s="1">
        <v>2.9816196519913002E-8</v>
      </c>
      <c r="Q7" s="1">
        <v>2.2995692764569099E-8</v>
      </c>
      <c r="R7" s="1"/>
    </row>
    <row r="8" spans="1:18" x14ac:dyDescent="0.2">
      <c r="A8" t="s">
        <v>17</v>
      </c>
      <c r="B8">
        <f>B7/0.002</f>
        <v>500</v>
      </c>
      <c r="C8">
        <f t="shared" si="0"/>
        <v>11.604562914137839</v>
      </c>
      <c r="D8">
        <v>1000</v>
      </c>
      <c r="E8" s="1">
        <v>1.18937585546219E-7</v>
      </c>
      <c r="F8" s="1">
        <v>1.2313450357743101E-7</v>
      </c>
      <c r="G8" s="1">
        <v>1.16256965906363E-7</v>
      </c>
      <c r="H8" s="1">
        <v>1.4297643241296501E-7</v>
      </c>
      <c r="I8" s="1">
        <v>1.49923020312125E-7</v>
      </c>
      <c r="J8" s="1"/>
      <c r="L8">
        <v>1000</v>
      </c>
      <c r="M8" s="1">
        <v>6.3305428020700497E-9</v>
      </c>
      <c r="N8" s="1">
        <v>1.1173421552538801E-8</v>
      </c>
      <c r="O8" s="1">
        <v>8.6781283034575798E-9</v>
      </c>
      <c r="P8" s="1">
        <v>1.0880886717167901E-8</v>
      </c>
      <c r="Q8" s="1">
        <v>8.8771442691067202E-9</v>
      </c>
      <c r="R8" s="1"/>
    </row>
    <row r="9" spans="1:18" x14ac:dyDescent="0.2">
      <c r="A9" t="s">
        <v>18</v>
      </c>
      <c r="B9">
        <f>B8/(0.000000000001)*(0.0000000000000001)</f>
        <v>4.9999999999999996E-2</v>
      </c>
      <c r="C9">
        <f t="shared" si="0"/>
        <v>12.893958793486487</v>
      </c>
      <c r="D9">
        <v>900</v>
      </c>
      <c r="E9" s="1"/>
      <c r="F9" s="1"/>
      <c r="G9" s="1"/>
      <c r="H9" s="1"/>
      <c r="I9" s="1"/>
      <c r="J9" s="1"/>
      <c r="L9">
        <v>900</v>
      </c>
      <c r="M9" s="1"/>
      <c r="N9" s="1"/>
      <c r="O9" s="1"/>
      <c r="P9" s="1"/>
      <c r="Q9" s="1"/>
      <c r="R9" s="1"/>
    </row>
    <row r="10" spans="1:18" x14ac:dyDescent="0.2">
      <c r="C10">
        <f t="shared" si="0"/>
        <v>14.5057036426723</v>
      </c>
      <c r="D10">
        <v>800</v>
      </c>
      <c r="E10" s="1"/>
      <c r="F10" s="1"/>
      <c r="G10" s="1"/>
      <c r="H10" s="1"/>
      <c r="I10" s="1"/>
      <c r="J10" s="1"/>
      <c r="L10">
        <v>800</v>
      </c>
      <c r="M10" s="1"/>
      <c r="N10" s="1"/>
      <c r="O10" s="1"/>
      <c r="P10" s="1"/>
      <c r="Q10" s="1"/>
      <c r="R10" s="1"/>
    </row>
    <row r="11" spans="1:18" x14ac:dyDescent="0.2">
      <c r="D11" t="s">
        <v>19</v>
      </c>
      <c r="E11" s="1"/>
      <c r="F11" s="1"/>
      <c r="G11" s="1"/>
      <c r="H11" s="1"/>
      <c r="I11" s="1"/>
      <c r="J11" s="1"/>
      <c r="L11" t="s">
        <v>19</v>
      </c>
      <c r="M11" s="1"/>
      <c r="N11" s="1"/>
      <c r="O11" s="1"/>
      <c r="P11" s="1"/>
      <c r="Q11" s="1"/>
      <c r="R11" s="1"/>
    </row>
    <row r="12" spans="1:18" x14ac:dyDescent="0.2">
      <c r="D12">
        <v>1400</v>
      </c>
      <c r="E12" s="2">
        <f>E4*5489*$B$9/6</f>
        <v>4.1261161631671457E-5</v>
      </c>
      <c r="F12" s="2">
        <f t="shared" ref="F12:I14" si="1">F4*5489*$B$9/6</f>
        <v>3.8605037828585839E-5</v>
      </c>
      <c r="G12" s="2">
        <f t="shared" si="1"/>
        <v>3.7932968512423359E-5</v>
      </c>
      <c r="H12" s="2">
        <f t="shared" si="1"/>
        <v>4.2534042709564621E-5</v>
      </c>
      <c r="I12" s="2">
        <f t="shared" si="1"/>
        <v>4.2472349716766331E-5</v>
      </c>
      <c r="J12" s="1"/>
      <c r="L12">
        <v>1400</v>
      </c>
      <c r="M12" s="2">
        <f>M4*5487*$B$9/6</f>
        <v>7.9208513126511822E-6</v>
      </c>
      <c r="N12" s="2">
        <f t="shared" ref="N12:Q14" si="2">N4*5487*$B$9/6</f>
        <v>7.3875715711492113E-6</v>
      </c>
      <c r="O12" s="2">
        <f t="shared" si="2"/>
        <v>7.6501204440005267E-6</v>
      </c>
      <c r="P12" s="2">
        <f>P4*5487*$B$9/6</f>
        <v>8.1785984081847566E-6</v>
      </c>
      <c r="Q12" s="2">
        <f t="shared" si="2"/>
        <v>8.3210112840633194E-6</v>
      </c>
      <c r="R12" s="1"/>
    </row>
    <row r="13" spans="1:18" x14ac:dyDescent="0.2">
      <c r="D13">
        <v>1300</v>
      </c>
      <c r="E13" s="2">
        <f>E5*5489*$B$9/6</f>
        <v>2.9944514031675467E-5</v>
      </c>
      <c r="F13" s="2">
        <f t="shared" si="1"/>
        <v>2.8964102677445762E-5</v>
      </c>
      <c r="G13" s="2">
        <f t="shared" si="1"/>
        <v>2.7267759403660678E-5</v>
      </c>
      <c r="H13" s="2">
        <f t="shared" si="1"/>
        <v>2.98880000037275E-5</v>
      </c>
      <c r="I13" s="2">
        <f t="shared" si="1"/>
        <v>3.1612263782180487E-5</v>
      </c>
      <c r="J13" s="1"/>
      <c r="L13">
        <v>1300</v>
      </c>
      <c r="M13" s="2">
        <f>M5*5487*$B$9/6</f>
        <v>5.0519884583828364E-6</v>
      </c>
      <c r="N13" s="2">
        <f t="shared" si="2"/>
        <v>4.4692107316578943E-6</v>
      </c>
      <c r="O13" s="2">
        <f t="shared" si="2"/>
        <v>4.1773596553684702E-6</v>
      </c>
      <c r="P13" s="2">
        <f t="shared" si="2"/>
        <v>4.4893846987116355E-6</v>
      </c>
      <c r="Q13" s="2">
        <f t="shared" si="2"/>
        <v>4.6949854222350023E-6</v>
      </c>
      <c r="R13" s="1"/>
    </row>
    <row r="14" spans="1:18" x14ac:dyDescent="0.2">
      <c r="D14">
        <v>1200</v>
      </c>
      <c r="E14" s="2">
        <f>E6*5489*$B$9/6</f>
        <v>1.8590684784734281E-5</v>
      </c>
      <c r="F14" s="2">
        <f t="shared" si="1"/>
        <v>1.8714184073482613E-5</v>
      </c>
      <c r="G14" s="2">
        <f t="shared" si="1"/>
        <v>1.76244600134838E-5</v>
      </c>
      <c r="H14" s="2">
        <f t="shared" si="1"/>
        <v>1.9905412812529006E-5</v>
      </c>
      <c r="I14" s="2">
        <f t="shared" si="1"/>
        <v>2.1693503203547408E-5</v>
      </c>
      <c r="J14" s="1"/>
      <c r="L14">
        <v>1200</v>
      </c>
      <c r="M14" s="2">
        <f>M6*5487*$B$9/6</f>
        <v>2.4493781143774093E-6</v>
      </c>
      <c r="N14" s="2">
        <f t="shared" si="2"/>
        <v>2.0002207266325845E-6</v>
      </c>
      <c r="O14" s="2">
        <f t="shared" si="2"/>
        <v>2.2779365189504065E-6</v>
      </c>
      <c r="P14" s="2">
        <f t="shared" si="2"/>
        <v>2.297295188883147E-6</v>
      </c>
      <c r="Q14" s="2">
        <f t="shared" si="2"/>
        <v>2.6038092930128246E-6</v>
      </c>
      <c r="R14" s="1"/>
    </row>
    <row r="15" spans="1:18" x14ac:dyDescent="0.2">
      <c r="D15">
        <v>1100</v>
      </c>
      <c r="E15" s="2">
        <f t="shared" ref="E15:I16" si="3">E7*5489*$B$9/6</f>
        <v>1.1063711765148486E-5</v>
      </c>
      <c r="F15" s="2">
        <f t="shared" si="3"/>
        <v>1.0364018844525796E-5</v>
      </c>
      <c r="G15" s="2">
        <f t="shared" si="3"/>
        <v>1.0734026120687886E-5</v>
      </c>
      <c r="H15" s="2">
        <f t="shared" si="3"/>
        <v>1.1231261864754315E-5</v>
      </c>
      <c r="I15" s="2">
        <f t="shared" si="3"/>
        <v>1.1812153654511798E-5</v>
      </c>
      <c r="J15" s="1"/>
      <c r="L15">
        <v>1100</v>
      </c>
      <c r="M15" s="2">
        <f>M7*5487*$B$9/6</f>
        <v>1.2200763002237876E-6</v>
      </c>
      <c r="N15" s="2">
        <f t="shared" ref="N15:Q16" si="4">N7*5487*$B$9/6</f>
        <v>1.2085135284497505E-6</v>
      </c>
      <c r="O15" s="2">
        <f t="shared" si="4"/>
        <v>1.1426863431300327E-6</v>
      </c>
      <c r="P15" s="2">
        <f t="shared" si="4"/>
        <v>1.363345585873022E-6</v>
      </c>
      <c r="Q15" s="2">
        <f t="shared" si="4"/>
        <v>1.051478051659922E-6</v>
      </c>
      <c r="R15" s="1"/>
    </row>
    <row r="16" spans="1:18" x14ac:dyDescent="0.2">
      <c r="D16">
        <v>1000</v>
      </c>
      <c r="E16" s="2">
        <f t="shared" si="3"/>
        <v>5.4404033921933006E-6</v>
      </c>
      <c r="F16" s="2">
        <f t="shared" si="3"/>
        <v>5.6323774178043241E-6</v>
      </c>
      <c r="G16" s="2">
        <f t="shared" si="3"/>
        <v>5.317787382166887E-6</v>
      </c>
      <c r="H16" s="2">
        <f t="shared" si="3"/>
        <v>6.5399803126230417E-6</v>
      </c>
      <c r="I16" s="2">
        <f t="shared" si="3"/>
        <v>6.8577288207771175E-6</v>
      </c>
      <c r="J16" s="1"/>
      <c r="L16">
        <v>1000</v>
      </c>
      <c r="M16" s="2">
        <f>M8*5487*$B$9/6</f>
        <v>2.8946406962465296E-7</v>
      </c>
      <c r="N16" s="2">
        <f t="shared" si="4"/>
        <v>5.1090470048983667E-7</v>
      </c>
      <c r="O16" s="2">
        <f t="shared" si="4"/>
        <v>3.9680741667559783E-7</v>
      </c>
      <c r="P16" s="2">
        <f t="shared" si="4"/>
        <v>4.9752854514250217E-7</v>
      </c>
      <c r="Q16" s="2">
        <f t="shared" si="4"/>
        <v>4.0590742170490476E-7</v>
      </c>
      <c r="R16" s="1"/>
    </row>
    <row r="17" spans="2:34" x14ac:dyDescent="0.2">
      <c r="E17" s="2"/>
      <c r="F17" s="2"/>
      <c r="G17" s="2"/>
      <c r="H17" s="2"/>
      <c r="I17" s="2"/>
      <c r="J17" s="1"/>
      <c r="M17" s="2"/>
      <c r="N17" s="2"/>
      <c r="O17" s="2"/>
      <c r="P17" s="2"/>
      <c r="Q17" s="2"/>
      <c r="R17" s="1"/>
    </row>
    <row r="18" spans="2:34" x14ac:dyDescent="0.2">
      <c r="E18" s="2"/>
      <c r="F18" s="2"/>
      <c r="G18" s="2"/>
      <c r="H18" s="2"/>
      <c r="I18" s="2"/>
      <c r="J18" s="1"/>
      <c r="M18" s="2"/>
      <c r="N18" s="2"/>
      <c r="O18" s="2"/>
      <c r="P18" s="2"/>
      <c r="Q18" s="2"/>
      <c r="R18" s="1"/>
    </row>
    <row r="19" spans="2:34" x14ac:dyDescent="0.2">
      <c r="B19" t="s">
        <v>34</v>
      </c>
      <c r="D19" t="s">
        <v>0</v>
      </c>
      <c r="E19" s="2"/>
      <c r="F19" s="2"/>
      <c r="G19" s="2" t="s">
        <v>1</v>
      </c>
      <c r="H19" s="2"/>
      <c r="I19" s="2"/>
      <c r="J19" s="1" t="s">
        <v>2</v>
      </c>
      <c r="M19" s="2" t="s">
        <v>3</v>
      </c>
      <c r="N19" s="2"/>
      <c r="O19" s="2"/>
      <c r="P19" s="2" t="s">
        <v>4</v>
      </c>
      <c r="Q19" s="2"/>
      <c r="R19" s="1"/>
      <c r="T19" t="s">
        <v>5</v>
      </c>
      <c r="U19" s="2"/>
      <c r="V19" s="2"/>
      <c r="W19" s="2" t="s">
        <v>6</v>
      </c>
      <c r="X19" s="2"/>
      <c r="Y19" s="2"/>
      <c r="Z19" s="1" t="s">
        <v>7</v>
      </c>
      <c r="AC19" s="2" t="s">
        <v>8</v>
      </c>
      <c r="AD19" s="2"/>
      <c r="AE19" s="2"/>
      <c r="AF19" s="2" t="s">
        <v>9</v>
      </c>
      <c r="AG19" s="2"/>
      <c r="AH19" s="1"/>
    </row>
    <row r="20" spans="2:34" x14ac:dyDescent="0.2">
      <c r="D20">
        <v>1</v>
      </c>
      <c r="E20" s="2">
        <v>8.6833824825930405E-7</v>
      </c>
      <c r="F20" s="2">
        <v>0.99914353202172801</v>
      </c>
      <c r="G20" s="2">
        <v>1</v>
      </c>
      <c r="H20" s="2">
        <v>8.2899471404561899E-7</v>
      </c>
      <c r="I20" s="2">
        <v>0.99765442638365998</v>
      </c>
      <c r="J20" s="1">
        <v>1</v>
      </c>
      <c r="K20" s="1">
        <v>8.2837115150060001E-7</v>
      </c>
      <c r="L20">
        <v>0.99821118359816996</v>
      </c>
      <c r="M20" s="2">
        <v>1</v>
      </c>
      <c r="N20" s="2">
        <v>9.2397115918367301E-7</v>
      </c>
      <c r="O20" s="2">
        <v>0.99856626531707604</v>
      </c>
      <c r="P20" s="2">
        <v>1</v>
      </c>
      <c r="Q20" s="2">
        <v>9.3457421944778004E-7</v>
      </c>
      <c r="R20" s="1">
        <v>0.99843735356192698</v>
      </c>
      <c r="T20">
        <v>1</v>
      </c>
      <c r="U20" s="1">
        <v>1.69677675039376E-7</v>
      </c>
      <c r="V20">
        <v>0.99550733715164696</v>
      </c>
      <c r="W20">
        <v>1</v>
      </c>
      <c r="X20" s="1">
        <v>1.49292077536938E-7</v>
      </c>
      <c r="Y20">
        <v>0.995814897570656</v>
      </c>
      <c r="Z20">
        <v>1</v>
      </c>
      <c r="AA20" s="1">
        <v>1.62702056776419E-7</v>
      </c>
      <c r="AB20">
        <v>0.99798745413018897</v>
      </c>
      <c r="AC20">
        <v>1</v>
      </c>
      <c r="AD20" s="1">
        <v>1.62723918285457E-7</v>
      </c>
      <c r="AE20">
        <v>0.99704823394653797</v>
      </c>
      <c r="AF20">
        <v>1</v>
      </c>
      <c r="AG20" s="1">
        <v>1.6787579789244701E-7</v>
      </c>
      <c r="AH20">
        <v>0.99301631157452397</v>
      </c>
    </row>
    <row r="21" spans="2:34" x14ac:dyDescent="0.2">
      <c r="D21">
        <v>2</v>
      </c>
      <c r="E21" s="2">
        <v>9.0681466890756203E-7</v>
      </c>
      <c r="F21" s="2">
        <v>0.99964860175538195</v>
      </c>
      <c r="G21" s="2">
        <v>2</v>
      </c>
      <c r="H21" s="2">
        <v>7.9243012196878803E-7</v>
      </c>
      <c r="I21" s="2">
        <v>0.998497707124955</v>
      </c>
      <c r="J21" s="1">
        <v>2</v>
      </c>
      <c r="K21" s="1">
        <v>8.43956152220889E-7</v>
      </c>
      <c r="L21">
        <v>0.99856510381399399</v>
      </c>
      <c r="M21" s="2">
        <v>2</v>
      </c>
      <c r="N21" s="2">
        <v>9.7860797791116506E-7</v>
      </c>
      <c r="O21" s="2">
        <v>0.99911730231363305</v>
      </c>
      <c r="P21" s="2">
        <v>2</v>
      </c>
      <c r="Q21" s="2">
        <v>8.9374270012004903E-7</v>
      </c>
      <c r="R21" s="1">
        <v>0.99894418954256203</v>
      </c>
      <c r="T21">
        <v>2</v>
      </c>
      <c r="U21" s="1">
        <v>1.66074167036676E-7</v>
      </c>
      <c r="V21">
        <v>0.99816252275759099</v>
      </c>
      <c r="W21">
        <v>2</v>
      </c>
      <c r="X21" s="1">
        <v>1.6865106736668501E-7</v>
      </c>
      <c r="Y21">
        <v>0.99590644767012804</v>
      </c>
      <c r="Z21">
        <v>2</v>
      </c>
      <c r="AA21" s="1">
        <v>1.6300214191854799E-7</v>
      </c>
      <c r="AB21">
        <v>0.99678615245073598</v>
      </c>
      <c r="AC21">
        <v>2</v>
      </c>
      <c r="AD21" s="1">
        <v>1.7914635922147999E-7</v>
      </c>
      <c r="AE21">
        <v>0.99562999404321195</v>
      </c>
      <c r="AF21">
        <v>2</v>
      </c>
      <c r="AG21" s="1">
        <v>1.9459080832520799E-7</v>
      </c>
      <c r="AH21">
        <v>0.99286766249866099</v>
      </c>
    </row>
    <row r="22" spans="2:34" x14ac:dyDescent="0.2">
      <c r="D22">
        <v>3</v>
      </c>
      <c r="E22" s="2">
        <v>8.7476062136854696E-7</v>
      </c>
      <c r="F22" s="2">
        <v>0.99915907384888902</v>
      </c>
      <c r="G22" s="2">
        <v>3</v>
      </c>
      <c r="H22" s="2">
        <v>9.1464184249699897E-7</v>
      </c>
      <c r="I22" s="2">
        <v>0.99808238832479301</v>
      </c>
      <c r="J22" s="1">
        <v>3</v>
      </c>
      <c r="K22" s="1">
        <v>7.79327302280911E-7</v>
      </c>
      <c r="L22">
        <v>0.99812099807657595</v>
      </c>
      <c r="M22" s="2">
        <v>3</v>
      </c>
      <c r="N22" s="2">
        <v>9.9358313037214997E-7</v>
      </c>
      <c r="O22" s="2">
        <v>0.99838658056415797</v>
      </c>
      <c r="P22" s="2">
        <v>3</v>
      </c>
      <c r="Q22" s="2">
        <v>8.8623581272509004E-7</v>
      </c>
      <c r="R22" s="1">
        <v>0.99788389087074003</v>
      </c>
      <c r="T22">
        <v>3</v>
      </c>
      <c r="U22" s="1">
        <v>1.7346379915997899E-7</v>
      </c>
      <c r="V22">
        <v>0.98873459836278399</v>
      </c>
      <c r="W22">
        <v>3</v>
      </c>
      <c r="X22" s="1">
        <v>1.75648556776419E-7</v>
      </c>
      <c r="Y22">
        <v>0.99810358711862301</v>
      </c>
      <c r="Z22">
        <v>3</v>
      </c>
      <c r="AA22" s="1">
        <v>1.7806373663841601E-7</v>
      </c>
      <c r="AB22">
        <v>0.99517755999814606</v>
      </c>
      <c r="AC22">
        <v>3</v>
      </c>
      <c r="AD22" s="1">
        <v>1.8984074100352501E-7</v>
      </c>
      <c r="AE22">
        <v>0.99471242393508197</v>
      </c>
      <c r="AF22">
        <v>3</v>
      </c>
      <c r="AG22" s="1">
        <v>1.7078126102152601E-7</v>
      </c>
      <c r="AH22">
        <v>0.99618682096585798</v>
      </c>
    </row>
    <row r="23" spans="2:34" x14ac:dyDescent="0.2">
      <c r="D23">
        <v>4</v>
      </c>
      <c r="E23" s="2">
        <v>9.1990787707082801E-7</v>
      </c>
      <c r="F23" s="2">
        <v>0.99916142095906202</v>
      </c>
      <c r="G23" s="2">
        <v>4</v>
      </c>
      <c r="H23" s="2">
        <v>8.1712817286914898E-7</v>
      </c>
      <c r="I23" s="2">
        <v>0.99811152252343205</v>
      </c>
      <c r="J23" s="1">
        <v>4</v>
      </c>
      <c r="K23" s="1">
        <v>8.2906392509003604E-7</v>
      </c>
      <c r="L23">
        <v>0.998212342515437</v>
      </c>
      <c r="M23" s="2">
        <v>4</v>
      </c>
      <c r="N23" s="2">
        <v>9.1275941176470601E-7</v>
      </c>
      <c r="O23" s="2">
        <v>0.99909868492623499</v>
      </c>
      <c r="P23" s="2">
        <v>4</v>
      </c>
      <c r="Q23" s="2">
        <v>9.9398502088835504E-7</v>
      </c>
      <c r="R23" s="1">
        <v>0.99781223231198601</v>
      </c>
      <c r="T23">
        <v>4</v>
      </c>
      <c r="U23" s="1">
        <v>1.7192841345533701E-7</v>
      </c>
      <c r="V23">
        <v>0.99751642234707105</v>
      </c>
      <c r="W23">
        <v>4</v>
      </c>
      <c r="X23" s="1">
        <v>1.7012565520888001E-7</v>
      </c>
      <c r="Y23">
        <v>0.998170560211458</v>
      </c>
      <c r="Z23">
        <v>4</v>
      </c>
      <c r="AA23" s="1">
        <v>1.5756713828845701E-7</v>
      </c>
      <c r="AB23">
        <v>0.99822585249794005</v>
      </c>
      <c r="AC23">
        <v>4</v>
      </c>
      <c r="AD23" s="1">
        <v>1.7056456203405101E-7</v>
      </c>
      <c r="AE23">
        <v>0.99695065913804704</v>
      </c>
      <c r="AF23">
        <v>4</v>
      </c>
      <c r="AG23" s="1">
        <v>1.5550677245931199E-7</v>
      </c>
      <c r="AH23">
        <v>0.99399479319080597</v>
      </c>
    </row>
    <row r="24" spans="2:34" x14ac:dyDescent="0.2">
      <c r="D24">
        <v>5</v>
      </c>
      <c r="E24" s="2">
        <v>8.3862554765906303E-7</v>
      </c>
      <c r="F24" s="2">
        <v>0.99674653287632198</v>
      </c>
      <c r="G24" s="2">
        <v>5</v>
      </c>
      <c r="H24" s="2">
        <v>7.9665185498199301E-7</v>
      </c>
      <c r="I24" s="2">
        <v>0.997380793418573</v>
      </c>
      <c r="J24" s="1">
        <v>5</v>
      </c>
      <c r="K24" s="1">
        <v>8.35387019447779E-7</v>
      </c>
      <c r="L24">
        <v>0.99849773883956205</v>
      </c>
      <c r="M24" s="2">
        <v>5</v>
      </c>
      <c r="N24" s="2">
        <v>9.1010594861944796E-7</v>
      </c>
      <c r="O24" s="2">
        <v>0.99815432608240995</v>
      </c>
      <c r="P24" s="2">
        <v>5</v>
      </c>
      <c r="Q24" s="2">
        <v>8.5327689603841601E-7</v>
      </c>
      <c r="R24" s="1">
        <v>0.99613769940403896</v>
      </c>
      <c r="T24">
        <v>5</v>
      </c>
      <c r="U24" s="1">
        <v>1.9182029132978299E-7</v>
      </c>
      <c r="V24">
        <v>0.99879679904033902</v>
      </c>
      <c r="W24">
        <v>5</v>
      </c>
      <c r="X24" s="1">
        <v>1.81123536945924E-7</v>
      </c>
      <c r="Y24">
        <v>0.998510022790837</v>
      </c>
      <c r="Z24">
        <v>5</v>
      </c>
      <c r="AA24" s="1">
        <v>1.7937771440786E-7</v>
      </c>
      <c r="AB24">
        <v>0.99697323841872099</v>
      </c>
      <c r="AC24">
        <v>5</v>
      </c>
      <c r="AD24" s="1">
        <v>1.7023345736143399E-7</v>
      </c>
      <c r="AE24">
        <v>0.99820966077144202</v>
      </c>
      <c r="AF24">
        <v>5</v>
      </c>
      <c r="AG24" s="1">
        <v>1.95521818375459E-7</v>
      </c>
      <c r="AH24">
        <v>0.99758297107758498</v>
      </c>
    </row>
    <row r="25" spans="2:34" x14ac:dyDescent="0.2">
      <c r="D25">
        <v>6</v>
      </c>
      <c r="E25" s="1">
        <v>1.0070262496998799E-6</v>
      </c>
      <c r="F25" s="1">
        <v>0.99786742293730901</v>
      </c>
      <c r="G25" s="2">
        <v>6</v>
      </c>
      <c r="H25" s="2">
        <v>7.7674865354141605E-7</v>
      </c>
      <c r="I25" s="2">
        <v>0.99693830723516597</v>
      </c>
      <c r="J25" s="1">
        <v>6</v>
      </c>
      <c r="K25" s="1">
        <v>8.5455520864345703E-7</v>
      </c>
      <c r="L25">
        <v>0.99839517141391299</v>
      </c>
      <c r="M25" s="2">
        <v>6</v>
      </c>
      <c r="N25" s="2">
        <v>9.4419827563025105E-7</v>
      </c>
      <c r="O25" s="2">
        <v>0.99829983226158103</v>
      </c>
      <c r="P25" s="2">
        <v>6</v>
      </c>
      <c r="Q25" s="2">
        <v>9.3563759471788699E-7</v>
      </c>
      <c r="R25" s="1">
        <v>0.99817615777812096</v>
      </c>
      <c r="T25">
        <v>6</v>
      </c>
      <c r="U25" s="1">
        <v>1.8000226919672999E-7</v>
      </c>
      <c r="V25">
        <v>0.99736372820935504</v>
      </c>
      <c r="W25">
        <v>6</v>
      </c>
      <c r="X25" s="1">
        <v>1.5357693159079001E-7</v>
      </c>
      <c r="Y25">
        <v>0.98449359190269803</v>
      </c>
      <c r="Z25">
        <v>6</v>
      </c>
      <c r="AA25" s="1">
        <v>1.6148860951773799E-7</v>
      </c>
      <c r="AB25">
        <v>0.99242981077747905</v>
      </c>
      <c r="AC25">
        <v>6</v>
      </c>
      <c r="AD25" s="1">
        <v>1.79821709397735E-7</v>
      </c>
      <c r="AE25">
        <v>0.99898419161945995</v>
      </c>
      <c r="AF25">
        <v>6</v>
      </c>
      <c r="AG25" s="1">
        <v>1.7120115280132E-7</v>
      </c>
      <c r="AH25">
        <v>0.99332858660608903</v>
      </c>
    </row>
    <row r="26" spans="2:34" x14ac:dyDescent="0.2">
      <c r="D26">
        <v>7</v>
      </c>
      <c r="E26" s="1">
        <v>8.9732098487394897E-7</v>
      </c>
      <c r="F26" s="3">
        <v>0.99841200146464704</v>
      </c>
      <c r="G26" s="2">
        <v>7</v>
      </c>
      <c r="H26" s="2">
        <v>8.4101670588235296E-7</v>
      </c>
      <c r="I26" s="2">
        <v>0.99718736551416898</v>
      </c>
      <c r="J26" s="1">
        <v>7</v>
      </c>
      <c r="K26" s="1">
        <v>8.0407950108043205E-7</v>
      </c>
      <c r="L26">
        <v>0.99817299757456102</v>
      </c>
      <c r="M26" s="2">
        <v>7</v>
      </c>
      <c r="N26" s="2">
        <v>9.0359794813925496E-7</v>
      </c>
      <c r="O26" s="2">
        <v>0.99784202691283497</v>
      </c>
      <c r="P26" s="2">
        <v>7</v>
      </c>
      <c r="Q26" s="2">
        <v>9.2049381464585799E-7</v>
      </c>
      <c r="R26" s="1">
        <v>0.99911175859305201</v>
      </c>
      <c r="T26">
        <v>7</v>
      </c>
      <c r="U26" s="1">
        <v>1.5187804188104701E-7</v>
      </c>
      <c r="V26">
        <v>0.98482515389797198</v>
      </c>
      <c r="W26">
        <v>7</v>
      </c>
      <c r="X26" s="1">
        <v>1.5545332317557899E-7</v>
      </c>
      <c r="Y26">
        <v>0.99487217398932404</v>
      </c>
      <c r="Z26">
        <v>7</v>
      </c>
      <c r="AA26" s="1">
        <v>1.8243291058276401E-7</v>
      </c>
      <c r="AB26">
        <v>0.99589975444283196</v>
      </c>
      <c r="AC26">
        <v>7</v>
      </c>
      <c r="AD26" s="1">
        <v>1.82672691134778E-7</v>
      </c>
      <c r="AE26">
        <v>0.99848811474607602</v>
      </c>
      <c r="AF26">
        <v>7</v>
      </c>
      <c r="AG26" s="1">
        <v>2.0560095406135201E-7</v>
      </c>
      <c r="AH26">
        <v>0.99677012933417097</v>
      </c>
    </row>
    <row r="27" spans="2:34" x14ac:dyDescent="0.2">
      <c r="D27">
        <v>8</v>
      </c>
      <c r="E27" s="1">
        <v>9.1680951404561796E-7</v>
      </c>
      <c r="F27">
        <v>0.99793633012288496</v>
      </c>
      <c r="G27" s="2">
        <v>8</v>
      </c>
      <c r="H27" s="2">
        <v>9.6710980408163197E-7</v>
      </c>
      <c r="I27" s="2">
        <v>0.99765067092708104</v>
      </c>
      <c r="J27" s="1">
        <v>8</v>
      </c>
      <c r="K27" s="1">
        <v>8.7218223529411803E-7</v>
      </c>
      <c r="L27">
        <v>0.99927150671525</v>
      </c>
      <c r="M27" s="2">
        <v>8</v>
      </c>
      <c r="N27" s="2">
        <v>8.7547574069627898E-7</v>
      </c>
      <c r="O27" s="2">
        <v>0.99476099700480003</v>
      </c>
      <c r="P27" s="2">
        <v>8</v>
      </c>
      <c r="Q27" s="2">
        <v>9.3504452196878703E-7</v>
      </c>
      <c r="R27" s="1">
        <v>0.99751609384069095</v>
      </c>
      <c r="T27">
        <v>8</v>
      </c>
      <c r="U27" s="1">
        <v>1.5424585193879899E-7</v>
      </c>
      <c r="V27">
        <v>0.98741526527164603</v>
      </c>
      <c r="W27">
        <v>8</v>
      </c>
      <c r="X27" s="1">
        <v>1.43828251908798E-7</v>
      </c>
      <c r="Y27">
        <v>0.99026824455824602</v>
      </c>
      <c r="Z27">
        <v>8</v>
      </c>
      <c r="AA27" s="1">
        <v>1.8773613285832099E-7</v>
      </c>
      <c r="AB27">
        <v>0.993640825019386</v>
      </c>
      <c r="AC27">
        <v>8</v>
      </c>
      <c r="AD27" s="1">
        <v>1.8726777866946699E-7</v>
      </c>
      <c r="AE27">
        <v>0.99709342446566096</v>
      </c>
      <c r="AF27">
        <v>8</v>
      </c>
      <c r="AG27" s="1">
        <v>1.8631943048826199E-7</v>
      </c>
      <c r="AH27">
        <v>0.99596907560773196</v>
      </c>
    </row>
    <row r="28" spans="2:34" x14ac:dyDescent="0.2">
      <c r="D28">
        <v>9</v>
      </c>
      <c r="E28" s="1">
        <v>9.4777380456182499E-7</v>
      </c>
      <c r="F28">
        <v>0.99760725523053395</v>
      </c>
      <c r="G28" s="2">
        <v>9</v>
      </c>
      <c r="H28" s="2">
        <v>8.7609898199279797E-7</v>
      </c>
      <c r="I28" s="2">
        <v>0.99950462150212105</v>
      </c>
      <c r="J28" s="1">
        <v>9</v>
      </c>
      <c r="K28" s="1">
        <v>8.5872663625450205E-7</v>
      </c>
      <c r="L28">
        <v>0.99926371814094805</v>
      </c>
      <c r="M28" s="2">
        <v>9</v>
      </c>
      <c r="N28" s="2">
        <v>9.5214185450180101E-7</v>
      </c>
      <c r="O28" s="2">
        <v>0.99532778903937802</v>
      </c>
      <c r="P28" s="2">
        <v>9</v>
      </c>
      <c r="Q28" s="2">
        <v>9.6545388091236491E-7</v>
      </c>
      <c r="R28" s="1">
        <v>0.99902784057639804</v>
      </c>
      <c r="T28">
        <v>9</v>
      </c>
      <c r="U28" s="1">
        <v>1.84346729865747E-7</v>
      </c>
      <c r="V28">
        <v>0.99868542007769201</v>
      </c>
      <c r="W28">
        <v>9</v>
      </c>
      <c r="X28" s="1">
        <v>1.5614765219380499E-7</v>
      </c>
      <c r="Y28">
        <v>0.99569034232744502</v>
      </c>
      <c r="Z28">
        <v>9</v>
      </c>
      <c r="AA28" s="1">
        <v>1.5287044000600001E-7</v>
      </c>
      <c r="AB28">
        <v>0.99740741069302097</v>
      </c>
      <c r="AC28">
        <v>9</v>
      </c>
      <c r="AD28" s="1">
        <v>1.8920061449036199E-7</v>
      </c>
      <c r="AE28">
        <v>0.99808385516602405</v>
      </c>
      <c r="AF28">
        <v>9</v>
      </c>
      <c r="AG28" s="1">
        <v>1.9622019616740401E-7</v>
      </c>
      <c r="AH28">
        <v>0.99739003725943998</v>
      </c>
    </row>
    <row r="29" spans="2:34" x14ac:dyDescent="0.2">
      <c r="D29">
        <v>10</v>
      </c>
      <c r="E29" s="1">
        <v>8.43098701080432E-7</v>
      </c>
      <c r="F29">
        <v>0.99928411101037096</v>
      </c>
      <c r="G29" s="2">
        <v>10</v>
      </c>
      <c r="H29" s="2">
        <v>8.2897608643457395E-7</v>
      </c>
      <c r="I29" s="2">
        <v>0.99892747761513501</v>
      </c>
      <c r="J29" s="1">
        <v>10</v>
      </c>
      <c r="K29" s="1">
        <v>7.87220646818727E-7</v>
      </c>
      <c r="L29">
        <v>0.99918209503034705</v>
      </c>
      <c r="M29" s="2">
        <v>10</v>
      </c>
      <c r="N29" s="2">
        <v>9.0431083073229299E-7</v>
      </c>
      <c r="O29" s="2">
        <v>0.99924168407891101</v>
      </c>
      <c r="P29" s="2">
        <v>10</v>
      </c>
      <c r="Q29" s="2">
        <v>9.66820552220888E-7</v>
      </c>
      <c r="R29" s="1">
        <v>0.99882641583062104</v>
      </c>
      <c r="T29">
        <v>10</v>
      </c>
      <c r="U29" s="1">
        <v>1.8884298256206399E-7</v>
      </c>
      <c r="V29">
        <v>0.99777553164483002</v>
      </c>
      <c r="W29">
        <v>10</v>
      </c>
      <c r="X29" s="1">
        <v>1.61805559903997E-7</v>
      </c>
      <c r="Y29">
        <v>0.99808603558873299</v>
      </c>
      <c r="Z29">
        <v>10</v>
      </c>
      <c r="AA29" s="1">
        <v>1.4783083994599799E-7</v>
      </c>
      <c r="AB29">
        <v>0.99390710382717595</v>
      </c>
      <c r="AC29">
        <v>10</v>
      </c>
      <c r="AD29" s="1">
        <v>1.7717735553888799E-7</v>
      </c>
      <c r="AE29">
        <v>0.99882390032641999</v>
      </c>
      <c r="AF29">
        <v>10</v>
      </c>
      <c r="AG29" s="1">
        <v>1.7617651241281001E-7</v>
      </c>
      <c r="AH29">
        <v>0.99579199852723799</v>
      </c>
    </row>
    <row r="30" spans="2:34" x14ac:dyDescent="0.2">
      <c r="D30" t="s">
        <v>21</v>
      </c>
      <c r="E30" s="1">
        <v>9.0204762175270096E-7</v>
      </c>
      <c r="F30" s="1">
        <v>5.0631129116898901E-8</v>
      </c>
      <c r="G30" s="2" t="s">
        <v>21</v>
      </c>
      <c r="H30" s="2">
        <v>8.4397969382953199E-7</v>
      </c>
      <c r="I30" s="2">
        <v>5.9425535825926997E-8</v>
      </c>
      <c r="J30" s="1" t="s">
        <v>21</v>
      </c>
      <c r="K30" s="1">
        <v>8.2928697786314502E-7</v>
      </c>
      <c r="L30" s="1">
        <v>3.0730777252248798E-8</v>
      </c>
      <c r="M30" s="2" t="s">
        <v>21</v>
      </c>
      <c r="N30" s="2">
        <v>9.2987522775510204E-7</v>
      </c>
      <c r="O30" s="2">
        <v>3.6752175676211697E-8</v>
      </c>
      <c r="P30" s="2" t="s">
        <v>21</v>
      </c>
      <c r="Q30" s="2">
        <v>9.2852650136854804E-7</v>
      </c>
      <c r="R30" s="1">
        <v>4.2124093049349503E-8</v>
      </c>
      <c r="T30" t="s">
        <v>21</v>
      </c>
      <c r="U30" s="1">
        <v>1.7322802214655401E-7</v>
      </c>
      <c r="V30" s="1">
        <v>1.35017989369315E-8</v>
      </c>
      <c r="W30" t="s">
        <v>21</v>
      </c>
      <c r="X30" s="1">
        <v>1.6156526126078101E-7</v>
      </c>
      <c r="Y30" s="1">
        <v>1.20192638065354E-8</v>
      </c>
      <c r="Z30" t="s">
        <v>21</v>
      </c>
      <c r="AA30" s="1">
        <v>1.6730717209405199E-7</v>
      </c>
      <c r="AB30" s="1">
        <v>1.35963357951744E-8</v>
      </c>
      <c r="AC30" t="s">
        <v>21</v>
      </c>
      <c r="AD30" s="1">
        <v>1.7886491871371801E-7</v>
      </c>
      <c r="AE30" s="1">
        <v>8.94535842349746E-9</v>
      </c>
      <c r="AF30" t="s">
        <v>21</v>
      </c>
      <c r="AG30" s="1">
        <v>1.8197947040051E-7</v>
      </c>
      <c r="AH30" s="1">
        <v>1.59757201425869E-8</v>
      </c>
    </row>
    <row r="31" spans="2:34" x14ac:dyDescent="0.2">
      <c r="F31" s="4">
        <f>F30/E30</f>
        <v>5.6129108814145928E-2</v>
      </c>
      <c r="G31" s="2"/>
      <c r="H31" s="2"/>
      <c r="I31" s="4">
        <f>I30/H30</f>
        <v>7.0411096689169672E-2</v>
      </c>
      <c r="J31" s="1"/>
      <c r="L31" s="4">
        <f>L30/K30</f>
        <v>3.7056867010541936E-2</v>
      </c>
      <c r="M31" s="2"/>
      <c r="N31" s="2"/>
      <c r="O31" s="4">
        <f>O30/N30</f>
        <v>3.9523771124582524E-2</v>
      </c>
      <c r="P31" s="2"/>
      <c r="Q31" s="2"/>
      <c r="R31" s="4">
        <f>R30/Q30</f>
        <v>4.5366602878068776E-2</v>
      </c>
      <c r="V31" s="4">
        <f>V30/U30</f>
        <v>7.7942348874183512E-2</v>
      </c>
      <c r="Y31" s="4">
        <f>Y30/X30</f>
        <v>7.439262445864038E-2</v>
      </c>
      <c r="AB31" s="4">
        <f>AB30/AA30</f>
        <v>8.1265708008806684E-2</v>
      </c>
      <c r="AE31" s="4">
        <f>AE30/AD30</f>
        <v>5.0011810520625012E-2</v>
      </c>
      <c r="AH31" s="4">
        <f>AH30/AG30</f>
        <v>8.7788584654228813E-2</v>
      </c>
    </row>
    <row r="32" spans="2:34" x14ac:dyDescent="0.2">
      <c r="E32" s="2"/>
      <c r="F32" s="2"/>
      <c r="G32" s="2"/>
      <c r="H32" s="2"/>
      <c r="I32" s="2"/>
      <c r="J32" s="1"/>
      <c r="M32" s="2"/>
      <c r="N32" s="2"/>
      <c r="O32" s="2"/>
      <c r="P32" s="2"/>
      <c r="Q32" s="2"/>
      <c r="R32" s="1"/>
    </row>
    <row r="33" spans="2:34" x14ac:dyDescent="0.2">
      <c r="E33" s="2"/>
      <c r="F33" s="2"/>
      <c r="G33" s="2"/>
      <c r="H33" s="2"/>
      <c r="I33" s="2"/>
      <c r="J33" s="1"/>
      <c r="M33" s="2"/>
      <c r="N33" s="2"/>
      <c r="O33" s="2"/>
      <c r="P33" s="2"/>
      <c r="Q33" s="2"/>
      <c r="R33" s="1"/>
    </row>
    <row r="34" spans="2:34" x14ac:dyDescent="0.2">
      <c r="B34" t="s">
        <v>31</v>
      </c>
      <c r="D34" t="s">
        <v>0</v>
      </c>
      <c r="E34" s="2"/>
      <c r="F34" s="2"/>
      <c r="G34" s="2" t="s">
        <v>1</v>
      </c>
      <c r="H34" s="2"/>
      <c r="I34" s="2"/>
      <c r="J34" s="1" t="s">
        <v>2</v>
      </c>
      <c r="M34" s="2" t="s">
        <v>3</v>
      </c>
      <c r="N34" s="2"/>
      <c r="O34" s="2"/>
      <c r="P34" s="2" t="s">
        <v>4</v>
      </c>
      <c r="Q34" s="2"/>
      <c r="R34" s="1"/>
      <c r="T34" t="s">
        <v>5</v>
      </c>
      <c r="U34" s="2"/>
      <c r="V34" s="2"/>
      <c r="W34" s="2" t="s">
        <v>6</v>
      </c>
      <c r="X34" s="2"/>
      <c r="Y34" s="2"/>
      <c r="Z34" s="1" t="s">
        <v>7</v>
      </c>
      <c r="AC34" s="2" t="s">
        <v>8</v>
      </c>
      <c r="AD34" s="2"/>
      <c r="AE34" s="2"/>
      <c r="AF34" s="2" t="s">
        <v>9</v>
      </c>
      <c r="AG34" s="2"/>
      <c r="AH34" s="1"/>
    </row>
    <row r="35" spans="2:34" x14ac:dyDescent="0.2">
      <c r="D35">
        <v>1</v>
      </c>
      <c r="E35" s="2">
        <v>5.6067078655462203E-7</v>
      </c>
      <c r="F35" s="2">
        <v>0.99909162868556201</v>
      </c>
      <c r="G35">
        <v>1</v>
      </c>
      <c r="H35" s="2">
        <v>5.8472237166866796E-7</v>
      </c>
      <c r="I35" s="2">
        <v>0.99563959088635301</v>
      </c>
      <c r="J35">
        <v>1</v>
      </c>
      <c r="K35" s="1">
        <v>5.7556105738295304E-7</v>
      </c>
      <c r="L35">
        <v>0.99659960055860097</v>
      </c>
      <c r="M35">
        <v>1</v>
      </c>
      <c r="N35" s="2">
        <v>6.08262861464585E-7</v>
      </c>
      <c r="O35" s="2">
        <v>0.99820410427320005</v>
      </c>
      <c r="P35">
        <v>1</v>
      </c>
      <c r="Q35" s="2">
        <v>6.8682217382953198E-7</v>
      </c>
      <c r="R35" s="1">
        <v>0.99492775012378898</v>
      </c>
      <c r="T35">
        <v>1</v>
      </c>
      <c r="U35" s="2">
        <v>1.08965175684392E-7</v>
      </c>
      <c r="V35" s="2">
        <v>0.99141693774159401</v>
      </c>
      <c r="W35">
        <v>1</v>
      </c>
      <c r="X35" s="2">
        <v>1.03135142263557E-7</v>
      </c>
      <c r="Y35" s="2">
        <v>0.98908352662305199</v>
      </c>
      <c r="Z35">
        <v>1</v>
      </c>
      <c r="AA35" s="1">
        <v>2.9482595837395999E-8</v>
      </c>
      <c r="AB35">
        <v>0.66335839279801601</v>
      </c>
      <c r="AC35">
        <v>1</v>
      </c>
      <c r="AD35" s="2">
        <v>1.14741351953799E-7</v>
      </c>
      <c r="AE35" s="2">
        <v>0.99418441510270605</v>
      </c>
      <c r="AF35">
        <v>1</v>
      </c>
      <c r="AG35" s="2">
        <v>9.9566944528613201E-8</v>
      </c>
      <c r="AH35" s="1">
        <v>0.99229193665583304</v>
      </c>
    </row>
    <row r="36" spans="2:34" x14ac:dyDescent="0.2">
      <c r="D36">
        <v>2</v>
      </c>
      <c r="E36" s="2">
        <v>7.0950825978391305E-7</v>
      </c>
      <c r="F36" s="2">
        <v>0.99893334405599599</v>
      </c>
      <c r="G36">
        <v>2</v>
      </c>
      <c r="H36" s="2">
        <v>7.5133459255702297E-7</v>
      </c>
      <c r="I36" s="2">
        <v>0.99841713153673095</v>
      </c>
      <c r="J36">
        <v>2</v>
      </c>
      <c r="K36" s="1">
        <v>6.0975350012004803E-7</v>
      </c>
      <c r="L36">
        <v>0.99844239228247</v>
      </c>
      <c r="M36">
        <v>2</v>
      </c>
      <c r="N36" s="2">
        <v>6.5307892629051699E-7</v>
      </c>
      <c r="O36" s="2">
        <v>0.99828819812852498</v>
      </c>
      <c r="P36">
        <v>2</v>
      </c>
      <c r="Q36" s="2">
        <v>6.58595678751501E-7</v>
      </c>
      <c r="R36" s="1">
        <v>0.99902180281303599</v>
      </c>
      <c r="T36">
        <v>2</v>
      </c>
      <c r="U36" s="1">
        <v>1.13139818547964E-7</v>
      </c>
      <c r="V36">
        <v>0.99646476044503196</v>
      </c>
      <c r="W36">
        <v>2</v>
      </c>
      <c r="X36" s="1">
        <v>1.2074388762469101E-7</v>
      </c>
      <c r="Y36">
        <v>0.99806313620158504</v>
      </c>
      <c r="Z36">
        <v>2</v>
      </c>
      <c r="AA36" s="1">
        <v>9.70066095027376E-8</v>
      </c>
      <c r="AB36">
        <v>0.98840423041302305</v>
      </c>
      <c r="AC36">
        <v>2</v>
      </c>
      <c r="AD36" s="1">
        <v>9.5907630428260807E-8</v>
      </c>
      <c r="AE36">
        <v>0.99646093709176498</v>
      </c>
      <c r="AF36">
        <v>2</v>
      </c>
      <c r="AG36" s="1">
        <v>1.03858995379885E-7</v>
      </c>
      <c r="AH36">
        <v>0.99807014477020795</v>
      </c>
    </row>
    <row r="37" spans="2:34" x14ac:dyDescent="0.2">
      <c r="D37">
        <v>3</v>
      </c>
      <c r="E37" s="2">
        <v>5.9695496614645895E-7</v>
      </c>
      <c r="F37" s="2">
        <v>0.99825849643376696</v>
      </c>
      <c r="G37">
        <v>3</v>
      </c>
      <c r="H37" s="2">
        <v>6.1902887539015603E-7</v>
      </c>
      <c r="I37" s="2">
        <v>0.99680110654930898</v>
      </c>
      <c r="J37">
        <v>3</v>
      </c>
      <c r="K37" s="1">
        <v>6.3554927539015705E-7</v>
      </c>
      <c r="L37">
        <v>0.99770298015380399</v>
      </c>
      <c r="M37">
        <v>3</v>
      </c>
      <c r="N37" s="2">
        <v>6.3142413925570305E-7</v>
      </c>
      <c r="O37" s="2">
        <v>0.99912848234601104</v>
      </c>
      <c r="P37">
        <v>3</v>
      </c>
      <c r="Q37" s="2">
        <v>6.5641916254501703E-7</v>
      </c>
      <c r="R37" s="1">
        <v>0.99609653237329898</v>
      </c>
      <c r="T37">
        <v>3</v>
      </c>
      <c r="U37" s="1">
        <v>8.8931708782719699E-8</v>
      </c>
      <c r="V37">
        <v>0.99133979764920599</v>
      </c>
      <c r="W37">
        <v>3</v>
      </c>
      <c r="X37" s="1">
        <v>1.03403796197405E-7</v>
      </c>
      <c r="Y37">
        <v>0.98506878244488805</v>
      </c>
      <c r="Z37">
        <v>3</v>
      </c>
      <c r="AA37" s="1">
        <v>1.1184740643516101E-7</v>
      </c>
      <c r="AB37">
        <v>0.99568400305906801</v>
      </c>
      <c r="AC37">
        <v>3</v>
      </c>
      <c r="AD37" s="1">
        <v>7.9806414985374696E-8</v>
      </c>
      <c r="AE37">
        <v>0.99032387750154005</v>
      </c>
      <c r="AF37">
        <v>3</v>
      </c>
      <c r="AG37" s="1">
        <v>1.15080699789995E-7</v>
      </c>
      <c r="AH37">
        <v>0.99672289555542404</v>
      </c>
    </row>
    <row r="38" spans="2:34" x14ac:dyDescent="0.2">
      <c r="D38">
        <v>4</v>
      </c>
      <c r="E38" s="2">
        <v>6.1203362929171597E-7</v>
      </c>
      <c r="F38" s="2">
        <v>0.99671405643031397</v>
      </c>
      <c r="G38">
        <v>4</v>
      </c>
      <c r="H38" s="2">
        <v>6.12626277070829E-7</v>
      </c>
      <c r="I38" s="2">
        <v>0.99710675301087304</v>
      </c>
      <c r="J38">
        <v>4</v>
      </c>
      <c r="K38" s="1">
        <v>5.3444106986794802E-7</v>
      </c>
      <c r="L38">
        <v>0.99654044629984095</v>
      </c>
      <c r="M38">
        <v>4</v>
      </c>
      <c r="N38" s="2">
        <v>6.5088299447779098E-7</v>
      </c>
      <c r="O38" s="2">
        <v>0.99752529323247696</v>
      </c>
      <c r="P38">
        <v>4</v>
      </c>
      <c r="Q38" s="2">
        <v>6.8832503049219697E-7</v>
      </c>
      <c r="R38" s="1">
        <v>0.99862368406772395</v>
      </c>
      <c r="T38">
        <v>4</v>
      </c>
      <c r="U38" s="1">
        <v>1.23913754113853E-7</v>
      </c>
      <c r="V38">
        <v>0.99564793119785</v>
      </c>
      <c r="W38">
        <v>4</v>
      </c>
      <c r="X38" s="1">
        <v>9.0262899864996501E-8</v>
      </c>
      <c r="Y38">
        <v>0.98301558456667204</v>
      </c>
      <c r="Z38">
        <v>4</v>
      </c>
      <c r="AA38" s="1">
        <v>9.9250981279531994E-8</v>
      </c>
      <c r="AB38">
        <v>0.99241802702896997</v>
      </c>
      <c r="AC38">
        <v>4</v>
      </c>
      <c r="AD38" s="1">
        <v>9.2861830030750903E-8</v>
      </c>
      <c r="AE38">
        <v>0.98567754721376699</v>
      </c>
      <c r="AF38">
        <v>4</v>
      </c>
      <c r="AG38" s="1">
        <v>1.10216386162154E-7</v>
      </c>
      <c r="AH38">
        <v>0.99320633453743301</v>
      </c>
    </row>
    <row r="39" spans="2:34" x14ac:dyDescent="0.2">
      <c r="D39">
        <v>5</v>
      </c>
      <c r="E39" s="2">
        <v>7.01020444657864E-7</v>
      </c>
      <c r="F39" s="2">
        <v>0.995698538123586</v>
      </c>
      <c r="G39">
        <v>5</v>
      </c>
      <c r="H39" s="2">
        <v>5.6417602064825896E-7</v>
      </c>
      <c r="I39" s="2">
        <v>0.997607700308347</v>
      </c>
      <c r="J39">
        <v>5</v>
      </c>
      <c r="K39" s="1">
        <v>6.6506680960384098E-7</v>
      </c>
      <c r="L39">
        <v>0.99740522329454595</v>
      </c>
      <c r="M39">
        <v>5</v>
      </c>
      <c r="N39" s="2">
        <v>7.0556829387755095E-7</v>
      </c>
      <c r="O39" s="2">
        <v>0.99764222507141498</v>
      </c>
      <c r="P39">
        <v>5</v>
      </c>
      <c r="Q39" s="2">
        <v>7.2158303577430996E-7</v>
      </c>
      <c r="R39" s="1">
        <v>0.99199280981092897</v>
      </c>
      <c r="T39">
        <v>5</v>
      </c>
      <c r="U39" s="1">
        <v>1.09760446711168E-7</v>
      </c>
      <c r="V39">
        <v>0.99458295950591102</v>
      </c>
      <c r="W39">
        <v>5</v>
      </c>
      <c r="X39" s="1">
        <v>7.2415826355658701E-8</v>
      </c>
      <c r="Y39">
        <v>0.96518310822854203</v>
      </c>
      <c r="Z39">
        <v>5</v>
      </c>
      <c r="AA39" s="1">
        <v>9.9464474379359503E-8</v>
      </c>
      <c r="AB39">
        <v>0.99708184727759797</v>
      </c>
      <c r="AC39">
        <v>5</v>
      </c>
      <c r="AD39" s="1">
        <v>1.1947480086252099E-7</v>
      </c>
      <c r="AE39">
        <v>0.99824538034738197</v>
      </c>
      <c r="AF39">
        <v>5</v>
      </c>
      <c r="AG39" s="1">
        <v>1.26691106450161E-7</v>
      </c>
      <c r="AH39">
        <v>0.99659699194155604</v>
      </c>
    </row>
    <row r="40" spans="2:34" x14ac:dyDescent="0.2">
      <c r="D40">
        <v>6</v>
      </c>
      <c r="E40" s="1">
        <v>6.6237660696278397E-7</v>
      </c>
      <c r="F40" s="1">
        <v>0.99341976359975803</v>
      </c>
      <c r="G40">
        <v>6</v>
      </c>
      <c r="H40" s="1">
        <v>5.8406648115246096E-7</v>
      </c>
      <c r="I40" s="1">
        <v>0.99340117120667304</v>
      </c>
      <c r="J40">
        <v>6</v>
      </c>
      <c r="K40" s="1">
        <v>6.1507842881152505E-7</v>
      </c>
      <c r="L40" s="1">
        <v>0.99857389330114299</v>
      </c>
      <c r="M40">
        <v>6</v>
      </c>
      <c r="N40" s="1">
        <v>6.2180756494597903E-7</v>
      </c>
      <c r="O40" s="1">
        <v>0.99869910868882195</v>
      </c>
      <c r="P40">
        <v>6</v>
      </c>
      <c r="Q40" s="1">
        <v>7.0274315630252196E-7</v>
      </c>
      <c r="R40" s="1">
        <v>0.99936856676979402</v>
      </c>
      <c r="T40">
        <v>6</v>
      </c>
      <c r="U40" s="1">
        <v>1.0447550761269001E-7</v>
      </c>
      <c r="V40">
        <v>0.99681566899140495</v>
      </c>
      <c r="W40">
        <v>6</v>
      </c>
      <c r="X40" s="1">
        <v>9.2941530330758096E-8</v>
      </c>
      <c r="Y40">
        <v>0.99249562139399805</v>
      </c>
      <c r="Z40">
        <v>6</v>
      </c>
      <c r="AA40" s="1">
        <v>8.3536486252156498E-8</v>
      </c>
      <c r="AB40">
        <v>0.98337368386792301</v>
      </c>
      <c r="AC40">
        <v>6</v>
      </c>
      <c r="AD40" s="1">
        <v>7.3079609517738196E-8</v>
      </c>
      <c r="AE40">
        <v>0.97743294596897401</v>
      </c>
      <c r="AF40">
        <v>6</v>
      </c>
      <c r="AG40" s="1">
        <v>8.6309929258231603E-8</v>
      </c>
      <c r="AH40">
        <v>0.99584332066109005</v>
      </c>
    </row>
    <row r="41" spans="2:34" x14ac:dyDescent="0.2">
      <c r="D41">
        <v>7</v>
      </c>
      <c r="E41" s="1">
        <v>7.1498544297719095E-7</v>
      </c>
      <c r="F41" s="3">
        <v>0.99826917033673401</v>
      </c>
      <c r="G41">
        <v>7</v>
      </c>
      <c r="H41" s="1">
        <v>6.3307283841536703E-7</v>
      </c>
      <c r="I41" s="3">
        <v>0.99575313238276297</v>
      </c>
      <c r="J41">
        <v>7</v>
      </c>
      <c r="K41" s="1">
        <v>5.9509571092437005E-7</v>
      </c>
      <c r="L41" s="3">
        <v>0.99876649726207101</v>
      </c>
      <c r="M41">
        <v>7</v>
      </c>
      <c r="N41" s="1">
        <v>6.3772606194477699E-7</v>
      </c>
      <c r="O41" s="3">
        <v>0.99727976803038998</v>
      </c>
      <c r="P41">
        <v>7</v>
      </c>
      <c r="Q41" s="1">
        <v>6.7854254597839104E-7</v>
      </c>
      <c r="R41" s="3">
        <v>0.99778651142956298</v>
      </c>
      <c r="T41">
        <v>7</v>
      </c>
      <c r="U41" s="1">
        <v>1.19003759633991E-7</v>
      </c>
      <c r="V41">
        <v>0.99322948007660405</v>
      </c>
      <c r="W41">
        <v>7</v>
      </c>
      <c r="X41" s="1">
        <v>8.3139422710567902E-8</v>
      </c>
      <c r="Y41">
        <v>0.99477642362701002</v>
      </c>
      <c r="Z41">
        <v>7</v>
      </c>
      <c r="AA41" s="1">
        <v>8.0060605460136594E-8</v>
      </c>
      <c r="AB41">
        <v>0.97678291630984904</v>
      </c>
      <c r="AC41">
        <v>7</v>
      </c>
      <c r="AD41" s="1">
        <v>1.20049170651767E-7</v>
      </c>
      <c r="AE41">
        <v>0.99848350190084001</v>
      </c>
      <c r="AF41">
        <v>7</v>
      </c>
      <c r="AG41" s="1">
        <v>7.0206311812795402E-8</v>
      </c>
      <c r="AH41">
        <v>0.96492902203807596</v>
      </c>
    </row>
    <row r="42" spans="2:34" x14ac:dyDescent="0.2">
      <c r="D42">
        <v>8</v>
      </c>
      <c r="E42" s="1">
        <v>6.8387655990396205E-7</v>
      </c>
      <c r="F42">
        <v>0.98928640332012296</v>
      </c>
      <c r="G42">
        <v>8</v>
      </c>
      <c r="H42" s="1">
        <v>6.1850731908763505E-7</v>
      </c>
      <c r="I42">
        <v>0.99822580408942496</v>
      </c>
      <c r="J42">
        <v>8</v>
      </c>
      <c r="K42" s="1">
        <v>6.2535595822329005E-7</v>
      </c>
      <c r="L42">
        <v>0.99755525207056195</v>
      </c>
      <c r="M42">
        <v>8</v>
      </c>
      <c r="N42" s="1">
        <v>6.5105054549819901E-7</v>
      </c>
      <c r="O42">
        <v>0.99592502835659402</v>
      </c>
      <c r="P42">
        <v>8</v>
      </c>
      <c r="Q42" s="1">
        <v>7.0752561296518499E-7</v>
      </c>
      <c r="R42">
        <v>0.99899680900472898</v>
      </c>
      <c r="T42">
        <v>8</v>
      </c>
      <c r="U42" s="1">
        <v>1.0677505081377E-7</v>
      </c>
      <c r="V42">
        <v>0.99708860993483805</v>
      </c>
      <c r="W42">
        <v>8</v>
      </c>
      <c r="X42" s="1">
        <v>1.16560667981699E-7</v>
      </c>
      <c r="Y42">
        <v>0.99650822404866102</v>
      </c>
      <c r="Z42">
        <v>8</v>
      </c>
      <c r="AA42" s="1">
        <v>1.0656508834470899E-7</v>
      </c>
      <c r="AB42">
        <v>0.99599253229422002</v>
      </c>
      <c r="AC42">
        <v>8</v>
      </c>
      <c r="AD42" s="1">
        <v>9.3917846208655097E-8</v>
      </c>
      <c r="AE42">
        <v>0.99581859048583299</v>
      </c>
      <c r="AF42">
        <v>8</v>
      </c>
      <c r="AG42" s="1">
        <v>1.05129221308033E-7</v>
      </c>
      <c r="AH42">
        <v>0.99740576133409897</v>
      </c>
    </row>
    <row r="43" spans="2:34" x14ac:dyDescent="0.2">
      <c r="D43">
        <v>9</v>
      </c>
      <c r="E43" s="1">
        <v>6.6006583193277298E-7</v>
      </c>
      <c r="F43">
        <v>0.99734751733694005</v>
      </c>
      <c r="G43">
        <v>9</v>
      </c>
      <c r="H43" s="1">
        <v>6.6314627418967597E-7</v>
      </c>
      <c r="I43">
        <v>0.99591047942137501</v>
      </c>
      <c r="J43">
        <v>9</v>
      </c>
      <c r="K43" s="1">
        <v>5.1066316638655496E-7</v>
      </c>
      <c r="L43">
        <v>0.98723481711127103</v>
      </c>
      <c r="M43">
        <v>9</v>
      </c>
      <c r="N43" s="1">
        <v>7.6652430540216104E-7</v>
      </c>
      <c r="O43">
        <v>0.99825657534156897</v>
      </c>
      <c r="P43">
        <v>9</v>
      </c>
      <c r="Q43" s="1">
        <v>6.9246666362545E-7</v>
      </c>
      <c r="R43">
        <v>0.995690990884465</v>
      </c>
      <c r="T43">
        <v>9</v>
      </c>
      <c r="U43" s="1">
        <v>1.2634248883972099E-7</v>
      </c>
      <c r="V43">
        <v>0.99141551572662301</v>
      </c>
      <c r="W43">
        <v>9</v>
      </c>
      <c r="X43" s="1">
        <v>9.1729245781144507E-8</v>
      </c>
      <c r="Y43">
        <v>0.99339900240734702</v>
      </c>
      <c r="Z43">
        <v>9</v>
      </c>
      <c r="AA43" s="1">
        <v>9.7466777349433695E-8</v>
      </c>
      <c r="AB43">
        <v>0.97819300588241898</v>
      </c>
      <c r="AC43">
        <v>9</v>
      </c>
      <c r="AD43" s="1">
        <v>1.12995794239856E-7</v>
      </c>
      <c r="AE43">
        <v>0.99666020322251103</v>
      </c>
      <c r="AF43">
        <v>9</v>
      </c>
      <c r="AG43" s="1">
        <v>1.2105762536563399E-7</v>
      </c>
      <c r="AH43">
        <v>0.99629939612779495</v>
      </c>
    </row>
    <row r="44" spans="2:34" x14ac:dyDescent="0.2">
      <c r="D44">
        <v>10</v>
      </c>
      <c r="E44" s="1">
        <v>6.4494887058823505E-7</v>
      </c>
      <c r="F44">
        <v>0.99864195165004399</v>
      </c>
      <c r="G44">
        <v>10</v>
      </c>
      <c r="H44" s="1">
        <v>7.0142374357743095E-7</v>
      </c>
      <c r="I44">
        <v>0.99862089988135705</v>
      </c>
      <c r="J44">
        <v>10</v>
      </c>
      <c r="K44" s="1">
        <v>5.9468685138055205E-7</v>
      </c>
      <c r="L44">
        <v>0.99835121414219197</v>
      </c>
      <c r="M44">
        <v>10</v>
      </c>
      <c r="N44" s="1">
        <v>6.07760662184874E-7</v>
      </c>
      <c r="O44">
        <v>0.990172288124338</v>
      </c>
      <c r="P44">
        <v>10</v>
      </c>
      <c r="Q44" s="1">
        <v>7.18020215126051E-7</v>
      </c>
      <c r="R44">
        <v>0.99768943434941204</v>
      </c>
      <c r="T44">
        <v>10</v>
      </c>
      <c r="U44" s="1">
        <v>1.03555812142804E-7</v>
      </c>
      <c r="V44">
        <v>0.99546356318995499</v>
      </c>
      <c r="W44">
        <v>10</v>
      </c>
      <c r="X44" s="1">
        <v>1.0307834779119501E-7</v>
      </c>
      <c r="Y44">
        <v>0.99642575585107995</v>
      </c>
      <c r="Z44">
        <v>10</v>
      </c>
      <c r="AA44" s="1">
        <v>1.08902278684467E-7</v>
      </c>
      <c r="AB44">
        <v>0.98915164674990796</v>
      </c>
      <c r="AC44">
        <v>10</v>
      </c>
      <c r="AD44" s="1">
        <v>7.8988339248481103E-8</v>
      </c>
      <c r="AE44">
        <v>0.98226873146772598</v>
      </c>
      <c r="AF44">
        <v>10</v>
      </c>
      <c r="AG44" s="1">
        <v>8.86701877596939E-8</v>
      </c>
      <c r="AH44">
        <v>0.99782476894345495</v>
      </c>
    </row>
    <row r="45" spans="2:34" x14ac:dyDescent="0.2">
      <c r="D45" t="s">
        <v>21</v>
      </c>
      <c r="E45" s="1">
        <v>6.5464413987995201E-7</v>
      </c>
      <c r="F45" s="1">
        <v>5.1439621661403703E-8</v>
      </c>
      <c r="G45" t="s">
        <v>21</v>
      </c>
      <c r="H45" s="1">
        <v>6.3321047937574999E-7</v>
      </c>
      <c r="I45" s="1">
        <v>5.7615123520806499E-8</v>
      </c>
      <c r="J45" t="s">
        <v>21</v>
      </c>
      <c r="K45" s="1">
        <v>5.9612518280912396E-7</v>
      </c>
      <c r="L45" s="1">
        <v>4.6237670649184799E-8</v>
      </c>
      <c r="M45" t="s">
        <v>21</v>
      </c>
      <c r="N45" s="1">
        <v>6.5340863553421399E-7</v>
      </c>
      <c r="O45" s="1">
        <v>4.8736935717625699E-8</v>
      </c>
      <c r="P45" t="s">
        <v>21</v>
      </c>
      <c r="Q45" s="1">
        <v>6.9110432753901605E-7</v>
      </c>
      <c r="R45" s="1">
        <v>2.2370928990372001E-8</v>
      </c>
      <c r="T45" t="s">
        <v>21</v>
      </c>
      <c r="U45" s="1">
        <v>1.1048635228830699E-7</v>
      </c>
      <c r="V45" s="1">
        <v>1.0937597085705501E-8</v>
      </c>
      <c r="W45" t="s">
        <v>21</v>
      </c>
      <c r="X45" s="1">
        <v>9.7741076690167196E-8</v>
      </c>
      <c r="Y45" s="1">
        <v>1.46917687230794E-8</v>
      </c>
      <c r="Z45" t="s">
        <v>43</v>
      </c>
      <c r="AA45" s="1">
        <v>9.1358330352508903E-8</v>
      </c>
      <c r="AB45" s="1">
        <v>2.39756448107013E-8</v>
      </c>
      <c r="AC45" t="s">
        <v>43</v>
      </c>
      <c r="AD45" s="1">
        <v>9.8182278812720306E-8</v>
      </c>
      <c r="AE45" s="1">
        <v>1.76794478157314E-8</v>
      </c>
      <c r="AF45" t="s">
        <v>43</v>
      </c>
      <c r="AG45" s="1">
        <v>1.0267874078152E-7</v>
      </c>
      <c r="AH45" s="1">
        <v>1.7194052950945601E-8</v>
      </c>
    </row>
    <row r="46" spans="2:34" x14ac:dyDescent="0.2">
      <c r="F46" s="4">
        <f>F45/E45</f>
        <v>7.8576463956183354E-2</v>
      </c>
      <c r="I46" s="4">
        <f>I45/H45</f>
        <v>9.0988897684710329E-2</v>
      </c>
      <c r="L46" s="4">
        <f>L45/K45</f>
        <v>7.7563692966800643E-2</v>
      </c>
      <c r="O46" s="4">
        <f>O45/N45</f>
        <v>7.4588753602528299E-2</v>
      </c>
      <c r="R46" s="4">
        <f>R45/Q45</f>
        <v>3.2369829125558552E-2</v>
      </c>
      <c r="V46" s="4">
        <f>V45/U45</f>
        <v>9.8995005800938632E-2</v>
      </c>
      <c r="Y46" s="4">
        <f>Y45/X45</f>
        <v>0.15031314592176373</v>
      </c>
      <c r="AB46" s="4">
        <f>AB45/AA45</f>
        <v>0.26243523407433722</v>
      </c>
      <c r="AE46" s="4">
        <f>AE45/AD45</f>
        <v>0.18006760516787765</v>
      </c>
      <c r="AH46" s="4">
        <f>AH45/AG45</f>
        <v>0.16745484820008785</v>
      </c>
    </row>
    <row r="48" spans="2:34" x14ac:dyDescent="0.2">
      <c r="B48" t="s">
        <v>20</v>
      </c>
      <c r="D48" t="s">
        <v>0</v>
      </c>
      <c r="E48" s="2"/>
      <c r="F48" s="2"/>
      <c r="G48" s="2" t="s">
        <v>1</v>
      </c>
      <c r="H48" s="2"/>
      <c r="I48" s="2"/>
      <c r="J48" s="1" t="s">
        <v>2</v>
      </c>
      <c r="M48" s="2" t="s">
        <v>3</v>
      </c>
      <c r="N48" s="2"/>
      <c r="O48" s="2"/>
      <c r="P48" s="2" t="s">
        <v>4</v>
      </c>
      <c r="Q48" s="2"/>
      <c r="R48" s="1"/>
      <c r="T48" t="s">
        <v>5</v>
      </c>
      <c r="U48" s="2"/>
      <c r="V48" s="2"/>
      <c r="W48" s="2" t="s">
        <v>6</v>
      </c>
      <c r="X48" s="2"/>
      <c r="Y48" s="2"/>
      <c r="Z48" s="1" t="s">
        <v>7</v>
      </c>
      <c r="AC48" s="2" t="s">
        <v>8</v>
      </c>
      <c r="AD48" s="2"/>
      <c r="AE48" s="2"/>
      <c r="AF48" s="2" t="s">
        <v>9</v>
      </c>
      <c r="AG48" s="2"/>
      <c r="AH48" s="1"/>
    </row>
    <row r="49" spans="2:34" x14ac:dyDescent="0.2">
      <c r="D49">
        <v>1</v>
      </c>
      <c r="E49" s="2">
        <v>3.5699412773109199E-7</v>
      </c>
      <c r="F49" s="2">
        <v>0.99579998153300298</v>
      </c>
      <c r="G49">
        <v>1</v>
      </c>
      <c r="H49" s="2">
        <v>3.66255337334934E-7</v>
      </c>
      <c r="I49" s="2">
        <v>0.99491588952382504</v>
      </c>
      <c r="J49">
        <v>1</v>
      </c>
      <c r="K49" s="1">
        <v>4.3839845858343399E-7</v>
      </c>
      <c r="L49">
        <v>0.99495620845982902</v>
      </c>
      <c r="M49">
        <v>1</v>
      </c>
      <c r="N49" s="2">
        <v>4.5017352557022802E-7</v>
      </c>
      <c r="O49" s="2">
        <v>0.99752103357040101</v>
      </c>
      <c r="P49">
        <v>1</v>
      </c>
      <c r="Q49" s="2">
        <v>3.9112579255702302E-7</v>
      </c>
      <c r="R49" s="1">
        <v>0.96616978919989105</v>
      </c>
      <c r="T49">
        <v>1</v>
      </c>
      <c r="U49" s="2">
        <v>4.5069512750318801E-8</v>
      </c>
      <c r="V49" s="2">
        <v>0.99390442156842496</v>
      </c>
      <c r="W49">
        <v>1</v>
      </c>
      <c r="X49" s="2">
        <v>4.5076460579014597E-8</v>
      </c>
      <c r="Y49" s="2">
        <v>0.98330271141978498</v>
      </c>
      <c r="Z49">
        <v>1</v>
      </c>
      <c r="AA49" s="1">
        <v>6.0992931418285393E-8</v>
      </c>
      <c r="AB49">
        <v>0.98266033559565502</v>
      </c>
      <c r="AC49">
        <v>1</v>
      </c>
      <c r="AD49" s="2">
        <v>6.5336734605865104E-8</v>
      </c>
      <c r="AE49" s="2">
        <v>0.99028611579519199</v>
      </c>
      <c r="AF49">
        <v>1</v>
      </c>
      <c r="AG49" s="2">
        <v>6.4852699377484506E-8</v>
      </c>
      <c r="AH49" s="1">
        <v>0.98331167071835901</v>
      </c>
    </row>
    <row r="50" spans="2:34" x14ac:dyDescent="0.2">
      <c r="D50">
        <v>2</v>
      </c>
      <c r="E50" s="2">
        <v>4.45488220408163E-7</v>
      </c>
      <c r="F50" s="2">
        <v>0.984080620986999</v>
      </c>
      <c r="G50">
        <v>2</v>
      </c>
      <c r="H50" s="2">
        <v>4.2408580312124801E-7</v>
      </c>
      <c r="I50" s="2">
        <v>0.99429836131722105</v>
      </c>
      <c r="J50">
        <v>2</v>
      </c>
      <c r="K50" s="1">
        <v>4.2502304921968803E-7</v>
      </c>
      <c r="L50">
        <v>0.98988659415018898</v>
      </c>
      <c r="M50">
        <v>2</v>
      </c>
      <c r="N50" s="2">
        <v>3.9182690612244902E-7</v>
      </c>
      <c r="O50" s="2">
        <v>0.99828749635185499</v>
      </c>
      <c r="P50">
        <v>2</v>
      </c>
      <c r="Q50" s="2">
        <v>5.2572127490996399E-7</v>
      </c>
      <c r="R50" s="1">
        <v>0.99663797161666901</v>
      </c>
      <c r="T50">
        <v>2</v>
      </c>
      <c r="U50" s="1">
        <v>7.1727003652591295E-8</v>
      </c>
      <c r="V50">
        <v>0.99581656155692699</v>
      </c>
      <c r="W50">
        <v>2</v>
      </c>
      <c r="X50" s="1">
        <v>1.98348522538063E-8</v>
      </c>
      <c r="Y50">
        <v>0.75038321385086904</v>
      </c>
      <c r="Z50">
        <v>2</v>
      </c>
      <c r="AA50" s="1">
        <v>4.9337938280957098E-8</v>
      </c>
      <c r="AB50">
        <v>0.98942171671986301</v>
      </c>
      <c r="AC50">
        <v>2</v>
      </c>
      <c r="AD50" s="1">
        <v>5.2237372781819503E-8</v>
      </c>
      <c r="AE50">
        <v>0.991471627399788</v>
      </c>
      <c r="AF50">
        <v>2</v>
      </c>
      <c r="AG50" s="1">
        <v>5.6296443591089901E-8</v>
      </c>
      <c r="AH50">
        <v>0.98268060429054205</v>
      </c>
    </row>
    <row r="51" spans="2:34" x14ac:dyDescent="0.2">
      <c r="D51">
        <v>3</v>
      </c>
      <c r="E51" s="2">
        <v>4.5606978535414198E-7</v>
      </c>
      <c r="F51" s="2">
        <v>0.99189635718685099</v>
      </c>
      <c r="G51">
        <v>3</v>
      </c>
      <c r="H51" s="2">
        <v>4.53431907803121E-7</v>
      </c>
      <c r="I51" s="2">
        <v>0.99457636486206202</v>
      </c>
      <c r="J51">
        <v>3</v>
      </c>
      <c r="K51" s="1">
        <v>4.8361533589435801E-7</v>
      </c>
      <c r="L51">
        <v>0.99511768755910102</v>
      </c>
      <c r="M51">
        <v>3</v>
      </c>
      <c r="N51" s="2">
        <v>4.1060953853541399E-7</v>
      </c>
      <c r="O51" s="2">
        <v>0.99562095492182701</v>
      </c>
      <c r="P51">
        <v>3</v>
      </c>
      <c r="Q51" s="2">
        <v>4.5615273181272602E-7</v>
      </c>
      <c r="R51" s="1">
        <v>0.99677476539332399</v>
      </c>
      <c r="T51">
        <v>3</v>
      </c>
      <c r="U51" s="1">
        <v>5.0542030263256503E-8</v>
      </c>
      <c r="V51">
        <v>0.97785814202518695</v>
      </c>
      <c r="W51">
        <v>3</v>
      </c>
      <c r="X51" s="1">
        <v>6.0311490827270696E-8</v>
      </c>
      <c r="Y51">
        <v>0.98624582972402897</v>
      </c>
      <c r="Z51">
        <v>3</v>
      </c>
      <c r="AA51" s="1">
        <v>5.6224610657766503E-8</v>
      </c>
      <c r="AB51">
        <v>0.99260357270459498</v>
      </c>
      <c r="AC51">
        <v>3</v>
      </c>
      <c r="AD51" s="1">
        <v>4.6230897967449298E-8</v>
      </c>
      <c r="AE51">
        <v>0.97032548367368199</v>
      </c>
      <c r="AF51">
        <v>3</v>
      </c>
      <c r="AG51" s="1">
        <v>7.1828297382434494E-8</v>
      </c>
      <c r="AH51">
        <v>0.99553745244738701</v>
      </c>
    </row>
    <row r="52" spans="2:34" x14ac:dyDescent="0.2">
      <c r="D52">
        <v>4</v>
      </c>
      <c r="E52" s="2">
        <v>3.65550988715486E-7</v>
      </c>
      <c r="F52" s="2">
        <v>0.98349325400676901</v>
      </c>
      <c r="G52">
        <v>4</v>
      </c>
      <c r="H52" s="2">
        <v>4.0287158559423801E-7</v>
      </c>
      <c r="I52" s="2">
        <v>0.99558598499416195</v>
      </c>
      <c r="J52">
        <v>4</v>
      </c>
      <c r="K52" s="1">
        <v>4.07756685234093E-7</v>
      </c>
      <c r="L52">
        <v>0.99411024179871199</v>
      </c>
      <c r="M52">
        <v>4</v>
      </c>
      <c r="N52" s="2">
        <v>4.5223821224489798E-7</v>
      </c>
      <c r="O52" s="2">
        <v>0.99440025881991001</v>
      </c>
      <c r="P52">
        <v>4</v>
      </c>
      <c r="Q52" s="2">
        <v>4.45392584873949E-7</v>
      </c>
      <c r="R52" s="1">
        <v>0.99653478663552397</v>
      </c>
      <c r="T52">
        <v>4</v>
      </c>
      <c r="U52" s="1">
        <v>7.0315346936173506E-8</v>
      </c>
      <c r="V52">
        <v>0.98670063239063399</v>
      </c>
      <c r="W52">
        <v>4</v>
      </c>
      <c r="X52" s="1">
        <v>4.2244845901147598E-8</v>
      </c>
      <c r="Y52">
        <v>0.96825200950015</v>
      </c>
      <c r="Z52">
        <v>4</v>
      </c>
      <c r="AA52" s="1">
        <v>3.1047912855321502E-8</v>
      </c>
      <c r="AB52">
        <v>0.91409229006759696</v>
      </c>
      <c r="AC52">
        <v>4</v>
      </c>
      <c r="AD52" s="1">
        <v>4.8879250768769198E-8</v>
      </c>
      <c r="AE52">
        <v>0.94506963790835796</v>
      </c>
      <c r="AF52">
        <v>4</v>
      </c>
      <c r="AG52" s="1">
        <v>5.4510835783394602E-8</v>
      </c>
      <c r="AH52">
        <v>0.98904198503280405</v>
      </c>
    </row>
    <row r="53" spans="2:34" x14ac:dyDescent="0.2">
      <c r="D53">
        <v>5</v>
      </c>
      <c r="E53" s="2">
        <v>3.71596206962785E-7</v>
      </c>
      <c r="F53" s="2">
        <v>0.97419142483523702</v>
      </c>
      <c r="G53">
        <v>5</v>
      </c>
      <c r="H53" s="2">
        <v>4.5716090036014399E-7</v>
      </c>
      <c r="I53" s="2">
        <v>0.99729442511496003</v>
      </c>
      <c r="J53">
        <v>5</v>
      </c>
      <c r="K53" s="1">
        <v>4.2210062280912402E-7</v>
      </c>
      <c r="L53">
        <v>0.99727795930166696</v>
      </c>
      <c r="M53">
        <v>5</v>
      </c>
      <c r="N53" s="2">
        <v>4.5741170804321702E-7</v>
      </c>
      <c r="O53" s="2">
        <v>0.99477987544243296</v>
      </c>
      <c r="P53">
        <v>5</v>
      </c>
      <c r="Q53" s="2">
        <v>5.2116778199279705E-7</v>
      </c>
      <c r="R53" s="1">
        <v>0.99560957576472697</v>
      </c>
      <c r="T53">
        <v>5</v>
      </c>
      <c r="U53" s="1">
        <v>4.9740847723693002E-8</v>
      </c>
      <c r="V53">
        <v>0.94254853134647099</v>
      </c>
      <c r="W53">
        <v>5</v>
      </c>
      <c r="X53" s="1">
        <v>6.1675939840996097E-8</v>
      </c>
      <c r="Y53">
        <v>0.99369571985879901</v>
      </c>
      <c r="Z53">
        <v>5</v>
      </c>
      <c r="AA53" s="1">
        <v>4.8638687609690199E-8</v>
      </c>
      <c r="AB53">
        <v>0.96559190592972099</v>
      </c>
      <c r="AC53">
        <v>5</v>
      </c>
      <c r="AD53" s="1">
        <v>4.0376627818195401E-8</v>
      </c>
      <c r="AE53">
        <v>0.93867210431694204</v>
      </c>
      <c r="AF53">
        <v>5</v>
      </c>
      <c r="AG53" s="1">
        <v>5.4844284699617499E-8</v>
      </c>
      <c r="AH53">
        <v>0.98279380632298396</v>
      </c>
    </row>
    <row r="54" spans="2:34" x14ac:dyDescent="0.2">
      <c r="D54">
        <v>6</v>
      </c>
      <c r="E54" s="1">
        <v>4.1813284849939999E-7</v>
      </c>
      <c r="F54" s="1">
        <v>0.99441568550301296</v>
      </c>
      <c r="G54">
        <v>6</v>
      </c>
      <c r="H54" s="1">
        <v>4.0695024441776699E-7</v>
      </c>
      <c r="I54" s="1">
        <v>0.997756103571936</v>
      </c>
      <c r="J54">
        <v>6</v>
      </c>
      <c r="K54" s="1">
        <v>3.21612127731092E-7</v>
      </c>
      <c r="L54" s="1">
        <v>0.98537845546656599</v>
      </c>
      <c r="M54">
        <v>6</v>
      </c>
      <c r="N54" s="1">
        <v>4.0446952653061198E-7</v>
      </c>
      <c r="O54" s="1">
        <v>0.99359114491804201</v>
      </c>
      <c r="P54">
        <v>6</v>
      </c>
      <c r="Q54" s="1">
        <v>4.9287780408163304E-7</v>
      </c>
      <c r="R54" s="1">
        <v>0.99732975681173497</v>
      </c>
      <c r="T54">
        <v>6</v>
      </c>
      <c r="U54" s="1">
        <v>3.1099650168754197E-8</v>
      </c>
      <c r="V54">
        <v>0.96156587980497499</v>
      </c>
      <c r="W54">
        <v>6</v>
      </c>
      <c r="X54" s="1">
        <v>4.0626415900397399E-8</v>
      </c>
      <c r="Y54">
        <v>0.91343576619661404</v>
      </c>
      <c r="Z54">
        <v>6</v>
      </c>
      <c r="AA54" s="1">
        <v>2.4924570494262302E-8</v>
      </c>
      <c r="AB54">
        <v>0.90718747961925905</v>
      </c>
      <c r="AC54">
        <v>6</v>
      </c>
      <c r="AD54" s="1">
        <v>5.9108335123378098E-8</v>
      </c>
      <c r="AE54">
        <v>0.98743203833336601</v>
      </c>
      <c r="AF54">
        <v>6</v>
      </c>
      <c r="AG54" s="1">
        <v>7.2508559326483204E-8</v>
      </c>
      <c r="AH54">
        <v>0.99347419691755501</v>
      </c>
    </row>
    <row r="55" spans="2:34" x14ac:dyDescent="0.2">
      <c r="D55">
        <v>7</v>
      </c>
      <c r="E55" s="1">
        <v>3.1704195870348097E-7</v>
      </c>
      <c r="F55" s="3">
        <v>0.94704049261256895</v>
      </c>
      <c r="G55">
        <v>7</v>
      </c>
      <c r="H55" s="1">
        <v>4.2395854837935198E-7</v>
      </c>
      <c r="I55" s="3">
        <v>0.99484639697197297</v>
      </c>
      <c r="J55">
        <v>7</v>
      </c>
      <c r="K55" s="1">
        <v>2.8320086146458603E-7</v>
      </c>
      <c r="L55" s="3">
        <v>0.94924892889090295</v>
      </c>
      <c r="M55">
        <v>7</v>
      </c>
      <c r="N55" s="1">
        <v>4.6398420648259301E-7</v>
      </c>
      <c r="O55" s="3">
        <v>0.99883879936487696</v>
      </c>
      <c r="P55">
        <v>7</v>
      </c>
      <c r="Q55" s="1">
        <v>5.37588150780312E-7</v>
      </c>
      <c r="R55" s="3">
        <v>0.99856522978561801</v>
      </c>
      <c r="T55">
        <v>7</v>
      </c>
      <c r="U55" s="1">
        <v>6.1070542991074696E-8</v>
      </c>
      <c r="V55">
        <v>0.98825586837525503</v>
      </c>
      <c r="W55">
        <v>7</v>
      </c>
      <c r="X55" s="1">
        <v>5.0988258891472302E-8</v>
      </c>
      <c r="Y55">
        <v>0.99121385187562905</v>
      </c>
      <c r="Z55">
        <v>7</v>
      </c>
      <c r="AA55" s="1">
        <v>6.48116230105752E-8</v>
      </c>
      <c r="AB55">
        <v>0.99307641698556104</v>
      </c>
      <c r="AC55">
        <v>7</v>
      </c>
      <c r="AD55" s="1">
        <v>6.4546602542563395E-8</v>
      </c>
      <c r="AE55">
        <v>0.97746399257592598</v>
      </c>
      <c r="AF55">
        <v>7</v>
      </c>
      <c r="AG55" s="1">
        <v>3.5689332303307499E-8</v>
      </c>
      <c r="AH55">
        <v>0.93245704326231904</v>
      </c>
    </row>
    <row r="56" spans="2:34" x14ac:dyDescent="0.2">
      <c r="D56">
        <v>8</v>
      </c>
      <c r="E56" s="1">
        <v>4.4162271404561802E-7</v>
      </c>
      <c r="F56">
        <v>0.98940492786076495</v>
      </c>
      <c r="G56">
        <v>8</v>
      </c>
      <c r="H56" s="1">
        <v>3.8368259063625402E-7</v>
      </c>
      <c r="I56">
        <v>0.99460769158885698</v>
      </c>
      <c r="J56">
        <v>8</v>
      </c>
      <c r="K56" s="1">
        <v>3.9800018151260498E-7</v>
      </c>
      <c r="L56">
        <v>0.99415142366765696</v>
      </c>
      <c r="M56">
        <v>8</v>
      </c>
      <c r="N56" s="1">
        <v>4.4480741032412901E-7</v>
      </c>
      <c r="O56">
        <v>0.99779302074394505</v>
      </c>
      <c r="P56">
        <v>8</v>
      </c>
      <c r="Q56" s="1">
        <v>3.9050841728691499E-7</v>
      </c>
      <c r="R56">
        <v>0.99644658949304599</v>
      </c>
      <c r="T56">
        <v>8</v>
      </c>
      <c r="U56" s="1">
        <v>5.5779296414910402E-8</v>
      </c>
      <c r="V56">
        <v>0.98624379492849701</v>
      </c>
      <c r="W56">
        <v>8</v>
      </c>
      <c r="X56" s="1">
        <v>5.4617805610140299E-8</v>
      </c>
      <c r="Y56">
        <v>0.98797208925241597</v>
      </c>
      <c r="Z56">
        <v>8</v>
      </c>
      <c r="AA56" s="1">
        <v>5.1707278706967603E-8</v>
      </c>
      <c r="AB56">
        <v>0.99676672413599499</v>
      </c>
      <c r="AC56">
        <v>8</v>
      </c>
      <c r="AD56" s="1">
        <v>2.2121883717092899E-8</v>
      </c>
      <c r="AE56">
        <v>0.91742839159328704</v>
      </c>
      <c r="AF56">
        <v>8</v>
      </c>
      <c r="AG56" s="1">
        <v>3.84550080627015E-8</v>
      </c>
      <c r="AH56">
        <v>0.95087012452270203</v>
      </c>
    </row>
    <row r="57" spans="2:34" x14ac:dyDescent="0.2">
      <c r="D57">
        <v>9</v>
      </c>
      <c r="E57" s="1">
        <v>4.2880749387755101E-7</v>
      </c>
      <c r="F57">
        <v>0.99028196102197097</v>
      </c>
      <c r="G57">
        <v>9</v>
      </c>
      <c r="H57" s="1">
        <v>3.6676630348139299E-7</v>
      </c>
      <c r="I57">
        <v>0.99713358342198299</v>
      </c>
      <c r="J57">
        <v>9</v>
      </c>
      <c r="K57" s="1">
        <v>3.1207258823529398E-7</v>
      </c>
      <c r="L57">
        <v>0.99428844914791703</v>
      </c>
      <c r="M57">
        <v>9</v>
      </c>
      <c r="N57" s="1">
        <v>4.5171052581032499E-7</v>
      </c>
      <c r="O57">
        <v>0.99820692379662701</v>
      </c>
      <c r="P57">
        <v>9</v>
      </c>
      <c r="Q57" s="1">
        <v>5.1464863097239004E-7</v>
      </c>
      <c r="R57">
        <v>0.99687606775998905</v>
      </c>
      <c r="T57">
        <v>9</v>
      </c>
      <c r="U57" s="1">
        <v>4.6728231140778402E-8</v>
      </c>
      <c r="V57">
        <v>0.99086541329153099</v>
      </c>
      <c r="W57">
        <v>9</v>
      </c>
      <c r="X57" s="1">
        <v>6.4847760894021897E-9</v>
      </c>
      <c r="Y57">
        <v>0.75991402380874495</v>
      </c>
      <c r="Z57">
        <v>9</v>
      </c>
      <c r="AA57" s="1">
        <v>6.2092940268506698E-8</v>
      </c>
      <c r="AB57">
        <v>0.99234381430054597</v>
      </c>
      <c r="AC57">
        <v>9</v>
      </c>
      <c r="AD57" s="1">
        <v>6.1530216042901198E-8</v>
      </c>
      <c r="AE57">
        <v>0.98599034518357698</v>
      </c>
      <c r="AF57">
        <v>9</v>
      </c>
      <c r="AG57" s="1">
        <v>5.6342797067426703E-8</v>
      </c>
      <c r="AH57">
        <v>0.97193734822320899</v>
      </c>
    </row>
    <row r="58" spans="2:34" x14ac:dyDescent="0.2">
      <c r="D58">
        <v>10</v>
      </c>
      <c r="E58" s="1">
        <v>4.6297361920768302E-7</v>
      </c>
      <c r="F58">
        <v>0.99741797795184395</v>
      </c>
      <c r="G58">
        <v>10</v>
      </c>
      <c r="H58" s="1">
        <v>4.0611404033613398E-7</v>
      </c>
      <c r="I58">
        <v>0.99018261442671995</v>
      </c>
      <c r="J58">
        <v>10</v>
      </c>
      <c r="K58" s="1">
        <v>3.6126290516206498E-7</v>
      </c>
      <c r="L58">
        <v>0.99365727065322995</v>
      </c>
      <c r="M58">
        <v>10</v>
      </c>
      <c r="N58" s="1">
        <v>4.2447100456182502E-7</v>
      </c>
      <c r="O58">
        <v>0.99791007452448999</v>
      </c>
      <c r="P58">
        <v>10</v>
      </c>
      <c r="Q58" s="1">
        <v>4.67430028811525E-7</v>
      </c>
      <c r="R58">
        <v>0.99655167062719197</v>
      </c>
      <c r="T58">
        <v>10</v>
      </c>
      <c r="U58" s="1">
        <v>5.3603451436285901E-8</v>
      </c>
      <c r="V58">
        <v>0.96782843173848698</v>
      </c>
      <c r="W58">
        <v>10</v>
      </c>
      <c r="X58" s="1">
        <v>5.5584911707792701E-8</v>
      </c>
      <c r="Y58">
        <v>0.98758008589165602</v>
      </c>
      <c r="Z58">
        <v>10</v>
      </c>
      <c r="AA58" s="1">
        <v>4.8403358846471201E-8</v>
      </c>
      <c r="AB58">
        <v>0.98511093794627702</v>
      </c>
      <c r="AC58">
        <v>10</v>
      </c>
      <c r="AD58" s="1">
        <v>4.2047647551188801E-8</v>
      </c>
      <c r="AE58">
        <v>0.96424617097260801</v>
      </c>
      <c r="AF58">
        <v>10</v>
      </c>
      <c r="AG58" s="1">
        <v>6.4121560451511404E-8</v>
      </c>
      <c r="AH58">
        <v>0.98526270701616503</v>
      </c>
    </row>
    <row r="59" spans="2:34" x14ac:dyDescent="0.2">
      <c r="D59" t="s">
        <v>21</v>
      </c>
      <c r="E59" s="1">
        <v>4.0642779635054E-7</v>
      </c>
      <c r="F59" s="1">
        <v>4.9868364284731201E-8</v>
      </c>
      <c r="G59" t="s">
        <v>21</v>
      </c>
      <c r="H59" s="1">
        <v>4.0912772614645901E-7</v>
      </c>
      <c r="I59" s="1">
        <v>3.17047025768787E-8</v>
      </c>
      <c r="J59" t="s">
        <v>21</v>
      </c>
      <c r="K59" s="1">
        <v>3.8530428158463401E-7</v>
      </c>
      <c r="L59" s="1">
        <v>6.3686358315195194E-8</v>
      </c>
      <c r="M59" t="s">
        <v>21</v>
      </c>
      <c r="N59" s="1">
        <v>4.3517025642256899E-7</v>
      </c>
      <c r="O59" s="1">
        <v>2.5268948931043001E-8</v>
      </c>
      <c r="P59" t="s">
        <v>21</v>
      </c>
      <c r="Q59" s="1">
        <v>4.7426131980792298E-7</v>
      </c>
      <c r="R59" s="1">
        <v>5.3717775879688002E-8</v>
      </c>
      <c r="T59" t="s">
        <v>21</v>
      </c>
      <c r="U59" s="1">
        <v>5.35675913477837E-8</v>
      </c>
      <c r="V59" s="1">
        <v>1.21061937153895E-8</v>
      </c>
      <c r="W59" t="s">
        <v>21</v>
      </c>
      <c r="X59" s="1">
        <v>4.3744575760144002E-8</v>
      </c>
      <c r="Y59" s="1">
        <v>1.7890412385960501E-8</v>
      </c>
      <c r="Z59" t="s">
        <v>21</v>
      </c>
      <c r="AA59" s="1">
        <v>4.9818185214880399E-8</v>
      </c>
      <c r="AB59" s="1">
        <v>1.2998279655952099E-8</v>
      </c>
      <c r="AC59" t="s">
        <v>21</v>
      </c>
      <c r="AD59" s="1">
        <v>5.0241556891922297E-8</v>
      </c>
      <c r="AE59" s="1">
        <v>1.33983823332698E-8</v>
      </c>
      <c r="AF59" t="s">
        <v>21</v>
      </c>
      <c r="AG59" s="1">
        <v>5.6944981804545102E-8</v>
      </c>
      <c r="AH59" s="1">
        <v>1.23943369429854E-8</v>
      </c>
    </row>
    <row r="60" spans="2:34" x14ac:dyDescent="0.2">
      <c r="F60" s="4">
        <f>F59/E59</f>
        <v>0.12269919708375512</v>
      </c>
      <c r="I60" s="4">
        <f>I59/H59</f>
        <v>7.7493409883272232E-2</v>
      </c>
      <c r="L60" s="4">
        <f>L59/K59</f>
        <v>0.16528847811727773</v>
      </c>
      <c r="O60" s="4">
        <f>O59/N59</f>
        <v>5.8066810766831838E-2</v>
      </c>
      <c r="R60" s="4">
        <f>R59/Q59</f>
        <v>0.11326619658007074</v>
      </c>
      <c r="V60" s="4">
        <f>V59/U59</f>
        <v>0.22599847054520178</v>
      </c>
      <c r="Y60" s="4">
        <f>Y59/X59</f>
        <v>0.4089744174010389</v>
      </c>
      <c r="AB60" s="4">
        <f>AB59/AA59</f>
        <v>0.26091435486633485</v>
      </c>
      <c r="AE60" s="4">
        <f>AE59/AD59</f>
        <v>0.26667928229397597</v>
      </c>
      <c r="AH60" s="4">
        <f>AH59/AG59</f>
        <v>0.21765459484256325</v>
      </c>
    </row>
    <row r="62" spans="2:34" x14ac:dyDescent="0.2">
      <c r="B62" t="s">
        <v>22</v>
      </c>
      <c r="D62" t="s">
        <v>0</v>
      </c>
      <c r="E62" s="2"/>
      <c r="F62" s="2"/>
      <c r="G62" s="2" t="s">
        <v>1</v>
      </c>
      <c r="H62" s="2"/>
      <c r="I62" s="2"/>
      <c r="J62" s="1" t="s">
        <v>2</v>
      </c>
      <c r="M62" s="2" t="s">
        <v>3</v>
      </c>
      <c r="N62" s="2"/>
      <c r="O62" s="2"/>
      <c r="P62" s="2" t="s">
        <v>4</v>
      </c>
      <c r="Q62" s="2"/>
      <c r="R62" s="1"/>
      <c r="T62" t="s">
        <v>5</v>
      </c>
      <c r="U62" s="2"/>
      <c r="V62" s="2"/>
      <c r="W62" s="2" t="s">
        <v>6</v>
      </c>
      <c r="X62" s="2"/>
      <c r="Y62" s="2"/>
      <c r="Z62" s="1" t="s">
        <v>7</v>
      </c>
      <c r="AC62" s="2" t="s">
        <v>8</v>
      </c>
      <c r="AD62" s="2"/>
      <c r="AE62" s="2"/>
      <c r="AF62" s="2" t="s">
        <v>9</v>
      </c>
      <c r="AG62" s="2"/>
      <c r="AH62" s="1"/>
    </row>
    <row r="63" spans="2:34" x14ac:dyDescent="0.2">
      <c r="D63">
        <v>1</v>
      </c>
      <c r="E63" s="2">
        <v>2.2847219543817499E-7</v>
      </c>
      <c r="F63" s="2">
        <v>0.98746446531538001</v>
      </c>
      <c r="G63">
        <v>1</v>
      </c>
      <c r="H63" s="2">
        <v>2.21763035294118E-7</v>
      </c>
      <c r="I63" s="2">
        <v>0.96567561980549699</v>
      </c>
      <c r="J63">
        <v>1</v>
      </c>
      <c r="K63" s="1">
        <v>2.9094758847539002E-7</v>
      </c>
      <c r="L63">
        <v>0.99539869687480798</v>
      </c>
      <c r="M63">
        <v>1</v>
      </c>
      <c r="N63" s="2">
        <v>2.8014118175270102E-7</v>
      </c>
      <c r="O63" s="2">
        <v>0.997217378498371</v>
      </c>
      <c r="P63">
        <v>1</v>
      </c>
      <c r="Q63" s="2">
        <v>3.3892408403361298E-7</v>
      </c>
      <c r="R63" s="1">
        <v>0.99082219829683704</v>
      </c>
      <c r="T63">
        <v>1</v>
      </c>
      <c r="U63" s="2">
        <v>3.7315389732243203E-8</v>
      </c>
      <c r="V63" s="2">
        <v>0.981737550525002</v>
      </c>
      <c r="W63">
        <v>1</v>
      </c>
      <c r="X63" s="2">
        <v>1.9731940028500702E-8</v>
      </c>
      <c r="Y63" s="2">
        <v>0.97786670815309795</v>
      </c>
      <c r="Z63">
        <v>1</v>
      </c>
      <c r="AA63" s="1">
        <v>3.14845952673816E-8</v>
      </c>
      <c r="AB63">
        <v>0.88021693531841705</v>
      </c>
      <c r="AC63">
        <v>1</v>
      </c>
      <c r="AD63" s="2">
        <v>2.3828708835220799E-8</v>
      </c>
      <c r="AE63" s="2">
        <v>0.92200571654777796</v>
      </c>
      <c r="AF63">
        <v>1</v>
      </c>
      <c r="AG63" s="2">
        <v>1.7643354976374499E-8</v>
      </c>
      <c r="AH63" s="1">
        <v>0.91153082197450097</v>
      </c>
    </row>
    <row r="64" spans="2:34" x14ac:dyDescent="0.2">
      <c r="D64">
        <v>2</v>
      </c>
      <c r="E64" s="2">
        <v>2.6177924369747902E-7</v>
      </c>
      <c r="F64" s="2">
        <v>0.99465209021449197</v>
      </c>
      <c r="G64">
        <v>2</v>
      </c>
      <c r="H64" s="2">
        <v>2.4625386410564201E-7</v>
      </c>
      <c r="I64" s="2">
        <v>0.99656769686652902</v>
      </c>
      <c r="J64">
        <v>2</v>
      </c>
      <c r="K64" s="1">
        <v>1.7012097238895599E-7</v>
      </c>
      <c r="L64">
        <v>0.98720205473295597</v>
      </c>
      <c r="M64">
        <v>2</v>
      </c>
      <c r="N64" s="2">
        <v>1.9685773781512601E-7</v>
      </c>
      <c r="O64" s="2">
        <v>0.95397970656820896</v>
      </c>
      <c r="P64">
        <v>2</v>
      </c>
      <c r="Q64" s="2">
        <v>2.5678955102040801E-7</v>
      </c>
      <c r="R64" s="1">
        <v>0.99001449822568099</v>
      </c>
      <c r="T64">
        <v>2</v>
      </c>
      <c r="U64" s="1">
        <v>1.8051913912847801E-8</v>
      </c>
      <c r="V64">
        <v>0.92591640407336095</v>
      </c>
      <c r="W64">
        <v>2</v>
      </c>
      <c r="X64" s="1">
        <v>3.0800649111227903E-8</v>
      </c>
      <c r="Y64">
        <v>0.98784394357569205</v>
      </c>
      <c r="Z64">
        <v>2</v>
      </c>
      <c r="AA64" s="1">
        <v>1.74869707117679E-8</v>
      </c>
      <c r="AB64">
        <v>0.88467369653939898</v>
      </c>
      <c r="AC64">
        <v>2</v>
      </c>
      <c r="AD64" s="1">
        <v>3.1420147851196197E-8</v>
      </c>
      <c r="AE64">
        <v>0.90762243391498798</v>
      </c>
      <c r="AF64">
        <v>2</v>
      </c>
      <c r="AG64" s="1">
        <v>3.0728221705542602E-8</v>
      </c>
      <c r="AH64">
        <v>0.94748267325841795</v>
      </c>
    </row>
    <row r="65" spans="2:34" x14ac:dyDescent="0.2">
      <c r="D65">
        <v>3</v>
      </c>
      <c r="E65" s="2">
        <v>2.5973172004801899E-7</v>
      </c>
      <c r="F65" s="2">
        <v>0.98734367675921297</v>
      </c>
      <c r="G65">
        <v>3</v>
      </c>
      <c r="H65" s="2">
        <v>1.7387834477791201E-7</v>
      </c>
      <c r="I65" s="2">
        <v>0.95841434075322196</v>
      </c>
      <c r="J65">
        <v>3</v>
      </c>
      <c r="K65" s="1">
        <v>2.1293958175270099E-7</v>
      </c>
      <c r="L65">
        <v>0.98329379195975397</v>
      </c>
      <c r="M65">
        <v>3</v>
      </c>
      <c r="N65" s="2">
        <v>2.92927849219688E-7</v>
      </c>
      <c r="O65" s="2">
        <v>0.98802490402157295</v>
      </c>
      <c r="P65">
        <v>3</v>
      </c>
      <c r="Q65" s="2">
        <v>2.56743949579832E-7</v>
      </c>
      <c r="R65" s="1">
        <v>0.98903269239161795</v>
      </c>
      <c r="T65">
        <v>3</v>
      </c>
      <c r="U65" s="1">
        <v>3.0067061171529198E-8</v>
      </c>
      <c r="V65">
        <v>0.98107877809456601</v>
      </c>
      <c r="W65">
        <v>3</v>
      </c>
      <c r="X65" s="1">
        <v>2.17370955448887E-8</v>
      </c>
      <c r="Y65">
        <v>0.93585493760954197</v>
      </c>
      <c r="Z65">
        <v>3</v>
      </c>
      <c r="AA65" s="1">
        <v>1.49782901147529E-8</v>
      </c>
      <c r="AB65">
        <v>0.94126695501532498</v>
      </c>
      <c r="AC65">
        <v>3</v>
      </c>
      <c r="AD65" s="1">
        <v>3.4825245488637198E-8</v>
      </c>
      <c r="AE65">
        <v>0.97689259672463102</v>
      </c>
      <c r="AF65">
        <v>3</v>
      </c>
      <c r="AG65" s="1">
        <v>2.3824556813920402E-9</v>
      </c>
      <c r="AH65">
        <v>0.49977321933295199</v>
      </c>
    </row>
    <row r="66" spans="2:34" x14ac:dyDescent="0.2">
      <c r="D66">
        <v>4</v>
      </c>
      <c r="E66" s="2">
        <v>2.0051227659063701E-7</v>
      </c>
      <c r="F66" s="2">
        <v>0.98762733610374298</v>
      </c>
      <c r="G66">
        <v>4</v>
      </c>
      <c r="H66" s="2">
        <v>2.5840527827130901E-7</v>
      </c>
      <c r="I66" s="2">
        <v>0.973318428563964</v>
      </c>
      <c r="J66">
        <v>4</v>
      </c>
      <c r="K66" s="1">
        <v>2.5547754141656602E-7</v>
      </c>
      <c r="L66">
        <v>0.99459988553923895</v>
      </c>
      <c r="M66">
        <v>4</v>
      </c>
      <c r="N66" s="2">
        <v>2.4033341896758701E-7</v>
      </c>
      <c r="O66" s="2">
        <v>0.97606414223896898</v>
      </c>
      <c r="P66">
        <v>4</v>
      </c>
      <c r="Q66" s="2">
        <v>2.44065252821128E-7</v>
      </c>
      <c r="R66" s="1">
        <v>0.99408240659408398</v>
      </c>
      <c r="T66">
        <v>4</v>
      </c>
      <c r="U66" s="1">
        <v>1.7681575099377501E-8</v>
      </c>
      <c r="V66">
        <v>0.83164839117711198</v>
      </c>
      <c r="W66">
        <v>4</v>
      </c>
      <c r="X66" s="1">
        <v>2.1453790969774199E-8</v>
      </c>
      <c r="Y66">
        <v>0.971759020883599</v>
      </c>
      <c r="Z66">
        <v>4</v>
      </c>
      <c r="AA66" s="1">
        <v>1.8005599429985701E-8</v>
      </c>
      <c r="AB66">
        <v>0.96211462471547704</v>
      </c>
      <c r="AC66">
        <v>4</v>
      </c>
      <c r="AD66" s="1">
        <v>2.2830487564689099E-8</v>
      </c>
      <c r="AE66">
        <v>0.945448391507139</v>
      </c>
      <c r="AF66">
        <v>4</v>
      </c>
      <c r="AG66" s="1">
        <v>2.3254223363084001E-8</v>
      </c>
      <c r="AH66">
        <v>0.98114092682647203</v>
      </c>
    </row>
    <row r="67" spans="2:34" x14ac:dyDescent="0.2">
      <c r="D67">
        <v>5</v>
      </c>
      <c r="E67" s="2">
        <v>2.4258041632653E-7</v>
      </c>
      <c r="F67" s="2">
        <v>0.99156965829954602</v>
      </c>
      <c r="G67">
        <v>5</v>
      </c>
      <c r="H67" s="2">
        <v>2.34352957503001E-7</v>
      </c>
      <c r="I67" s="2">
        <v>0.976150989325128</v>
      </c>
      <c r="J67">
        <v>5</v>
      </c>
      <c r="K67" s="1">
        <v>2.2966133013205301E-7</v>
      </c>
      <c r="L67">
        <v>0.98187870590328896</v>
      </c>
      <c r="M67">
        <v>5</v>
      </c>
      <c r="N67" s="2">
        <v>2.28761371908763E-7</v>
      </c>
      <c r="O67" s="2">
        <v>0.97623808537341095</v>
      </c>
      <c r="P67">
        <v>5</v>
      </c>
      <c r="Q67" s="2">
        <v>3.0880747659063599E-7</v>
      </c>
      <c r="R67" s="1">
        <v>0.99707858391010695</v>
      </c>
      <c r="T67">
        <v>5</v>
      </c>
      <c r="U67" s="1">
        <v>2.7282885254631299E-8</v>
      </c>
      <c r="V67">
        <v>0.97304749045250905</v>
      </c>
      <c r="W67">
        <v>5</v>
      </c>
      <c r="X67" s="1">
        <v>2.2597569541738599E-8</v>
      </c>
      <c r="Y67">
        <v>0.92810054821209997</v>
      </c>
      <c r="Z67">
        <v>5</v>
      </c>
      <c r="AA67" s="1">
        <v>3.2966273194329902E-8</v>
      </c>
      <c r="AB67">
        <v>0.97135499328708796</v>
      </c>
      <c r="AC67">
        <v>5</v>
      </c>
      <c r="AD67" s="1">
        <v>2.7239250281256801E-8</v>
      </c>
      <c r="AE67">
        <v>0.88284898853236904</v>
      </c>
      <c r="AF67">
        <v>5</v>
      </c>
      <c r="AG67" s="1">
        <v>2.9901761719043098E-8</v>
      </c>
      <c r="AH67">
        <v>0.98289270475952295</v>
      </c>
    </row>
    <row r="68" spans="2:34" x14ac:dyDescent="0.2">
      <c r="D68">
        <v>6</v>
      </c>
      <c r="E68" s="1">
        <v>2.0758923697479E-7</v>
      </c>
      <c r="F68" s="1">
        <v>0.98734500802774305</v>
      </c>
      <c r="G68">
        <v>6</v>
      </c>
      <c r="H68" s="1">
        <v>2.5232447442977203E-7</v>
      </c>
      <c r="I68" s="1">
        <v>0.98800787176778004</v>
      </c>
      <c r="J68">
        <v>6</v>
      </c>
      <c r="K68" s="1">
        <v>2.7538628091236501E-7</v>
      </c>
      <c r="L68" s="1">
        <v>0.98018495958843499</v>
      </c>
      <c r="M68">
        <v>6</v>
      </c>
      <c r="N68" s="1">
        <v>3.2518965570228098E-7</v>
      </c>
      <c r="O68" s="1">
        <v>0.99520272777755103</v>
      </c>
      <c r="P68">
        <v>6</v>
      </c>
      <c r="Q68" s="1">
        <v>9.9829671548619401E-8</v>
      </c>
      <c r="R68" s="1">
        <v>0.91745987170107302</v>
      </c>
      <c r="T68">
        <v>6</v>
      </c>
      <c r="U68" s="1">
        <v>2.9455453888847199E-8</v>
      </c>
      <c r="V68">
        <v>0.98739845919193003</v>
      </c>
      <c r="W68">
        <v>6</v>
      </c>
      <c r="X68" s="1">
        <v>2.8582476239406101E-8</v>
      </c>
      <c r="Y68">
        <v>0.96191704443272497</v>
      </c>
      <c r="Z68">
        <v>6</v>
      </c>
      <c r="AA68" s="1">
        <v>2.2888539285982201E-8</v>
      </c>
      <c r="AB68">
        <v>0.97576830922233704</v>
      </c>
      <c r="AC68">
        <v>6</v>
      </c>
      <c r="AD68" s="1">
        <v>2.6429668431710799E-8</v>
      </c>
      <c r="AE68">
        <v>0.93616793608043902</v>
      </c>
      <c r="AF68">
        <v>6</v>
      </c>
      <c r="AG68" s="1">
        <v>3.3086581017025401E-8</v>
      </c>
      <c r="AH68">
        <v>0.95905060814700704</v>
      </c>
    </row>
    <row r="69" spans="2:34" x14ac:dyDescent="0.2">
      <c r="D69">
        <v>7</v>
      </c>
      <c r="E69" s="1">
        <v>2.6168765954381801E-7</v>
      </c>
      <c r="F69" s="3">
        <v>0.99595212825711499</v>
      </c>
      <c r="G69">
        <v>7</v>
      </c>
      <c r="H69" s="1">
        <v>2.11825876110444E-7</v>
      </c>
      <c r="I69" s="3">
        <v>0.98798175065104299</v>
      </c>
      <c r="J69">
        <v>7</v>
      </c>
      <c r="K69" s="1">
        <v>2.1743290660264101E-7</v>
      </c>
      <c r="L69" s="3">
        <v>0.97272274445510398</v>
      </c>
      <c r="M69">
        <v>7</v>
      </c>
      <c r="N69" s="1">
        <v>2.9342306986794699E-7</v>
      </c>
      <c r="O69" s="3">
        <v>0.98884579080207702</v>
      </c>
      <c r="P69">
        <v>7</v>
      </c>
      <c r="Q69" s="1">
        <v>3.06124403841537E-7</v>
      </c>
      <c r="R69" s="3">
        <v>0.99336442699554905</v>
      </c>
      <c r="T69">
        <v>7</v>
      </c>
      <c r="U69" s="1">
        <v>2.71040555313883E-8</v>
      </c>
      <c r="V69">
        <v>0.97376677047386395</v>
      </c>
      <c r="W69">
        <v>7</v>
      </c>
      <c r="X69" s="1">
        <v>2.4487159993999901E-8</v>
      </c>
      <c r="Y69">
        <v>0.98170317892204195</v>
      </c>
      <c r="Z69">
        <v>7</v>
      </c>
      <c r="AA69" s="1">
        <v>3.6780973704342602E-8</v>
      </c>
      <c r="AB69">
        <v>0.98952733397570203</v>
      </c>
      <c r="AC69">
        <v>7</v>
      </c>
      <c r="AD69" s="1">
        <v>2.9497959828995802E-8</v>
      </c>
      <c r="AE69">
        <v>0.95190212128686502</v>
      </c>
      <c r="AF69">
        <v>7</v>
      </c>
      <c r="AG69" s="1">
        <v>6.8272601665041399E-9</v>
      </c>
      <c r="AH69">
        <v>0.84956447405907798</v>
      </c>
    </row>
    <row r="70" spans="2:34" x14ac:dyDescent="0.2">
      <c r="D70">
        <v>8</v>
      </c>
      <c r="E70" s="1">
        <v>2.4261707611044401E-7</v>
      </c>
      <c r="F70">
        <v>0.98775782063997597</v>
      </c>
      <c r="G70">
        <v>8</v>
      </c>
      <c r="H70" s="1">
        <v>2.9226533685474198E-7</v>
      </c>
      <c r="I70">
        <v>0.99531091928890003</v>
      </c>
      <c r="J70">
        <v>8</v>
      </c>
      <c r="K70" s="1">
        <v>2.29309372388956E-7</v>
      </c>
      <c r="L70">
        <v>0.99577808491501996</v>
      </c>
      <c r="M70">
        <v>8</v>
      </c>
      <c r="N70" s="1">
        <v>1.7336067130852401E-7</v>
      </c>
      <c r="O70">
        <v>0.97759746842345097</v>
      </c>
      <c r="P70">
        <v>8</v>
      </c>
      <c r="Q70" s="1">
        <v>2.25171819927971E-7</v>
      </c>
      <c r="R70">
        <v>0.91294370934538005</v>
      </c>
      <c r="T70">
        <v>8</v>
      </c>
      <c r="U70" s="1">
        <v>2.33494772894322E-8</v>
      </c>
      <c r="V70">
        <v>0.98629107633620605</v>
      </c>
      <c r="W70">
        <v>8</v>
      </c>
      <c r="X70" s="1">
        <v>2.33417311632789E-8</v>
      </c>
      <c r="Y70">
        <v>0.98845178549902601</v>
      </c>
      <c r="Z70">
        <v>8</v>
      </c>
      <c r="AA70" s="1">
        <v>2.5174130518262898E-8</v>
      </c>
      <c r="AB70">
        <v>0.97578991938332404</v>
      </c>
      <c r="AC70">
        <v>8</v>
      </c>
      <c r="AD70" s="1">
        <v>3.6255894502362499E-8</v>
      </c>
      <c r="AE70">
        <v>0.97406258959426495</v>
      </c>
      <c r="AF70">
        <v>8</v>
      </c>
      <c r="AG70" s="1">
        <v>2.8423973164329098E-8</v>
      </c>
      <c r="AH70">
        <v>0.93166586188321998</v>
      </c>
    </row>
    <row r="71" spans="2:34" x14ac:dyDescent="0.2">
      <c r="D71">
        <v>9</v>
      </c>
      <c r="E71" s="1">
        <v>2.4951214021608699E-7</v>
      </c>
      <c r="F71">
        <v>0.99462143664407299</v>
      </c>
      <c r="G71">
        <v>9</v>
      </c>
      <c r="H71" s="1">
        <v>1.602790242497E-7</v>
      </c>
      <c r="I71">
        <v>0.913729204386593</v>
      </c>
      <c r="J71">
        <v>9</v>
      </c>
      <c r="K71" s="1">
        <v>1.9927064345738301E-7</v>
      </c>
      <c r="L71">
        <v>0.97765505411053699</v>
      </c>
      <c r="M71">
        <v>9</v>
      </c>
      <c r="N71" s="1">
        <v>2.09420680432173E-7</v>
      </c>
      <c r="O71">
        <v>0.97874079806630898</v>
      </c>
      <c r="P71">
        <v>9</v>
      </c>
      <c r="Q71" s="1">
        <v>2.7721262472989202E-7</v>
      </c>
      <c r="R71">
        <v>0.98239933810124802</v>
      </c>
      <c r="T71">
        <v>9</v>
      </c>
      <c r="U71" s="1">
        <v>2.6133444558613999E-8</v>
      </c>
      <c r="V71">
        <v>0.98540409300875298</v>
      </c>
      <c r="W71">
        <v>9</v>
      </c>
      <c r="X71" s="1">
        <v>4.1635888149703803E-8</v>
      </c>
      <c r="Y71">
        <v>0.987092440668491</v>
      </c>
      <c r="Z71">
        <v>9</v>
      </c>
      <c r="AA71" s="1">
        <v>2.7366697922448101E-8</v>
      </c>
      <c r="AB71">
        <v>0.95291606602448897</v>
      </c>
      <c r="AC71">
        <v>9</v>
      </c>
      <c r="AD71" s="1">
        <v>2.9863131080776999E-8</v>
      </c>
      <c r="AE71">
        <v>0.97291874066028206</v>
      </c>
      <c r="AF71">
        <v>9</v>
      </c>
      <c r="AG71" s="1">
        <v>2.26338170479262E-8</v>
      </c>
      <c r="AH71">
        <v>0.96521775600146997</v>
      </c>
    </row>
    <row r="72" spans="2:34" x14ac:dyDescent="0.2">
      <c r="D72">
        <v>10</v>
      </c>
      <c r="E72" s="1">
        <v>2.6425626026410598E-7</v>
      </c>
      <c r="F72">
        <v>0.99322723790954903</v>
      </c>
      <c r="G72">
        <v>10</v>
      </c>
      <c r="H72" s="1">
        <v>2.1442382761104401E-7</v>
      </c>
      <c r="I72">
        <v>0.98249247142493801</v>
      </c>
      <c r="J72">
        <v>10</v>
      </c>
      <c r="K72" s="1">
        <v>2.66116443217287E-7</v>
      </c>
      <c r="L72">
        <v>0.98878429010928204</v>
      </c>
      <c r="M72">
        <v>10</v>
      </c>
      <c r="N72" s="1">
        <v>2.1495223289315699E-7</v>
      </c>
      <c r="O72">
        <v>0.98410582600405105</v>
      </c>
      <c r="P72">
        <v>10</v>
      </c>
      <c r="Q72" s="1">
        <v>2.6869305066026399E-7</v>
      </c>
      <c r="R72">
        <v>0.96605242106771605</v>
      </c>
      <c r="T72">
        <v>10</v>
      </c>
      <c r="U72" s="1">
        <v>3.03878961524038E-8</v>
      </c>
      <c r="V72">
        <v>0.88303007818792101</v>
      </c>
      <c r="W72">
        <v>10</v>
      </c>
      <c r="X72" s="1">
        <v>2.9932088202204997E-8</v>
      </c>
      <c r="Y72">
        <v>0.98783708695697503</v>
      </c>
      <c r="Z72">
        <v>10</v>
      </c>
      <c r="AA72" s="1">
        <v>2.2771996144903699E-8</v>
      </c>
      <c r="AB72">
        <v>0.95999740404266298</v>
      </c>
      <c r="AC72">
        <v>10</v>
      </c>
      <c r="AD72" s="1">
        <v>3.5971471334283398E-8</v>
      </c>
      <c r="AE72">
        <v>0.99239227814375297</v>
      </c>
      <c r="AF72">
        <v>10</v>
      </c>
      <c r="AG72" s="1">
        <v>3.5075278804470102E-8</v>
      </c>
      <c r="AH72">
        <v>0.98869221461480705</v>
      </c>
    </row>
    <row r="73" spans="2:34" x14ac:dyDescent="0.2">
      <c r="D73" t="s">
        <v>21</v>
      </c>
      <c r="E73" s="1">
        <v>2.4187382252100899E-7</v>
      </c>
      <c r="F73" s="1">
        <v>2.2934451153466601E-8</v>
      </c>
      <c r="G73" t="s">
        <v>21</v>
      </c>
      <c r="H73" s="1">
        <v>2.26577201920768E-7</v>
      </c>
      <c r="I73" s="1">
        <v>3.94399870320527E-8</v>
      </c>
      <c r="J73" t="s">
        <v>21</v>
      </c>
      <c r="K73" s="1">
        <v>2.3466626607443001E-7</v>
      </c>
      <c r="L73" s="1">
        <v>3.7252379349397901E-8</v>
      </c>
      <c r="M73" t="s">
        <v>21</v>
      </c>
      <c r="N73" s="1">
        <v>2.4553678698679503E-7</v>
      </c>
      <c r="O73" s="1">
        <v>4.9674911724657599E-8</v>
      </c>
      <c r="P73" t="s">
        <v>21</v>
      </c>
      <c r="Q73" s="1">
        <v>2.5823618847538999E-7</v>
      </c>
      <c r="R73" s="1">
        <v>6.5167933464545294E-8</v>
      </c>
      <c r="T73" t="s">
        <v>21</v>
      </c>
      <c r="U73" s="1">
        <v>2.66829152591315E-8</v>
      </c>
      <c r="V73" s="1">
        <v>5.9008960678741903E-9</v>
      </c>
      <c r="W73" t="s">
        <v>21</v>
      </c>
      <c r="X73" s="1">
        <v>2.6430038894472399E-8</v>
      </c>
      <c r="Y73" s="1">
        <v>6.5563281952136001E-9</v>
      </c>
      <c r="Z73" t="s">
        <v>21</v>
      </c>
      <c r="AA73" s="1">
        <v>2.4990406629415699E-8</v>
      </c>
      <c r="AB73" s="1">
        <v>7.1891714168343496E-9</v>
      </c>
      <c r="AC73" t="s">
        <v>21</v>
      </c>
      <c r="AD73" s="1">
        <v>2.9816196519913002E-8</v>
      </c>
      <c r="AE73" s="1">
        <v>4.8291152838771201E-9</v>
      </c>
      <c r="AF73" t="s">
        <v>21</v>
      </c>
      <c r="AG73" s="1">
        <v>2.2995692764569099E-8</v>
      </c>
      <c r="AH73" s="1">
        <v>1.10547300714487E-8</v>
      </c>
    </row>
    <row r="74" spans="2:34" x14ac:dyDescent="0.2">
      <c r="F74" s="4">
        <f>F73/E73</f>
        <v>9.4819897889010005E-2</v>
      </c>
      <c r="I74" s="4">
        <f>I73/H73</f>
        <v>0.17406864723241003</v>
      </c>
      <c r="L74" s="4">
        <f>L73/K73</f>
        <v>0.15874620571830472</v>
      </c>
      <c r="O74" s="4">
        <f>O73/N73</f>
        <v>0.20231148388908876</v>
      </c>
      <c r="R74" s="4">
        <f>R73/Q73</f>
        <v>0.25235786606552946</v>
      </c>
      <c r="V74" s="4">
        <f>V73/U73</f>
        <v>0.22114885163662054</v>
      </c>
      <c r="Y74" s="4">
        <f>Y73/X73</f>
        <v>0.24806350915301892</v>
      </c>
      <c r="AB74" s="4">
        <f>AB73/AA73</f>
        <v>0.28767724845149667</v>
      </c>
      <c r="AE74" s="4">
        <f>AE73/AD73</f>
        <v>0.16196282046410426</v>
      </c>
      <c r="AH74" s="4">
        <f>AH73/AG73</f>
        <v>0.48073046481475928</v>
      </c>
    </row>
    <row r="76" spans="2:34" x14ac:dyDescent="0.2">
      <c r="B76" t="s">
        <v>25</v>
      </c>
      <c r="D76" t="s">
        <v>0</v>
      </c>
      <c r="E76" s="2"/>
      <c r="F76" s="2"/>
      <c r="G76" s="2" t="s">
        <v>1</v>
      </c>
      <c r="H76" s="2"/>
      <c r="I76" s="2"/>
      <c r="J76" s="1" t="s">
        <v>2</v>
      </c>
      <c r="M76" s="2" t="s">
        <v>3</v>
      </c>
      <c r="N76" s="2"/>
      <c r="O76" s="2"/>
      <c r="P76" s="2" t="s">
        <v>4</v>
      </c>
      <c r="Q76" s="2"/>
      <c r="R76" s="1"/>
      <c r="T76" t="s">
        <v>5</v>
      </c>
      <c r="U76" s="2"/>
      <c r="V76" s="2"/>
      <c r="W76" s="2" t="s">
        <v>6</v>
      </c>
      <c r="X76" s="2"/>
      <c r="Y76" s="2"/>
      <c r="Z76" s="1" t="s">
        <v>7</v>
      </c>
      <c r="AC76" s="2" t="s">
        <v>8</v>
      </c>
      <c r="AD76" s="2"/>
      <c r="AE76" s="2"/>
      <c r="AF76" s="2" t="s">
        <v>9</v>
      </c>
      <c r="AG76" s="2"/>
      <c r="AH76" s="1"/>
    </row>
    <row r="77" spans="2:34" x14ac:dyDescent="0.2">
      <c r="D77">
        <v>1</v>
      </c>
      <c r="E77" s="2">
        <v>1.6335835918367399E-7</v>
      </c>
      <c r="F77" s="2">
        <v>0.98465955024721596</v>
      </c>
      <c r="G77">
        <v>1</v>
      </c>
      <c r="H77" s="2">
        <v>1.8342241584633799E-7</v>
      </c>
      <c r="I77" s="2">
        <v>0.99128970894381796</v>
      </c>
      <c r="J77">
        <v>1</v>
      </c>
      <c r="K77" s="1">
        <v>8.7050157022808998E-8</v>
      </c>
      <c r="L77">
        <v>0.92288763149313302</v>
      </c>
      <c r="M77">
        <v>1</v>
      </c>
      <c r="N77" s="2">
        <v>1.05718202160864E-7</v>
      </c>
      <c r="O77" s="2">
        <v>0.96623082077173905</v>
      </c>
      <c r="P77">
        <v>1</v>
      </c>
      <c r="Q77" s="2">
        <v>1.7448989387755099E-7</v>
      </c>
      <c r="R77" s="1">
        <v>0.98627983250332196</v>
      </c>
      <c r="T77">
        <v>1</v>
      </c>
      <c r="U77" s="2">
        <v>5.6433403885096902E-9</v>
      </c>
      <c r="V77" s="2">
        <v>0.78715233138450202</v>
      </c>
      <c r="W77">
        <v>1</v>
      </c>
      <c r="X77" s="2">
        <v>1.09095421885547E-8</v>
      </c>
      <c r="Y77" s="2">
        <v>0.89847942605660303</v>
      </c>
      <c r="Z77">
        <v>1</v>
      </c>
      <c r="AA77" s="1">
        <v>1.31357358433961E-9</v>
      </c>
      <c r="AB77">
        <v>0.36138915711849501</v>
      </c>
      <c r="AC77">
        <v>1</v>
      </c>
      <c r="AD77" s="2">
        <v>7.0281052651316602E-9</v>
      </c>
      <c r="AE77" s="2">
        <v>0.92043375652333104</v>
      </c>
      <c r="AF77">
        <v>1</v>
      </c>
      <c r="AG77" s="2">
        <v>6.3066258831469797E-9</v>
      </c>
      <c r="AH77" s="1">
        <v>0.772006079125651</v>
      </c>
    </row>
    <row r="78" spans="2:34" x14ac:dyDescent="0.2">
      <c r="D78">
        <v>2</v>
      </c>
      <c r="E78" s="2">
        <v>7.6287486674669805E-8</v>
      </c>
      <c r="F78" s="2">
        <v>0.95044790834545401</v>
      </c>
      <c r="G78">
        <v>2</v>
      </c>
      <c r="H78" s="2">
        <v>1.4255297815126001E-7</v>
      </c>
      <c r="I78" s="2">
        <v>0.98953996423218404</v>
      </c>
      <c r="J78">
        <v>2</v>
      </c>
      <c r="K78" s="1">
        <v>1.31881665786315E-7</v>
      </c>
      <c r="L78">
        <v>0.95171860889612203</v>
      </c>
      <c r="M78">
        <v>2</v>
      </c>
      <c r="N78" s="2">
        <v>1.2456281392557001E-7</v>
      </c>
      <c r="O78" s="2">
        <v>0.96467676033417304</v>
      </c>
      <c r="P78">
        <v>2</v>
      </c>
      <c r="Q78" s="2">
        <v>1.4450545834333801E-7</v>
      </c>
      <c r="R78" s="1">
        <v>0.96928866552280801</v>
      </c>
      <c r="T78">
        <v>2</v>
      </c>
      <c r="U78" s="1">
        <v>1.6185656348908799E-8</v>
      </c>
      <c r="V78">
        <v>0.97870847246941295</v>
      </c>
      <c r="W78">
        <v>2</v>
      </c>
      <c r="X78" s="1">
        <v>6.2785610065251896E-9</v>
      </c>
      <c r="Y78">
        <v>0.66978472731553995</v>
      </c>
      <c r="Z78">
        <v>2</v>
      </c>
      <c r="AA78" s="1">
        <v>1.2341363174079301E-8</v>
      </c>
      <c r="AB78">
        <v>0.98927748821426198</v>
      </c>
      <c r="AC78">
        <v>2</v>
      </c>
      <c r="AD78" s="1">
        <v>1.04278220880522E-8</v>
      </c>
      <c r="AE78">
        <v>0.84734216903256498</v>
      </c>
      <c r="AF78">
        <v>2</v>
      </c>
      <c r="AG78" s="1">
        <v>1.1370346193654901E-8</v>
      </c>
      <c r="AH78">
        <v>0.96114976826110399</v>
      </c>
    </row>
    <row r="79" spans="2:34" x14ac:dyDescent="0.2">
      <c r="D79">
        <v>3</v>
      </c>
      <c r="E79" s="2">
        <v>1.5659540792316901E-7</v>
      </c>
      <c r="F79" s="2">
        <v>0.99084825678585198</v>
      </c>
      <c r="G79">
        <v>3</v>
      </c>
      <c r="H79" s="2">
        <v>1.55973600480192E-7</v>
      </c>
      <c r="I79" s="2">
        <v>0.985868038565612</v>
      </c>
      <c r="J79">
        <v>3</v>
      </c>
      <c r="K79" s="1">
        <v>7.9985130372148802E-8</v>
      </c>
      <c r="L79">
        <v>0.87896909169992599</v>
      </c>
      <c r="M79">
        <v>3</v>
      </c>
      <c r="N79" s="2">
        <v>1.3327885330132099E-7</v>
      </c>
      <c r="O79" s="2">
        <v>0.98828323337264201</v>
      </c>
      <c r="P79">
        <v>3</v>
      </c>
      <c r="Q79" s="2">
        <v>1.3115148571428599E-7</v>
      </c>
      <c r="R79" s="1">
        <v>0.96320234970642304</v>
      </c>
      <c r="T79">
        <v>3</v>
      </c>
      <c r="U79" s="1">
        <v>6.2886722868071399E-9</v>
      </c>
      <c r="V79">
        <v>0.67745668129105696</v>
      </c>
      <c r="W79">
        <v>3</v>
      </c>
      <c r="X79" s="1">
        <v>1.82894490512262E-8</v>
      </c>
      <c r="Y79">
        <v>0.97723353150487602</v>
      </c>
      <c r="Z79">
        <v>3</v>
      </c>
      <c r="AA79" s="1">
        <v>1.60870488862222E-8</v>
      </c>
      <c r="AB79">
        <v>0.93838287680708699</v>
      </c>
      <c r="AC79">
        <v>3</v>
      </c>
      <c r="AD79" s="1">
        <v>5.8630848271217498E-11</v>
      </c>
      <c r="AE79">
        <v>1.2840544136566E-2</v>
      </c>
      <c r="AF79">
        <v>3</v>
      </c>
      <c r="AG79" s="1">
        <v>2.4607612990324701E-9</v>
      </c>
      <c r="AH79">
        <v>0.747592129658041</v>
      </c>
    </row>
    <row r="80" spans="2:34" x14ac:dyDescent="0.2">
      <c r="D80">
        <v>4</v>
      </c>
      <c r="E80" s="2">
        <v>1.39525555822329E-7</v>
      </c>
      <c r="F80" s="2">
        <v>0.96244724612626997</v>
      </c>
      <c r="G80">
        <v>4</v>
      </c>
      <c r="H80" s="2">
        <v>1.3952135558223299E-7</v>
      </c>
      <c r="I80" s="2">
        <v>0.96191588212486201</v>
      </c>
      <c r="J80">
        <v>4</v>
      </c>
      <c r="K80" s="1">
        <v>1.46150386554622E-7</v>
      </c>
      <c r="L80">
        <v>0.980070569998579</v>
      </c>
      <c r="M80">
        <v>4</v>
      </c>
      <c r="N80" s="2">
        <v>1.16624403361345E-7</v>
      </c>
      <c r="O80" s="2">
        <v>0.995490468714605</v>
      </c>
      <c r="P80">
        <v>4</v>
      </c>
      <c r="Q80" s="2">
        <v>8.0271272989195501E-8</v>
      </c>
      <c r="R80" s="1">
        <v>0.91178442501178503</v>
      </c>
      <c r="T80">
        <v>4</v>
      </c>
      <c r="U80" s="1">
        <v>1.1096894299857499E-8</v>
      </c>
      <c r="V80">
        <v>0.96648051935931101</v>
      </c>
      <c r="W80">
        <v>4</v>
      </c>
      <c r="X80" s="1">
        <v>1.1661689972249301E-8</v>
      </c>
      <c r="Y80">
        <v>0.87168577383428003</v>
      </c>
      <c r="Z80">
        <v>4</v>
      </c>
      <c r="AA80" s="1">
        <v>1.3353313672841801E-8</v>
      </c>
      <c r="AB80">
        <v>0.97353880667074799</v>
      </c>
      <c r="AC80">
        <v>4</v>
      </c>
      <c r="AD80" s="1">
        <v>1.3666544866121699E-8</v>
      </c>
      <c r="AE80">
        <v>0.97269890707170104</v>
      </c>
      <c r="AF80">
        <v>4</v>
      </c>
      <c r="AG80" s="1">
        <v>8.5929003075077204E-9</v>
      </c>
      <c r="AH80">
        <v>0.95310057215884403</v>
      </c>
    </row>
    <row r="81" spans="4:34" x14ac:dyDescent="0.2">
      <c r="D81">
        <v>5</v>
      </c>
      <c r="E81" s="2">
        <v>1.32619859303721E-7</v>
      </c>
      <c r="F81" s="2">
        <v>0.98317054307184903</v>
      </c>
      <c r="G81">
        <v>5</v>
      </c>
      <c r="H81" s="2">
        <v>5.3686484993997403E-8</v>
      </c>
      <c r="I81" s="2">
        <v>0.93581713706589298</v>
      </c>
      <c r="J81">
        <v>5</v>
      </c>
      <c r="K81" s="1">
        <v>1.3738278847538999E-7</v>
      </c>
      <c r="L81">
        <v>0.97154432275813996</v>
      </c>
      <c r="M81">
        <v>5</v>
      </c>
      <c r="N81" s="2">
        <v>1.13420466266506E-7</v>
      </c>
      <c r="O81" s="2">
        <v>0.95463611989172303</v>
      </c>
      <c r="P81">
        <v>5</v>
      </c>
      <c r="Q81" s="2">
        <v>1.47594467226891E-7</v>
      </c>
      <c r="R81" s="1">
        <v>0.97553720679090905</v>
      </c>
      <c r="T81">
        <v>5</v>
      </c>
      <c r="U81" s="1">
        <v>7.9989642241058698E-10</v>
      </c>
      <c r="V81">
        <v>0.36125788016898502</v>
      </c>
      <c r="W81">
        <v>5</v>
      </c>
      <c r="X81" s="1">
        <v>2.1215061996549901E-8</v>
      </c>
      <c r="Y81">
        <v>0.98169839748011201</v>
      </c>
      <c r="Z81">
        <v>5</v>
      </c>
      <c r="AA81" s="1">
        <v>1.5325985299632502E-8</v>
      </c>
      <c r="AB81">
        <v>0.973402293261868</v>
      </c>
      <c r="AC81">
        <v>5</v>
      </c>
      <c r="AD81" s="1">
        <v>1.8254608160204001E-8</v>
      </c>
      <c r="AE81">
        <v>0.96532392341681705</v>
      </c>
      <c r="AF81">
        <v>5</v>
      </c>
      <c r="AG81" s="1">
        <v>1.56609428710718E-8</v>
      </c>
      <c r="AH81">
        <v>0.98624248233668799</v>
      </c>
    </row>
    <row r="82" spans="4:34" x14ac:dyDescent="0.2">
      <c r="D82">
        <v>6</v>
      </c>
      <c r="E82" s="1">
        <v>1.3313027515006001E-7</v>
      </c>
      <c r="F82" s="1">
        <v>0.96480098064493902</v>
      </c>
      <c r="G82">
        <v>6</v>
      </c>
      <c r="H82" s="1">
        <v>1.3132416278511399E-7</v>
      </c>
      <c r="I82" s="1">
        <v>0.97730290371325401</v>
      </c>
      <c r="J82">
        <v>6</v>
      </c>
      <c r="K82" s="1">
        <v>1.27626351020408E-7</v>
      </c>
      <c r="L82" s="1">
        <v>0.939846017584268</v>
      </c>
      <c r="M82">
        <v>6</v>
      </c>
      <c r="N82" s="1">
        <v>1.5656393757503E-7</v>
      </c>
      <c r="O82" s="1">
        <v>0.97049523552257499</v>
      </c>
      <c r="P82">
        <v>6</v>
      </c>
      <c r="Q82" s="1">
        <v>1.1821627995198E-7</v>
      </c>
      <c r="R82" s="1">
        <v>0.98074169090068997</v>
      </c>
      <c r="T82">
        <v>6</v>
      </c>
      <c r="U82" s="1">
        <v>1.08708796369909E-8</v>
      </c>
      <c r="V82">
        <v>0.94813698840931704</v>
      </c>
      <c r="W82">
        <v>6</v>
      </c>
      <c r="X82" s="1">
        <v>2.7731611040275799E-9</v>
      </c>
      <c r="Y82">
        <v>0.92028504746270301</v>
      </c>
      <c r="Z82">
        <v>6</v>
      </c>
      <c r="AA82" s="1">
        <v>6.79534035850884E-10</v>
      </c>
      <c r="AB82">
        <v>0.42390457801221398</v>
      </c>
      <c r="AC82">
        <v>6</v>
      </c>
      <c r="AD82" s="1">
        <v>1.35565872046801E-8</v>
      </c>
      <c r="AE82">
        <v>0.880486378163438</v>
      </c>
      <c r="AF82">
        <v>6</v>
      </c>
      <c r="AG82" s="1">
        <v>1.00562375909398E-8</v>
      </c>
      <c r="AH82">
        <v>0.89408563364267502</v>
      </c>
    </row>
    <row r="83" spans="4:34" x14ac:dyDescent="0.2">
      <c r="D83">
        <v>7</v>
      </c>
      <c r="E83" s="1">
        <v>1.5703874189675799E-8</v>
      </c>
      <c r="F83" s="3">
        <v>0.353723713518662</v>
      </c>
      <c r="G83">
        <v>7</v>
      </c>
      <c r="H83" s="1">
        <v>1.12189599519808E-7</v>
      </c>
      <c r="I83" s="3">
        <v>0.98495663712415105</v>
      </c>
      <c r="J83">
        <v>7</v>
      </c>
      <c r="K83" s="1">
        <v>1.33442356782713E-7</v>
      </c>
      <c r="L83" s="3">
        <v>0.97604464230299803</v>
      </c>
      <c r="M83">
        <v>7</v>
      </c>
      <c r="N83" s="1">
        <v>2.1562380120048001E-7</v>
      </c>
      <c r="O83" s="3">
        <v>0.98235274853151899</v>
      </c>
      <c r="P83">
        <v>7</v>
      </c>
      <c r="Q83" s="1">
        <v>2.1414439135654301E-7</v>
      </c>
      <c r="R83" s="3">
        <v>0.96817366839897401</v>
      </c>
      <c r="T83">
        <v>7</v>
      </c>
      <c r="U83" s="1">
        <v>3.8137543013575296E-9</v>
      </c>
      <c r="V83">
        <v>0.54723012417821704</v>
      </c>
      <c r="W83">
        <v>7</v>
      </c>
      <c r="X83" s="1">
        <v>1.05224594464862E-8</v>
      </c>
      <c r="Y83">
        <v>0.92024538154831503</v>
      </c>
      <c r="Z83">
        <v>7</v>
      </c>
      <c r="AA83" s="1">
        <v>8.2588543388585095E-9</v>
      </c>
      <c r="AB83">
        <v>0.90769257059029296</v>
      </c>
      <c r="AC83">
        <v>7</v>
      </c>
      <c r="AD83" s="1">
        <v>1.4825976696917501E-8</v>
      </c>
      <c r="AE83">
        <v>0.98028658555654302</v>
      </c>
      <c r="AF83">
        <v>7</v>
      </c>
      <c r="AG83" s="1">
        <v>6.9821831320783104E-9</v>
      </c>
      <c r="AH83">
        <v>0.82178161817391804</v>
      </c>
    </row>
    <row r="84" spans="4:34" x14ac:dyDescent="0.2">
      <c r="D84">
        <v>8</v>
      </c>
      <c r="E84" s="1">
        <v>1.0454727154862E-7</v>
      </c>
      <c r="F84">
        <v>0.98361758112866104</v>
      </c>
      <c r="G84">
        <v>8</v>
      </c>
      <c r="H84" s="1">
        <v>1.45805985594237E-7</v>
      </c>
      <c r="I84">
        <v>0.99054382573974198</v>
      </c>
      <c r="J84">
        <v>8</v>
      </c>
      <c r="K84" s="1">
        <v>9.2967655702280703E-8</v>
      </c>
      <c r="L84">
        <v>0.92567498586830099</v>
      </c>
      <c r="M84">
        <v>8</v>
      </c>
      <c r="N84" s="1">
        <v>1.55900673709484E-7</v>
      </c>
      <c r="O84">
        <v>0.97915792571068205</v>
      </c>
      <c r="P84">
        <v>8</v>
      </c>
      <c r="Q84" s="1">
        <v>1.2549508427371E-7</v>
      </c>
      <c r="R84">
        <v>0.98131451870401298</v>
      </c>
      <c r="T84">
        <v>8</v>
      </c>
      <c r="U84" s="1">
        <v>4.1296166654166099E-9</v>
      </c>
      <c r="V84">
        <v>0.61864634139479602</v>
      </c>
      <c r="W84">
        <v>8</v>
      </c>
      <c r="X84" s="1">
        <v>4.9415695867396701E-9</v>
      </c>
      <c r="Y84">
        <v>0.70760222313377596</v>
      </c>
      <c r="Z84">
        <v>8</v>
      </c>
      <c r="AA84" s="1">
        <v>9.70642220055501E-9</v>
      </c>
      <c r="AB84">
        <v>0.92664286500993798</v>
      </c>
      <c r="AC84">
        <v>8</v>
      </c>
      <c r="AD84" s="1">
        <v>7.85224698867475E-9</v>
      </c>
      <c r="AE84">
        <v>0.87526321756081005</v>
      </c>
      <c r="AF84">
        <v>8</v>
      </c>
      <c r="AG84" s="1">
        <v>8.77031422035547E-9</v>
      </c>
      <c r="AH84">
        <v>0.84828396148306295</v>
      </c>
    </row>
    <row r="85" spans="4:34" x14ac:dyDescent="0.2">
      <c r="D85">
        <v>9</v>
      </c>
      <c r="E85" s="1">
        <v>1.2334546074429799E-7</v>
      </c>
      <c r="F85">
        <v>0.98264631117081203</v>
      </c>
      <c r="G85">
        <v>9</v>
      </c>
      <c r="H85" s="1">
        <v>6.5913785354141701E-8</v>
      </c>
      <c r="I85">
        <v>0.72095991630049705</v>
      </c>
      <c r="J85">
        <v>9</v>
      </c>
      <c r="K85" s="1">
        <v>1.3097234909963999E-7</v>
      </c>
      <c r="L85">
        <v>0.97582228061366105</v>
      </c>
      <c r="M85">
        <v>9</v>
      </c>
      <c r="N85" s="1">
        <v>1.6041844465786301E-7</v>
      </c>
      <c r="O85">
        <v>0.96183173792536603</v>
      </c>
      <c r="P85">
        <v>9</v>
      </c>
      <c r="Q85" s="1">
        <v>1.52915732533013E-7</v>
      </c>
      <c r="R85">
        <v>0.99337207897197299</v>
      </c>
      <c r="T85">
        <v>9</v>
      </c>
      <c r="U85" s="1">
        <v>6.5210922523061795E-10</v>
      </c>
      <c r="V85">
        <v>0.34303482705409</v>
      </c>
      <c r="W85">
        <v>9</v>
      </c>
      <c r="X85" s="1">
        <v>1.35416242331058E-8</v>
      </c>
      <c r="Y85">
        <v>0.94014940205752995</v>
      </c>
      <c r="Z85">
        <v>9</v>
      </c>
      <c r="AA85" s="1">
        <v>6.41852420310514E-9</v>
      </c>
      <c r="AB85">
        <v>0.87576397819074903</v>
      </c>
      <c r="AC85">
        <v>9</v>
      </c>
      <c r="AD85" s="1">
        <v>1.32347905347634E-8</v>
      </c>
      <c r="AE85">
        <v>0.92738860796449596</v>
      </c>
      <c r="AF85">
        <v>9</v>
      </c>
      <c r="AG85" s="1">
        <v>1.47357912097802E-8</v>
      </c>
      <c r="AH85">
        <v>0.96284422730917296</v>
      </c>
    </row>
    <row r="86" spans="4:34" x14ac:dyDescent="0.2">
      <c r="D86">
        <v>10</v>
      </c>
      <c r="E86" s="1">
        <v>1.4426230492196899E-7</v>
      </c>
      <c r="F86">
        <v>0.98976857390148398</v>
      </c>
      <c r="G86">
        <v>10</v>
      </c>
      <c r="H86" s="1">
        <v>1.00954667466987E-7</v>
      </c>
      <c r="I86">
        <v>0.95903187165521897</v>
      </c>
      <c r="J86">
        <v>10</v>
      </c>
      <c r="K86" s="1">
        <v>9.5110818247299103E-8</v>
      </c>
      <c r="L86">
        <v>0.97751411010660605</v>
      </c>
      <c r="M86">
        <v>10</v>
      </c>
      <c r="N86" s="1">
        <v>1.4765272797118899E-7</v>
      </c>
      <c r="O86">
        <v>0.97364960097521902</v>
      </c>
      <c r="P86">
        <v>10</v>
      </c>
      <c r="Q86" s="1">
        <v>2.10446136854742E-7</v>
      </c>
      <c r="R86">
        <v>0.99060970853559305</v>
      </c>
      <c r="T86">
        <v>10</v>
      </c>
      <c r="U86" s="1">
        <v>3.8246084452111301E-9</v>
      </c>
      <c r="V86">
        <v>0.60880153270404402</v>
      </c>
      <c r="W86">
        <v>10</v>
      </c>
      <c r="X86" s="1">
        <v>1.16010969399235E-8</v>
      </c>
      <c r="Y86">
        <v>0.89624718458631103</v>
      </c>
      <c r="Z86">
        <v>10</v>
      </c>
      <c r="AA86" s="1">
        <v>3.2966636390908902E-9</v>
      </c>
      <c r="AB86">
        <v>0.59224138445214203</v>
      </c>
      <c r="AC86">
        <v>10</v>
      </c>
      <c r="AD86" s="1">
        <v>9.9035545188629597E-9</v>
      </c>
      <c r="AE86">
        <v>0.78558972008985894</v>
      </c>
      <c r="AF86">
        <v>10</v>
      </c>
      <c r="AG86" s="1">
        <v>3.8353399834996196E-9</v>
      </c>
      <c r="AH86">
        <v>0.84075269894339899</v>
      </c>
    </row>
    <row r="87" spans="4:34" x14ac:dyDescent="0.2">
      <c r="D87" t="s">
        <v>21</v>
      </c>
      <c r="E87" s="1">
        <v>1.18937585546219E-7</v>
      </c>
      <c r="F87" s="1">
        <v>4.41561626459634E-8</v>
      </c>
      <c r="G87" t="s">
        <v>21</v>
      </c>
      <c r="H87" s="1">
        <v>1.2313450357743101E-7</v>
      </c>
      <c r="I87" s="1">
        <v>4.0343917720272803E-8</v>
      </c>
      <c r="J87" t="s">
        <v>21</v>
      </c>
      <c r="K87" s="1">
        <v>1.16256965906363E-7</v>
      </c>
      <c r="L87" s="1">
        <v>2.44572792444344E-8</v>
      </c>
      <c r="M87" t="s">
        <v>21</v>
      </c>
      <c r="N87" s="1">
        <v>1.4297643241296501E-7</v>
      </c>
      <c r="O87" s="1">
        <v>3.2222581299801097E-8</v>
      </c>
      <c r="P87" t="s">
        <v>21</v>
      </c>
      <c r="Q87" s="1">
        <v>1.49923020312125E-7</v>
      </c>
      <c r="R87" s="1">
        <v>4.1150765802090699E-8</v>
      </c>
      <c r="T87" t="s">
        <v>21</v>
      </c>
      <c r="U87" s="1">
        <v>6.3305428020700497E-9</v>
      </c>
      <c r="V87" s="1">
        <v>4.9578298677049101E-9</v>
      </c>
      <c r="W87" t="s">
        <v>21</v>
      </c>
      <c r="X87" s="1">
        <v>1.1173421552538801E-8</v>
      </c>
      <c r="Y87" s="1">
        <v>5.6897127897188302E-9</v>
      </c>
      <c r="Z87" t="s">
        <v>21</v>
      </c>
      <c r="AA87" s="1">
        <v>8.6781283034575798E-9</v>
      </c>
      <c r="AB87" s="1">
        <v>5.6556371375800904E-9</v>
      </c>
      <c r="AC87" t="s">
        <v>21</v>
      </c>
      <c r="AD87" s="1">
        <v>1.0880886717167901E-8</v>
      </c>
      <c r="AE87" s="1">
        <v>5.0847689980310203E-9</v>
      </c>
      <c r="AF87" t="s">
        <v>21</v>
      </c>
      <c r="AG87" s="1">
        <v>8.8771442691067202E-9</v>
      </c>
      <c r="AH87" s="1">
        <v>4.27954300508178E-9</v>
      </c>
    </row>
    <row r="88" spans="4:34" x14ac:dyDescent="0.2">
      <c r="F88" s="4">
        <f>F87/E87</f>
        <v>0.37125491023865093</v>
      </c>
      <c r="I88" s="4">
        <f>I87/H87</f>
        <v>0.32764104737632072</v>
      </c>
      <c r="L88" s="4">
        <f>L87/K87</f>
        <v>0.21037259190243326</v>
      </c>
      <c r="O88" s="4">
        <f>O87/N87</f>
        <v>0.22536987918911855</v>
      </c>
      <c r="R88" s="4">
        <f>R87/Q87</f>
        <v>0.27447930088667405</v>
      </c>
      <c r="V88" s="4">
        <f>V87/U87</f>
        <v>0.78316031068990311</v>
      </c>
      <c r="Y88" s="4">
        <f>Y87/X87</f>
        <v>0.50921848450495688</v>
      </c>
      <c r="AB88" s="4">
        <f>AB87/AA87</f>
        <v>0.65171162949120554</v>
      </c>
      <c r="AE88" s="4">
        <f>AE87/AD87</f>
        <v>0.46731200592395233</v>
      </c>
      <c r="AH88" s="4">
        <f>AH87/AG87</f>
        <v>0.48208555311813328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97D5-91F8-8443-A39A-03D5D0CAF38A}">
  <dimension ref="A1:AH73"/>
  <sheetViews>
    <sheetView topLeftCell="L1" workbookViewId="0">
      <selection activeCell="Z67" sqref="Z67"/>
    </sheetView>
  </sheetViews>
  <sheetFormatPr baseColWidth="10" defaultRowHeight="16" x14ac:dyDescent="0.2"/>
  <sheetData>
    <row r="1" spans="1:18" x14ac:dyDescent="0.2">
      <c r="E1" s="2"/>
      <c r="F1" s="2"/>
      <c r="G1" s="2"/>
      <c r="H1" s="2"/>
      <c r="I1" s="2"/>
      <c r="J1" s="1"/>
      <c r="K1" s="1"/>
      <c r="M1" s="2"/>
      <c r="N1" s="2"/>
      <c r="O1" s="2"/>
      <c r="P1" s="2"/>
      <c r="Q1" s="2"/>
      <c r="R1" s="1"/>
    </row>
    <row r="2" spans="1:18" x14ac:dyDescent="0.2">
      <c r="D2" t="s">
        <v>12</v>
      </c>
      <c r="E2">
        <v>0</v>
      </c>
      <c r="F2">
        <v>5</v>
      </c>
      <c r="G2">
        <v>10</v>
      </c>
      <c r="H2">
        <v>-5</v>
      </c>
      <c r="I2">
        <v>-10</v>
      </c>
      <c r="L2" t="s">
        <v>12</v>
      </c>
      <c r="M2">
        <v>0</v>
      </c>
      <c r="N2">
        <v>5</v>
      </c>
      <c r="O2">
        <v>10</v>
      </c>
      <c r="P2">
        <v>-5</v>
      </c>
      <c r="Q2">
        <v>-10</v>
      </c>
    </row>
    <row r="3" spans="1:18" x14ac:dyDescent="0.2">
      <c r="C3" t="s">
        <v>13</v>
      </c>
      <c r="D3" t="s">
        <v>14</v>
      </c>
      <c r="L3" t="s">
        <v>15</v>
      </c>
    </row>
    <row r="4" spans="1:18" x14ac:dyDescent="0.2">
      <c r="C4">
        <f>1/((0.000086173)*D4)</f>
        <v>8.2889735100984563</v>
      </c>
      <c r="D4">
        <v>1400</v>
      </c>
      <c r="E4" s="1">
        <v>6.8587561551020397E-7</v>
      </c>
      <c r="F4" s="1">
        <v>6.4362247985594202E-7</v>
      </c>
      <c r="G4" s="1">
        <v>6.4475354991596598E-7</v>
      </c>
      <c r="H4" s="1">
        <v>7.2922036845138102E-7</v>
      </c>
      <c r="I4" s="1">
        <v>7.2883638501800704E-7</v>
      </c>
      <c r="L4">
        <v>1400</v>
      </c>
      <c r="M4" s="1">
        <v>1.0258906561089E-7</v>
      </c>
      <c r="N4" s="1">
        <v>9.9365265500637498E-8</v>
      </c>
      <c r="O4" s="1">
        <v>1.05094128926723E-7</v>
      </c>
      <c r="P4" s="1">
        <v>1.04394752111303E-7</v>
      </c>
      <c r="Q4" s="1">
        <v>1.0528344354608901E-7</v>
      </c>
    </row>
    <row r="5" spans="1:18" x14ac:dyDescent="0.2">
      <c r="C5">
        <f>1/((0.000086173)*D5)</f>
        <v>8.9265868570291058</v>
      </c>
      <c r="D5">
        <v>1300</v>
      </c>
      <c r="E5" s="1">
        <v>4.5474517531812698E-7</v>
      </c>
      <c r="F5" s="1">
        <v>4.3500118708283298E-7</v>
      </c>
      <c r="G5" s="1">
        <v>4.0506839855942399E-7</v>
      </c>
      <c r="H5" s="1">
        <v>4.6520028441776701E-7</v>
      </c>
      <c r="I5" s="1">
        <v>4.6317726669867902E-7</v>
      </c>
      <c r="L5">
        <v>1300</v>
      </c>
      <c r="M5" s="1">
        <v>5.7193769367734197E-8</v>
      </c>
      <c r="N5" s="1">
        <v>5.47841162431561E-8</v>
      </c>
      <c r="O5" s="1">
        <v>6.0189291272031798E-8</v>
      </c>
      <c r="P5" s="1">
        <v>5.9995609885997205E-8</v>
      </c>
      <c r="Q5" s="1">
        <v>6.3899643317256202E-8</v>
      </c>
    </row>
    <row r="6" spans="1:18" x14ac:dyDescent="0.2">
      <c r="C6">
        <f>1/((0.000086173)*D6)</f>
        <v>9.670469095114866</v>
      </c>
      <c r="D6">
        <v>1200</v>
      </c>
      <c r="E6" s="1">
        <v>2.4858776283313299E-7</v>
      </c>
      <c r="F6" s="1">
        <v>2.41935992845138E-7</v>
      </c>
      <c r="G6" s="1">
        <v>2.0974947150059999E-7</v>
      </c>
      <c r="H6" s="1">
        <v>2.4132294929171698E-7</v>
      </c>
      <c r="I6" s="1">
        <v>2.70881720768307E-7</v>
      </c>
      <c r="J6" s="1"/>
      <c r="L6">
        <v>1200</v>
      </c>
      <c r="M6" s="1">
        <v>2.6234730347258699E-8</v>
      </c>
      <c r="N6" s="1">
        <v>3.3856019602490001E-8</v>
      </c>
      <c r="O6" s="1">
        <v>3.1748689093227297E-8</v>
      </c>
      <c r="P6" s="1">
        <v>3.2006513975099402E-8</v>
      </c>
      <c r="Q6" s="1">
        <v>2.7689727111677801E-8</v>
      </c>
      <c r="R6" s="1"/>
    </row>
    <row r="7" spans="1:18" x14ac:dyDescent="0.2">
      <c r="A7" t="s">
        <v>16</v>
      </c>
      <c r="B7">
        <v>1</v>
      </c>
      <c r="C7">
        <f t="shared" ref="C7:C10" si="0">1/((0.000086173)*D7)</f>
        <v>10.549602649216217</v>
      </c>
      <c r="D7">
        <v>1100</v>
      </c>
      <c r="E7" s="1">
        <v>1.2911993848739501E-7</v>
      </c>
      <c r="F7" s="1">
        <v>1.30303920192077E-7</v>
      </c>
      <c r="G7" s="1">
        <v>1.15132482304922E-7</v>
      </c>
      <c r="H7" s="1">
        <v>1.33032415270108E-7</v>
      </c>
      <c r="I7" s="1">
        <v>1.3077309743097199E-7</v>
      </c>
      <c r="J7" s="1"/>
      <c r="L7">
        <v>1100</v>
      </c>
      <c r="M7" s="1">
        <v>1.3980454645616199E-8</v>
      </c>
      <c r="N7" s="1">
        <v>1.41798936653416E-8</v>
      </c>
      <c r="O7" s="1">
        <v>1.38487017160429E-8</v>
      </c>
      <c r="P7" s="1">
        <v>1.58364214925373E-8</v>
      </c>
      <c r="Q7" s="1">
        <v>1.4334371712292799E-8</v>
      </c>
      <c r="R7" s="1"/>
    </row>
    <row r="8" spans="1:18" x14ac:dyDescent="0.2">
      <c r="A8" t="s">
        <v>17</v>
      </c>
      <c r="B8">
        <f>B7/0.002</f>
        <v>500</v>
      </c>
      <c r="C8">
        <f t="shared" si="0"/>
        <v>11.604562914137839</v>
      </c>
      <c r="D8">
        <v>1000</v>
      </c>
      <c r="E8" s="1"/>
      <c r="F8" s="1"/>
      <c r="G8" s="1"/>
      <c r="H8" s="1"/>
      <c r="I8" s="1"/>
      <c r="J8" s="1"/>
      <c r="L8">
        <v>1000</v>
      </c>
      <c r="M8" s="1"/>
      <c r="N8" s="1"/>
      <c r="O8" s="1"/>
      <c r="P8" s="1"/>
      <c r="Q8" s="1"/>
      <c r="R8" s="1"/>
    </row>
    <row r="9" spans="1:18" x14ac:dyDescent="0.2">
      <c r="A9" t="s">
        <v>18</v>
      </c>
      <c r="B9">
        <f>B8/(0.000000000001)*(0.0000000000000001)</f>
        <v>4.9999999999999996E-2</v>
      </c>
      <c r="C9">
        <f t="shared" si="0"/>
        <v>12.893958793486487</v>
      </c>
      <c r="D9">
        <v>900</v>
      </c>
      <c r="E9" s="1"/>
      <c r="F9" s="1"/>
      <c r="G9" s="1"/>
      <c r="H9" s="1"/>
      <c r="I9" s="1"/>
      <c r="J9" s="1"/>
      <c r="L9">
        <v>900</v>
      </c>
      <c r="M9" s="1"/>
      <c r="N9" s="1"/>
      <c r="O9" s="1"/>
      <c r="P9" s="1"/>
      <c r="Q9" s="1"/>
      <c r="R9" s="1"/>
    </row>
    <row r="10" spans="1:18" x14ac:dyDescent="0.2">
      <c r="C10">
        <f t="shared" si="0"/>
        <v>14.5057036426723</v>
      </c>
      <c r="D10">
        <v>800</v>
      </c>
      <c r="E10" s="1"/>
      <c r="F10" s="1"/>
      <c r="G10" s="1"/>
      <c r="H10" s="1"/>
      <c r="I10" s="1"/>
      <c r="J10" s="1"/>
      <c r="L10">
        <v>800</v>
      </c>
      <c r="M10" s="1"/>
      <c r="N10" s="1"/>
      <c r="O10" s="1"/>
      <c r="P10" s="1"/>
      <c r="Q10" s="1"/>
      <c r="R10" s="1"/>
    </row>
    <row r="11" spans="1:18" x14ac:dyDescent="0.2">
      <c r="D11" t="s">
        <v>19</v>
      </c>
      <c r="E11" s="1"/>
      <c r="F11" s="1"/>
      <c r="G11" s="1"/>
      <c r="H11" s="1"/>
      <c r="I11" s="1"/>
      <c r="J11" s="1"/>
      <c r="L11" t="s">
        <v>19</v>
      </c>
      <c r="M11" s="1"/>
      <c r="N11" s="1"/>
      <c r="O11" s="1"/>
      <c r="P11" s="1"/>
      <c r="Q11" s="1"/>
      <c r="R11" s="1"/>
    </row>
    <row r="12" spans="1:18" x14ac:dyDescent="0.2">
      <c r="D12">
        <v>1400</v>
      </c>
      <c r="E12" s="2">
        <f>E4*5489*$B$9/6</f>
        <v>3.1373093779462575E-5</v>
      </c>
      <c r="F12" s="2">
        <f t="shared" ref="F12:I12" si="1">F4*5489*$B$9/6</f>
        <v>2.9440364932743874E-5</v>
      </c>
      <c r="G12" s="2">
        <f t="shared" si="1"/>
        <v>2.9492101962406141E-5</v>
      </c>
      <c r="H12" s="2">
        <f t="shared" si="1"/>
        <v>3.3355755020246913E-5</v>
      </c>
      <c r="I12" s="2">
        <f t="shared" si="1"/>
        <v>3.3338190978032005E-5</v>
      </c>
      <c r="J12" s="1"/>
      <c r="L12">
        <v>1400</v>
      </c>
      <c r="M12" s="2">
        <f>M4*5487*$B$9/6</f>
        <v>4.6908850250579452E-6</v>
      </c>
      <c r="N12" s="2">
        <f t="shared" ref="N12:Q12" si="2">N4*5487*$B$9/6</f>
        <v>4.5434767650166494E-6</v>
      </c>
      <c r="O12" s="2">
        <f t="shared" si="2"/>
        <v>4.8054290451744083E-6</v>
      </c>
      <c r="P12" s="2">
        <f t="shared" si="2"/>
        <v>4.7734500402893297E-6</v>
      </c>
      <c r="Q12" s="2">
        <f t="shared" si="2"/>
        <v>4.8140854561449197E-6</v>
      </c>
      <c r="R12" s="1"/>
    </row>
    <row r="13" spans="1:18" x14ac:dyDescent="0.2">
      <c r="D13">
        <v>1300</v>
      </c>
      <c r="E13" s="2">
        <f t="shared" ref="E13:I15" si="3">E5*5489*$B$9/6</f>
        <v>2.0800802227676657E-5</v>
      </c>
      <c r="F13" s="2">
        <f t="shared" si="3"/>
        <v>1.989767929914725E-5</v>
      </c>
      <c r="G13" s="2">
        <f t="shared" si="3"/>
        <v>1.8528503664105651E-5</v>
      </c>
      <c r="H13" s="2">
        <f t="shared" si="3"/>
        <v>2.1279036343076024E-5</v>
      </c>
      <c r="I13" s="2">
        <f t="shared" si="3"/>
        <v>2.1186500140908743E-5</v>
      </c>
      <c r="J13" s="1"/>
      <c r="L13">
        <v>1300</v>
      </c>
      <c r="M13" s="2">
        <f t="shared" ref="M13:Q15" si="4">M5*5487*$B$9/6</f>
        <v>2.6151851043396464E-6</v>
      </c>
      <c r="N13" s="2">
        <f t="shared" si="4"/>
        <v>2.5050037152183123E-6</v>
      </c>
      <c r="O13" s="2">
        <f t="shared" si="4"/>
        <v>2.752155343413654E-6</v>
      </c>
      <c r="P13" s="2">
        <f t="shared" si="4"/>
        <v>2.7432992620372222E-6</v>
      </c>
      <c r="Q13" s="2">
        <f t="shared" si="4"/>
        <v>2.9218111906815395E-6</v>
      </c>
      <c r="R13" s="1"/>
    </row>
    <row r="14" spans="1:18" x14ac:dyDescent="0.2">
      <c r="D14">
        <v>1200</v>
      </c>
      <c r="E14" s="2">
        <f t="shared" si="3"/>
        <v>1.1370818584925558E-5</v>
      </c>
      <c r="F14" s="2">
        <f t="shared" si="3"/>
        <v>1.1066555539391352E-5</v>
      </c>
      <c r="G14" s="2">
        <f t="shared" si="3"/>
        <v>9.5942904088899442E-6</v>
      </c>
      <c r="H14" s="2">
        <f t="shared" si="3"/>
        <v>1.1038513905518621E-5</v>
      </c>
      <c r="I14" s="2">
        <f t="shared" si="3"/>
        <v>1.2390581377476976E-5</v>
      </c>
      <c r="J14" s="1"/>
      <c r="L14">
        <v>1200</v>
      </c>
      <c r="M14" s="2">
        <f t="shared" si="4"/>
        <v>1.199583045128404E-6</v>
      </c>
      <c r="N14" s="2">
        <f t="shared" si="4"/>
        <v>1.5480664963238553E-6</v>
      </c>
      <c r="O14" s="2">
        <f t="shared" si="4"/>
        <v>1.4517088087878181E-6</v>
      </c>
      <c r="P14" s="2">
        <f t="shared" si="4"/>
        <v>1.4634978515114201E-6</v>
      </c>
      <c r="Q14" s="2">
        <f t="shared" si="4"/>
        <v>1.2661127721814673E-6</v>
      </c>
      <c r="R14" s="1"/>
    </row>
    <row r="15" spans="1:18" x14ac:dyDescent="0.2">
      <c r="D15">
        <v>1100</v>
      </c>
      <c r="E15" s="2">
        <f t="shared" si="3"/>
        <v>5.9061611863109262E-6</v>
      </c>
      <c r="F15" s="2">
        <f t="shared" si="3"/>
        <v>5.9603184827859215E-6</v>
      </c>
      <c r="G15" s="2">
        <f t="shared" si="3"/>
        <v>5.2663516280976404E-6</v>
      </c>
      <c r="H15" s="2">
        <f t="shared" si="3"/>
        <v>6.0851243951468561E-6</v>
      </c>
      <c r="I15" s="2">
        <f t="shared" si="3"/>
        <v>5.9817794316550433E-6</v>
      </c>
      <c r="J15" s="1"/>
      <c r="L15">
        <v>1100</v>
      </c>
      <c r="M15" s="2">
        <f t="shared" si="4"/>
        <v>6.3925628867080076E-7</v>
      </c>
      <c r="N15" s="2">
        <f t="shared" si="4"/>
        <v>6.483756378477445E-7</v>
      </c>
      <c r="O15" s="2">
        <f t="shared" si="4"/>
        <v>6.3323188596606148E-7</v>
      </c>
      <c r="P15" s="2">
        <f t="shared" si="4"/>
        <v>7.2412037274626798E-7</v>
      </c>
      <c r="Q15" s="2">
        <f t="shared" si="4"/>
        <v>6.554391465445881E-7</v>
      </c>
      <c r="R15" s="1"/>
    </row>
    <row r="16" spans="1:18" x14ac:dyDescent="0.2">
      <c r="E16" s="2"/>
      <c r="F16" s="2"/>
      <c r="G16" s="2"/>
      <c r="H16" s="2"/>
      <c r="I16" s="2"/>
      <c r="J16" s="1"/>
      <c r="L16">
        <v>1000</v>
      </c>
      <c r="M16" s="2"/>
      <c r="N16" s="2"/>
      <c r="O16" s="2"/>
      <c r="P16" s="2"/>
      <c r="Q16" s="2"/>
      <c r="R16" s="1"/>
    </row>
    <row r="17" spans="2:34" x14ac:dyDescent="0.2">
      <c r="E17" s="2"/>
      <c r="F17" s="2"/>
      <c r="G17" s="2"/>
      <c r="H17" s="2"/>
      <c r="I17" s="2"/>
      <c r="J17" s="1"/>
      <c r="M17" s="2"/>
      <c r="N17" s="2"/>
      <c r="O17" s="2"/>
      <c r="P17" s="2"/>
      <c r="Q17" s="2"/>
      <c r="R17" s="1"/>
    </row>
    <row r="18" spans="2:34" x14ac:dyDescent="0.2">
      <c r="E18" s="2"/>
      <c r="F18" s="2"/>
      <c r="G18" s="2"/>
      <c r="H18" s="2"/>
      <c r="I18" s="2"/>
      <c r="J18" s="1"/>
      <c r="M18" s="2"/>
      <c r="N18" s="2"/>
      <c r="O18" s="2"/>
      <c r="P18" s="2"/>
      <c r="Q18" s="2"/>
      <c r="R18" s="1"/>
    </row>
    <row r="19" spans="2:34" x14ac:dyDescent="0.2">
      <c r="B19" t="s">
        <v>34</v>
      </c>
      <c r="D19" t="s">
        <v>0</v>
      </c>
      <c r="E19" s="2"/>
      <c r="F19" s="2"/>
      <c r="G19" s="2" t="s">
        <v>1</v>
      </c>
      <c r="H19" s="2"/>
      <c r="I19" s="2"/>
      <c r="J19" s="1" t="s">
        <v>2</v>
      </c>
      <c r="M19" s="2" t="s">
        <v>3</v>
      </c>
      <c r="N19" s="2"/>
      <c r="O19" s="2"/>
      <c r="P19" s="2" t="s">
        <v>4</v>
      </c>
      <c r="Q19" s="2"/>
      <c r="R19" s="1"/>
      <c r="T19" t="s">
        <v>5</v>
      </c>
      <c r="U19" s="2"/>
      <c r="V19" s="2"/>
      <c r="W19" s="2" t="s">
        <v>6</v>
      </c>
      <c r="X19" s="2"/>
      <c r="Y19" s="2"/>
      <c r="Z19" s="1" t="s">
        <v>7</v>
      </c>
      <c r="AC19" s="2" t="s">
        <v>8</v>
      </c>
      <c r="AD19" s="2"/>
      <c r="AE19" s="2"/>
      <c r="AF19" s="2" t="s">
        <v>9</v>
      </c>
      <c r="AG19" s="2"/>
      <c r="AH19" s="1"/>
    </row>
    <row r="20" spans="2:34" x14ac:dyDescent="0.2">
      <c r="D20">
        <v>1</v>
      </c>
      <c r="E20" s="2">
        <v>7.4062622809123605E-7</v>
      </c>
      <c r="F20" s="2">
        <v>0.99856342574803403</v>
      </c>
      <c r="G20">
        <v>1</v>
      </c>
      <c r="H20" s="2">
        <v>6.8655405570228E-7</v>
      </c>
      <c r="I20" s="2">
        <v>0.99848678414168002</v>
      </c>
      <c r="J20">
        <v>1</v>
      </c>
      <c r="K20" s="1">
        <v>6.6308999183673404E-7</v>
      </c>
      <c r="L20">
        <v>0.98581466651786898</v>
      </c>
      <c r="M20">
        <v>1</v>
      </c>
      <c r="N20" s="2">
        <v>7.0221247058823595E-7</v>
      </c>
      <c r="O20" s="2">
        <v>0.99850220271661805</v>
      </c>
      <c r="P20">
        <v>1</v>
      </c>
      <c r="Q20" s="2">
        <v>7.20456988715487E-7</v>
      </c>
      <c r="R20" s="1">
        <v>0.998609332590225</v>
      </c>
      <c r="T20">
        <v>1</v>
      </c>
      <c r="U20" s="2">
        <v>9.4520701717542895E-8</v>
      </c>
      <c r="V20" s="2">
        <v>0.997096906371152</v>
      </c>
      <c r="W20">
        <v>1</v>
      </c>
      <c r="X20" s="2">
        <v>1.10272669804245E-7</v>
      </c>
      <c r="Y20" s="2">
        <v>0.99794035703591899</v>
      </c>
      <c r="Z20">
        <v>1</v>
      </c>
      <c r="AA20" s="1">
        <v>9.82914504612615E-8</v>
      </c>
      <c r="AB20">
        <v>0.99766818566608495</v>
      </c>
      <c r="AC20">
        <v>1</v>
      </c>
      <c r="AD20" s="2">
        <v>1.0146448952973799E-7</v>
      </c>
      <c r="AE20" s="2">
        <v>0.99669582736274798</v>
      </c>
      <c r="AF20">
        <v>1</v>
      </c>
      <c r="AG20" s="2">
        <v>1.02298640696017E-7</v>
      </c>
      <c r="AH20" s="1">
        <v>0.99462354984814105</v>
      </c>
    </row>
    <row r="21" spans="2:34" x14ac:dyDescent="0.2">
      <c r="D21">
        <v>2</v>
      </c>
      <c r="E21" s="2">
        <v>6.9703364225690204E-7</v>
      </c>
      <c r="F21" s="2">
        <v>0.99529959764656095</v>
      </c>
      <c r="G21">
        <v>2</v>
      </c>
      <c r="H21" s="2">
        <v>6.1730535174069604E-7</v>
      </c>
      <c r="I21" s="2">
        <v>0.99825437671002304</v>
      </c>
      <c r="J21">
        <v>2</v>
      </c>
      <c r="K21" s="1">
        <v>6.6670517358943501E-7</v>
      </c>
      <c r="L21">
        <v>0.998680903657436</v>
      </c>
      <c r="M21">
        <v>2</v>
      </c>
      <c r="N21" s="2">
        <v>6.9958952749099605E-7</v>
      </c>
      <c r="O21" s="2">
        <v>0.998782652663737</v>
      </c>
      <c r="P21">
        <v>2</v>
      </c>
      <c r="Q21" s="2">
        <v>7.04742157983193E-7</v>
      </c>
      <c r="R21" s="1">
        <v>0.99850663091094005</v>
      </c>
      <c r="T21">
        <v>2</v>
      </c>
      <c r="U21" s="1">
        <v>1.0656499253731299E-7</v>
      </c>
      <c r="V21">
        <v>0.99922470448359901</v>
      </c>
      <c r="W21">
        <v>2</v>
      </c>
      <c r="X21" s="1">
        <v>9.9333327233180694E-8</v>
      </c>
      <c r="Y21">
        <v>0.99536601639408695</v>
      </c>
      <c r="Z21">
        <v>2</v>
      </c>
      <c r="AA21" s="1">
        <v>1.03783685029626E-7</v>
      </c>
      <c r="AB21">
        <v>0.99546923733411996</v>
      </c>
      <c r="AC21">
        <v>2</v>
      </c>
      <c r="AD21" s="1">
        <v>1.1939500513762799E-7</v>
      </c>
      <c r="AE21">
        <v>0.995435756258361</v>
      </c>
      <c r="AF21">
        <v>2</v>
      </c>
      <c r="AG21" s="1">
        <v>1.09999149471237E-7</v>
      </c>
      <c r="AH21">
        <v>0.99717892175881595</v>
      </c>
    </row>
    <row r="22" spans="2:34" x14ac:dyDescent="0.2">
      <c r="D22">
        <v>3</v>
      </c>
      <c r="E22" s="2">
        <v>6.9250355390155996E-7</v>
      </c>
      <c r="F22" s="2">
        <v>0.99628538206170003</v>
      </c>
      <c r="G22">
        <v>3</v>
      </c>
      <c r="H22" s="2">
        <v>7.3355301176470597E-7</v>
      </c>
      <c r="I22" s="2">
        <v>0.99852972867565803</v>
      </c>
      <c r="J22">
        <v>3</v>
      </c>
      <c r="K22" s="1">
        <v>6.6649576374549802E-7</v>
      </c>
      <c r="L22">
        <v>0.99921492108953602</v>
      </c>
      <c r="M22">
        <v>3</v>
      </c>
      <c r="N22" s="2">
        <v>6.7972692725090004E-7</v>
      </c>
      <c r="O22" s="2">
        <v>0.99094617548518404</v>
      </c>
      <c r="P22">
        <v>3</v>
      </c>
      <c r="Q22" s="2">
        <v>7.59958210804322E-7</v>
      </c>
      <c r="R22" s="1">
        <v>0.997542132294026</v>
      </c>
      <c r="T22">
        <v>3</v>
      </c>
      <c r="U22" s="1">
        <v>1.09538230908273E-7</v>
      </c>
      <c r="V22">
        <v>0.992991462584778</v>
      </c>
      <c r="W22">
        <v>3</v>
      </c>
      <c r="X22" s="1">
        <v>1.0026350080252001E-7</v>
      </c>
      <c r="Y22">
        <v>0.99638702238214205</v>
      </c>
      <c r="Z22">
        <v>3</v>
      </c>
      <c r="AA22" s="1">
        <v>9.8332043043576199E-8</v>
      </c>
      <c r="AB22">
        <v>0.99277175897855197</v>
      </c>
      <c r="AC22">
        <v>3</v>
      </c>
      <c r="AD22" s="1">
        <v>1.0431585038626E-7</v>
      </c>
      <c r="AE22">
        <v>0.995780211389241</v>
      </c>
      <c r="AF22">
        <v>3</v>
      </c>
      <c r="AG22" s="1">
        <v>8.0224131650791206E-8</v>
      </c>
      <c r="AH22">
        <v>0.98338277037003496</v>
      </c>
    </row>
    <row r="23" spans="2:34" x14ac:dyDescent="0.2">
      <c r="D23">
        <v>4</v>
      </c>
      <c r="E23" s="2">
        <v>7.1560840864345703E-7</v>
      </c>
      <c r="F23" s="2">
        <v>0.99583962284793004</v>
      </c>
      <c r="G23">
        <v>4</v>
      </c>
      <c r="H23" s="2">
        <v>6.1444646482592995E-7</v>
      </c>
      <c r="I23" s="2">
        <v>0.99303165697060602</v>
      </c>
      <c r="J23">
        <v>4</v>
      </c>
      <c r="K23" s="1">
        <v>5.7821065498199296E-7</v>
      </c>
      <c r="L23">
        <v>0.99673116072212797</v>
      </c>
      <c r="M23">
        <v>4</v>
      </c>
      <c r="N23" s="2">
        <v>7.7847695174069704E-7</v>
      </c>
      <c r="O23" s="2">
        <v>0.99761001310207498</v>
      </c>
      <c r="P23">
        <v>4</v>
      </c>
      <c r="Q23" s="2">
        <v>6.9419979159663904E-7</v>
      </c>
      <c r="R23" s="1">
        <v>0.99733754333459301</v>
      </c>
      <c r="T23">
        <v>4</v>
      </c>
      <c r="U23" s="1">
        <v>9.21746388584714E-8</v>
      </c>
      <c r="V23">
        <v>0.99598560803860003</v>
      </c>
      <c r="W23">
        <v>4</v>
      </c>
      <c r="X23" s="1">
        <v>1.0627660348758699E-7</v>
      </c>
      <c r="Y23">
        <v>0.99590819702446998</v>
      </c>
      <c r="Z23">
        <v>4</v>
      </c>
      <c r="AA23" s="1">
        <v>1.0155733297082399E-7</v>
      </c>
      <c r="AB23">
        <v>0.98447448078919597</v>
      </c>
      <c r="AC23">
        <v>4</v>
      </c>
      <c r="AD23" s="1">
        <v>9.9656970426760703E-8</v>
      </c>
      <c r="AE23">
        <v>0.98999775877278695</v>
      </c>
      <c r="AF23">
        <v>4</v>
      </c>
      <c r="AG23" s="1">
        <v>1.058428759994E-7</v>
      </c>
      <c r="AH23">
        <v>0.99475781023240095</v>
      </c>
    </row>
    <row r="24" spans="2:34" x14ac:dyDescent="0.2">
      <c r="D24">
        <v>5</v>
      </c>
      <c r="E24" s="2">
        <v>6.7901143817527003E-7</v>
      </c>
      <c r="F24" s="2">
        <v>0.99726747584210396</v>
      </c>
      <c r="G24">
        <v>5</v>
      </c>
      <c r="H24" s="2">
        <v>6.62288139255703E-7</v>
      </c>
      <c r="I24" s="2">
        <v>0.99845174915200396</v>
      </c>
      <c r="J24">
        <v>5</v>
      </c>
      <c r="K24" s="1">
        <v>6.7383181992797004E-7</v>
      </c>
      <c r="L24">
        <v>0.99542677035949301</v>
      </c>
      <c r="M24">
        <v>5</v>
      </c>
      <c r="N24" s="2">
        <v>7.6705588331332499E-7</v>
      </c>
      <c r="O24" s="2">
        <v>0.99734853023616499</v>
      </c>
      <c r="P24">
        <v>5</v>
      </c>
      <c r="Q24" s="2">
        <v>8.51330124369748E-7</v>
      </c>
      <c r="R24" s="1">
        <v>0.99873255561663499</v>
      </c>
      <c r="T24">
        <v>5</v>
      </c>
      <c r="U24" s="1">
        <v>1.11228135925898E-7</v>
      </c>
      <c r="V24">
        <v>0.99603277785728805</v>
      </c>
      <c r="W24">
        <v>5</v>
      </c>
      <c r="X24" s="1">
        <v>9.8362415367884105E-8</v>
      </c>
      <c r="Y24">
        <v>0.98650919736870701</v>
      </c>
      <c r="Z24">
        <v>5</v>
      </c>
      <c r="AA24" s="1">
        <v>1.06967721930548E-7</v>
      </c>
      <c r="AB24">
        <v>0.99366697954248795</v>
      </c>
      <c r="AC24">
        <v>5</v>
      </c>
      <c r="AD24" s="1">
        <v>9.9610554413860405E-8</v>
      </c>
      <c r="AE24">
        <v>0.99422302367697402</v>
      </c>
      <c r="AF24">
        <v>5</v>
      </c>
      <c r="AG24" s="1">
        <v>1.14184424855621E-7</v>
      </c>
      <c r="AH24">
        <v>0.99913425598147099</v>
      </c>
    </row>
    <row r="25" spans="2:34" x14ac:dyDescent="0.2">
      <c r="D25">
        <v>6</v>
      </c>
      <c r="E25" s="1">
        <v>7.1305471500600202E-7</v>
      </c>
      <c r="F25" s="1">
        <v>0.998222921310847</v>
      </c>
      <c r="G25">
        <v>6</v>
      </c>
      <c r="H25" s="1">
        <v>6.3528900120047999E-7</v>
      </c>
      <c r="I25" s="1">
        <v>0.99896607474251597</v>
      </c>
      <c r="J25">
        <v>6</v>
      </c>
      <c r="K25" s="1">
        <v>7.1368401296518596E-7</v>
      </c>
      <c r="L25" s="1">
        <v>0.99756007229857702</v>
      </c>
      <c r="M25">
        <v>6</v>
      </c>
      <c r="N25" s="1">
        <v>7.0453290708283297E-7</v>
      </c>
      <c r="O25" s="1">
        <v>0.997834582912972</v>
      </c>
      <c r="P25">
        <v>6</v>
      </c>
      <c r="Q25" s="1">
        <v>7.0498672124849896E-7</v>
      </c>
      <c r="R25" s="1">
        <v>0.997842485078271</v>
      </c>
      <c r="T25">
        <v>6</v>
      </c>
      <c r="U25" s="1">
        <v>1.13607680492012E-7</v>
      </c>
      <c r="V25">
        <v>0.99651878802921501</v>
      </c>
      <c r="W25">
        <v>6</v>
      </c>
      <c r="X25" s="1">
        <v>9.5448432108302705E-8</v>
      </c>
      <c r="Y25">
        <v>0.992229867726931</v>
      </c>
      <c r="Z25">
        <v>6</v>
      </c>
      <c r="AA25" s="1">
        <v>8.8415021975549297E-8</v>
      </c>
      <c r="AB25">
        <v>0.99714396904934599</v>
      </c>
      <c r="AC25">
        <v>6</v>
      </c>
      <c r="AD25" s="1">
        <v>9.1192413980349305E-8</v>
      </c>
      <c r="AE25">
        <v>0.99535370898451403</v>
      </c>
      <c r="AF25">
        <v>6</v>
      </c>
      <c r="AG25" s="1">
        <v>1.0921199831245801E-7</v>
      </c>
      <c r="AH25">
        <v>0.99081274630970895</v>
      </c>
    </row>
    <row r="26" spans="2:34" x14ac:dyDescent="0.2">
      <c r="D26">
        <v>7</v>
      </c>
      <c r="E26" s="1">
        <v>6.6761846194477803E-7</v>
      </c>
      <c r="F26" s="3">
        <v>0.98940435401709004</v>
      </c>
      <c r="G26">
        <v>7</v>
      </c>
      <c r="H26" s="1">
        <v>5.8148956782713097E-7</v>
      </c>
      <c r="I26" s="3">
        <v>0.99688700251503903</v>
      </c>
      <c r="J26">
        <v>7</v>
      </c>
      <c r="K26" s="1">
        <v>6.4402403025210096E-7</v>
      </c>
      <c r="L26" s="3">
        <v>0.99841371384143396</v>
      </c>
      <c r="M26">
        <v>7</v>
      </c>
      <c r="N26" s="1">
        <v>7.7439988907562995E-7</v>
      </c>
      <c r="O26" s="3">
        <v>0.99706688585787495</v>
      </c>
      <c r="P26">
        <v>7</v>
      </c>
      <c r="Q26" s="1">
        <v>7.0948673661464501E-7</v>
      </c>
      <c r="R26" s="3">
        <v>0.99297198948852095</v>
      </c>
      <c r="T26">
        <v>7</v>
      </c>
      <c r="U26" s="1">
        <v>9.9024768206705203E-8</v>
      </c>
      <c r="V26">
        <v>0.99689508441966701</v>
      </c>
      <c r="W26">
        <v>7</v>
      </c>
      <c r="X26" s="1">
        <v>1.15094330143253E-7</v>
      </c>
      <c r="Y26">
        <v>0.99899585870751195</v>
      </c>
      <c r="Z26">
        <v>7</v>
      </c>
      <c r="AA26" s="1">
        <v>1.05139320768019E-7</v>
      </c>
      <c r="AB26">
        <v>0.99747868740674195</v>
      </c>
      <c r="AC26">
        <v>7</v>
      </c>
      <c r="AD26" s="1">
        <v>1.01571306525163E-7</v>
      </c>
      <c r="AE26">
        <v>0.99692258907195597</v>
      </c>
      <c r="AF26">
        <v>7</v>
      </c>
      <c r="AG26" s="1">
        <v>1.0527970878272E-7</v>
      </c>
      <c r="AH26">
        <v>0.99754714783238596</v>
      </c>
    </row>
    <row r="27" spans="2:34" x14ac:dyDescent="0.2">
      <c r="D27">
        <v>8</v>
      </c>
      <c r="E27" s="1">
        <v>5.5955230732292899E-7</v>
      </c>
      <c r="F27">
        <v>0.99303881795960403</v>
      </c>
      <c r="G27">
        <v>8</v>
      </c>
      <c r="H27" s="1">
        <v>6.2521202737094799E-7</v>
      </c>
      <c r="I27">
        <v>0.99599931111013795</v>
      </c>
      <c r="J27">
        <v>8</v>
      </c>
      <c r="K27" s="1">
        <v>6.7098988427370901E-7</v>
      </c>
      <c r="L27">
        <v>0.99594852321043403</v>
      </c>
      <c r="M27">
        <v>8</v>
      </c>
      <c r="N27" s="1">
        <v>6.7203517454982104E-7</v>
      </c>
      <c r="O27">
        <v>0.99860963191560004</v>
      </c>
      <c r="P27">
        <v>8</v>
      </c>
      <c r="Q27" s="1">
        <v>7.5493994045618103E-7</v>
      </c>
      <c r="R27">
        <v>0.99339927934180705</v>
      </c>
      <c r="T27">
        <v>8</v>
      </c>
      <c r="U27" s="1">
        <v>1.09218900075002E-7</v>
      </c>
      <c r="V27">
        <v>0.99718168862121703</v>
      </c>
      <c r="W27">
        <v>8</v>
      </c>
      <c r="X27" s="1">
        <v>9.8497173584339606E-8</v>
      </c>
      <c r="Y27">
        <v>0.99171983445335499</v>
      </c>
      <c r="Z27">
        <v>8</v>
      </c>
      <c r="AA27" s="1">
        <v>1.1179519458486501E-7</v>
      </c>
      <c r="AB27">
        <v>0.99609806713179705</v>
      </c>
      <c r="AC27">
        <v>8</v>
      </c>
      <c r="AD27" s="1">
        <v>1.0727061347783699E-7</v>
      </c>
      <c r="AE27">
        <v>0.98865711319130001</v>
      </c>
      <c r="AF27">
        <v>8</v>
      </c>
      <c r="AG27" s="1">
        <v>1.0690443085577101E-7</v>
      </c>
      <c r="AH27">
        <v>0.99769830287499695</v>
      </c>
    </row>
    <row r="28" spans="2:34" x14ac:dyDescent="0.2">
      <c r="D28">
        <v>9</v>
      </c>
      <c r="E28" s="1">
        <v>7.9924342569027699E-7</v>
      </c>
      <c r="F28">
        <v>0.99853379814230803</v>
      </c>
      <c r="G28">
        <v>9</v>
      </c>
      <c r="H28" s="1">
        <v>6.9284764081632597E-7</v>
      </c>
      <c r="I28">
        <v>0.99873899549240297</v>
      </c>
      <c r="J28">
        <v>9</v>
      </c>
      <c r="K28" s="1">
        <v>6.4670137911164499E-7</v>
      </c>
      <c r="L28">
        <v>0.99840216397404602</v>
      </c>
      <c r="M28">
        <v>9</v>
      </c>
      <c r="N28" s="1">
        <v>7.7202581992797101E-7</v>
      </c>
      <c r="O28">
        <v>0.99487186416890705</v>
      </c>
      <c r="P28">
        <v>9</v>
      </c>
      <c r="Q28" s="1">
        <v>6.9733244561824801E-7</v>
      </c>
      <c r="R28">
        <v>0.99826957283029705</v>
      </c>
      <c r="T28">
        <v>9</v>
      </c>
      <c r="U28" s="1">
        <v>1.05766888937224E-7</v>
      </c>
      <c r="V28">
        <v>0.99647035120800398</v>
      </c>
      <c r="W28">
        <v>9</v>
      </c>
      <c r="X28" s="1">
        <v>7.3520537148428801E-8</v>
      </c>
      <c r="Y28">
        <v>0.97157995742207104</v>
      </c>
      <c r="Z28">
        <v>9</v>
      </c>
      <c r="AA28" s="1">
        <v>1.2100913830345799E-7</v>
      </c>
      <c r="AB28">
        <v>0.99850443749602202</v>
      </c>
      <c r="AC28">
        <v>9</v>
      </c>
      <c r="AD28" s="1">
        <v>1.00318398117453E-7</v>
      </c>
      <c r="AE28">
        <v>0.99668232623347996</v>
      </c>
      <c r="AF28">
        <v>9</v>
      </c>
      <c r="AG28" s="1">
        <v>9.7673830645766097E-8</v>
      </c>
      <c r="AH28">
        <v>0.98721066888583497</v>
      </c>
    </row>
    <row r="29" spans="2:34" x14ac:dyDescent="0.2">
      <c r="D29">
        <v>10</v>
      </c>
      <c r="E29" s="1">
        <v>5.9450397406962801E-7</v>
      </c>
      <c r="F29">
        <v>0.99855701990220702</v>
      </c>
      <c r="G29">
        <v>10</v>
      </c>
      <c r="H29" s="1">
        <v>5.8723953805522202E-7</v>
      </c>
      <c r="I29">
        <v>0.99744911898796795</v>
      </c>
      <c r="J29">
        <v>10</v>
      </c>
      <c r="K29" s="1">
        <v>5.2380278847538996E-7</v>
      </c>
      <c r="L29">
        <v>0.99567845233747398</v>
      </c>
      <c r="M29">
        <v>10</v>
      </c>
      <c r="N29" s="1">
        <v>7.4214813349339697E-7</v>
      </c>
      <c r="O29">
        <v>0.99886742373065895</v>
      </c>
      <c r="P29">
        <v>10</v>
      </c>
      <c r="Q29" s="1">
        <v>6.9093073277310901E-7</v>
      </c>
      <c r="R29">
        <v>0.99626763391125395</v>
      </c>
      <c r="T29">
        <v>10</v>
      </c>
      <c r="U29" s="1">
        <v>8.4245718450461394E-8</v>
      </c>
      <c r="V29">
        <v>0.98569555057330704</v>
      </c>
      <c r="W29">
        <v>10</v>
      </c>
      <c r="X29" s="1">
        <v>9.6583665326633006E-8</v>
      </c>
      <c r="Y29">
        <v>0.99683728862700804</v>
      </c>
      <c r="Z29">
        <v>10</v>
      </c>
      <c r="AA29" s="1">
        <v>1.15650380199505E-7</v>
      </c>
      <c r="AB29">
        <v>0.99645994839624397</v>
      </c>
      <c r="AC29">
        <v>10</v>
      </c>
      <c r="AD29" s="1">
        <v>1.19151919117978E-7</v>
      </c>
      <c r="AE29">
        <v>0.99853432888152305</v>
      </c>
      <c r="AF29">
        <v>10</v>
      </c>
      <c r="AG29" s="1">
        <v>1.2121524419110501E-7</v>
      </c>
      <c r="AH29">
        <v>0.99865211638002205</v>
      </c>
    </row>
    <row r="30" spans="2:34" x14ac:dyDescent="0.2">
      <c r="D30" t="s">
        <v>43</v>
      </c>
      <c r="E30" s="1">
        <v>6.8587561551020397E-7</v>
      </c>
      <c r="F30" s="1">
        <v>6.8579118271323605E-8</v>
      </c>
      <c r="G30" t="s">
        <v>43</v>
      </c>
      <c r="H30" s="1">
        <v>6.4362247985594202E-7</v>
      </c>
      <c r="I30" s="1">
        <v>4.9096166044247802E-8</v>
      </c>
      <c r="J30" t="s">
        <v>43</v>
      </c>
      <c r="K30" s="1">
        <v>6.4475354991596598E-7</v>
      </c>
      <c r="L30" s="1">
        <v>5.4403321290351599E-8</v>
      </c>
      <c r="M30" t="s">
        <v>43</v>
      </c>
      <c r="N30" s="1">
        <v>7.2922036845138102E-7</v>
      </c>
      <c r="O30" s="1">
        <v>4.1945720489424902E-8</v>
      </c>
      <c r="P30" t="s">
        <v>43</v>
      </c>
      <c r="Q30" s="1">
        <v>7.2883638501800704E-7</v>
      </c>
      <c r="R30" s="1">
        <v>4.9303675223460197E-8</v>
      </c>
      <c r="T30" t="s">
        <v>43</v>
      </c>
      <c r="U30" s="1">
        <v>1.0258906561089E-7</v>
      </c>
      <c r="V30" s="1">
        <v>9.6432875370851403E-9</v>
      </c>
      <c r="W30" t="s">
        <v>43</v>
      </c>
      <c r="X30" s="1">
        <v>9.9365265500637498E-8</v>
      </c>
      <c r="Y30" s="1">
        <v>1.10942304403334E-8</v>
      </c>
      <c r="Z30" t="s">
        <v>43</v>
      </c>
      <c r="AA30" s="1">
        <v>1.05094128926723E-7</v>
      </c>
      <c r="AB30" s="1">
        <v>9.4136996843382195E-9</v>
      </c>
      <c r="AC30" t="s">
        <v>43</v>
      </c>
      <c r="AD30" s="1">
        <v>1.04394752111303E-7</v>
      </c>
      <c r="AE30" s="1">
        <v>8.8435172344180303E-9</v>
      </c>
      <c r="AF30" t="s">
        <v>43</v>
      </c>
      <c r="AG30" s="1">
        <v>1.0528344354608901E-7</v>
      </c>
      <c r="AH30" s="1">
        <v>1.08956979924229E-8</v>
      </c>
    </row>
    <row r="31" spans="2:34" x14ac:dyDescent="0.2">
      <c r="F31" s="4">
        <f>F30/E30</f>
        <v>9.9987689780033209E-2</v>
      </c>
      <c r="I31" s="4">
        <f>I30/H30</f>
        <v>7.6280999469186789E-2</v>
      </c>
      <c r="L31" s="4">
        <f>L30/K30</f>
        <v>8.4378474996286965E-2</v>
      </c>
      <c r="O31" s="4">
        <f>O30/N30</f>
        <v>5.7521323188631603E-2</v>
      </c>
      <c r="R31" s="4">
        <f>R30/Q30</f>
        <v>6.7647110156612275E-2</v>
      </c>
      <c r="V31" s="4">
        <f>V30/U30</f>
        <v>9.3999175054982564E-2</v>
      </c>
      <c r="Y31" s="4">
        <f>Y30/X30</f>
        <v>0.11165099176695928</v>
      </c>
      <c r="AB31" s="4">
        <f>AB30/AA30</f>
        <v>8.957398268082066E-2</v>
      </c>
      <c r="AE31" s="4">
        <f>AE30/AD30</f>
        <v>8.4712277730103702E-2</v>
      </c>
      <c r="AH31" s="4">
        <f>AH30/AG30</f>
        <v>0.10348918714511067</v>
      </c>
    </row>
    <row r="33" spans="2:34" x14ac:dyDescent="0.2">
      <c r="B33" t="s">
        <v>31</v>
      </c>
      <c r="D33" t="s">
        <v>0</v>
      </c>
      <c r="E33" s="2"/>
      <c r="F33" s="2"/>
      <c r="G33" s="2" t="s">
        <v>1</v>
      </c>
      <c r="H33" s="2"/>
      <c r="I33" s="2"/>
      <c r="J33" s="1" t="s">
        <v>2</v>
      </c>
      <c r="M33" s="2" t="s">
        <v>3</v>
      </c>
      <c r="N33" s="2"/>
      <c r="O33" s="2"/>
      <c r="P33" s="2" t="s">
        <v>4</v>
      </c>
      <c r="Q33" s="2"/>
      <c r="R33" s="1"/>
      <c r="T33" t="s">
        <v>5</v>
      </c>
      <c r="U33" s="2"/>
      <c r="V33" s="2"/>
      <c r="W33" s="2" t="s">
        <v>6</v>
      </c>
      <c r="X33" s="2"/>
      <c r="Y33" s="2"/>
      <c r="Z33" s="1" t="s">
        <v>7</v>
      </c>
      <c r="AC33" s="2" t="s">
        <v>8</v>
      </c>
      <c r="AD33" s="2"/>
      <c r="AE33" s="2"/>
      <c r="AF33" s="2" t="s">
        <v>9</v>
      </c>
      <c r="AG33" s="2"/>
      <c r="AH33" s="1"/>
    </row>
    <row r="34" spans="2:34" x14ac:dyDescent="0.2">
      <c r="D34">
        <v>1</v>
      </c>
      <c r="E34" s="2">
        <v>5.0382938007202904E-7</v>
      </c>
      <c r="F34" s="2">
        <v>0.994864935701403</v>
      </c>
      <c r="G34">
        <v>1</v>
      </c>
      <c r="H34" s="2">
        <v>4.8794484945978396E-7</v>
      </c>
      <c r="I34" s="2">
        <v>0.99056498209797506</v>
      </c>
      <c r="J34">
        <v>1</v>
      </c>
      <c r="K34" s="1">
        <v>3.4919924609843899E-7</v>
      </c>
      <c r="L34">
        <v>0.95445330771845704</v>
      </c>
      <c r="M34">
        <v>1</v>
      </c>
      <c r="N34" s="2">
        <v>5.2295193133253298E-7</v>
      </c>
      <c r="O34" s="2">
        <v>0.99870659056472399</v>
      </c>
      <c r="P34">
        <v>1</v>
      </c>
      <c r="Q34" s="2">
        <v>4.0408672076830698E-7</v>
      </c>
      <c r="R34" s="1">
        <v>0.98684412953540201</v>
      </c>
      <c r="T34">
        <v>1</v>
      </c>
      <c r="U34" s="2">
        <v>5.7306128290707198E-8</v>
      </c>
      <c r="V34" s="2">
        <v>0.99477055565077199</v>
      </c>
      <c r="W34">
        <v>1</v>
      </c>
      <c r="X34" s="2">
        <v>6.0017509195230104E-8</v>
      </c>
      <c r="Y34" s="2">
        <v>0.99324746676082099</v>
      </c>
      <c r="Z34">
        <v>1</v>
      </c>
      <c r="AA34" s="1">
        <v>6.5259257443936103E-8</v>
      </c>
      <c r="AB34">
        <v>0.99850624349100903</v>
      </c>
      <c r="AC34">
        <v>1</v>
      </c>
      <c r="AD34" s="2">
        <v>5.6611881159529103E-8</v>
      </c>
      <c r="AE34" s="2">
        <v>0.98900535172328596</v>
      </c>
      <c r="AF34">
        <v>1</v>
      </c>
      <c r="AG34" s="2">
        <v>5.7545531650791299E-8</v>
      </c>
      <c r="AH34" s="1">
        <v>0.97368159701530799</v>
      </c>
    </row>
    <row r="35" spans="2:34" x14ac:dyDescent="0.2">
      <c r="D35">
        <v>2</v>
      </c>
      <c r="E35" s="2">
        <v>4.7796138727490997E-7</v>
      </c>
      <c r="F35" s="2">
        <v>0.99469608272946497</v>
      </c>
      <c r="G35">
        <v>2</v>
      </c>
      <c r="H35" s="2">
        <v>4.1453058247298901E-7</v>
      </c>
      <c r="I35" s="2">
        <v>0.992286943888811</v>
      </c>
      <c r="J35">
        <v>2</v>
      </c>
      <c r="K35" s="1">
        <v>3.08751332052821E-7</v>
      </c>
      <c r="L35">
        <v>0.96960011486591302</v>
      </c>
      <c r="M35">
        <v>2</v>
      </c>
      <c r="N35" s="2">
        <v>3.49350459063625E-7</v>
      </c>
      <c r="O35" s="2">
        <v>0.98924461080426795</v>
      </c>
      <c r="P35">
        <v>2</v>
      </c>
      <c r="Q35" s="2">
        <v>5.3567610612244904E-7</v>
      </c>
      <c r="R35" s="1">
        <v>0.99868288521748805</v>
      </c>
      <c r="T35">
        <v>2</v>
      </c>
      <c r="U35" s="1">
        <v>5.74351678916974E-8</v>
      </c>
      <c r="V35">
        <v>0.99382960271373899</v>
      </c>
      <c r="W35">
        <v>2</v>
      </c>
      <c r="X35" s="1">
        <v>4.5514590009750298E-8</v>
      </c>
      <c r="Y35">
        <v>0.99366201049284197</v>
      </c>
      <c r="Z35">
        <v>2</v>
      </c>
      <c r="AA35" s="1">
        <v>4.4963293234830899E-8</v>
      </c>
      <c r="AB35">
        <v>0.98227680937427297</v>
      </c>
      <c r="AC35">
        <v>2</v>
      </c>
      <c r="AD35" s="1">
        <v>6.44639202730069E-8</v>
      </c>
      <c r="AE35">
        <v>0.990776477017831</v>
      </c>
      <c r="AF35">
        <v>2</v>
      </c>
      <c r="AG35" s="1">
        <v>6.5550443936098601E-8</v>
      </c>
      <c r="AH35">
        <v>0.98837960791991797</v>
      </c>
    </row>
    <row r="36" spans="2:34" x14ac:dyDescent="0.2">
      <c r="D36">
        <v>3</v>
      </c>
      <c r="E36" s="2">
        <v>5.0234322016806702E-7</v>
      </c>
      <c r="F36" s="2">
        <v>0.99443764600894602</v>
      </c>
      <c r="G36">
        <v>3</v>
      </c>
      <c r="H36" s="2">
        <v>4.3974818679471801E-7</v>
      </c>
      <c r="I36" s="2">
        <v>0.99051239872407704</v>
      </c>
      <c r="J36">
        <v>3</v>
      </c>
      <c r="K36" s="1">
        <v>4.6060948955582201E-7</v>
      </c>
      <c r="L36">
        <v>0.99635803904989195</v>
      </c>
      <c r="M36">
        <v>3</v>
      </c>
      <c r="N36" s="2">
        <v>4.3632579927971198E-7</v>
      </c>
      <c r="O36" s="2">
        <v>0.99587397106709696</v>
      </c>
      <c r="P36">
        <v>3</v>
      </c>
      <c r="Q36" s="2">
        <v>5.5214696134453697E-7</v>
      </c>
      <c r="R36" s="1">
        <v>0.99274012035625503</v>
      </c>
      <c r="T36">
        <v>3</v>
      </c>
      <c r="U36" s="1">
        <v>3.65630803270082E-8</v>
      </c>
      <c r="V36">
        <v>0.91417614924645796</v>
      </c>
      <c r="W36">
        <v>3</v>
      </c>
      <c r="X36" s="1">
        <v>6.1818007447686007E-8</v>
      </c>
      <c r="Y36">
        <v>0.99333912205700503</v>
      </c>
      <c r="Z36">
        <v>3</v>
      </c>
      <c r="AA36" s="1">
        <v>4.8118725035625799E-8</v>
      </c>
      <c r="AB36">
        <v>0.97991526104405002</v>
      </c>
      <c r="AC36">
        <v>3</v>
      </c>
      <c r="AD36" s="1">
        <v>6.4608409135228195E-8</v>
      </c>
      <c r="AE36">
        <v>0.99028926087095503</v>
      </c>
      <c r="AF36">
        <v>3</v>
      </c>
      <c r="AG36" s="1">
        <v>6.5619333653341305E-8</v>
      </c>
      <c r="AH36">
        <v>0.97520717330269102</v>
      </c>
    </row>
    <row r="37" spans="2:34" x14ac:dyDescent="0.2">
      <c r="D37">
        <v>4</v>
      </c>
      <c r="E37" s="2">
        <v>4.2798892484993999E-7</v>
      </c>
      <c r="F37" s="2">
        <v>0.99706689394514203</v>
      </c>
      <c r="G37">
        <v>4</v>
      </c>
      <c r="H37" s="2">
        <v>4.6782420072028802E-7</v>
      </c>
      <c r="I37" s="2">
        <v>0.99262784251287595</v>
      </c>
      <c r="J37">
        <v>4</v>
      </c>
      <c r="K37" s="1">
        <v>3.76084541656662E-7</v>
      </c>
      <c r="L37">
        <v>0.99313917079408798</v>
      </c>
      <c r="M37">
        <v>4</v>
      </c>
      <c r="N37" s="2">
        <v>4.0414552220888397E-7</v>
      </c>
      <c r="O37" s="2">
        <v>0.98866693451475796</v>
      </c>
      <c r="P37">
        <v>4</v>
      </c>
      <c r="Q37" s="2">
        <v>4.3920219975990401E-7</v>
      </c>
      <c r="R37" s="1">
        <v>0.97205060517020503</v>
      </c>
      <c r="T37">
        <v>4</v>
      </c>
      <c r="U37" s="1">
        <v>6.19688576464412E-8</v>
      </c>
      <c r="V37">
        <v>0.994508289205985</v>
      </c>
      <c r="W37">
        <v>4</v>
      </c>
      <c r="X37" s="1">
        <v>6.3302650191254701E-8</v>
      </c>
      <c r="Y37">
        <v>0.99507974616071404</v>
      </c>
      <c r="Z37">
        <v>4</v>
      </c>
      <c r="AA37" s="1">
        <v>7.1941877866946494E-8</v>
      </c>
      <c r="AB37">
        <v>0.99416723937969098</v>
      </c>
      <c r="AC37">
        <v>4</v>
      </c>
      <c r="AD37" s="1">
        <v>5.4534575279381997E-8</v>
      </c>
      <c r="AE37">
        <v>0.950279645896701</v>
      </c>
      <c r="AF37">
        <v>4</v>
      </c>
      <c r="AG37" s="1">
        <v>7.4894725875646996E-8</v>
      </c>
      <c r="AH37">
        <v>0.99105121242461003</v>
      </c>
    </row>
    <row r="38" spans="2:34" x14ac:dyDescent="0.2">
      <c r="D38">
        <v>5</v>
      </c>
      <c r="E38" s="2">
        <v>4.2908312364946E-7</v>
      </c>
      <c r="F38" s="2">
        <v>0.99735996009209005</v>
      </c>
      <c r="G38">
        <v>5</v>
      </c>
      <c r="H38" s="2">
        <v>4.3897481344537798E-7</v>
      </c>
      <c r="I38" s="2">
        <v>0.99714490831504599</v>
      </c>
      <c r="J38">
        <v>5</v>
      </c>
      <c r="K38" s="1">
        <v>4.0797221560624298E-7</v>
      </c>
      <c r="L38">
        <v>0.99137932842136101</v>
      </c>
      <c r="M38">
        <v>5</v>
      </c>
      <c r="N38" s="2">
        <v>4.8251898967587098E-7</v>
      </c>
      <c r="O38" s="2">
        <v>0.99445271033853999</v>
      </c>
      <c r="P38">
        <v>5</v>
      </c>
      <c r="Q38" s="2">
        <v>3.9522481968787501E-7</v>
      </c>
      <c r="R38" s="1">
        <v>0.99363503801249198</v>
      </c>
      <c r="T38">
        <v>5</v>
      </c>
      <c r="U38" s="1">
        <v>6.6352939218480504E-8</v>
      </c>
      <c r="V38">
        <v>0.99781034629643695</v>
      </c>
      <c r="W38">
        <v>5</v>
      </c>
      <c r="X38" s="1">
        <v>4.4883209982749598E-8</v>
      </c>
      <c r="Y38">
        <v>0.992415207655441</v>
      </c>
      <c r="Z38">
        <v>5</v>
      </c>
      <c r="AA38" s="1">
        <v>5.9944428853221305E-8</v>
      </c>
      <c r="AB38">
        <v>0.99434648070842502</v>
      </c>
      <c r="AC38">
        <v>5</v>
      </c>
      <c r="AD38" s="1">
        <v>4.31650488637215E-8</v>
      </c>
      <c r="AE38">
        <v>0.97762594231958699</v>
      </c>
      <c r="AF38">
        <v>5</v>
      </c>
      <c r="AG38" s="1">
        <v>8.1734399234980903E-8</v>
      </c>
      <c r="AH38">
        <v>0.99362824367316005</v>
      </c>
    </row>
    <row r="39" spans="2:34" x14ac:dyDescent="0.2">
      <c r="D39">
        <v>6</v>
      </c>
      <c r="E39" s="1">
        <v>5.3072782761104395E-7</v>
      </c>
      <c r="F39" s="1">
        <v>0.99802388667956998</v>
      </c>
      <c r="G39">
        <v>6</v>
      </c>
      <c r="H39" s="1">
        <v>3.0236210036014402E-7</v>
      </c>
      <c r="I39" s="1">
        <v>0.95284377978229595</v>
      </c>
      <c r="J39">
        <v>6</v>
      </c>
      <c r="K39" s="1">
        <v>3.5921188859543898E-7</v>
      </c>
      <c r="L39" s="1">
        <v>0.98942121694614305</v>
      </c>
      <c r="M39">
        <v>6</v>
      </c>
      <c r="N39" s="1">
        <v>5.1242113421368499E-7</v>
      </c>
      <c r="O39" s="1">
        <v>0.99676673679788397</v>
      </c>
      <c r="P39">
        <v>6</v>
      </c>
      <c r="Q39" s="1">
        <v>3.6767219495798301E-7</v>
      </c>
      <c r="R39" s="1">
        <v>0.97832375801851401</v>
      </c>
      <c r="T39">
        <v>6</v>
      </c>
      <c r="U39" s="1">
        <v>5.5681965319132898E-8</v>
      </c>
      <c r="V39">
        <v>0.99159069933382005</v>
      </c>
      <c r="W39">
        <v>6</v>
      </c>
      <c r="X39" s="1">
        <v>6.6335671559288897E-8</v>
      </c>
      <c r="Y39">
        <v>0.99283631900921598</v>
      </c>
      <c r="Z39">
        <v>6</v>
      </c>
      <c r="AA39" s="1">
        <v>6.8723743898597502E-8</v>
      </c>
      <c r="AB39">
        <v>0.99850705934484296</v>
      </c>
      <c r="AC39">
        <v>6</v>
      </c>
      <c r="AD39" s="1">
        <v>6.7955602730068102E-8</v>
      </c>
      <c r="AE39">
        <v>0.99846375012487198</v>
      </c>
      <c r="AF39">
        <v>6</v>
      </c>
      <c r="AG39" s="1">
        <v>6.8144764989124706E-8</v>
      </c>
      <c r="AH39">
        <v>0.99444279500088395</v>
      </c>
    </row>
    <row r="40" spans="2:34" x14ac:dyDescent="0.2">
      <c r="D40">
        <v>7</v>
      </c>
      <c r="E40" s="1">
        <v>4.3802850996398602E-7</v>
      </c>
      <c r="F40" s="3">
        <v>0.998298210030374</v>
      </c>
      <c r="G40">
        <v>7</v>
      </c>
      <c r="H40" s="1">
        <v>4.8847568499399703E-7</v>
      </c>
      <c r="I40" s="3">
        <v>0.99622367450345195</v>
      </c>
      <c r="J40">
        <v>7</v>
      </c>
      <c r="K40" s="1">
        <v>4.09599100120048E-7</v>
      </c>
      <c r="L40" s="3">
        <v>0.993610596694113</v>
      </c>
      <c r="M40">
        <v>7</v>
      </c>
      <c r="N40" s="1">
        <v>5.0649008595438195E-7</v>
      </c>
      <c r="O40" s="3">
        <v>0.99733290120756002</v>
      </c>
      <c r="P40">
        <v>7</v>
      </c>
      <c r="Q40" s="1">
        <v>4.3166854837935199E-7</v>
      </c>
      <c r="R40" s="3">
        <v>0.99158088466059002</v>
      </c>
      <c r="T40">
        <v>7</v>
      </c>
      <c r="U40" s="1">
        <v>5.3708359131478299E-8</v>
      </c>
      <c r="V40">
        <v>0.98962482309451005</v>
      </c>
      <c r="W40">
        <v>7</v>
      </c>
      <c r="X40" s="1">
        <v>5.2737533188329602E-8</v>
      </c>
      <c r="Y40">
        <v>0.99033461103721698</v>
      </c>
      <c r="Z40">
        <v>7</v>
      </c>
      <c r="AA40" s="1">
        <v>6.3008020175504297E-8</v>
      </c>
      <c r="AB40">
        <v>0.995281220694617</v>
      </c>
      <c r="AC40">
        <v>7</v>
      </c>
      <c r="AD40" s="1">
        <v>5.6005545638641001E-8</v>
      </c>
      <c r="AE40">
        <v>0.99078161131277198</v>
      </c>
      <c r="AF40">
        <v>7</v>
      </c>
      <c r="AG40" s="1">
        <v>5.4659234282589298E-8</v>
      </c>
      <c r="AH40">
        <v>0.98943819215264595</v>
      </c>
    </row>
    <row r="41" spans="2:34" x14ac:dyDescent="0.2">
      <c r="D41">
        <v>8</v>
      </c>
      <c r="E41" s="1">
        <v>4.3699058679471797E-7</v>
      </c>
      <c r="F41">
        <v>0.99226649237672204</v>
      </c>
      <c r="G41">
        <v>8</v>
      </c>
      <c r="H41" s="1">
        <v>4.8294259879952002E-7</v>
      </c>
      <c r="I41">
        <v>0.99366158585895703</v>
      </c>
      <c r="J41">
        <v>8</v>
      </c>
      <c r="K41" s="1">
        <v>3.9945880144057598E-7</v>
      </c>
      <c r="L41">
        <v>0.98990999111488198</v>
      </c>
      <c r="M41">
        <v>8</v>
      </c>
      <c r="N41" s="1">
        <v>4.1419679567827101E-7</v>
      </c>
      <c r="O41">
        <v>0.994549911647851</v>
      </c>
      <c r="P41">
        <v>8</v>
      </c>
      <c r="Q41" s="1">
        <v>5.28262555102041E-7</v>
      </c>
      <c r="R41">
        <v>0.99629980370840898</v>
      </c>
      <c r="T41">
        <v>8</v>
      </c>
      <c r="U41" s="1">
        <v>6.2294389454736398E-8</v>
      </c>
      <c r="V41">
        <v>0.99375941050329397</v>
      </c>
      <c r="W41">
        <v>8</v>
      </c>
      <c r="X41" s="1">
        <v>5.50845650116252E-8</v>
      </c>
      <c r="Y41">
        <v>0.99620711188841704</v>
      </c>
      <c r="Z41">
        <v>8</v>
      </c>
      <c r="AA41" s="1">
        <v>5.5547631448286199E-8</v>
      </c>
      <c r="AB41">
        <v>0.99388312188588401</v>
      </c>
      <c r="AC41">
        <v>8</v>
      </c>
      <c r="AD41" s="1">
        <v>6.0374863999099994E-8</v>
      </c>
      <c r="AE41">
        <v>0.99238634047063901</v>
      </c>
      <c r="AF41">
        <v>8</v>
      </c>
      <c r="AG41" s="1">
        <v>5.2934382119553002E-8</v>
      </c>
      <c r="AH41">
        <v>0.99564096875170605</v>
      </c>
    </row>
    <row r="42" spans="2:34" x14ac:dyDescent="0.2">
      <c r="D42">
        <v>9</v>
      </c>
      <c r="E42" s="1">
        <v>3.77766919087635E-7</v>
      </c>
      <c r="F42">
        <v>0.96217269844800102</v>
      </c>
      <c r="G42">
        <v>9</v>
      </c>
      <c r="H42" s="1">
        <v>4.3642249411764698E-7</v>
      </c>
      <c r="I42">
        <v>0.99529570110407795</v>
      </c>
      <c r="J42">
        <v>9</v>
      </c>
      <c r="K42" s="1">
        <v>5.1981948427370995E-7</v>
      </c>
      <c r="L42">
        <v>0.99783247727615798</v>
      </c>
      <c r="M42">
        <v>9</v>
      </c>
      <c r="N42" s="1">
        <v>5.08005096278511E-7</v>
      </c>
      <c r="O42">
        <v>0.99558039129918996</v>
      </c>
      <c r="P42">
        <v>9</v>
      </c>
      <c r="Q42" s="1">
        <v>5.3520619063625397E-7</v>
      </c>
      <c r="R42">
        <v>0.99447907319117401</v>
      </c>
      <c r="T42">
        <v>9</v>
      </c>
      <c r="U42" s="1">
        <v>6.4693671626790505E-8</v>
      </c>
      <c r="V42">
        <v>0.99795659205603604</v>
      </c>
      <c r="W42">
        <v>9</v>
      </c>
      <c r="X42" s="1">
        <v>3.3637720873021801E-8</v>
      </c>
      <c r="Y42">
        <v>0.89630860320557704</v>
      </c>
      <c r="Z42">
        <v>9</v>
      </c>
      <c r="AA42" s="1">
        <v>6.3522179861996703E-8</v>
      </c>
      <c r="AB42">
        <v>0.99701051931790896</v>
      </c>
      <c r="AC42">
        <v>9</v>
      </c>
      <c r="AD42" s="1">
        <v>6.3268583934598596E-8</v>
      </c>
      <c r="AE42">
        <v>0.99284416665839803</v>
      </c>
      <c r="AF42">
        <v>9</v>
      </c>
      <c r="AG42" s="1">
        <v>5.9485250348758702E-8</v>
      </c>
      <c r="AH42">
        <v>0.99797389957620297</v>
      </c>
    </row>
    <row r="43" spans="2:34" x14ac:dyDescent="0.2">
      <c r="D43">
        <v>10</v>
      </c>
      <c r="E43" s="1">
        <v>4.22731873709484E-7</v>
      </c>
      <c r="F43">
        <v>0.98760323527770399</v>
      </c>
      <c r="G43">
        <v>10</v>
      </c>
      <c r="H43" s="1">
        <v>3.9078635966386498E-7</v>
      </c>
      <c r="I43">
        <v>0.98750582330998105</v>
      </c>
      <c r="J43">
        <v>10</v>
      </c>
      <c r="K43" s="1">
        <v>4.59977886194478E-7</v>
      </c>
      <c r="L43">
        <v>0.99812075981262505</v>
      </c>
      <c r="M43">
        <v>10</v>
      </c>
      <c r="N43" s="1">
        <v>5.1559703049219699E-7</v>
      </c>
      <c r="O43">
        <v>0.99876694549103595</v>
      </c>
      <c r="P43">
        <v>10</v>
      </c>
      <c r="Q43" s="1">
        <v>4.4262637022809099E-7</v>
      </c>
      <c r="R43">
        <v>0.993743944005963</v>
      </c>
      <c r="T43">
        <v>10</v>
      </c>
      <c r="U43" s="1">
        <v>5.5933134770869397E-8</v>
      </c>
      <c r="V43">
        <v>0.97984060865872902</v>
      </c>
      <c r="W43">
        <v>10</v>
      </c>
      <c r="X43" s="1">
        <v>6.45097049726244E-8</v>
      </c>
      <c r="Y43">
        <v>0.99482567273844602</v>
      </c>
      <c r="Z43">
        <v>10</v>
      </c>
      <c r="AA43" s="1">
        <v>6.0863754901372496E-8</v>
      </c>
      <c r="AB43">
        <v>0.99074785150085098</v>
      </c>
      <c r="AC43">
        <v>10</v>
      </c>
      <c r="AD43" s="1">
        <v>6.8967667846696194E-8</v>
      </c>
      <c r="AE43">
        <v>0.99674773159379704</v>
      </c>
      <c r="AF43">
        <v>10</v>
      </c>
      <c r="AG43" s="1">
        <v>5.8428367081676998E-8</v>
      </c>
      <c r="AH43">
        <v>0.988032699284496</v>
      </c>
    </row>
    <row r="44" spans="2:34" x14ac:dyDescent="0.2">
      <c r="D44" t="s">
        <v>43</v>
      </c>
      <c r="E44" s="1">
        <v>4.5474517531812698E-7</v>
      </c>
      <c r="F44" s="1">
        <v>4.70304895647274E-8</v>
      </c>
      <c r="G44" t="s">
        <v>43</v>
      </c>
      <c r="H44" s="1">
        <v>4.3500118708283298E-7</v>
      </c>
      <c r="I44" s="1">
        <v>5.6809379374458901E-8</v>
      </c>
      <c r="J44" t="s">
        <v>43</v>
      </c>
      <c r="K44" s="1">
        <v>4.0506839855942399E-7</v>
      </c>
      <c r="L44" s="1">
        <v>6.2065669745048895E-8</v>
      </c>
      <c r="M44" t="s">
        <v>43</v>
      </c>
      <c r="N44" s="1">
        <v>4.6520028441776701E-7</v>
      </c>
      <c r="O44" s="1">
        <v>6.0116450282807094E-8</v>
      </c>
      <c r="P44" t="s">
        <v>43</v>
      </c>
      <c r="Q44" s="1">
        <v>4.6317726669867902E-7</v>
      </c>
      <c r="R44" s="1">
        <v>6.8163478201890104E-8</v>
      </c>
      <c r="T44" t="s">
        <v>43</v>
      </c>
      <c r="U44" s="1">
        <v>5.7193769367734197E-8</v>
      </c>
      <c r="V44" s="1">
        <v>8.3710863707887408E-9</v>
      </c>
      <c r="W44" t="s">
        <v>43</v>
      </c>
      <c r="X44" s="1">
        <v>5.47841162431561E-8</v>
      </c>
      <c r="Y44" s="1">
        <v>1.06084653012545E-8</v>
      </c>
      <c r="Z44" t="s">
        <v>43</v>
      </c>
      <c r="AA44" s="1">
        <v>6.0189291272031798E-8</v>
      </c>
      <c r="AB44" s="1">
        <v>8.5329919168799093E-9</v>
      </c>
      <c r="AC44" t="s">
        <v>43</v>
      </c>
      <c r="AD44" s="1">
        <v>5.9995609885997205E-8</v>
      </c>
      <c r="AE44" s="1">
        <v>7.7202485110608892E-9</v>
      </c>
      <c r="AF44" t="s">
        <v>43</v>
      </c>
      <c r="AG44" s="1">
        <v>6.3899643317256202E-8</v>
      </c>
      <c r="AH44" s="1">
        <v>9.17782636401972E-9</v>
      </c>
    </row>
    <row r="45" spans="2:34" x14ac:dyDescent="0.2">
      <c r="F45" s="4">
        <f>F44/E44</f>
        <v>0.10342163505489901</v>
      </c>
      <c r="I45" s="4">
        <f>I44/H44</f>
        <v>0.13059591803744033</v>
      </c>
      <c r="L45" s="4">
        <f>L44/K44</f>
        <v>0.15322269020683377</v>
      </c>
      <c r="O45" s="4">
        <f>O44/N44</f>
        <v>0.12922702822086046</v>
      </c>
      <c r="R45" s="4">
        <f>R44/Q44</f>
        <v>0.14716499082031589</v>
      </c>
      <c r="V45" s="4">
        <f>V44/U44</f>
        <v>0.14636360679370225</v>
      </c>
      <c r="Y45" s="4">
        <f>Y44/X44</f>
        <v>0.19364126007197863</v>
      </c>
      <c r="AB45" s="4">
        <f>AB44/AA44</f>
        <v>0.14176927052212926</v>
      </c>
      <c r="AE45" s="4">
        <f>AE44/AD44</f>
        <v>0.12868022386522604</v>
      </c>
      <c r="AH45" s="4">
        <f>AH44/AG44</f>
        <v>0.14362875733832514</v>
      </c>
    </row>
    <row r="47" spans="2:34" x14ac:dyDescent="0.2">
      <c r="B47" t="s">
        <v>20</v>
      </c>
      <c r="D47" t="s">
        <v>0</v>
      </c>
      <c r="E47" s="2"/>
      <c r="F47" s="2"/>
      <c r="G47" s="2" t="s">
        <v>1</v>
      </c>
      <c r="H47" s="2"/>
      <c r="I47" s="2"/>
      <c r="J47" s="1" t="s">
        <v>2</v>
      </c>
      <c r="M47" s="2" t="s">
        <v>3</v>
      </c>
      <c r="N47" s="2"/>
      <c r="O47" s="2"/>
      <c r="P47" s="2" t="s">
        <v>4</v>
      </c>
      <c r="Q47" s="2"/>
      <c r="R47" s="1"/>
      <c r="T47" t="s">
        <v>5</v>
      </c>
      <c r="U47" s="2"/>
      <c r="V47" s="2"/>
      <c r="W47" s="2" t="s">
        <v>6</v>
      </c>
      <c r="X47" s="2"/>
      <c r="Y47" s="2"/>
      <c r="Z47" s="1" t="s">
        <v>7</v>
      </c>
      <c r="AC47" s="2" t="s">
        <v>8</v>
      </c>
      <c r="AD47" s="2"/>
      <c r="AE47" s="2"/>
      <c r="AF47" s="2" t="s">
        <v>9</v>
      </c>
      <c r="AG47" s="2"/>
      <c r="AH47" s="1"/>
    </row>
    <row r="48" spans="2:34" x14ac:dyDescent="0.2">
      <c r="D48">
        <v>1</v>
      </c>
      <c r="E48" s="2">
        <v>8.5052948379351697E-8</v>
      </c>
      <c r="F48" s="2">
        <v>0.92088858791155603</v>
      </c>
      <c r="G48">
        <v>1</v>
      </c>
      <c r="H48" s="2">
        <v>2.35761036254502E-7</v>
      </c>
      <c r="I48" s="2">
        <v>0.95411186962413097</v>
      </c>
      <c r="J48">
        <v>1</v>
      </c>
      <c r="K48" s="1">
        <v>1.2462476014405801E-7</v>
      </c>
      <c r="L48">
        <v>0.79877550551744902</v>
      </c>
      <c r="M48">
        <v>1</v>
      </c>
      <c r="N48" s="2">
        <v>2.8891754957983198E-7</v>
      </c>
      <c r="O48" s="2">
        <v>0.98452486748997403</v>
      </c>
      <c r="P48">
        <v>1</v>
      </c>
      <c r="Q48" s="2">
        <v>2.6491023817526999E-7</v>
      </c>
      <c r="R48" s="1">
        <v>0.94508755930809596</v>
      </c>
      <c r="T48">
        <v>1</v>
      </c>
      <c r="U48" s="2">
        <v>1.47336947423685E-8</v>
      </c>
      <c r="V48" s="2">
        <v>0.79349577592046505</v>
      </c>
      <c r="W48">
        <v>1</v>
      </c>
      <c r="X48" s="2">
        <v>3.1543440598514898E-8</v>
      </c>
      <c r="Y48" s="2">
        <v>0.983906667001609</v>
      </c>
      <c r="Z48">
        <v>1</v>
      </c>
      <c r="AA48" s="1">
        <v>3.7598445623640597E-8</v>
      </c>
      <c r="AB48">
        <v>0.994467146010512</v>
      </c>
      <c r="AC48">
        <v>1</v>
      </c>
      <c r="AD48" s="2">
        <v>3.4667046703667502E-8</v>
      </c>
      <c r="AE48" s="2">
        <v>0.99159021081094301</v>
      </c>
      <c r="AF48">
        <v>1</v>
      </c>
      <c r="AG48" s="2">
        <v>2.4809893227330601E-8</v>
      </c>
      <c r="AH48" s="1">
        <v>0.98351749545434497</v>
      </c>
    </row>
    <row r="49" spans="2:34" x14ac:dyDescent="0.2">
      <c r="D49">
        <v>2</v>
      </c>
      <c r="E49" s="2">
        <v>2.4169472172869198E-7</v>
      </c>
      <c r="F49" s="2">
        <v>0.99209857145291203</v>
      </c>
      <c r="G49">
        <v>2</v>
      </c>
      <c r="H49" s="2">
        <v>1.9177204945978401E-7</v>
      </c>
      <c r="I49" s="2">
        <v>0.92536790758507703</v>
      </c>
      <c r="J49">
        <v>2</v>
      </c>
      <c r="K49" s="1">
        <v>2.21044702521009E-7</v>
      </c>
      <c r="L49">
        <v>0.96886602913106801</v>
      </c>
      <c r="M49">
        <v>2</v>
      </c>
      <c r="N49" s="2">
        <v>2.7203350252100799E-7</v>
      </c>
      <c r="O49" s="2">
        <v>0.99493285375798901</v>
      </c>
      <c r="P49">
        <v>2</v>
      </c>
      <c r="Q49" s="2">
        <v>2.7467640288115201E-7</v>
      </c>
      <c r="R49" s="1">
        <v>0.99249962744847298</v>
      </c>
      <c r="T49">
        <v>2</v>
      </c>
      <c r="U49" s="1">
        <v>1.2265685359634001E-8</v>
      </c>
      <c r="V49">
        <v>0.78196038448127103</v>
      </c>
      <c r="W49">
        <v>2</v>
      </c>
      <c r="X49" s="1">
        <v>3.3035447686192102E-8</v>
      </c>
      <c r="Y49">
        <v>0.988452271050139</v>
      </c>
      <c r="Z49">
        <v>2</v>
      </c>
      <c r="AA49" s="1">
        <v>2.2346822095552401E-8</v>
      </c>
      <c r="AB49">
        <v>0.90576812240312299</v>
      </c>
      <c r="AC49">
        <v>2</v>
      </c>
      <c r="AD49" s="1">
        <v>4.3053065559139001E-8</v>
      </c>
      <c r="AE49">
        <v>0.97589832362734596</v>
      </c>
      <c r="AF49">
        <v>2</v>
      </c>
      <c r="AG49" s="1">
        <v>2.51733969624241E-8</v>
      </c>
      <c r="AH49">
        <v>0.97247030275313295</v>
      </c>
    </row>
    <row r="50" spans="2:34" x14ac:dyDescent="0.2">
      <c r="D50">
        <v>3</v>
      </c>
      <c r="E50" s="2">
        <v>2.83667717166867E-7</v>
      </c>
      <c r="F50" s="2">
        <v>0.98704173788541205</v>
      </c>
      <c r="G50">
        <v>3</v>
      </c>
      <c r="H50" s="2">
        <v>2.08953292196879E-7</v>
      </c>
      <c r="I50" s="2">
        <v>0.99450738658335502</v>
      </c>
      <c r="J50">
        <v>3</v>
      </c>
      <c r="K50" s="1">
        <v>2.1891048019207699E-7</v>
      </c>
      <c r="L50">
        <v>0.98788427725247396</v>
      </c>
      <c r="M50">
        <v>3</v>
      </c>
      <c r="N50" s="2">
        <v>3.0584131236494598E-7</v>
      </c>
      <c r="O50" s="2">
        <v>0.99099298156979598</v>
      </c>
      <c r="P50">
        <v>3</v>
      </c>
      <c r="Q50" s="2">
        <v>2.9795651332533001E-7</v>
      </c>
      <c r="R50" s="1">
        <v>0.99197270799150705</v>
      </c>
      <c r="T50">
        <v>3</v>
      </c>
      <c r="U50" s="1">
        <v>3.10636199279982E-8</v>
      </c>
      <c r="V50">
        <v>0.97032922073425298</v>
      </c>
      <c r="W50">
        <v>3</v>
      </c>
      <c r="X50" s="1">
        <v>3.2531953611340297E-8</v>
      </c>
      <c r="Y50">
        <v>0.99250664972824798</v>
      </c>
      <c r="Z50">
        <v>3</v>
      </c>
      <c r="AA50" s="1">
        <v>3.1168148038701001E-8</v>
      </c>
      <c r="AB50">
        <v>0.97772603091051002</v>
      </c>
      <c r="AC50">
        <v>3</v>
      </c>
      <c r="AD50" s="1">
        <v>1.9494326550663799E-8</v>
      </c>
      <c r="AE50">
        <v>0.90322884755131305</v>
      </c>
      <c r="AF50">
        <v>3</v>
      </c>
      <c r="AG50" s="1">
        <v>4.2095912982824598E-8</v>
      </c>
      <c r="AH50">
        <v>0.99554777062579902</v>
      </c>
    </row>
    <row r="51" spans="2:34" x14ac:dyDescent="0.2">
      <c r="D51">
        <v>4</v>
      </c>
      <c r="E51" s="2">
        <v>3.21536194957983E-7</v>
      </c>
      <c r="F51" s="2">
        <v>0.99423755655204304</v>
      </c>
      <c r="G51">
        <v>4</v>
      </c>
      <c r="H51" s="2">
        <v>2.4444750780312102E-7</v>
      </c>
      <c r="I51" s="2">
        <v>0.99255326537177502</v>
      </c>
      <c r="J51">
        <v>4</v>
      </c>
      <c r="K51" s="1">
        <v>2.1956379831932801E-7</v>
      </c>
      <c r="L51">
        <v>0.97230665440455699</v>
      </c>
      <c r="M51">
        <v>4</v>
      </c>
      <c r="N51" s="2">
        <v>9.3550986314525903E-8</v>
      </c>
      <c r="O51" s="2">
        <v>0.67896962772887703</v>
      </c>
      <c r="P51">
        <v>4</v>
      </c>
      <c r="Q51" s="2">
        <v>3.0056269435774301E-7</v>
      </c>
      <c r="R51" s="1">
        <v>0.989762490891966</v>
      </c>
      <c r="T51">
        <v>4</v>
      </c>
      <c r="U51" s="1">
        <v>2.9080055726393198E-8</v>
      </c>
      <c r="V51">
        <v>0.97340164303684495</v>
      </c>
      <c r="W51">
        <v>4</v>
      </c>
      <c r="X51" s="1">
        <v>3.2063724083101999E-8</v>
      </c>
      <c r="Y51">
        <v>0.97968337827723195</v>
      </c>
      <c r="Z51">
        <v>4</v>
      </c>
      <c r="AA51" s="1">
        <v>2.8555663406585098E-8</v>
      </c>
      <c r="AB51">
        <v>0.96708758660286498</v>
      </c>
      <c r="AC51">
        <v>4</v>
      </c>
      <c r="AD51" s="1">
        <v>3.7938963616590399E-8</v>
      </c>
      <c r="AE51">
        <v>0.98444140614189302</v>
      </c>
      <c r="AF51">
        <v>4</v>
      </c>
      <c r="AG51" s="1">
        <v>3.1392636068401701E-8</v>
      </c>
      <c r="AH51">
        <v>0.96503259757480997</v>
      </c>
    </row>
    <row r="52" spans="2:34" x14ac:dyDescent="0.2">
      <c r="D52">
        <v>5</v>
      </c>
      <c r="E52" s="2">
        <v>2.7544000960384202E-7</v>
      </c>
      <c r="F52" s="2">
        <v>0.98836684120557605</v>
      </c>
      <c r="G52">
        <v>5</v>
      </c>
      <c r="H52" s="2">
        <v>2.3985420648259298E-7</v>
      </c>
      <c r="I52" s="2">
        <v>0.98311891557004905</v>
      </c>
      <c r="J52">
        <v>5</v>
      </c>
      <c r="K52" s="1">
        <v>2.4424102953181302E-7</v>
      </c>
      <c r="L52">
        <v>0.97362966852140798</v>
      </c>
      <c r="M52">
        <v>5</v>
      </c>
      <c r="N52" s="2">
        <v>1.18073349339736E-7</v>
      </c>
      <c r="O52" s="2">
        <v>0.87713320108747495</v>
      </c>
      <c r="P52">
        <v>5</v>
      </c>
      <c r="Q52" s="2">
        <v>2.7688309771908802E-7</v>
      </c>
      <c r="R52" s="1">
        <v>0.990204743111057</v>
      </c>
      <c r="T52">
        <v>5</v>
      </c>
      <c r="U52" s="1">
        <v>2.5791648893722201E-8</v>
      </c>
      <c r="V52">
        <v>0.88805080968698502</v>
      </c>
      <c r="W52">
        <v>5</v>
      </c>
      <c r="X52" s="1">
        <v>3.8609457301432499E-8</v>
      </c>
      <c r="Y52">
        <v>0.98766085501869605</v>
      </c>
      <c r="Z52">
        <v>5</v>
      </c>
      <c r="AA52" s="1">
        <v>2.79946037425935E-8</v>
      </c>
      <c r="AB52">
        <v>0.97415659559778001</v>
      </c>
      <c r="AC52">
        <v>5</v>
      </c>
      <c r="AD52" s="1">
        <v>2.70850961299033E-8</v>
      </c>
      <c r="AE52">
        <v>0.97804387834458195</v>
      </c>
      <c r="AF52">
        <v>5</v>
      </c>
      <c r="AG52" s="1">
        <v>2.0499035108377599E-8</v>
      </c>
      <c r="AH52">
        <v>0.93143617781500099</v>
      </c>
    </row>
    <row r="53" spans="2:34" x14ac:dyDescent="0.2">
      <c r="D53">
        <v>6</v>
      </c>
      <c r="E53" s="1">
        <v>3.6795382905162102E-7</v>
      </c>
      <c r="F53" s="1">
        <v>0.99549740887153104</v>
      </c>
      <c r="G53">
        <v>6</v>
      </c>
      <c r="H53" s="1">
        <v>2.50186441776711E-7</v>
      </c>
      <c r="I53" s="1">
        <v>0.98872171606306003</v>
      </c>
      <c r="J53">
        <v>6</v>
      </c>
      <c r="K53" s="1">
        <v>2.14035923169268E-7</v>
      </c>
      <c r="L53" s="1">
        <v>0.94886921327239004</v>
      </c>
      <c r="M53">
        <v>6</v>
      </c>
      <c r="N53" s="1">
        <v>2.38269436254502E-7</v>
      </c>
      <c r="O53" s="1">
        <v>0.98933046748964604</v>
      </c>
      <c r="P53">
        <v>6</v>
      </c>
      <c r="Q53" s="1">
        <v>2.051264E-7</v>
      </c>
      <c r="R53" s="1">
        <v>0.93866165813553004</v>
      </c>
      <c r="T53">
        <v>6</v>
      </c>
      <c r="U53" s="1">
        <v>2.9245495709892801E-8</v>
      </c>
      <c r="V53">
        <v>0.98171304365685297</v>
      </c>
      <c r="W53">
        <v>6</v>
      </c>
      <c r="X53" s="1">
        <v>3.8060420880522002E-8</v>
      </c>
      <c r="Y53">
        <v>0.97876534302521401</v>
      </c>
      <c r="Z53">
        <v>6</v>
      </c>
      <c r="AA53" s="1">
        <v>3.4492747086177098E-8</v>
      </c>
      <c r="AB53">
        <v>0.97595231588568299</v>
      </c>
      <c r="AC53">
        <v>6</v>
      </c>
      <c r="AD53" s="1">
        <v>2.1682603585089599E-8</v>
      </c>
      <c r="AE53">
        <v>0.95771636297054696</v>
      </c>
      <c r="AF53">
        <v>6</v>
      </c>
      <c r="AG53" s="1">
        <v>2.27540642616065E-8</v>
      </c>
      <c r="AH53">
        <v>0.96953259708753503</v>
      </c>
    </row>
    <row r="54" spans="2:34" x14ac:dyDescent="0.2">
      <c r="D54">
        <v>7</v>
      </c>
      <c r="E54" s="1">
        <v>2.7321632268907603E-7</v>
      </c>
      <c r="F54" s="3">
        <v>0.98808249427016004</v>
      </c>
      <c r="G54">
        <v>7</v>
      </c>
      <c r="H54" s="1">
        <v>2.8356520144057598E-7</v>
      </c>
      <c r="I54" s="3">
        <v>0.99251588807192903</v>
      </c>
      <c r="J54">
        <v>7</v>
      </c>
      <c r="K54" s="1">
        <v>2.9051735078031201E-7</v>
      </c>
      <c r="L54" s="3">
        <v>0.98845619992427003</v>
      </c>
      <c r="M54">
        <v>7</v>
      </c>
      <c r="N54" s="1">
        <v>2.5667689555822299E-7</v>
      </c>
      <c r="O54" s="3">
        <v>0.99264096027862003</v>
      </c>
      <c r="P54">
        <v>7</v>
      </c>
      <c r="Q54" s="1">
        <v>3.1918725810324098E-7</v>
      </c>
      <c r="R54" s="3">
        <v>0.99552617844144697</v>
      </c>
      <c r="T54">
        <v>7</v>
      </c>
      <c r="U54" s="1">
        <v>3.1987715442886099E-8</v>
      </c>
      <c r="V54">
        <v>0.91543029029482303</v>
      </c>
      <c r="W54">
        <v>7</v>
      </c>
      <c r="X54" s="1">
        <v>3.1410132565814102E-8</v>
      </c>
      <c r="Y54">
        <v>0.99035150551471995</v>
      </c>
      <c r="Z54">
        <v>7</v>
      </c>
      <c r="AA54" s="1">
        <v>3.2513125365634197E-8</v>
      </c>
      <c r="AB54">
        <v>0.98978648980619</v>
      </c>
      <c r="AC54">
        <v>7</v>
      </c>
      <c r="AD54" s="1">
        <v>3.9822524713117798E-8</v>
      </c>
      <c r="AE54">
        <v>0.99469659271195898</v>
      </c>
      <c r="AF54">
        <v>7</v>
      </c>
      <c r="AG54" s="1">
        <v>3.0375925673141801E-8</v>
      </c>
      <c r="AH54">
        <v>0.99159451967483003</v>
      </c>
    </row>
    <row r="55" spans="2:34" x14ac:dyDescent="0.2">
      <c r="D55">
        <v>8</v>
      </c>
      <c r="E55" s="1">
        <v>1.22500140216087E-7</v>
      </c>
      <c r="F55">
        <v>0.95399441729126899</v>
      </c>
      <c r="G55">
        <v>8</v>
      </c>
      <c r="H55" s="1">
        <v>2.8361926098439401E-7</v>
      </c>
      <c r="I55">
        <v>0.98772764890215603</v>
      </c>
      <c r="J55">
        <v>8</v>
      </c>
      <c r="K55" s="1">
        <v>2.14704041296518E-7</v>
      </c>
      <c r="L55">
        <v>0.96401442343307397</v>
      </c>
      <c r="M55">
        <v>8</v>
      </c>
      <c r="N55" s="1">
        <v>2.57158997358944E-7</v>
      </c>
      <c r="O55">
        <v>0.96566601366331595</v>
      </c>
      <c r="P55">
        <v>8</v>
      </c>
      <c r="Q55" s="1">
        <v>2.0042835582232901E-7</v>
      </c>
      <c r="R55">
        <v>0.93416574167022004</v>
      </c>
      <c r="T55">
        <v>8</v>
      </c>
      <c r="U55" s="1">
        <v>3.1629379449486302E-8</v>
      </c>
      <c r="V55">
        <v>0.95829904500924101</v>
      </c>
      <c r="W55">
        <v>8</v>
      </c>
      <c r="X55" s="1">
        <v>4.1940143021075602E-8</v>
      </c>
      <c r="Y55">
        <v>0.99714960230766903</v>
      </c>
      <c r="Z55">
        <v>8</v>
      </c>
      <c r="AA55" s="1">
        <v>2.9192886357159001E-8</v>
      </c>
      <c r="AB55">
        <v>0.97494789810814497</v>
      </c>
      <c r="AC55">
        <v>8</v>
      </c>
      <c r="AD55" s="1">
        <v>3.3864556258906503E-8</v>
      </c>
      <c r="AE55">
        <v>0.98408799423054705</v>
      </c>
      <c r="AF55">
        <v>8</v>
      </c>
      <c r="AG55" s="1">
        <v>3.3707896594914901E-8</v>
      </c>
      <c r="AH55">
        <v>0.99126568420465599</v>
      </c>
    </row>
    <row r="56" spans="2:34" x14ac:dyDescent="0.2">
      <c r="D56">
        <v>9</v>
      </c>
      <c r="E56" s="1">
        <v>3.5920276206482603E-7</v>
      </c>
      <c r="F56">
        <v>0.996173594316346</v>
      </c>
      <c r="G56">
        <v>9</v>
      </c>
      <c r="H56" s="1">
        <v>2.2547527490996399E-7</v>
      </c>
      <c r="I56">
        <v>0.98102068284215604</v>
      </c>
      <c r="J56">
        <v>9</v>
      </c>
      <c r="K56" s="1">
        <v>2.2854873469387799E-7</v>
      </c>
      <c r="L56">
        <v>0.98126502451139597</v>
      </c>
      <c r="M56">
        <v>9</v>
      </c>
      <c r="N56" s="1">
        <v>3.28936838415366E-7</v>
      </c>
      <c r="O56">
        <v>0.98263526887022001</v>
      </c>
      <c r="P56">
        <v>9</v>
      </c>
      <c r="Q56" s="1">
        <v>3.0060526962785098E-7</v>
      </c>
      <c r="R56">
        <v>0.98559703564807999</v>
      </c>
      <c r="T56">
        <v>9</v>
      </c>
      <c r="U56" s="1">
        <v>3.3478722800570003E-8</v>
      </c>
      <c r="V56">
        <v>0.98195074232726798</v>
      </c>
      <c r="W56">
        <v>9</v>
      </c>
      <c r="X56" s="1">
        <v>3.5353881039525997E-8</v>
      </c>
      <c r="Y56">
        <v>0.993137828575269</v>
      </c>
      <c r="Z56">
        <v>9</v>
      </c>
      <c r="AA56" s="1">
        <v>3.4919155306382699E-8</v>
      </c>
      <c r="AB56">
        <v>0.98278129697225902</v>
      </c>
      <c r="AC56">
        <v>9</v>
      </c>
      <c r="AD56" s="1">
        <v>2.3578131530788299E-8</v>
      </c>
      <c r="AE56">
        <v>0.88911380641196003</v>
      </c>
      <c r="AF56">
        <v>9</v>
      </c>
      <c r="AG56" s="1">
        <v>2.4164422965574099E-8</v>
      </c>
      <c r="AH56">
        <v>0.93198147675097898</v>
      </c>
    </row>
    <row r="57" spans="2:34" x14ac:dyDescent="0.2">
      <c r="D57">
        <v>10</v>
      </c>
      <c r="E57" s="1">
        <v>1.5561298247298899E-7</v>
      </c>
      <c r="F57">
        <v>0.95678861305546703</v>
      </c>
      <c r="G57">
        <v>10</v>
      </c>
      <c r="H57" s="1">
        <v>2.5572565714285703E-7</v>
      </c>
      <c r="I57">
        <v>0.99111283811934503</v>
      </c>
      <c r="J57">
        <v>10</v>
      </c>
      <c r="K57" s="1">
        <v>1.2130389435774299E-7</v>
      </c>
      <c r="L57">
        <v>0.95732100087238103</v>
      </c>
      <c r="M57">
        <v>10</v>
      </c>
      <c r="N57" s="1">
        <v>2.5377062521008399E-7</v>
      </c>
      <c r="O57">
        <v>0.987157799671047</v>
      </c>
      <c r="P57">
        <v>10</v>
      </c>
      <c r="Q57" s="1">
        <v>2.6848097767106802E-7</v>
      </c>
      <c r="R57">
        <v>0.99596929888563901</v>
      </c>
      <c r="T57">
        <v>10</v>
      </c>
      <c r="U57" s="1">
        <v>2.3071285419635501E-8</v>
      </c>
      <c r="V57">
        <v>0.98410443350467403</v>
      </c>
      <c r="W57">
        <v>10</v>
      </c>
      <c r="X57" s="1">
        <v>2.4011595237381E-8</v>
      </c>
      <c r="Y57">
        <v>0.94372406961636701</v>
      </c>
      <c r="Z57">
        <v>10</v>
      </c>
      <c r="AA57" s="1">
        <v>3.8705293909847699E-8</v>
      </c>
      <c r="AB57">
        <v>0.99321784053044404</v>
      </c>
      <c r="AC57">
        <v>10</v>
      </c>
      <c r="AD57" s="1">
        <v>3.8878825103127698E-8</v>
      </c>
      <c r="AE57">
        <v>0.99420798227488405</v>
      </c>
      <c r="AF57">
        <v>10</v>
      </c>
      <c r="AG57" s="1">
        <v>2.1924087272181802E-8</v>
      </c>
      <c r="AH57">
        <v>0.87290700311407998</v>
      </c>
    </row>
    <row r="58" spans="2:34" x14ac:dyDescent="0.2">
      <c r="D58" t="s">
        <v>43</v>
      </c>
      <c r="E58" s="1">
        <v>2.4858776283313299E-7</v>
      </c>
      <c r="F58" s="1">
        <v>9.7580263143608605E-8</v>
      </c>
      <c r="G58" t="s">
        <v>43</v>
      </c>
      <c r="H58" s="1">
        <v>2.41935992845138E-7</v>
      </c>
      <c r="I58" s="1">
        <v>2.91599367926663E-8</v>
      </c>
      <c r="J58" t="s">
        <v>43</v>
      </c>
      <c r="K58" s="1">
        <v>2.0974947150059999E-7</v>
      </c>
      <c r="L58" s="1">
        <v>5.1083934808601999E-8</v>
      </c>
      <c r="M58" t="s">
        <v>43</v>
      </c>
      <c r="N58" s="1">
        <v>2.4132294929171698E-7</v>
      </c>
      <c r="O58" s="1">
        <v>7.6539754659254495E-8</v>
      </c>
      <c r="P58" t="s">
        <v>43</v>
      </c>
      <c r="Q58" s="1">
        <v>2.70881720768307E-7</v>
      </c>
      <c r="R58" s="1">
        <v>3.97355089312374E-8</v>
      </c>
      <c r="T58" t="s">
        <v>43</v>
      </c>
      <c r="U58" s="1">
        <v>2.6234730347258699E-8</v>
      </c>
      <c r="V58" s="1">
        <v>7.3994369538880203E-9</v>
      </c>
      <c r="W58" t="s">
        <v>43</v>
      </c>
      <c r="X58" s="1">
        <v>3.3856019602490001E-8</v>
      </c>
      <c r="Y58" s="1">
        <v>4.9637652461461997E-9</v>
      </c>
      <c r="Z58" t="s">
        <v>43</v>
      </c>
      <c r="AA58" s="1">
        <v>3.1748689093227297E-8</v>
      </c>
      <c r="AB58" s="1">
        <v>4.9478716363794599E-9</v>
      </c>
      <c r="AC58" t="s">
        <v>43</v>
      </c>
      <c r="AD58" s="1">
        <v>3.2006513975099402E-8</v>
      </c>
      <c r="AE58" s="1">
        <v>8.3962004925035605E-9</v>
      </c>
      <c r="AF58" t="s">
        <v>43</v>
      </c>
      <c r="AG58" s="1">
        <v>2.7689727111677801E-8</v>
      </c>
      <c r="AH58" s="1">
        <v>6.6753801780630103E-9</v>
      </c>
    </row>
    <row r="59" spans="2:34" x14ac:dyDescent="0.2">
      <c r="F59" s="4">
        <f>F58/E58</f>
        <v>0.39253848231101518</v>
      </c>
      <c r="I59" s="4">
        <f>I58/H58</f>
        <v>0.12052748518213008</v>
      </c>
      <c r="L59" s="4">
        <f>L58/K58</f>
        <v>0.24354738270916632</v>
      </c>
      <c r="O59" s="4">
        <f>O58/N58</f>
        <v>0.31716732653856056</v>
      </c>
      <c r="R59" s="4">
        <f>R58/Q58</f>
        <v>0.14668951754490786</v>
      </c>
      <c r="V59" s="4">
        <f>V58/U58</f>
        <v>0.28204737978796102</v>
      </c>
      <c r="Y59" s="4">
        <f>Y58/X58</f>
        <v>0.14661396420567793</v>
      </c>
      <c r="AB59" s="4">
        <f>AB58/AA58</f>
        <v>0.1558449113237545</v>
      </c>
      <c r="AE59" s="4">
        <f>AE58/AD58</f>
        <v>0.26232786547874853</v>
      </c>
      <c r="AH59" s="4">
        <f>AH58/AG58</f>
        <v>0.24107786079436483</v>
      </c>
    </row>
    <row r="61" spans="2:34" x14ac:dyDescent="0.2">
      <c r="B61" t="s">
        <v>22</v>
      </c>
      <c r="D61" t="s">
        <v>0</v>
      </c>
      <c r="E61" s="2"/>
      <c r="F61" s="2"/>
      <c r="G61" s="2" t="s">
        <v>1</v>
      </c>
      <c r="H61" s="2"/>
      <c r="I61" s="2"/>
      <c r="J61" s="1" t="s">
        <v>2</v>
      </c>
      <c r="M61" s="2" t="s">
        <v>3</v>
      </c>
      <c r="N61" s="2"/>
      <c r="O61" s="2"/>
      <c r="P61" s="2" t="s">
        <v>4</v>
      </c>
      <c r="Q61" s="2"/>
      <c r="R61" s="1"/>
      <c r="T61" t="s">
        <v>5</v>
      </c>
      <c r="U61" s="2"/>
      <c r="V61" s="2"/>
      <c r="W61" s="2" t="s">
        <v>6</v>
      </c>
      <c r="X61" s="2"/>
      <c r="Y61" s="2"/>
      <c r="Z61" s="1" t="s">
        <v>7</v>
      </c>
      <c r="AC61" s="2" t="s">
        <v>8</v>
      </c>
      <c r="AD61" s="2"/>
      <c r="AE61" s="2"/>
      <c r="AF61" s="2" t="s">
        <v>9</v>
      </c>
      <c r="AG61" s="2"/>
      <c r="AH61" s="1"/>
    </row>
    <row r="62" spans="2:34" x14ac:dyDescent="0.2">
      <c r="D62">
        <v>1</v>
      </c>
      <c r="E62" s="2">
        <v>1.5104527587034801E-7</v>
      </c>
      <c r="F62" s="2">
        <v>0.98552015261074799</v>
      </c>
      <c r="G62">
        <v>1</v>
      </c>
      <c r="H62" s="2">
        <v>9.5788717887154904E-8</v>
      </c>
      <c r="I62" s="2">
        <v>0.95395679606393902</v>
      </c>
      <c r="J62">
        <v>1</v>
      </c>
      <c r="K62" s="1">
        <v>1.7491600912365001E-7</v>
      </c>
      <c r="L62">
        <v>0.99595183953479705</v>
      </c>
      <c r="M62">
        <v>1</v>
      </c>
      <c r="N62" s="2">
        <v>9.7587586074429705E-8</v>
      </c>
      <c r="O62" s="2">
        <v>0.97096194980856398</v>
      </c>
      <c r="P62">
        <v>1</v>
      </c>
      <c r="Q62" s="2">
        <v>1.4209471020408201E-7</v>
      </c>
      <c r="R62" s="1">
        <v>0.92265916887130295</v>
      </c>
      <c r="T62">
        <v>1</v>
      </c>
      <c r="U62" s="2">
        <v>1.09943581789544E-8</v>
      </c>
      <c r="V62" s="2">
        <v>0.92510893892429003</v>
      </c>
      <c r="W62">
        <v>1</v>
      </c>
      <c r="X62" s="2">
        <v>1.9568106465161601E-8</v>
      </c>
      <c r="Y62" s="2">
        <v>0.93775346372802304</v>
      </c>
      <c r="Z62">
        <v>1</v>
      </c>
      <c r="AA62" s="1">
        <v>9.1756561839046007E-9</v>
      </c>
      <c r="AB62">
        <v>0.74070984817016705</v>
      </c>
      <c r="AC62">
        <v>1</v>
      </c>
      <c r="AD62" s="2">
        <v>1.37241550813771E-8</v>
      </c>
      <c r="AE62" s="2">
        <v>0.88183763628873901</v>
      </c>
      <c r="AF62">
        <v>1</v>
      </c>
      <c r="AG62" s="2">
        <v>1.7382259408985199E-8</v>
      </c>
      <c r="AH62" s="1">
        <v>0.98411802236434898</v>
      </c>
    </row>
    <row r="63" spans="2:34" x14ac:dyDescent="0.2">
      <c r="D63">
        <v>2</v>
      </c>
      <c r="E63" s="2">
        <v>2.0192301992797101E-7</v>
      </c>
      <c r="F63" s="2">
        <v>0.99184635819629996</v>
      </c>
      <c r="G63">
        <v>2</v>
      </c>
      <c r="H63" s="2">
        <v>1.7866709003601399E-7</v>
      </c>
      <c r="I63" s="2">
        <v>0.99141045134932504</v>
      </c>
      <c r="J63">
        <v>2</v>
      </c>
      <c r="K63" s="1">
        <v>1.2960310924369799E-7</v>
      </c>
      <c r="L63">
        <v>0.98902835055844995</v>
      </c>
      <c r="M63">
        <v>2</v>
      </c>
      <c r="N63" s="2">
        <v>1.4682975798319301E-7</v>
      </c>
      <c r="O63" s="2">
        <v>0.92545012344131505</v>
      </c>
      <c r="P63">
        <v>2</v>
      </c>
      <c r="Q63" s="2">
        <v>8.3837815126050404E-8</v>
      </c>
      <c r="R63" s="1">
        <v>0.94026113585514404</v>
      </c>
      <c r="T63">
        <v>2</v>
      </c>
      <c r="U63" s="1">
        <v>1.9410859146478701E-9</v>
      </c>
      <c r="V63">
        <v>0.43513720237842901</v>
      </c>
      <c r="W63">
        <v>2</v>
      </c>
      <c r="X63" s="1">
        <v>4.5813493962348603E-9</v>
      </c>
      <c r="Y63">
        <v>0.72361915052155701</v>
      </c>
      <c r="Z63">
        <v>2</v>
      </c>
      <c r="AA63" s="1">
        <v>1.9002909742743599E-8</v>
      </c>
      <c r="AB63">
        <v>0.99223803149865497</v>
      </c>
      <c r="AC63">
        <v>2</v>
      </c>
      <c r="AD63" s="1">
        <v>1.46240156078902E-8</v>
      </c>
      <c r="AE63">
        <v>0.89293229180348699</v>
      </c>
      <c r="AF63">
        <v>2</v>
      </c>
      <c r="AG63" s="1">
        <v>9.4352153603839702E-9</v>
      </c>
      <c r="AH63">
        <v>0.94906453616864594</v>
      </c>
    </row>
    <row r="64" spans="2:34" x14ac:dyDescent="0.2">
      <c r="D64">
        <v>3</v>
      </c>
      <c r="E64" s="2">
        <v>4.9211406002400902E-8</v>
      </c>
      <c r="F64" s="2">
        <v>0.680068332251065</v>
      </c>
      <c r="G64">
        <v>3</v>
      </c>
      <c r="H64" s="2">
        <v>1.5221379639855999E-7</v>
      </c>
      <c r="I64" s="2">
        <v>0.97808924662760399</v>
      </c>
      <c r="J64">
        <v>3</v>
      </c>
      <c r="K64" s="1">
        <v>1.4021641248499399E-7</v>
      </c>
      <c r="L64">
        <v>0.98185566641933397</v>
      </c>
      <c r="M64">
        <v>3</v>
      </c>
      <c r="N64" s="2">
        <v>1.27140488355342E-7</v>
      </c>
      <c r="O64" s="2">
        <v>0.98484807520326201</v>
      </c>
      <c r="P64">
        <v>3</v>
      </c>
      <c r="Q64" s="2">
        <v>2.0443012533013201E-7</v>
      </c>
      <c r="R64" s="1">
        <v>0.99392874107826101</v>
      </c>
      <c r="T64">
        <v>3</v>
      </c>
      <c r="U64" s="1">
        <v>1.3014189552238801E-8</v>
      </c>
      <c r="V64">
        <v>0.97923161827313898</v>
      </c>
      <c r="W64">
        <v>3</v>
      </c>
      <c r="X64" s="1">
        <v>1.4522573809345201E-8</v>
      </c>
      <c r="Y64">
        <v>0.958065432257036</v>
      </c>
      <c r="Z64">
        <v>3</v>
      </c>
      <c r="AA64" s="1">
        <v>9.9273600165003498E-9</v>
      </c>
      <c r="AB64">
        <v>0.96467202025926202</v>
      </c>
      <c r="AC64">
        <v>3</v>
      </c>
      <c r="AD64" s="1">
        <v>2.43991100727518E-8</v>
      </c>
      <c r="AE64">
        <v>0.99319868928250499</v>
      </c>
      <c r="AF64">
        <v>3</v>
      </c>
      <c r="AG64" s="1">
        <v>1.6322839263481501E-8</v>
      </c>
      <c r="AH64">
        <v>0.98587321695567098</v>
      </c>
    </row>
    <row r="65" spans="4:34" x14ac:dyDescent="0.2">
      <c r="D65">
        <v>4</v>
      </c>
      <c r="E65" s="2">
        <v>3.3553247058823499E-8</v>
      </c>
      <c r="F65" s="2">
        <v>0.69226162575915495</v>
      </c>
      <c r="G65">
        <v>4</v>
      </c>
      <c r="H65" s="2">
        <v>2.3959855942377101E-8</v>
      </c>
      <c r="I65" s="2">
        <v>0.64480471904838699</v>
      </c>
      <c r="J65">
        <v>4</v>
      </c>
      <c r="K65" s="1">
        <v>1.0605279855942399E-7</v>
      </c>
      <c r="L65">
        <v>0.96286488790487001</v>
      </c>
      <c r="M65">
        <v>4</v>
      </c>
      <c r="N65" s="2">
        <v>8.7502507082833097E-8</v>
      </c>
      <c r="O65" s="2">
        <v>0.92846654970476294</v>
      </c>
      <c r="P65">
        <v>4</v>
      </c>
      <c r="Q65" s="2">
        <v>1.8126873901560601E-7</v>
      </c>
      <c r="R65" s="1">
        <v>0.98997824985188398</v>
      </c>
      <c r="T65">
        <v>4</v>
      </c>
      <c r="U65" s="1">
        <v>2.0129508010200299E-8</v>
      </c>
      <c r="V65">
        <v>0.990598201437355</v>
      </c>
      <c r="W65">
        <v>4</v>
      </c>
      <c r="X65" s="1">
        <v>1.9853160151503801E-8</v>
      </c>
      <c r="Y65">
        <v>0.97489781115559804</v>
      </c>
      <c r="Z65">
        <v>4</v>
      </c>
      <c r="AA65" s="1">
        <v>1.8801735820895499E-8</v>
      </c>
      <c r="AB65">
        <v>0.98938825190254698</v>
      </c>
      <c r="AC65">
        <v>4</v>
      </c>
      <c r="AD65" s="1">
        <v>1.7769406000149901E-8</v>
      </c>
      <c r="AE65">
        <v>0.97739810196698396</v>
      </c>
      <c r="AF65">
        <v>4</v>
      </c>
      <c r="AG65" s="1">
        <v>1.20335375909398E-8</v>
      </c>
      <c r="AH65">
        <v>0.88044286936888205</v>
      </c>
    </row>
    <row r="66" spans="4:34" x14ac:dyDescent="0.2">
      <c r="D66">
        <v>5</v>
      </c>
      <c r="E66" s="2">
        <v>1.3733453637454999E-7</v>
      </c>
      <c r="F66" s="2">
        <v>0.98222831828892498</v>
      </c>
      <c r="G66">
        <v>5</v>
      </c>
      <c r="H66" s="2">
        <v>1.5540607971188501E-7</v>
      </c>
      <c r="I66" s="2">
        <v>0.97018495662990401</v>
      </c>
      <c r="J66">
        <v>5</v>
      </c>
      <c r="K66" s="1">
        <v>1.08038554621849E-7</v>
      </c>
      <c r="L66">
        <v>0.989354885145313</v>
      </c>
      <c r="M66">
        <v>5</v>
      </c>
      <c r="N66" s="2">
        <v>1.9401342569027601E-7</v>
      </c>
      <c r="O66" s="2">
        <v>0.99056433200623895</v>
      </c>
      <c r="P66">
        <v>5</v>
      </c>
      <c r="Q66" s="2">
        <v>1.2085919999999999E-7</v>
      </c>
      <c r="R66" s="1">
        <v>0.94627749730840605</v>
      </c>
      <c r="T66">
        <v>5</v>
      </c>
      <c r="U66" s="1">
        <v>1.8218373824345601E-8</v>
      </c>
      <c r="V66">
        <v>0.990460682484678</v>
      </c>
      <c r="W66">
        <v>5</v>
      </c>
      <c r="X66" s="1">
        <v>1.51416406135153E-8</v>
      </c>
      <c r="Y66">
        <v>0.97766615392011702</v>
      </c>
      <c r="Z66">
        <v>5</v>
      </c>
      <c r="AA66" s="1">
        <v>1.4899284999625001E-8</v>
      </c>
      <c r="AB66">
        <v>0.96603320003427495</v>
      </c>
      <c r="AC66">
        <v>5</v>
      </c>
      <c r="AD66" s="1">
        <v>1.7881486394659999E-8</v>
      </c>
      <c r="AE66">
        <v>0.98712200595426403</v>
      </c>
      <c r="AF66">
        <v>5</v>
      </c>
      <c r="AG66" s="1">
        <v>6.5398643141079201E-9</v>
      </c>
      <c r="AH66">
        <v>0.93748656334970304</v>
      </c>
    </row>
    <row r="67" spans="4:34" x14ac:dyDescent="0.2">
      <c r="D67">
        <v>6</v>
      </c>
      <c r="E67" s="1">
        <v>1.35100710684274E-7</v>
      </c>
      <c r="F67" s="1">
        <v>0.95047887921775198</v>
      </c>
      <c r="G67">
        <v>6</v>
      </c>
      <c r="H67" s="1">
        <v>1.4247332581032399E-7</v>
      </c>
      <c r="I67" s="1">
        <v>0.98863448031100598</v>
      </c>
      <c r="J67">
        <v>6</v>
      </c>
      <c r="K67" s="1">
        <v>1.0636780744297699E-7</v>
      </c>
      <c r="L67" s="1">
        <v>0.95459884634616599</v>
      </c>
      <c r="M67">
        <v>6</v>
      </c>
      <c r="N67" s="1">
        <v>1.66821864105642E-7</v>
      </c>
      <c r="O67" s="1">
        <v>0.97979141538221703</v>
      </c>
      <c r="P67">
        <v>6</v>
      </c>
      <c r="Q67" s="1">
        <v>1.6626944969988001E-7</v>
      </c>
      <c r="R67" s="1">
        <v>0.99332108270179098</v>
      </c>
      <c r="T67">
        <v>6</v>
      </c>
      <c r="U67" s="1">
        <v>1.19680292657317E-8</v>
      </c>
      <c r="V67">
        <v>0.94024191956394698</v>
      </c>
      <c r="W67">
        <v>6</v>
      </c>
      <c r="X67" s="1">
        <v>1.6617607725193098E-8</v>
      </c>
      <c r="Y67">
        <v>0.93669021544761999</v>
      </c>
      <c r="Z67">
        <v>6</v>
      </c>
      <c r="AA67" s="1">
        <v>1.1239606060151501E-8</v>
      </c>
      <c r="AB67">
        <v>0.92995885331751604</v>
      </c>
      <c r="AC67">
        <v>6</v>
      </c>
      <c r="AD67" s="1">
        <v>2.12054210530263E-8</v>
      </c>
      <c r="AE67">
        <v>0.98062980113662102</v>
      </c>
      <c r="AF67">
        <v>6</v>
      </c>
      <c r="AG67" s="1">
        <v>1.93776876921923E-8</v>
      </c>
      <c r="AH67">
        <v>0.99273036269749104</v>
      </c>
    </row>
    <row r="68" spans="4:34" x14ac:dyDescent="0.2">
      <c r="D68">
        <v>7</v>
      </c>
      <c r="E68" s="1">
        <v>1.8521793661464601E-7</v>
      </c>
      <c r="F68" s="3">
        <v>0.99376073188942504</v>
      </c>
      <c r="G68">
        <v>7</v>
      </c>
      <c r="H68" s="1">
        <v>8.85212835534214E-8</v>
      </c>
      <c r="I68" s="3">
        <v>0.87216863254128896</v>
      </c>
      <c r="J68">
        <v>7</v>
      </c>
      <c r="K68" s="1">
        <v>5.7362433613445398E-8</v>
      </c>
      <c r="L68" s="3">
        <v>0.71913042159346996</v>
      </c>
      <c r="M68">
        <v>7</v>
      </c>
      <c r="N68" s="1">
        <v>1.1942222665066E-7</v>
      </c>
      <c r="O68" s="3">
        <v>0.96820835274398098</v>
      </c>
      <c r="P68">
        <v>7</v>
      </c>
      <c r="Q68" s="1">
        <v>1.1789767442977199E-7</v>
      </c>
      <c r="R68" s="3">
        <v>0.96670550141849998</v>
      </c>
      <c r="T68">
        <v>7</v>
      </c>
      <c r="U68" s="1">
        <v>1.5865282869571701E-8</v>
      </c>
      <c r="V68">
        <v>0.94122061440203797</v>
      </c>
      <c r="W68">
        <v>7</v>
      </c>
      <c r="X68" s="1">
        <v>1.0260515037876001E-8</v>
      </c>
      <c r="Y68">
        <v>0.87714430658068698</v>
      </c>
      <c r="Z68">
        <v>7</v>
      </c>
      <c r="AA68" s="1">
        <v>8.1037416860421292E-9</v>
      </c>
      <c r="AB68">
        <v>0.91574751764394202</v>
      </c>
      <c r="AC68">
        <v>7</v>
      </c>
      <c r="AD68" s="1">
        <v>1.5049894734868399E-8</v>
      </c>
      <c r="AE68">
        <v>0.92261110405963498</v>
      </c>
      <c r="AF68">
        <v>7</v>
      </c>
      <c r="AG68" s="1">
        <v>1.55306398259956E-8</v>
      </c>
      <c r="AH68">
        <v>0.95136151394080704</v>
      </c>
    </row>
    <row r="69" spans="4:34" x14ac:dyDescent="0.2">
      <c r="D69">
        <v>8</v>
      </c>
      <c r="E69" s="1">
        <v>1.5363052484993999E-7</v>
      </c>
      <c r="F69">
        <v>0.96582831158902105</v>
      </c>
      <c r="G69">
        <v>8</v>
      </c>
      <c r="H69" s="1">
        <v>1.6071485426170501E-7</v>
      </c>
      <c r="I69">
        <v>0.97288727798136698</v>
      </c>
      <c r="J69">
        <v>8</v>
      </c>
      <c r="K69" s="1">
        <v>1.11333472268908E-7</v>
      </c>
      <c r="L69">
        <v>0.98439267956429999</v>
      </c>
      <c r="M69">
        <v>8</v>
      </c>
      <c r="N69" s="1">
        <v>1.5979979351740701E-7</v>
      </c>
      <c r="O69">
        <v>0.98597027198322995</v>
      </c>
      <c r="P69">
        <v>8</v>
      </c>
      <c r="Q69" s="1">
        <v>5.6627675390156102E-8</v>
      </c>
      <c r="R69">
        <v>0.86660607625062003</v>
      </c>
      <c r="T69">
        <v>8</v>
      </c>
      <c r="U69" s="1">
        <v>1.2416006307657699E-8</v>
      </c>
      <c r="V69">
        <v>0.96426847243351099</v>
      </c>
      <c r="W69">
        <v>8</v>
      </c>
      <c r="X69" s="1">
        <v>9.2744520213005503E-9</v>
      </c>
      <c r="Y69">
        <v>0.89760226821653999</v>
      </c>
      <c r="Z69">
        <v>8</v>
      </c>
      <c r="AA69" s="1">
        <v>1.8241245481137001E-8</v>
      </c>
      <c r="AB69">
        <v>0.98137281831317802</v>
      </c>
      <c r="AC69">
        <v>8</v>
      </c>
      <c r="AD69" s="1">
        <v>2.7080638490962099E-9</v>
      </c>
      <c r="AE69">
        <v>0.55920249116533205</v>
      </c>
      <c r="AF69">
        <v>8</v>
      </c>
      <c r="AG69" s="1">
        <v>1.04317518637966E-8</v>
      </c>
      <c r="AH69">
        <v>0.81244910876207199</v>
      </c>
    </row>
    <row r="70" spans="4:34" x14ac:dyDescent="0.2">
      <c r="D70">
        <v>9</v>
      </c>
      <c r="E70" s="1">
        <v>8.1965620648259202E-8</v>
      </c>
      <c r="F70">
        <v>0.87241167280020404</v>
      </c>
      <c r="G70">
        <v>9</v>
      </c>
      <c r="H70" s="1">
        <v>1.29479042496999E-7</v>
      </c>
      <c r="I70">
        <v>0.92116057979460697</v>
      </c>
      <c r="J70">
        <v>9</v>
      </c>
      <c r="K70" s="1">
        <v>1.3473215990396199E-7</v>
      </c>
      <c r="L70">
        <v>0.97136101929912899</v>
      </c>
      <c r="M70">
        <v>9</v>
      </c>
      <c r="N70" s="1">
        <v>8.4702724129651805E-8</v>
      </c>
      <c r="O70">
        <v>0.94828830496178096</v>
      </c>
      <c r="P70">
        <v>9</v>
      </c>
      <c r="Q70" s="1">
        <v>1.16660135894358E-7</v>
      </c>
      <c r="R70">
        <v>0.95914610219129903</v>
      </c>
      <c r="T70">
        <v>9</v>
      </c>
      <c r="U70" s="1">
        <v>1.3372476366909201E-8</v>
      </c>
      <c r="V70">
        <v>0.96882883543851395</v>
      </c>
      <c r="W70">
        <v>9</v>
      </c>
      <c r="X70" s="1">
        <v>1.10160979824496E-8</v>
      </c>
      <c r="Y70">
        <v>0.94081832035180102</v>
      </c>
      <c r="Z70">
        <v>9</v>
      </c>
      <c r="AA70" s="1">
        <v>1.5192193557339E-8</v>
      </c>
      <c r="AB70">
        <v>0.98508001157841596</v>
      </c>
      <c r="AC70">
        <v>9</v>
      </c>
      <c r="AD70" s="1">
        <v>1.7359931200780001E-8</v>
      </c>
      <c r="AE70">
        <v>0.98145830019354396</v>
      </c>
      <c r="AF70">
        <v>9</v>
      </c>
      <c r="AG70" s="1">
        <v>1.8950939345983699E-8</v>
      </c>
      <c r="AH70">
        <v>0.97882649749823003</v>
      </c>
    </row>
    <row r="71" spans="4:34" x14ac:dyDescent="0.2">
      <c r="D71">
        <v>10</v>
      </c>
      <c r="E71" s="1">
        <v>1.62217106842737E-7</v>
      </c>
      <c r="F71">
        <v>0.96155662529017705</v>
      </c>
      <c r="G71">
        <v>10</v>
      </c>
      <c r="H71" s="1">
        <v>1.7581515582232899E-7</v>
      </c>
      <c r="I71">
        <v>0.98495713612486702</v>
      </c>
      <c r="J71">
        <v>10</v>
      </c>
      <c r="K71" s="1">
        <v>8.2702065786314402E-8</v>
      </c>
      <c r="L71">
        <v>0.83621470913389795</v>
      </c>
      <c r="M71">
        <v>10</v>
      </c>
      <c r="N71" s="1">
        <v>1.46503779111645E-7</v>
      </c>
      <c r="O71">
        <v>0.98815750287966198</v>
      </c>
      <c r="P71">
        <v>10</v>
      </c>
      <c r="Q71" s="1">
        <v>1.1778544921968799E-7</v>
      </c>
      <c r="R71">
        <v>0.92642381434947596</v>
      </c>
      <c r="T71">
        <v>10</v>
      </c>
      <c r="U71" s="1">
        <v>2.1885236165904101E-8</v>
      </c>
      <c r="V71">
        <v>0.98237958316307605</v>
      </c>
      <c r="W71">
        <v>10</v>
      </c>
      <c r="X71" s="1">
        <v>2.09634334508363E-8</v>
      </c>
      <c r="Y71">
        <v>0.95773514051436603</v>
      </c>
      <c r="Z71">
        <v>10</v>
      </c>
      <c r="AA71" s="1">
        <v>1.39032836120903E-8</v>
      </c>
      <c r="AB71">
        <v>0.97609562809344697</v>
      </c>
      <c r="AC71">
        <v>10</v>
      </c>
      <c r="AD71" s="1">
        <v>1.36427309307732E-8</v>
      </c>
      <c r="AE71">
        <v>0.97476840515636298</v>
      </c>
      <c r="AF71">
        <v>10</v>
      </c>
      <c r="AG71" s="1">
        <v>1.7338982457061501E-8</v>
      </c>
      <c r="AH71">
        <v>0.98851526997092298</v>
      </c>
    </row>
    <row r="72" spans="4:34" x14ac:dyDescent="0.2">
      <c r="D72" t="s">
        <v>43</v>
      </c>
      <c r="E72" s="1">
        <v>1.2911993848739501E-7</v>
      </c>
      <c r="F72" s="1">
        <v>5.6242857222904502E-8</v>
      </c>
      <c r="G72" t="s">
        <v>43</v>
      </c>
      <c r="H72" s="1">
        <v>1.30303920192077E-7</v>
      </c>
      <c r="I72" s="1">
        <v>4.8120424789110002E-8</v>
      </c>
      <c r="J72" t="s">
        <v>43</v>
      </c>
      <c r="K72" s="1">
        <v>1.15132482304922E-7</v>
      </c>
      <c r="L72" s="1">
        <v>3.2334960352737598E-8</v>
      </c>
      <c r="M72" t="s">
        <v>43</v>
      </c>
      <c r="N72" s="1">
        <v>1.33032415270108E-7</v>
      </c>
      <c r="O72" s="1">
        <v>3.6261039501266202E-8</v>
      </c>
      <c r="P72" t="s">
        <v>43</v>
      </c>
      <c r="Q72" s="1">
        <v>1.3077309743097199E-7</v>
      </c>
      <c r="R72" s="1">
        <v>4.43417516091941E-8</v>
      </c>
      <c r="T72" t="s">
        <v>43</v>
      </c>
      <c r="U72" s="1">
        <v>1.3980454645616199E-8</v>
      </c>
      <c r="V72" s="1">
        <v>5.6122167975218898E-9</v>
      </c>
      <c r="W72" t="s">
        <v>43</v>
      </c>
      <c r="X72" s="1">
        <v>1.41798936653416E-8</v>
      </c>
      <c r="Y72" s="1">
        <v>5.3311097478143698E-9</v>
      </c>
      <c r="Z72" t="s">
        <v>43</v>
      </c>
      <c r="AA72" s="1">
        <v>1.38487017160429E-8</v>
      </c>
      <c r="AB72" s="1">
        <v>4.08698128015805E-9</v>
      </c>
      <c r="AC72" t="s">
        <v>43</v>
      </c>
      <c r="AD72" s="1">
        <v>1.58364214925373E-8</v>
      </c>
      <c r="AE72" s="1">
        <v>5.7358702512268603E-9</v>
      </c>
      <c r="AF72" t="s">
        <v>43</v>
      </c>
      <c r="AG72" s="1">
        <v>1.4334371712292799E-8</v>
      </c>
      <c r="AH72" s="1">
        <v>4.4187788208387802E-9</v>
      </c>
    </row>
    <row r="73" spans="4:34" x14ac:dyDescent="0.2">
      <c r="F73" s="4">
        <f>F72/E72</f>
        <v>0.43558615254757932</v>
      </c>
      <c r="I73" s="4">
        <f>I72/H72</f>
        <v>0.36929376121744584</v>
      </c>
      <c r="L73" s="4">
        <f>L72/K72</f>
        <v>0.28085002342866411</v>
      </c>
      <c r="O73" s="4">
        <f>O72/N72</f>
        <v>0.27257296221858457</v>
      </c>
      <c r="R73" s="4">
        <f>R72/Q72</f>
        <v>0.33907395695509701</v>
      </c>
      <c r="V73" s="4">
        <f>V72/U72</f>
        <v>0.40143306779237631</v>
      </c>
      <c r="Y73" s="4">
        <f>Y72/X72</f>
        <v>0.37596260406695658</v>
      </c>
      <c r="AB73" s="4">
        <f>AB72/AA72</f>
        <v>0.29511656500071226</v>
      </c>
      <c r="AE73" s="4">
        <f>AE72/AD72</f>
        <v>0.36219484647651062</v>
      </c>
      <c r="AH73" s="4">
        <f>AH72/AG72</f>
        <v>0.3082645622374468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C2A0-15F3-694C-B365-17D31BFFBBCC}">
  <dimension ref="B4:T67"/>
  <sheetViews>
    <sheetView topLeftCell="F23" workbookViewId="0">
      <selection activeCell="S7" sqref="S7"/>
    </sheetView>
  </sheetViews>
  <sheetFormatPr baseColWidth="10" defaultRowHeight="16" x14ac:dyDescent="0.2"/>
  <sheetData>
    <row r="4" spans="2:20" x14ac:dyDescent="0.2">
      <c r="B4" t="s">
        <v>28</v>
      </c>
    </row>
    <row r="5" spans="2:20" x14ac:dyDescent="0.2">
      <c r="D5">
        <v>0</v>
      </c>
      <c r="E5">
        <v>5</v>
      </c>
      <c r="F5">
        <v>10</v>
      </c>
      <c r="G5">
        <v>-5</v>
      </c>
      <c r="H5">
        <v>-10</v>
      </c>
      <c r="L5">
        <v>0</v>
      </c>
      <c r="M5">
        <v>5</v>
      </c>
      <c r="N5">
        <v>10</v>
      </c>
      <c r="O5">
        <v>-5</v>
      </c>
      <c r="P5">
        <v>-10</v>
      </c>
      <c r="S5" t="s">
        <v>14</v>
      </c>
      <c r="T5" t="s">
        <v>15</v>
      </c>
    </row>
    <row r="6" spans="2:20" x14ac:dyDescent="0.2">
      <c r="C6" t="s">
        <v>19</v>
      </c>
      <c r="D6" t="s">
        <v>0</v>
      </c>
      <c r="E6" t="s">
        <v>1</v>
      </c>
      <c r="F6" t="s">
        <v>2</v>
      </c>
      <c r="G6" t="s">
        <v>3</v>
      </c>
      <c r="H6" t="s">
        <v>4</v>
      </c>
      <c r="L6" t="s">
        <v>5</v>
      </c>
      <c r="M6" t="s">
        <v>6</v>
      </c>
      <c r="N6" t="s">
        <v>7</v>
      </c>
      <c r="O6" t="s">
        <v>8</v>
      </c>
      <c r="P6" t="s">
        <v>9</v>
      </c>
      <c r="S6" t="s">
        <v>20</v>
      </c>
      <c r="T6" t="s">
        <v>20</v>
      </c>
    </row>
    <row r="7" spans="2:20" x14ac:dyDescent="0.2">
      <c r="B7">
        <v>9.670469095114866</v>
      </c>
      <c r="C7">
        <v>1200</v>
      </c>
      <c r="D7">
        <v>5.092410388168946E-5</v>
      </c>
      <c r="E7">
        <v>4.9297734296438011E-5</v>
      </c>
      <c r="F7">
        <v>4.6654469463169739E-5</v>
      </c>
      <c r="G7">
        <v>5.2121530220104684E-5</v>
      </c>
      <c r="H7">
        <v>5.3026110650558022E-5</v>
      </c>
      <c r="K7">
        <v>1200</v>
      </c>
      <c r="L7">
        <v>1.1442407913988637E-5</v>
      </c>
      <c r="M7">
        <v>1.1552504525263053E-5</v>
      </c>
      <c r="N7">
        <v>1.1584083817891319E-5</v>
      </c>
      <c r="O7">
        <v>1.1764155457600128E-5</v>
      </c>
      <c r="P7">
        <v>1.2421031526553439E-5</v>
      </c>
      <c r="R7">
        <v>0.22</v>
      </c>
      <c r="S7">
        <v>5.092410388168946E-5</v>
      </c>
      <c r="T7">
        <v>1.1442407913988637E-5</v>
      </c>
    </row>
    <row r="8" spans="2:20" x14ac:dyDescent="0.2">
      <c r="B8">
        <v>10.549602649216217</v>
      </c>
      <c r="C8">
        <v>1100</v>
      </c>
      <c r="D8">
        <v>3.8297706636324131E-5</v>
      </c>
      <c r="E8">
        <v>3.8630511027789524E-5</v>
      </c>
      <c r="F8">
        <v>3.6385252749859133E-5</v>
      </c>
      <c r="G8">
        <v>4.0238583012870752E-5</v>
      </c>
      <c r="H8">
        <v>4.1222181760650638E-5</v>
      </c>
      <c r="K8">
        <v>1100</v>
      </c>
      <c r="L8">
        <v>6.5568306538249988E-6</v>
      </c>
      <c r="M8">
        <v>6.5772344931736062E-6</v>
      </c>
      <c r="N8">
        <v>6.2950298654997885E-6</v>
      </c>
      <c r="O8">
        <v>7.0823554293596741E-6</v>
      </c>
      <c r="P8">
        <v>6.847735544606478E-6</v>
      </c>
      <c r="R8">
        <v>0.12</v>
      </c>
      <c r="S8">
        <v>7.0292110269245284E-5</v>
      </c>
      <c r="T8">
        <v>2.2285298619643835E-5</v>
      </c>
    </row>
    <row r="9" spans="2:20" x14ac:dyDescent="0.2">
      <c r="B9">
        <v>11.604562914137839</v>
      </c>
      <c r="C9">
        <v>1000</v>
      </c>
      <c r="D9">
        <v>2.8193587665254488E-5</v>
      </c>
      <c r="E9">
        <v>2.6648285419724289E-5</v>
      </c>
      <c r="F9">
        <v>2.577037052271707E-5</v>
      </c>
      <c r="G9">
        <v>2.7876056344903544E-5</v>
      </c>
      <c r="H9">
        <v>2.9786056305717903E-5</v>
      </c>
      <c r="K9">
        <v>1000</v>
      </c>
      <c r="L9">
        <v>3.4644447232094606E-6</v>
      </c>
      <c r="M9">
        <v>2.9446946537938828E-6</v>
      </c>
      <c r="N9">
        <v>2.9306715325491448E-6</v>
      </c>
      <c r="O9">
        <v>3.0420958725453197E-6</v>
      </c>
      <c r="P9">
        <v>3.1274099650743838E-6</v>
      </c>
      <c r="R9">
        <v>0.3</v>
      </c>
      <c r="S9">
        <v>3.6165074159986403E-5</v>
      </c>
      <c r="T9">
        <v>6.7597090931927742E-6</v>
      </c>
    </row>
    <row r="10" spans="2:20" x14ac:dyDescent="0.2">
      <c r="B10">
        <v>12.893958793486487</v>
      </c>
      <c r="C10">
        <v>900</v>
      </c>
      <c r="D10">
        <v>1.7402578741961171E-5</v>
      </c>
      <c r="E10">
        <v>1.7184605390236487E-5</v>
      </c>
      <c r="F10">
        <v>1.6479570923614631E-5</v>
      </c>
      <c r="G10">
        <v>1.9021699497582625E-5</v>
      </c>
      <c r="H10">
        <v>1.9399779774857544E-5</v>
      </c>
      <c r="K10">
        <v>900</v>
      </c>
      <c r="L10">
        <v>1.2603767193242319E-6</v>
      </c>
      <c r="M10">
        <v>1.1951986496780146E-6</v>
      </c>
      <c r="N10">
        <v>9.2748904735329595E-7</v>
      </c>
      <c r="O10">
        <v>1.3282318667290722E-6</v>
      </c>
      <c r="P10">
        <v>1.4473153636764452E-6</v>
      </c>
      <c r="R10">
        <v>0</v>
      </c>
      <c r="S10">
        <v>9.8026754291291685E-5</v>
      </c>
      <c r="T10">
        <v>3.8185053867159656E-5</v>
      </c>
    </row>
    <row r="11" spans="2:20" x14ac:dyDescent="0.2">
      <c r="B11">
        <v>14.5057036426723</v>
      </c>
      <c r="C11">
        <v>800</v>
      </c>
      <c r="D11">
        <v>1.0680069107916754E-5</v>
      </c>
      <c r="E11">
        <v>8.1789617374922078E-6</v>
      </c>
      <c r="F11">
        <v>9.2606157572312902E-6</v>
      </c>
      <c r="G11">
        <v>1.0894306249557404E-5</v>
      </c>
      <c r="H11">
        <v>1.1549761425815505E-5</v>
      </c>
      <c r="K11">
        <v>800</v>
      </c>
      <c r="L11">
        <v>4.1439451426586226E-7</v>
      </c>
      <c r="M11">
        <v>2.9333083602360756E-7</v>
      </c>
      <c r="N11">
        <v>5.425685310743249E-7</v>
      </c>
      <c r="O11">
        <v>4.9959909982678342E-7</v>
      </c>
      <c r="P11">
        <v>3.0405172673162427E-7</v>
      </c>
      <c r="R11">
        <v>1</v>
      </c>
      <c r="S11">
        <v>5.3494445944211557E-5</v>
      </c>
      <c r="T11" s="2">
        <v>1.2612578636346326E-7</v>
      </c>
    </row>
    <row r="12" spans="2:20" x14ac:dyDescent="0.2">
      <c r="R12">
        <v>0.52</v>
      </c>
      <c r="S12">
        <v>1.8590684784734281E-5</v>
      </c>
      <c r="T12">
        <v>2.4493781143774093E-6</v>
      </c>
    </row>
    <row r="13" spans="2:20" x14ac:dyDescent="0.2">
      <c r="R13">
        <v>0.71</v>
      </c>
      <c r="S13">
        <v>1.1370818584925558E-5</v>
      </c>
      <c r="T13">
        <v>1.199583045128404E-6</v>
      </c>
    </row>
    <row r="14" spans="2:20" x14ac:dyDescent="0.2">
      <c r="B14" t="s">
        <v>30</v>
      </c>
    </row>
    <row r="15" spans="2:20" x14ac:dyDescent="0.2">
      <c r="C15" t="s">
        <v>19</v>
      </c>
      <c r="D15" t="s">
        <v>0</v>
      </c>
      <c r="E15" t="s">
        <v>1</v>
      </c>
      <c r="F15" t="s">
        <v>2</v>
      </c>
      <c r="G15" t="s">
        <v>3</v>
      </c>
      <c r="H15" t="s">
        <v>4</v>
      </c>
      <c r="L15" t="s">
        <v>5</v>
      </c>
      <c r="M15" t="s">
        <v>6</v>
      </c>
      <c r="N15" t="s">
        <v>7</v>
      </c>
      <c r="O15" t="s">
        <v>8</v>
      </c>
      <c r="P15" t="s">
        <v>9</v>
      </c>
    </row>
    <row r="16" spans="2:20" x14ac:dyDescent="0.2">
      <c r="B16">
        <v>9.670469095114866</v>
      </c>
      <c r="C16">
        <v>1200</v>
      </c>
      <c r="D16">
        <v>7.0292110269245284E-5</v>
      </c>
      <c r="E16">
        <v>6.9138734440769744E-5</v>
      </c>
      <c r="F16">
        <v>6.9469802381923675E-5</v>
      </c>
      <c r="G16">
        <v>7.1079635971389227E-5</v>
      </c>
      <c r="H16">
        <v>7.143192759779476E-5</v>
      </c>
      <c r="K16">
        <v>1200</v>
      </c>
      <c r="L16">
        <v>2.2285298619643835E-5</v>
      </c>
      <c r="M16">
        <v>2.1389715035339486E-5</v>
      </c>
      <c r="N16">
        <v>2.1716380021759541E-5</v>
      </c>
      <c r="O16">
        <v>2.2278750964429417E-5</v>
      </c>
      <c r="P16">
        <v>2.3189970446647352E-5</v>
      </c>
    </row>
    <row r="17" spans="2:16" x14ac:dyDescent="0.2">
      <c r="B17">
        <v>10.549602649216217</v>
      </c>
      <c r="C17">
        <v>1100</v>
      </c>
      <c r="D17">
        <v>5.7726662497692633E-5</v>
      </c>
      <c r="E17">
        <v>5.7293070808069981E-5</v>
      </c>
      <c r="F17">
        <v>5.6010550059958188E-5</v>
      </c>
      <c r="G17">
        <v>5.8838388042370224E-5</v>
      </c>
      <c r="H17">
        <v>5.9215632280588131E-5</v>
      </c>
      <c r="K17">
        <v>1100</v>
      </c>
      <c r="L17">
        <v>1.373286170522294E-5</v>
      </c>
      <c r="M17">
        <v>1.3743252682562578E-5</v>
      </c>
      <c r="N17">
        <v>1.3872358672096259E-5</v>
      </c>
      <c r="O17">
        <v>1.3643765975387261E-5</v>
      </c>
      <c r="P17">
        <v>1.3826226550352396E-5</v>
      </c>
    </row>
    <row r="18" spans="2:16" x14ac:dyDescent="0.2">
      <c r="B18">
        <v>11.604562914137839</v>
      </c>
      <c r="C18">
        <v>1000</v>
      </c>
      <c r="D18">
        <v>4.5272222595012799E-5</v>
      </c>
      <c r="E18">
        <v>4.5348261121160061E-5</v>
      </c>
      <c r="F18">
        <v>4.4341797020260921E-5</v>
      </c>
      <c r="G18">
        <v>4.6217341159669039E-5</v>
      </c>
      <c r="H18">
        <v>4.7073815317606799E-5</v>
      </c>
      <c r="K18">
        <v>1000</v>
      </c>
      <c r="L18">
        <v>7.652595909558241E-6</v>
      </c>
      <c r="M18">
        <v>7.9784800410686942E-6</v>
      </c>
      <c r="N18">
        <v>7.2602796511495705E-6</v>
      </c>
      <c r="O18">
        <v>7.7151641560516193E-6</v>
      </c>
      <c r="P18">
        <v>7.7824412283762362E-6</v>
      </c>
    </row>
    <row r="19" spans="2:16" x14ac:dyDescent="0.2">
      <c r="B19">
        <v>12.893958793486487</v>
      </c>
      <c r="C19">
        <v>900</v>
      </c>
      <c r="D19">
        <v>3.449843313696236E-5</v>
      </c>
      <c r="E19">
        <v>3.3678315619825141E-5</v>
      </c>
      <c r="F19">
        <v>3.2932057801145668E-5</v>
      </c>
      <c r="G19">
        <v>3.5641033825611027E-5</v>
      </c>
      <c r="H19">
        <v>3.6073490045625855E-5</v>
      </c>
      <c r="K19">
        <v>900</v>
      </c>
      <c r="L19">
        <v>3.3437046266936902E-6</v>
      </c>
      <c r="M19">
        <v>3.6546714821479818E-6</v>
      </c>
      <c r="N19">
        <v>3.646989187722624E-6</v>
      </c>
      <c r="O19">
        <v>3.5099149851293979E-6</v>
      </c>
      <c r="P19">
        <v>3.8657852430631932E-6</v>
      </c>
    </row>
    <row r="20" spans="2:16" x14ac:dyDescent="0.2">
      <c r="B20">
        <v>14.5057036426723</v>
      </c>
      <c r="C20">
        <v>800</v>
      </c>
      <c r="D20">
        <v>2.3852480048624229E-5</v>
      </c>
      <c r="E20">
        <v>2.2891685530357325E-5</v>
      </c>
      <c r="F20">
        <v>2.2402700855923176E-5</v>
      </c>
      <c r="G20">
        <v>2.4862958954362563E-5</v>
      </c>
      <c r="H20">
        <v>2.4388218816995201E-5</v>
      </c>
      <c r="K20">
        <v>800</v>
      </c>
      <c r="L20">
        <v>1.3105446660263599E-6</v>
      </c>
      <c r="M20">
        <v>1.1561218222837308E-6</v>
      </c>
      <c r="N20">
        <v>1.1308196051503809E-6</v>
      </c>
      <c r="O20">
        <v>1.2659185059883389E-6</v>
      </c>
      <c r="P20">
        <v>1.2311103263837099E-6</v>
      </c>
    </row>
    <row r="23" spans="2:16" x14ac:dyDescent="0.2">
      <c r="B23" t="s">
        <v>29</v>
      </c>
    </row>
    <row r="24" spans="2:16" x14ac:dyDescent="0.2">
      <c r="C24" t="s">
        <v>19</v>
      </c>
      <c r="D24" t="s">
        <v>0</v>
      </c>
      <c r="E24" t="s">
        <v>1</v>
      </c>
      <c r="F24" t="s">
        <v>2</v>
      </c>
      <c r="G24" t="s">
        <v>3</v>
      </c>
      <c r="H24" t="s">
        <v>4</v>
      </c>
      <c r="L24" t="s">
        <v>5</v>
      </c>
      <c r="M24" t="s">
        <v>6</v>
      </c>
      <c r="N24" t="s">
        <v>7</v>
      </c>
      <c r="O24" t="s">
        <v>8</v>
      </c>
      <c r="P24" t="s">
        <v>9</v>
      </c>
    </row>
    <row r="25" spans="2:16" x14ac:dyDescent="0.2">
      <c r="B25">
        <v>9.670469095114866</v>
      </c>
      <c r="C25">
        <v>1200</v>
      </c>
      <c r="D25">
        <v>3.6165074159986403E-5</v>
      </c>
      <c r="E25">
        <v>3.5137793188028394E-5</v>
      </c>
      <c r="F25">
        <v>3.3750666620836325E-5</v>
      </c>
      <c r="G25">
        <v>3.8554975822515014E-5</v>
      </c>
      <c r="H25">
        <v>3.9024326387878765E-5</v>
      </c>
      <c r="K25">
        <v>1200</v>
      </c>
      <c r="L25">
        <v>6.7597090931927742E-6</v>
      </c>
      <c r="M25">
        <v>6.5916824252021444E-6</v>
      </c>
      <c r="N25">
        <v>6.313435866837712E-6</v>
      </c>
      <c r="O25">
        <v>6.5410606328913839E-6</v>
      </c>
      <c r="P25">
        <v>6.9638233595194631E-6</v>
      </c>
    </row>
    <row r="26" spans="2:16" x14ac:dyDescent="0.2">
      <c r="B26">
        <v>10.549602649216217</v>
      </c>
      <c r="C26">
        <v>1100</v>
      </c>
      <c r="D26">
        <v>2.5651353223214911E-5</v>
      </c>
      <c r="E26">
        <v>2.4132381693112828E-5</v>
      </c>
      <c r="F26">
        <v>2.4037144869998414E-5</v>
      </c>
      <c r="G26">
        <v>2.738661152797279E-5</v>
      </c>
      <c r="H26">
        <v>2.9161280222341341E-5</v>
      </c>
      <c r="K26">
        <v>1100</v>
      </c>
      <c r="L26">
        <v>3.4843752250606368E-6</v>
      </c>
      <c r="M26">
        <v>3.0927341951311797E-6</v>
      </c>
      <c r="N26">
        <v>3.4040769577549671E-6</v>
      </c>
      <c r="O26">
        <v>3.7476311272742895E-6</v>
      </c>
      <c r="P26">
        <v>3.7028361570218337E-6</v>
      </c>
    </row>
    <row r="27" spans="2:16" x14ac:dyDescent="0.2">
      <c r="B27">
        <v>11.604562914137839</v>
      </c>
      <c r="C27">
        <v>1000</v>
      </c>
      <c r="D27">
        <v>1.7258581231892761E-5</v>
      </c>
      <c r="E27">
        <v>1.5619723031669087E-5</v>
      </c>
      <c r="F27">
        <v>1.5451789259968787E-5</v>
      </c>
      <c r="G27">
        <v>1.7400476465943563E-5</v>
      </c>
      <c r="H27">
        <v>1.8640861148266507E-5</v>
      </c>
      <c r="K27">
        <v>1000</v>
      </c>
      <c r="L27">
        <v>1.449640271449526E-6</v>
      </c>
      <c r="M27">
        <v>1.213121885622311E-6</v>
      </c>
      <c r="N27">
        <v>1.3067388841158416E-6</v>
      </c>
      <c r="O27">
        <v>1.5481977907246508E-6</v>
      </c>
      <c r="P27">
        <v>1.413033552898163E-6</v>
      </c>
    </row>
    <row r="28" spans="2:16" x14ac:dyDescent="0.2">
      <c r="B28">
        <v>12.893958793486487</v>
      </c>
      <c r="C28">
        <v>900</v>
      </c>
      <c r="D28">
        <v>8.8595803743289309E-6</v>
      </c>
      <c r="E28">
        <v>9.3367330051712414E-6</v>
      </c>
      <c r="F28">
        <v>8.6651053481380526E-6</v>
      </c>
      <c r="G28">
        <v>1.0625923498904384E-5</v>
      </c>
      <c r="H28">
        <v>1.169327029188114E-5</v>
      </c>
      <c r="K28">
        <v>900</v>
      </c>
      <c r="L28">
        <v>6.1174613663423452E-7</v>
      </c>
      <c r="M28">
        <v>5.2415441611241019E-7</v>
      </c>
      <c r="N28">
        <v>4.6431212758441207E-7</v>
      </c>
      <c r="O28">
        <v>5.055422251694296E-7</v>
      </c>
      <c r="P28">
        <v>5.428777500820724E-7</v>
      </c>
    </row>
    <row r="29" spans="2:16" x14ac:dyDescent="0.2">
      <c r="B29">
        <v>14.5057036426723</v>
      </c>
      <c r="C29">
        <v>800</v>
      </c>
      <c r="D29">
        <v>4.3579437216786673E-6</v>
      </c>
      <c r="E29">
        <v>4.1408534575822365E-6</v>
      </c>
      <c r="F29">
        <v>3.1959283982969139E-6</v>
      </c>
      <c r="G29">
        <v>4.9041558315213936E-6</v>
      </c>
      <c r="H29">
        <v>4.672620004244497E-6</v>
      </c>
      <c r="K29">
        <v>800</v>
      </c>
    </row>
    <row r="32" spans="2:16" x14ac:dyDescent="0.2">
      <c r="B32" t="s">
        <v>27</v>
      </c>
    </row>
    <row r="33" spans="2:16" x14ac:dyDescent="0.2">
      <c r="C33" t="s">
        <v>19</v>
      </c>
      <c r="D33" t="s">
        <v>0</v>
      </c>
      <c r="E33" t="s">
        <v>1</v>
      </c>
      <c r="F33" t="s">
        <v>2</v>
      </c>
      <c r="G33" t="s">
        <v>3</v>
      </c>
      <c r="H33" t="s">
        <v>4</v>
      </c>
      <c r="L33" t="s">
        <v>5</v>
      </c>
      <c r="M33" t="s">
        <v>6</v>
      </c>
      <c r="N33" t="s">
        <v>7</v>
      </c>
      <c r="O33" t="s">
        <v>8</v>
      </c>
      <c r="P33" t="s">
        <v>9</v>
      </c>
    </row>
    <row r="34" spans="2:16" x14ac:dyDescent="0.2">
      <c r="B34">
        <v>9.670469095114866</v>
      </c>
      <c r="C34">
        <v>1200</v>
      </c>
      <c r="D34">
        <v>9.8026754291291685E-5</v>
      </c>
      <c r="E34">
        <v>9.788330473454093E-5</v>
      </c>
      <c r="F34">
        <v>9.7337688784131436E-5</v>
      </c>
      <c r="G34">
        <v>9.8148347416613283E-5</v>
      </c>
      <c r="H34">
        <v>9.4530524519482662E-5</v>
      </c>
      <c r="K34">
        <v>1200</v>
      </c>
      <c r="L34">
        <v>3.8185053867159656E-5</v>
      </c>
      <c r="M34">
        <v>3.9408700690619492E-5</v>
      </c>
      <c r="N34">
        <v>4.0975197785162475E-5</v>
      </c>
      <c r="O34">
        <v>3.7556347785381837E-5</v>
      </c>
      <c r="P34">
        <v>3.4467827910375239E-5</v>
      </c>
    </row>
    <row r="35" spans="2:16" x14ac:dyDescent="0.2">
      <c r="B35">
        <v>10.549602649216217</v>
      </c>
      <c r="C35">
        <v>1100</v>
      </c>
      <c r="D35">
        <v>8.3521400362929999E-5</v>
      </c>
      <c r="E35">
        <v>8.3969169816670459E-5</v>
      </c>
      <c r="F35">
        <v>8.3979337447858586E-5</v>
      </c>
      <c r="G35">
        <v>8.2953906864146321E-5</v>
      </c>
      <c r="H35">
        <v>8.2638996467713686E-5</v>
      </c>
      <c r="K35">
        <v>1100</v>
      </c>
      <c r="L35">
        <v>2.5130812277979265E-5</v>
      </c>
      <c r="M35">
        <v>2.7281548597583104E-5</v>
      </c>
      <c r="N35">
        <v>2.765430093688068E-5</v>
      </c>
      <c r="O35">
        <v>2.3388615266771722E-5</v>
      </c>
      <c r="P35">
        <v>2.2439377029509901E-5</v>
      </c>
    </row>
    <row r="36" spans="2:16" x14ac:dyDescent="0.2">
      <c r="B36">
        <v>11.604562914137839</v>
      </c>
      <c r="C36">
        <v>1000</v>
      </c>
      <c r="D36">
        <v>7.2439812613873478E-5</v>
      </c>
      <c r="E36">
        <v>7.3417840184800156E-5</v>
      </c>
      <c r="F36">
        <v>7.3961755988295651E-5</v>
      </c>
      <c r="G36">
        <v>7.3801573444577041E-5</v>
      </c>
      <c r="H36">
        <v>7.1361276789823114E-5</v>
      </c>
      <c r="K36">
        <v>1000</v>
      </c>
      <c r="L36">
        <v>1.618303401020813E-5</v>
      </c>
      <c r="M36">
        <v>1.7644664360604235E-5</v>
      </c>
      <c r="N36">
        <v>1.9153751597177373E-5</v>
      </c>
      <c r="O36">
        <v>1.4868331188061309E-5</v>
      </c>
      <c r="P36">
        <v>1.2665068168531416E-5</v>
      </c>
    </row>
    <row r="37" spans="2:16" x14ac:dyDescent="0.2">
      <c r="B37">
        <v>12.893958793486487</v>
      </c>
      <c r="C37">
        <v>900</v>
      </c>
      <c r="D37">
        <v>6.2745913987516554E-5</v>
      </c>
      <c r="E37">
        <v>6.3080383281199841E-5</v>
      </c>
      <c r="F37">
        <v>6.4003210527041645E-5</v>
      </c>
      <c r="G37">
        <v>6.2698212565542345E-5</v>
      </c>
      <c r="H37">
        <v>6.1839846196209974E-5</v>
      </c>
      <c r="K37">
        <v>900</v>
      </c>
      <c r="L37">
        <v>9.5472221640766253E-6</v>
      </c>
      <c r="M37">
        <v>1.0790344080630763E-5</v>
      </c>
      <c r="N37">
        <v>1.1743817371919544E-5</v>
      </c>
      <c r="O37">
        <v>8.1725187107412813E-6</v>
      </c>
      <c r="P37">
        <v>6.8428590319316646E-6</v>
      </c>
    </row>
    <row r="38" spans="2:16" x14ac:dyDescent="0.2">
      <c r="B38">
        <v>14.5057036426723</v>
      </c>
      <c r="C38">
        <v>800</v>
      </c>
      <c r="D38">
        <v>5.3009568274002203E-5</v>
      </c>
      <c r="E38">
        <v>5.3737250310694221E-5</v>
      </c>
      <c r="F38">
        <v>5.3433096818922869E-5</v>
      </c>
      <c r="G38">
        <v>5.1951283859561979E-5</v>
      </c>
      <c r="H38">
        <v>5.2221238763927792E-5</v>
      </c>
      <c r="K38">
        <v>800</v>
      </c>
      <c r="L38">
        <v>4.9406300800514721E-6</v>
      </c>
      <c r="M38">
        <v>5.6243985886654158E-6</v>
      </c>
      <c r="N38">
        <v>6.3429044430872249E-6</v>
      </c>
      <c r="O38">
        <v>3.9635189022310939E-6</v>
      </c>
      <c r="P38">
        <v>3.0580680085073494E-6</v>
      </c>
    </row>
    <row r="41" spans="2:16" x14ac:dyDescent="0.2">
      <c r="B41" t="s">
        <v>26</v>
      </c>
    </row>
    <row r="42" spans="2:16" x14ac:dyDescent="0.2">
      <c r="C42" t="s">
        <v>19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L42" t="s">
        <v>5</v>
      </c>
      <c r="M42" t="s">
        <v>6</v>
      </c>
      <c r="N42" t="s">
        <v>7</v>
      </c>
      <c r="O42" t="s">
        <v>8</v>
      </c>
      <c r="P42" t="s">
        <v>9</v>
      </c>
    </row>
    <row r="43" spans="2:16" x14ac:dyDescent="0.2">
      <c r="B43">
        <f>1/((0.000086173)*C43)</f>
        <v>8.2889735100984563</v>
      </c>
      <c r="C43">
        <v>1400</v>
      </c>
      <c r="D43" s="2">
        <v>7.5884125235989867E-5</v>
      </c>
      <c r="E43" s="2">
        <v>7.7546291357804276E-5</v>
      </c>
      <c r="F43" s="2">
        <v>7.5107864749779255E-5</v>
      </c>
      <c r="G43" s="2">
        <v>7.5484667069184881E-5</v>
      </c>
      <c r="H43" s="2">
        <v>7.603990828580568E-5</v>
      </c>
      <c r="K43">
        <v>1400</v>
      </c>
      <c r="L43">
        <v>7.8808866842946179E-7</v>
      </c>
      <c r="M43">
        <v>7.6253007108735698E-7</v>
      </c>
      <c r="N43">
        <v>7.5966698758508282E-7</v>
      </c>
      <c r="O43">
        <v>7.415540817035372E-7</v>
      </c>
      <c r="P43">
        <v>7.50606115298883E-7</v>
      </c>
    </row>
    <row r="44" spans="2:16" x14ac:dyDescent="0.2">
      <c r="B44">
        <f>1/((0.000086173)*C44)</f>
        <v>8.9265868570291058</v>
      </c>
      <c r="C44">
        <v>1300</v>
      </c>
      <c r="D44" s="2">
        <v>6.4743437417344248E-5</v>
      </c>
      <c r="E44" s="2">
        <v>6.4132670430494366E-5</v>
      </c>
      <c r="F44" s="2">
        <v>6.4490266919509581E-5</v>
      </c>
      <c r="G44" s="2">
        <v>6.4334286940013279E-5</v>
      </c>
      <c r="H44" s="2">
        <v>6.4614199410944885E-5</v>
      </c>
      <c r="K44">
        <v>1300</v>
      </c>
      <c r="L44" s="2">
        <v>3.2864401233649184E-7</v>
      </c>
      <c r="M44" s="2">
        <v>3.354399353394156E-7</v>
      </c>
      <c r="N44" s="2">
        <v>3.5605064278100521E-7</v>
      </c>
      <c r="O44" s="2">
        <v>3.3737330285596901E-7</v>
      </c>
      <c r="P44" s="2">
        <v>3.2007610177599217E-7</v>
      </c>
    </row>
    <row r="45" spans="2:16" x14ac:dyDescent="0.2">
      <c r="B45">
        <v>9.670469095114866</v>
      </c>
      <c r="C45">
        <v>1200</v>
      </c>
      <c r="D45">
        <v>5.3494445944211557E-5</v>
      </c>
      <c r="E45">
        <v>5.4235848396445759E-5</v>
      </c>
      <c r="F45">
        <v>5.3909285880964689E-5</v>
      </c>
      <c r="G45">
        <v>5.3615921751218695E-5</v>
      </c>
      <c r="H45">
        <v>5.3249748022089621E-5</v>
      </c>
      <c r="K45">
        <v>1200</v>
      </c>
      <c r="L45" s="2">
        <v>1.2612578636346326E-7</v>
      </c>
      <c r="M45" s="2">
        <v>1.3969904171191634E-7</v>
      </c>
      <c r="N45" s="2">
        <v>1.3558738779643227E-7</v>
      </c>
      <c r="O45" s="2">
        <v>1.4077348021367264E-7</v>
      </c>
      <c r="P45" s="2">
        <v>1.3290061557646655E-7</v>
      </c>
    </row>
    <row r="46" spans="2:16" x14ac:dyDescent="0.2">
      <c r="B46">
        <v>10.549602649216217</v>
      </c>
      <c r="C46">
        <v>1100</v>
      </c>
      <c r="D46">
        <v>4.2470246687356521E-5</v>
      </c>
      <c r="E46">
        <v>4.2671183810671855E-5</v>
      </c>
      <c r="F46">
        <v>4.3569370518182463E-5</v>
      </c>
      <c r="G46">
        <v>4.209888481209641E-5</v>
      </c>
      <c r="H46">
        <v>4.2993999142461786E-5</v>
      </c>
      <c r="K46">
        <v>1100</v>
      </c>
      <c r="L46" s="2">
        <v>3.0493259034065925E-8</v>
      </c>
      <c r="M46" s="2">
        <v>4.8764950470394749E-8</v>
      </c>
      <c r="N46" s="2">
        <v>5.0985225900536523E-8</v>
      </c>
      <c r="O46" s="2">
        <v>4.5706272843210552E-8</v>
      </c>
      <c r="P46" s="2">
        <v>4.2061947300048467E-8</v>
      </c>
    </row>
    <row r="47" spans="2:16" x14ac:dyDescent="0.2">
      <c r="B47">
        <v>11.604562914137839</v>
      </c>
      <c r="C47">
        <v>1000</v>
      </c>
      <c r="D47">
        <v>3.2353460134435369E-5</v>
      </c>
      <c r="E47">
        <v>3.221247198673789E-5</v>
      </c>
      <c r="F47">
        <v>3.3084024372763509E-5</v>
      </c>
      <c r="G47">
        <v>3.1588570499403371E-5</v>
      </c>
      <c r="H47">
        <v>3.1632991098414152E-5</v>
      </c>
      <c r="K47">
        <v>1000</v>
      </c>
    </row>
    <row r="48" spans="2:16" x14ac:dyDescent="0.2">
      <c r="B48">
        <v>12.893958793486487</v>
      </c>
      <c r="C48">
        <v>900</v>
      </c>
      <c r="D48">
        <v>2.2127145426235138E-5</v>
      </c>
      <c r="E48">
        <v>2.2816865903542848E-5</v>
      </c>
      <c r="F48">
        <v>2.2991526033781998E-5</v>
      </c>
      <c r="G48">
        <v>2.2240381713792757E-5</v>
      </c>
      <c r="H48">
        <v>2.2103707869795913E-5</v>
      </c>
      <c r="K48">
        <v>900</v>
      </c>
    </row>
    <row r="49" spans="2:16" x14ac:dyDescent="0.2">
      <c r="B49">
        <v>14.5057036426723</v>
      </c>
      <c r="C49">
        <v>800</v>
      </c>
      <c r="D49">
        <v>1.3925379483171542E-5</v>
      </c>
      <c r="E49">
        <v>1.4701755471208739E-5</v>
      </c>
      <c r="F49">
        <v>1.4558723751898416E-5</v>
      </c>
      <c r="G49">
        <v>1.3891755416151417E-5</v>
      </c>
      <c r="H49">
        <v>1.3678028037874853E-5</v>
      </c>
      <c r="K49">
        <v>800</v>
      </c>
    </row>
    <row r="51" spans="2:16" x14ac:dyDescent="0.2">
      <c r="B51" t="s">
        <v>35</v>
      </c>
    </row>
    <row r="52" spans="2:16" x14ac:dyDescent="0.2">
      <c r="C52" t="s">
        <v>19</v>
      </c>
      <c r="D52" t="s">
        <v>0</v>
      </c>
      <c r="E52" t="s">
        <v>1</v>
      </c>
      <c r="F52" t="s">
        <v>2</v>
      </c>
      <c r="G52" t="s">
        <v>3</v>
      </c>
      <c r="H52" t="s">
        <v>4</v>
      </c>
      <c r="L52" t="s">
        <v>5</v>
      </c>
      <c r="M52" t="s">
        <v>6</v>
      </c>
      <c r="N52" t="s">
        <v>7</v>
      </c>
      <c r="O52" t="s">
        <v>8</v>
      </c>
      <c r="P52" t="s">
        <v>9</v>
      </c>
    </row>
    <row r="53" spans="2:16" x14ac:dyDescent="0.2">
      <c r="B53">
        <f t="shared" ref="B53:B57" si="0">1/((0.000086173)*C53)</f>
        <v>8.2889735100984563</v>
      </c>
      <c r="C53">
        <v>1400</v>
      </c>
      <c r="D53" s="2">
        <v>4.1261161631671457E-5</v>
      </c>
      <c r="E53" s="2">
        <v>3.8605037828585839E-5</v>
      </c>
      <c r="F53" s="2">
        <v>3.7932968512423359E-5</v>
      </c>
      <c r="G53" s="2">
        <v>4.2534042709564621E-5</v>
      </c>
      <c r="H53" s="2">
        <v>4.2472349716766331E-5</v>
      </c>
      <c r="K53">
        <v>1400</v>
      </c>
      <c r="L53" s="2">
        <v>7.9208513126511822E-6</v>
      </c>
      <c r="M53" s="2">
        <v>7.3875715711492113E-6</v>
      </c>
      <c r="N53" s="2">
        <v>7.6501204440005267E-6</v>
      </c>
      <c r="O53" s="2">
        <v>8.1785984081847566E-6</v>
      </c>
      <c r="P53" s="2">
        <v>8.3210112840633194E-6</v>
      </c>
    </row>
    <row r="54" spans="2:16" x14ac:dyDescent="0.2">
      <c r="B54">
        <f t="shared" si="0"/>
        <v>8.9265868570291058</v>
      </c>
      <c r="C54">
        <v>1300</v>
      </c>
      <c r="D54">
        <v>2.9944514031675467E-5</v>
      </c>
      <c r="E54">
        <v>2.8964102677445762E-5</v>
      </c>
      <c r="F54">
        <v>2.7267759403660678E-5</v>
      </c>
      <c r="G54">
        <v>2.98880000037275E-5</v>
      </c>
      <c r="H54">
        <v>3.1612263782180487E-5</v>
      </c>
      <c r="K54">
        <v>1300</v>
      </c>
      <c r="L54">
        <v>5.0519884583828364E-6</v>
      </c>
      <c r="M54">
        <v>4.4692107316578943E-6</v>
      </c>
      <c r="N54">
        <v>4.1773596553684702E-6</v>
      </c>
      <c r="O54">
        <v>4.4893846987116355E-6</v>
      </c>
      <c r="P54">
        <v>4.6949854222350023E-6</v>
      </c>
    </row>
    <row r="55" spans="2:16" x14ac:dyDescent="0.2">
      <c r="B55">
        <f t="shared" si="0"/>
        <v>9.670469095114866</v>
      </c>
      <c r="C55">
        <v>1200</v>
      </c>
      <c r="D55">
        <v>1.8590684784734281E-5</v>
      </c>
      <c r="E55">
        <v>1.8714184073482613E-5</v>
      </c>
      <c r="F55">
        <v>1.76244600134838E-5</v>
      </c>
      <c r="G55">
        <v>1.9905412812529006E-5</v>
      </c>
      <c r="H55">
        <v>2.1693503203547408E-5</v>
      </c>
      <c r="K55">
        <v>1200</v>
      </c>
      <c r="L55">
        <v>2.4493781143774093E-6</v>
      </c>
      <c r="M55">
        <v>2.0002207266325845E-6</v>
      </c>
      <c r="N55">
        <v>2.2779365189504065E-6</v>
      </c>
      <c r="O55">
        <v>2.297295188883147E-6</v>
      </c>
      <c r="P55">
        <v>2.6038092930128246E-6</v>
      </c>
    </row>
    <row r="56" spans="2:16" x14ac:dyDescent="0.2">
      <c r="B56">
        <f t="shared" si="0"/>
        <v>10.549602649216217</v>
      </c>
      <c r="C56">
        <v>1100</v>
      </c>
      <c r="D56">
        <v>1.1063711765148486E-5</v>
      </c>
      <c r="E56">
        <v>1.0364018844525796E-5</v>
      </c>
      <c r="F56">
        <v>1.0734026120687886E-5</v>
      </c>
      <c r="G56">
        <v>1.1231261864754315E-5</v>
      </c>
      <c r="H56">
        <v>1.1812153654511798E-5</v>
      </c>
      <c r="K56">
        <v>1100</v>
      </c>
      <c r="L56">
        <v>1.2200763002237876E-6</v>
      </c>
      <c r="M56">
        <v>1.2085135284497505E-6</v>
      </c>
      <c r="N56">
        <v>1.1426863431300327E-6</v>
      </c>
      <c r="O56">
        <v>1.363345585873022E-6</v>
      </c>
      <c r="P56">
        <v>1.051478051659922E-6</v>
      </c>
    </row>
    <row r="57" spans="2:16" x14ac:dyDescent="0.2">
      <c r="B57">
        <f t="shared" si="0"/>
        <v>11.604562914137839</v>
      </c>
      <c r="C57">
        <v>1000</v>
      </c>
      <c r="D57">
        <v>5.4404033921933006E-6</v>
      </c>
      <c r="E57">
        <v>5.6323774178043241E-6</v>
      </c>
      <c r="F57">
        <v>5.317787382166887E-6</v>
      </c>
      <c r="G57">
        <v>6.5399803126230417E-6</v>
      </c>
      <c r="H57">
        <v>6.8577288207771175E-6</v>
      </c>
      <c r="K57">
        <v>1000</v>
      </c>
      <c r="L57">
        <v>2.8946406962465296E-7</v>
      </c>
      <c r="M57">
        <v>5.1090470048983667E-7</v>
      </c>
      <c r="N57">
        <v>3.9680741667559783E-7</v>
      </c>
      <c r="O57">
        <v>4.9752854514250217E-7</v>
      </c>
      <c r="P57">
        <v>4.0590742170490476E-7</v>
      </c>
    </row>
    <row r="59" spans="2:16" x14ac:dyDescent="0.2">
      <c r="B59" t="s">
        <v>36</v>
      </c>
    </row>
    <row r="60" spans="2:16" x14ac:dyDescent="0.2">
      <c r="C60" t="s">
        <v>19</v>
      </c>
      <c r="D60" t="s">
        <v>0</v>
      </c>
      <c r="E60" t="s">
        <v>1</v>
      </c>
      <c r="F60" t="s">
        <v>2</v>
      </c>
      <c r="G60" t="s">
        <v>3</v>
      </c>
      <c r="H60" t="s">
        <v>4</v>
      </c>
      <c r="L60" t="s">
        <v>5</v>
      </c>
      <c r="M60" t="s">
        <v>6</v>
      </c>
      <c r="N60" t="s">
        <v>7</v>
      </c>
      <c r="O60" t="s">
        <v>8</v>
      </c>
      <c r="P60" t="s">
        <v>9</v>
      </c>
    </row>
    <row r="61" spans="2:16" x14ac:dyDescent="0.2">
      <c r="B61">
        <f t="shared" ref="B61:B64" si="1">1/((0.000086173)*C61)</f>
        <v>8.2889735100984563</v>
      </c>
      <c r="C61">
        <v>1400</v>
      </c>
      <c r="D61">
        <v>3.1373093779462575E-5</v>
      </c>
      <c r="E61">
        <v>2.9440364932743874E-5</v>
      </c>
      <c r="F61">
        <v>2.9492101962406141E-5</v>
      </c>
      <c r="G61">
        <v>3.3355755020246913E-5</v>
      </c>
      <c r="H61">
        <v>3.3338190978032005E-5</v>
      </c>
      <c r="K61">
        <v>1400</v>
      </c>
      <c r="L61">
        <v>4.6908850250579452E-6</v>
      </c>
      <c r="M61">
        <v>4.5434767650166494E-6</v>
      </c>
      <c r="N61">
        <v>4.8054290451744083E-6</v>
      </c>
      <c r="O61">
        <v>4.7734500402893297E-6</v>
      </c>
      <c r="P61">
        <v>4.8140854561449197E-6</v>
      </c>
    </row>
    <row r="62" spans="2:16" x14ac:dyDescent="0.2">
      <c r="B62">
        <f t="shared" si="1"/>
        <v>8.9265868570291058</v>
      </c>
      <c r="C62">
        <v>1300</v>
      </c>
      <c r="D62">
        <v>2.0800802227676657E-5</v>
      </c>
      <c r="E62">
        <v>1.989767929914725E-5</v>
      </c>
      <c r="F62">
        <v>1.8528503664105651E-5</v>
      </c>
      <c r="G62">
        <v>2.1279036343076024E-5</v>
      </c>
      <c r="H62">
        <v>2.1186500140908743E-5</v>
      </c>
      <c r="K62">
        <v>1300</v>
      </c>
      <c r="L62">
        <v>2.6151851043396464E-6</v>
      </c>
      <c r="M62">
        <v>2.5050037152183123E-6</v>
      </c>
      <c r="N62">
        <v>2.752155343413654E-6</v>
      </c>
      <c r="O62">
        <v>2.7432992620372222E-6</v>
      </c>
      <c r="P62">
        <v>2.9218111906815395E-6</v>
      </c>
    </row>
    <row r="63" spans="2:16" x14ac:dyDescent="0.2">
      <c r="B63">
        <f t="shared" si="1"/>
        <v>9.670469095114866</v>
      </c>
      <c r="C63">
        <v>1200</v>
      </c>
      <c r="D63">
        <v>1.1370818584925558E-5</v>
      </c>
      <c r="E63">
        <v>1.1066555539391352E-5</v>
      </c>
      <c r="F63">
        <v>9.5942904088899442E-6</v>
      </c>
      <c r="G63">
        <v>1.1038513905518621E-5</v>
      </c>
      <c r="H63">
        <v>1.2390581377476976E-5</v>
      </c>
      <c r="K63">
        <v>1200</v>
      </c>
      <c r="L63">
        <v>1.199583045128404E-6</v>
      </c>
      <c r="M63">
        <v>1.5480664963238553E-6</v>
      </c>
      <c r="N63">
        <v>1.4517088087878181E-6</v>
      </c>
      <c r="O63">
        <v>1.4634978515114201E-6</v>
      </c>
      <c r="P63">
        <v>1.2661127721814673E-6</v>
      </c>
    </row>
    <row r="64" spans="2:16" x14ac:dyDescent="0.2">
      <c r="B64">
        <f t="shared" si="1"/>
        <v>10.549602649216217</v>
      </c>
      <c r="C64">
        <v>1100</v>
      </c>
      <c r="D64">
        <v>5.9061611863109262E-6</v>
      </c>
      <c r="E64">
        <v>5.9603184827859215E-6</v>
      </c>
      <c r="F64">
        <v>5.2663516280976404E-6</v>
      </c>
      <c r="G64">
        <v>6.0851243951468561E-6</v>
      </c>
      <c r="H64">
        <v>5.9817794316550433E-6</v>
      </c>
      <c r="K64">
        <v>1100</v>
      </c>
      <c r="L64">
        <v>6.3925628867080076E-7</v>
      </c>
      <c r="M64">
        <v>6.483756378477445E-7</v>
      </c>
      <c r="N64">
        <v>6.3323188596606148E-7</v>
      </c>
      <c r="O64">
        <v>7.2412037274626798E-7</v>
      </c>
      <c r="P64">
        <v>6.554391465445881E-7</v>
      </c>
    </row>
    <row r="67" spans="4:5" x14ac:dyDescent="0.2">
      <c r="D67" s="2">
        <v>4.1261161631671497E-5</v>
      </c>
      <c r="E67" s="2">
        <v>3.8605037828585839E-5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06FC-F6E2-B840-ADBA-E9E493C3DFAE}">
  <dimension ref="B2:BK117"/>
  <sheetViews>
    <sheetView topLeftCell="R85" workbookViewId="0">
      <selection activeCell="Z100" sqref="Z100"/>
    </sheetView>
  </sheetViews>
  <sheetFormatPr baseColWidth="10" defaultRowHeight="16" x14ac:dyDescent="0.2"/>
  <cols>
    <col min="44" max="44" width="12.83203125" bestFit="1" customWidth="1"/>
    <col min="46" max="46" width="12.83203125" bestFit="1" customWidth="1"/>
    <col min="57" max="57" width="12.83203125" bestFit="1" customWidth="1"/>
    <col min="59" max="59" width="12.83203125" bestFit="1" customWidth="1"/>
    <col min="60" max="61" width="12.1640625" customWidth="1"/>
  </cols>
  <sheetData>
    <row r="2" spans="2:63" x14ac:dyDescent="0.2">
      <c r="C2" t="s">
        <v>41</v>
      </c>
      <c r="U2" t="s">
        <v>42</v>
      </c>
    </row>
    <row r="3" spans="2:63" x14ac:dyDescent="0.2">
      <c r="B3" t="s">
        <v>28</v>
      </c>
      <c r="I3" t="s">
        <v>37</v>
      </c>
      <c r="T3" t="s">
        <v>28</v>
      </c>
      <c r="AA3" t="s">
        <v>37</v>
      </c>
      <c r="AM3" t="s">
        <v>46</v>
      </c>
      <c r="AR3">
        <f>AVERAGE(AR7:AR49)</f>
        <v>3.23555436240778E-8</v>
      </c>
      <c r="AZ3" t="s">
        <v>46</v>
      </c>
      <c r="BE3">
        <f>AVERAGE(BE7:BE51)</f>
        <v>-9.3194100573354801E-8</v>
      </c>
    </row>
    <row r="4" spans="2:63" x14ac:dyDescent="0.2">
      <c r="D4">
        <v>0</v>
      </c>
      <c r="E4">
        <v>5</v>
      </c>
      <c r="F4">
        <v>10</v>
      </c>
      <c r="G4">
        <v>-5</v>
      </c>
      <c r="H4">
        <v>-10</v>
      </c>
      <c r="V4">
        <v>0</v>
      </c>
      <c r="W4">
        <v>5</v>
      </c>
      <c r="X4">
        <v>10</v>
      </c>
      <c r="Y4">
        <v>-5</v>
      </c>
      <c r="Z4">
        <v>-10</v>
      </c>
      <c r="AM4" t="s">
        <v>42</v>
      </c>
      <c r="AZ4" t="s">
        <v>41</v>
      </c>
    </row>
    <row r="5" spans="2:63" x14ac:dyDescent="0.2">
      <c r="C5" t="s">
        <v>19</v>
      </c>
      <c r="D5" t="s">
        <v>0</v>
      </c>
      <c r="E5" t="s">
        <v>1</v>
      </c>
      <c r="F5" t="s">
        <v>2</v>
      </c>
      <c r="G5" t="s">
        <v>3</v>
      </c>
      <c r="H5" t="s">
        <v>4</v>
      </c>
      <c r="P5" t="s">
        <v>38</v>
      </c>
      <c r="Q5" t="s">
        <v>39</v>
      </c>
      <c r="R5" t="s">
        <v>40</v>
      </c>
      <c r="U5" t="s">
        <v>19</v>
      </c>
      <c r="V5" t="s">
        <v>0</v>
      </c>
      <c r="W5" t="s">
        <v>1</v>
      </c>
      <c r="X5" t="s">
        <v>2</v>
      </c>
      <c r="Y5" t="s">
        <v>3</v>
      </c>
      <c r="Z5" t="s">
        <v>4</v>
      </c>
      <c r="AH5" t="s">
        <v>38</v>
      </c>
      <c r="AI5" t="s">
        <v>39</v>
      </c>
      <c r="AJ5" t="s">
        <v>40</v>
      </c>
      <c r="AM5" t="s">
        <v>28</v>
      </c>
      <c r="AR5" t="s">
        <v>44</v>
      </c>
      <c r="AS5" t="s">
        <v>45</v>
      </c>
      <c r="AT5" t="s">
        <v>47</v>
      </c>
      <c r="AZ5" t="s">
        <v>28</v>
      </c>
      <c r="BE5" t="s">
        <v>44</v>
      </c>
      <c r="BF5" t="s">
        <v>45</v>
      </c>
    </row>
    <row r="6" spans="2:63" x14ac:dyDescent="0.2">
      <c r="B6">
        <v>9.670469095114866</v>
      </c>
      <c r="C6">
        <v>1200</v>
      </c>
      <c r="D6">
        <v>5.092410388168946E-5</v>
      </c>
      <c r="E6">
        <v>4.9297734296438011E-5</v>
      </c>
      <c r="F6">
        <v>4.6654469463169739E-5</v>
      </c>
      <c r="G6">
        <v>5.2121530220104684E-5</v>
      </c>
      <c r="H6">
        <v>5.3026110650558022E-5</v>
      </c>
      <c r="I6">
        <f>LN(D6)</f>
        <v>-9.8851741928311796</v>
      </c>
      <c r="J6">
        <f t="shared" ref="J6:M10" si="0">LN(E6)</f>
        <v>-9.9176324354476098</v>
      </c>
      <c r="K6">
        <f t="shared" si="0"/>
        <v>-9.9727418268321806</v>
      </c>
      <c r="L6">
        <f t="shared" si="0"/>
        <v>-9.8619324465817311</v>
      </c>
      <c r="M6">
        <f t="shared" si="0"/>
        <v>-9.8447261119420713</v>
      </c>
      <c r="O6">
        <v>0.22</v>
      </c>
      <c r="P6">
        <v>-0.32582452143779767</v>
      </c>
      <c r="Q6">
        <v>-6.7282011766947525</v>
      </c>
      <c r="R6" s="5">
        <f>EXP(Q6)</f>
        <v>1.1966836456386361E-3</v>
      </c>
      <c r="T6">
        <f>1/U6/(0.000086173)</f>
        <v>9.670469095114866</v>
      </c>
      <c r="U6">
        <v>1200</v>
      </c>
      <c r="V6">
        <v>1.1442407913988637E-5</v>
      </c>
      <c r="W6">
        <v>1.1552504525263053E-5</v>
      </c>
      <c r="X6">
        <v>1.1584083817891319E-5</v>
      </c>
      <c r="Y6">
        <v>1.1764155457600128E-5</v>
      </c>
      <c r="Z6">
        <v>1.2421031526553439E-5</v>
      </c>
      <c r="AA6">
        <f>LN(V6)</f>
        <v>-11.378184112168835</v>
      </c>
      <c r="AB6">
        <f t="shared" ref="AB6:AB10" si="1">LN(W6)</f>
        <v>-11.368608302489186</v>
      </c>
      <c r="AC6">
        <f t="shared" ref="AC6:AC10" si="2">LN(X6)</f>
        <v>-11.365878486686583</v>
      </c>
      <c r="AD6">
        <f t="shared" ref="AD6:AD10" si="3">LN(Y6)</f>
        <v>-11.350453322670946</v>
      </c>
      <c r="AE6">
        <f t="shared" ref="AE6:AE10" si="4">LN(Z6)</f>
        <v>-11.296119431239958</v>
      </c>
      <c r="AG6">
        <v>0.22</v>
      </c>
      <c r="AH6">
        <v>-0.69210656615731425</v>
      </c>
      <c r="AI6">
        <v>-4.6354335787771763</v>
      </c>
      <c r="AJ6" s="5">
        <f>EXP(AI6)</f>
        <v>9.7018995885251539E-3</v>
      </c>
      <c r="AM6">
        <v>0</v>
      </c>
      <c r="AN6">
        <v>5</v>
      </c>
      <c r="AO6">
        <v>10</v>
      </c>
      <c r="AP6">
        <v>-5</v>
      </c>
      <c r="AQ6">
        <v>-10</v>
      </c>
      <c r="AZ6">
        <v>0</v>
      </c>
      <c r="BA6">
        <v>5</v>
      </c>
      <c r="BB6">
        <v>10</v>
      </c>
      <c r="BC6">
        <v>-5</v>
      </c>
      <c r="BD6">
        <v>-10</v>
      </c>
    </row>
    <row r="7" spans="2:63" x14ac:dyDescent="0.2">
      <c r="B7">
        <v>10.549602649216217</v>
      </c>
      <c r="C7">
        <v>1100</v>
      </c>
      <c r="D7">
        <v>3.8297706636324131E-5</v>
      </c>
      <c r="E7">
        <v>3.8630511027789524E-5</v>
      </c>
      <c r="F7">
        <v>3.6385252749859133E-5</v>
      </c>
      <c r="G7">
        <v>4.0238583012870752E-5</v>
      </c>
      <c r="H7">
        <v>4.1222181760650638E-5</v>
      </c>
      <c r="I7">
        <f t="shared" ref="I7:I10" si="5">LN(D7)</f>
        <v>-10.17012054251764</v>
      </c>
      <c r="J7">
        <f t="shared" si="0"/>
        <v>-10.161468152593114</v>
      </c>
      <c r="K7">
        <f t="shared" si="0"/>
        <v>-10.221347009649318</v>
      </c>
      <c r="L7">
        <f t="shared" si="0"/>
        <v>-10.12068424619064</v>
      </c>
      <c r="M7">
        <f t="shared" si="0"/>
        <v>-10.096534054241099</v>
      </c>
      <c r="O7">
        <v>0.15</v>
      </c>
      <c r="P7">
        <v>-0.22272750687886961</v>
      </c>
      <c r="Q7">
        <v>-7.4105596545081385</v>
      </c>
      <c r="R7" s="5">
        <f t="shared" ref="R7:R12" si="6">EXP(Q7)</f>
        <v>6.0483210278370106E-4</v>
      </c>
      <c r="T7">
        <f t="shared" ref="T7:T10" si="7">1/U7/(0.000086173)</f>
        <v>10.549602649216217</v>
      </c>
      <c r="U7">
        <v>1100</v>
      </c>
      <c r="V7">
        <v>6.5568306538249988E-6</v>
      </c>
      <c r="W7">
        <v>6.5772344931736062E-6</v>
      </c>
      <c r="X7">
        <v>6.2950298654997885E-6</v>
      </c>
      <c r="Y7">
        <v>7.0823554293596741E-6</v>
      </c>
      <c r="Z7">
        <v>6.847735544606478E-6</v>
      </c>
      <c r="AA7">
        <f t="shared" ref="AA7:AA10" si="8">LN(V7)</f>
        <v>-11.935003203793036</v>
      </c>
      <c r="AB7">
        <f t="shared" si="1"/>
        <v>-11.931896190764803</v>
      </c>
      <c r="AC7">
        <f t="shared" si="2"/>
        <v>-11.975750146158362</v>
      </c>
      <c r="AD7">
        <f t="shared" si="3"/>
        <v>-11.857904017824282</v>
      </c>
      <c r="AE7">
        <f t="shared" si="4"/>
        <v>-11.891592537772615</v>
      </c>
      <c r="AG7">
        <v>0.15</v>
      </c>
      <c r="AH7">
        <v>-0.59037493427441445</v>
      </c>
      <c r="AI7">
        <v>-4.9753452680622203</v>
      </c>
      <c r="AJ7" s="5">
        <f t="shared" ref="AJ7:AJ12" si="9">EXP(AI7)</f>
        <v>6.9061340602424954E-3</v>
      </c>
      <c r="AM7">
        <v>1.1442407913988637E-5</v>
      </c>
      <c r="AN7">
        <v>1.1552504525263053E-5</v>
      </c>
      <c r="AO7">
        <v>1.1584083817891319E-5</v>
      </c>
      <c r="AP7">
        <v>1.1764155457600128E-5</v>
      </c>
      <c r="AQ7">
        <v>1.2421031526553439E-5</v>
      </c>
      <c r="AR7" cm="1">
        <f t="array" ref="AR7:AS7">LINEST(AM7:AQ7,$AM$6:$AQ$6)</f>
        <v>-3.7710926993226297E-8</v>
      </c>
      <c r="AS7">
        <v>1.1752836648259314E-5</v>
      </c>
      <c r="AT7">
        <f>AR7/AM7</f>
        <v>-3.2957160133334981E-3</v>
      </c>
      <c r="AU7">
        <f>MAX(AM7:AQ7)/MIN(AM7:AQ7)</f>
        <v>1.0855260203902022</v>
      </c>
      <c r="AW7">
        <v>0.22</v>
      </c>
      <c r="AX7">
        <v>-1.9555508930711228E-8</v>
      </c>
      <c r="AZ7">
        <v>5.092410388168946E-5</v>
      </c>
      <c r="BA7">
        <v>4.9297734296438011E-5</v>
      </c>
      <c r="BB7">
        <v>4.6654469463169739E-5</v>
      </c>
      <c r="BC7">
        <v>5.2121530220104684E-5</v>
      </c>
      <c r="BD7">
        <v>5.3026110650558022E-5</v>
      </c>
      <c r="BE7" cm="1">
        <f t="array" ref="BE7:BF7">LINEST(AZ7:BD7,$AM$6:$AQ$6)</f>
        <v>-3.1134156596886476E-7</v>
      </c>
      <c r="BF7">
        <v>5.0404789702391987E-5</v>
      </c>
      <c r="BH7">
        <f>MAX(AZ7:BD7)/MIN(AZ7:BD7)</f>
        <v>1.1365708636429404</v>
      </c>
      <c r="BJ7">
        <v>0.22</v>
      </c>
      <c r="BK7">
        <v>-2.0431719382141597E-7</v>
      </c>
    </row>
    <row r="8" spans="2:63" x14ac:dyDescent="0.2">
      <c r="B8">
        <v>11.604562914137839</v>
      </c>
      <c r="C8">
        <v>1000</v>
      </c>
      <c r="D8">
        <v>2.8193587665254488E-5</v>
      </c>
      <c r="E8">
        <v>2.6648285419724289E-5</v>
      </c>
      <c r="F8">
        <v>2.577037052271707E-5</v>
      </c>
      <c r="G8">
        <v>2.7876056344903544E-5</v>
      </c>
      <c r="H8">
        <v>2.9786056305717903E-5</v>
      </c>
      <c r="I8">
        <f t="shared" si="5"/>
        <v>-10.476415993633655</v>
      </c>
      <c r="J8">
        <f t="shared" si="0"/>
        <v>-10.532785746393078</v>
      </c>
      <c r="K8">
        <f t="shared" si="0"/>
        <v>-10.566285155339061</v>
      </c>
      <c r="L8">
        <f t="shared" si="0"/>
        <v>-10.487742433120726</v>
      </c>
      <c r="M8">
        <f t="shared" si="0"/>
        <v>-10.421470183160684</v>
      </c>
      <c r="O8">
        <v>0.3</v>
      </c>
      <c r="P8">
        <v>-0.44274242109919942</v>
      </c>
      <c r="Q8">
        <v>-5.9043889442109574</v>
      </c>
      <c r="R8" s="5">
        <f t="shared" si="6"/>
        <v>2.7274478944634252E-3</v>
      </c>
      <c r="T8">
        <f t="shared" si="7"/>
        <v>11.604562914137839</v>
      </c>
      <c r="U8">
        <v>1000</v>
      </c>
      <c r="V8">
        <v>3.4644447232094606E-6</v>
      </c>
      <c r="W8">
        <v>2.9446946537938828E-6</v>
      </c>
      <c r="X8">
        <v>2.9306715325491448E-6</v>
      </c>
      <c r="Y8">
        <v>3.0420958725453197E-6</v>
      </c>
      <c r="Z8">
        <v>3.1274099650743838E-6</v>
      </c>
      <c r="AA8">
        <f t="shared" si="8"/>
        <v>-12.5729581912063</v>
      </c>
      <c r="AB8">
        <f t="shared" si="1"/>
        <v>-12.735505429158451</v>
      </c>
      <c r="AC8">
        <f t="shared" si="2"/>
        <v>-12.740278969199476</v>
      </c>
      <c r="AD8">
        <f t="shared" si="3"/>
        <v>-12.702963848336713</v>
      </c>
      <c r="AE8">
        <f t="shared" si="4"/>
        <v>-12.675305383165412</v>
      </c>
      <c r="AG8">
        <v>0.3</v>
      </c>
      <c r="AH8">
        <v>-0.75167340755453094</v>
      </c>
      <c r="AI8">
        <v>-4.6522796393652452</v>
      </c>
      <c r="AJ8" s="5">
        <f t="shared" si="9"/>
        <v>9.5398297521739981E-3</v>
      </c>
      <c r="AM8">
        <v>6.5568306538249988E-6</v>
      </c>
      <c r="AN8">
        <v>6.5772344931736062E-6</v>
      </c>
      <c r="AO8">
        <v>6.2950298654997885E-6</v>
      </c>
      <c r="AP8">
        <v>7.0823554293596741E-6</v>
      </c>
      <c r="AQ8">
        <v>6.847735544606478E-6</v>
      </c>
      <c r="AR8" cm="1">
        <f t="array" ref="AR8:AS8">LINEST(AM8:AQ8,$AM$6:$AQ$6)</f>
        <v>-3.2210645887988935E-8</v>
      </c>
      <c r="AS8">
        <v>6.6718371972929094E-6</v>
      </c>
      <c r="AT8">
        <f t="shared" ref="AT8:AT11" si="10">AR8/AM8</f>
        <v>-4.9125328361498098E-3</v>
      </c>
      <c r="AU8">
        <f t="shared" ref="AU8:AU10" si="11">MAX(AM8:AQ8)/MIN(AM8:AQ8)</f>
        <v>1.1250709815015907</v>
      </c>
      <c r="AW8">
        <v>0.15</v>
      </c>
      <c r="AX8">
        <v>-2.0114747349890359E-8</v>
      </c>
      <c r="AZ8">
        <v>3.8297706636324131E-5</v>
      </c>
      <c r="BA8">
        <v>3.8630511027789524E-5</v>
      </c>
      <c r="BB8">
        <v>3.6385252749859133E-5</v>
      </c>
      <c r="BC8">
        <v>4.0238583012870752E-5</v>
      </c>
      <c r="BD8">
        <v>4.1222181760650638E-5</v>
      </c>
      <c r="BE8" cm="1">
        <f t="array" ref="BE8:BF8">LINEST(AZ8:BD8,$AM$6:$AQ$6)</f>
        <v>-2.2563860013328477E-7</v>
      </c>
      <c r="BF8">
        <v>3.8954847037498837E-5</v>
      </c>
      <c r="BH8">
        <f t="shared" ref="BH8:BH10" si="12">MAX(AZ8:BD8)/MIN(AZ8:BD8)</f>
        <v>1.1329365235977433</v>
      </c>
      <c r="BJ8">
        <v>0.15</v>
      </c>
      <c r="BK8">
        <v>-1.3736656924807227E-7</v>
      </c>
    </row>
    <row r="9" spans="2:63" x14ac:dyDescent="0.2">
      <c r="B9">
        <v>12.893958793486487</v>
      </c>
      <c r="C9">
        <v>900</v>
      </c>
      <c r="D9">
        <v>1.7402578741961171E-5</v>
      </c>
      <c r="E9">
        <v>1.7184605390236487E-5</v>
      </c>
      <c r="F9">
        <v>1.6479570923614631E-5</v>
      </c>
      <c r="G9">
        <v>1.9021699497582625E-5</v>
      </c>
      <c r="H9">
        <v>1.9399779774857544E-5</v>
      </c>
      <c r="I9">
        <f t="shared" si="5"/>
        <v>-10.958892159163867</v>
      </c>
      <c r="J9">
        <f t="shared" si="0"/>
        <v>-10.971496610379624</v>
      </c>
      <c r="K9">
        <f t="shared" si="0"/>
        <v>-11.013389070010328</v>
      </c>
      <c r="L9">
        <f t="shared" si="0"/>
        <v>-10.869930151653582</v>
      </c>
      <c r="M9">
        <f t="shared" si="0"/>
        <v>-10.85024884377089</v>
      </c>
      <c r="O9">
        <v>0</v>
      </c>
      <c r="P9">
        <v>-0.12453809661969778</v>
      </c>
      <c r="Q9">
        <v>-8.0598412567443471</v>
      </c>
      <c r="R9" s="5">
        <f t="shared" si="6"/>
        <v>3.1597696053197399E-4</v>
      </c>
      <c r="T9">
        <f t="shared" si="7"/>
        <v>12.893958793486487</v>
      </c>
      <c r="U9">
        <v>900</v>
      </c>
      <c r="V9">
        <v>1.2603767193242319E-6</v>
      </c>
      <c r="W9">
        <v>1.1951986496780146E-6</v>
      </c>
      <c r="X9">
        <v>9.2748904735329595E-7</v>
      </c>
      <c r="Y9">
        <v>1.3282318667290722E-6</v>
      </c>
      <c r="Z9">
        <v>1.4473153636764452E-6</v>
      </c>
      <c r="AA9">
        <f t="shared" si="8"/>
        <v>-13.584099898096914</v>
      </c>
      <c r="AB9">
        <f t="shared" si="1"/>
        <v>-13.637198152355968</v>
      </c>
      <c r="AC9">
        <f t="shared" si="2"/>
        <v>-13.890784851318054</v>
      </c>
      <c r="AD9">
        <f t="shared" si="3"/>
        <v>-13.531661923709999</v>
      </c>
      <c r="AE9">
        <f t="shared" si="4"/>
        <v>-13.44580019095365</v>
      </c>
      <c r="AG9">
        <v>0</v>
      </c>
      <c r="AH9">
        <v>-0.41978606168222909</v>
      </c>
      <c r="AI9">
        <v>-6.1423545968780084</v>
      </c>
      <c r="AJ9" s="5">
        <f t="shared" si="9"/>
        <v>2.1498556107724452E-3</v>
      </c>
      <c r="AM9">
        <v>3.4644447232094606E-6</v>
      </c>
      <c r="AN9">
        <v>2.9446946537938828E-6</v>
      </c>
      <c r="AO9">
        <v>2.9306715325491448E-6</v>
      </c>
      <c r="AP9">
        <v>3.0420958725453197E-6</v>
      </c>
      <c r="AQ9">
        <v>3.1274099650743838E-6</v>
      </c>
      <c r="AR9" cm="1">
        <f t="array" ref="AR9:AS9">LINEST(AM9:AQ9,$AM$6:$AQ$6)</f>
        <v>-9.817561676038303E-9</v>
      </c>
      <c r="AS9">
        <v>3.1018633494344384E-6</v>
      </c>
      <c r="AT9">
        <f t="shared" si="10"/>
        <v>-2.8338052589689804E-3</v>
      </c>
      <c r="AU9">
        <f t="shared" si="11"/>
        <v>1.1821334068768981</v>
      </c>
      <c r="AW9">
        <v>0.3</v>
      </c>
      <c r="AX9">
        <v>-1.5943764102244538E-8</v>
      </c>
      <c r="AZ9">
        <v>2.8193587665254488E-5</v>
      </c>
      <c r="BA9">
        <v>2.6648285419724289E-5</v>
      </c>
      <c r="BB9">
        <v>2.577037052271707E-5</v>
      </c>
      <c r="BC9">
        <v>2.7876056344903544E-5</v>
      </c>
      <c r="BD9">
        <v>2.9786056305717903E-5</v>
      </c>
      <c r="BE9" cm="1">
        <f t="array" ref="BE9:BF9">LINEST(AZ9:BD9,$AM$6:$AQ$6)</f>
        <v>-1.8518284982361847E-7</v>
      </c>
      <c r="BF9">
        <v>2.7654871251663462E-5</v>
      </c>
      <c r="BH9">
        <f t="shared" si="12"/>
        <v>1.1558256905720827</v>
      </c>
      <c r="BJ9">
        <v>0.3</v>
      </c>
      <c r="BK9">
        <v>-1.8675242354416351E-7</v>
      </c>
    </row>
    <row r="10" spans="2:63" x14ac:dyDescent="0.2">
      <c r="B10">
        <v>14.5057036426723</v>
      </c>
      <c r="C10">
        <v>800</v>
      </c>
      <c r="D10">
        <v>1.0680069107916754E-5</v>
      </c>
      <c r="E10">
        <v>8.1789617374922078E-6</v>
      </c>
      <c r="F10">
        <v>9.2606157572312902E-6</v>
      </c>
      <c r="G10">
        <v>1.0894306249557404E-5</v>
      </c>
      <c r="H10">
        <v>1.1549761425815505E-5</v>
      </c>
      <c r="I10">
        <f t="shared" si="5"/>
        <v>-11.447131253674439</v>
      </c>
      <c r="J10">
        <f t="shared" si="0"/>
        <v>-11.71394534236247</v>
      </c>
      <c r="K10">
        <f t="shared" si="0"/>
        <v>-11.589740015055716</v>
      </c>
      <c r="L10">
        <f t="shared" si="0"/>
        <v>-11.427270267633885</v>
      </c>
      <c r="M10">
        <f t="shared" si="0"/>
        <v>-11.368845776983354</v>
      </c>
      <c r="O10">
        <v>1</v>
      </c>
      <c r="P10">
        <v>-0.27258255074416321</v>
      </c>
      <c r="Q10">
        <v>-7.205305996412898</v>
      </c>
      <c r="R10" s="5">
        <f t="shared" si="6"/>
        <v>7.4263491773062125E-4</v>
      </c>
      <c r="T10">
        <f t="shared" si="7"/>
        <v>14.505703642672298</v>
      </c>
      <c r="U10">
        <v>800</v>
      </c>
      <c r="V10">
        <v>4.1439451426586226E-7</v>
      </c>
      <c r="W10">
        <v>2.9333083602360756E-7</v>
      </c>
      <c r="X10">
        <v>5.425685310743249E-7</v>
      </c>
      <c r="Y10">
        <v>4.9959909982678342E-7</v>
      </c>
      <c r="Z10">
        <v>3.0405172673162427E-7</v>
      </c>
      <c r="AA10">
        <f t="shared" si="8"/>
        <v>-14.696447383864188</v>
      </c>
      <c r="AB10">
        <f t="shared" si="1"/>
        <v>-15.041964731734392</v>
      </c>
      <c r="AC10">
        <f t="shared" si="2"/>
        <v>-14.426951434949105</v>
      </c>
      <c r="AD10">
        <f t="shared" si="3"/>
        <v>-14.509459860484474</v>
      </c>
      <c r="AE10">
        <f t="shared" si="4"/>
        <v>-15.006067996292243</v>
      </c>
      <c r="AG10">
        <v>1</v>
      </c>
      <c r="AH10">
        <v>-1.4280850898092239</v>
      </c>
      <c r="AI10">
        <v>-2.1781060504945167</v>
      </c>
      <c r="AJ10" s="5">
        <f t="shared" si="9"/>
        <v>0.11325582846207408</v>
      </c>
      <c r="AM10">
        <v>1.2603767193242319E-6</v>
      </c>
      <c r="AN10">
        <v>1.1951986496780146E-6</v>
      </c>
      <c r="AO10">
        <v>9.2748904735329595E-7</v>
      </c>
      <c r="AP10">
        <v>1.3282318667290722E-6</v>
      </c>
      <c r="AQ10">
        <v>1.4473153636764452E-6</v>
      </c>
      <c r="AR10" cm="1">
        <f t="array" ref="AR10:AS10">LINEST(AM10:AQ10,$AM$6:$AQ$6)</f>
        <v>-2.3453716993947121E-8</v>
      </c>
      <c r="AS10">
        <v>1.231722329352212E-6</v>
      </c>
      <c r="AT10">
        <f t="shared" si="10"/>
        <v>-1.8608497470916592E-2</v>
      </c>
      <c r="AU10">
        <f t="shared" si="11"/>
        <v>1.5604662586653046</v>
      </c>
      <c r="AW10">
        <v>0</v>
      </c>
      <c r="AX10">
        <v>2.6237547374263697E-7</v>
      </c>
      <c r="AZ10">
        <v>1.7402578741961171E-5</v>
      </c>
      <c r="BA10">
        <v>1.7184605390236487E-5</v>
      </c>
      <c r="BB10">
        <v>1.6479570923614631E-5</v>
      </c>
      <c r="BC10">
        <v>1.9021699497582625E-5</v>
      </c>
      <c r="BD10">
        <v>1.9399779774857544E-5</v>
      </c>
      <c r="BE10" cm="1">
        <f t="array" ref="BE10:BF10">LINEST(AZ10:BD10,$AM$6:$AQ$6)</f>
        <v>-1.5355023619663934E-7</v>
      </c>
      <c r="BF10">
        <v>1.7897646865650493E-5</v>
      </c>
      <c r="BH10">
        <f t="shared" si="12"/>
        <v>1.1772017526899536</v>
      </c>
      <c r="BJ10">
        <v>0</v>
      </c>
      <c r="BK10">
        <v>9.1124151342602243E-8</v>
      </c>
    </row>
    <row r="11" spans="2:63" x14ac:dyDescent="0.2">
      <c r="O11">
        <v>0.52</v>
      </c>
      <c r="P11">
        <v>-0.63304243569527829</v>
      </c>
      <c r="Q11">
        <v>-4.7613147946186158</v>
      </c>
      <c r="R11" s="5">
        <f t="shared" si="6"/>
        <v>8.5543547807331484E-3</v>
      </c>
      <c r="AG11">
        <v>0.52</v>
      </c>
      <c r="AH11">
        <v>-0.8426327772067681</v>
      </c>
      <c r="AI11">
        <v>-4.7333808527297236</v>
      </c>
      <c r="AJ11" s="5">
        <f>EXP(AI11)</f>
        <v>8.7966804282293021E-3</v>
      </c>
      <c r="AM11">
        <v>4.1439451426586226E-7</v>
      </c>
      <c r="AN11">
        <v>2.9333083602360756E-7</v>
      </c>
      <c r="AO11">
        <v>5.425685310743249E-7</v>
      </c>
      <c r="AP11">
        <v>4.9959909982678342E-7</v>
      </c>
      <c r="AQ11">
        <v>3.0405172673162427E-7</v>
      </c>
      <c r="AR11" cm="1">
        <f t="array" ref="AR11:AS11">LINEST(AM11:AQ11,$AM$6:$AQ$6)</f>
        <v>5.4153068976445067E-9</v>
      </c>
      <c r="AS11">
        <v>4.1078894158444052E-7</v>
      </c>
      <c r="AT11">
        <f t="shared" si="10"/>
        <v>1.3067998516433591E-2</v>
      </c>
      <c r="AU11">
        <f>MAX(AM11:AQ11)/MIN(AM11:AQ11)</f>
        <v>1.8496811942085027</v>
      </c>
      <c r="AW11">
        <v>0.52</v>
      </c>
      <c r="AX11">
        <v>-9.9074242017826737E-9</v>
      </c>
      <c r="AZ11">
        <v>1.0680069107916754E-5</v>
      </c>
      <c r="BA11">
        <v>8.1789617374922078E-6</v>
      </c>
      <c r="BB11">
        <v>9.2606157572312902E-6</v>
      </c>
      <c r="BC11">
        <v>1.0894306249557404E-5</v>
      </c>
      <c r="BD11">
        <v>1.1549761425815505E-5</v>
      </c>
      <c r="BE11" cm="1">
        <f t="array" ref="BE11:BF11">LINEST(AZ11:BD11,$AM$6:$AQ$6)</f>
        <v>-1.4587271698467249E-7</v>
      </c>
      <c r="BF11">
        <v>1.0112742855602632E-5</v>
      </c>
      <c r="BH11">
        <f>MAX(AZ11:BD11)/MIN(AZ11:BD11)</f>
        <v>1.4121305119782641</v>
      </c>
      <c r="BJ11">
        <v>0.52</v>
      </c>
      <c r="BK11">
        <v>-1.2976602531205245E-7</v>
      </c>
    </row>
    <row r="12" spans="2:63" x14ac:dyDescent="0.2">
      <c r="D12" t="s">
        <v>0</v>
      </c>
      <c r="F12" t="s">
        <v>1</v>
      </c>
      <c r="H12" t="s">
        <v>2</v>
      </c>
      <c r="J12" t="s">
        <v>3</v>
      </c>
      <c r="L12" t="s">
        <v>4</v>
      </c>
      <c r="O12">
        <v>0.71</v>
      </c>
      <c r="P12">
        <v>-0.74721725359803293</v>
      </c>
      <c r="Q12">
        <v>-4.1503758623540215</v>
      </c>
      <c r="R12" s="5">
        <f t="shared" si="6"/>
        <v>1.5758492347564556E-2</v>
      </c>
      <c r="V12" t="s">
        <v>0</v>
      </c>
      <c r="X12" t="s">
        <v>1</v>
      </c>
      <c r="Z12" t="s">
        <v>2</v>
      </c>
      <c r="AB12" t="s">
        <v>3</v>
      </c>
      <c r="AD12" t="s">
        <v>4</v>
      </c>
      <c r="AG12">
        <v>0.71</v>
      </c>
      <c r="AH12">
        <v>-0.894225210155422</v>
      </c>
      <c r="AI12">
        <v>-4.8861689707446967</v>
      </c>
      <c r="AJ12" s="5">
        <f t="shared" si="9"/>
        <v>7.5502925302396301E-3</v>
      </c>
      <c r="AT12">
        <f>AVERAGE(AR7:AR11)</f>
        <v>-1.9555508930711228E-8</v>
      </c>
      <c r="AW12">
        <v>1</v>
      </c>
      <c r="AX12">
        <v>6.7158894608013773E-10</v>
      </c>
      <c r="BG12">
        <f>AVERAGE(BE7:BE11)</f>
        <v>-2.0431719382141597E-7</v>
      </c>
      <c r="BJ12">
        <v>1</v>
      </c>
      <c r="BK12">
        <v>2.7744271492817047E-8</v>
      </c>
    </row>
    <row r="13" spans="2:63" x14ac:dyDescent="0.2">
      <c r="C13" t="s">
        <v>38</v>
      </c>
      <c r="D13" t="s">
        <v>39</v>
      </c>
      <c r="E13" t="s">
        <v>38</v>
      </c>
      <c r="F13" t="s">
        <v>39</v>
      </c>
      <c r="G13" t="s">
        <v>38</v>
      </c>
      <c r="H13" t="s">
        <v>39</v>
      </c>
      <c r="I13" t="s">
        <v>38</v>
      </c>
      <c r="J13" t="s">
        <v>39</v>
      </c>
      <c r="K13" t="s">
        <v>38</v>
      </c>
      <c r="L13" t="s">
        <v>39</v>
      </c>
      <c r="U13" t="s">
        <v>38</v>
      </c>
      <c r="V13" t="s">
        <v>39</v>
      </c>
      <c r="W13" t="s">
        <v>38</v>
      </c>
      <c r="X13" t="s">
        <v>39</v>
      </c>
      <c r="Y13" t="s">
        <v>38</v>
      </c>
      <c r="Z13" t="s">
        <v>39</v>
      </c>
      <c r="AA13" t="s">
        <v>38</v>
      </c>
      <c r="AB13" t="s">
        <v>39</v>
      </c>
      <c r="AC13" t="s">
        <v>38</v>
      </c>
      <c r="AD13" t="s">
        <v>39</v>
      </c>
      <c r="AM13" t="s">
        <v>30</v>
      </c>
      <c r="AW13">
        <v>0.71</v>
      </c>
      <c r="AX13">
        <v>-2.4464593829941192E-9</v>
      </c>
      <c r="AZ13" t="s">
        <v>30</v>
      </c>
      <c r="BJ13">
        <v>0.71</v>
      </c>
      <c r="BK13">
        <v>-1.2712559969533403E-7</v>
      </c>
    </row>
    <row r="14" spans="2:63" x14ac:dyDescent="0.2">
      <c r="C14" cm="1">
        <f t="array" ref="C14:D18">LINEST(I6:I10,B6:B10,TRUE, TRUE)</f>
        <v>-0.32582452143779767</v>
      </c>
      <c r="D14">
        <v>-6.7282011766947525</v>
      </c>
      <c r="E14" cm="1">
        <f t="array" ref="E14:F18">LINEST(J6:J10,B6:B10,TRUE, TRUE)</f>
        <v>-0.37022864658880345</v>
      </c>
      <c r="F14">
        <v>-6.2741593857317346</v>
      </c>
      <c r="G14" cm="1">
        <f t="array" ref="G14:H18">LINEST(K6:K10,$B6:$B10,TRUE, TRUE)</f>
        <v>-0.33663292930439631</v>
      </c>
      <c r="H14">
        <v>-6.6853308919856449</v>
      </c>
      <c r="I14" cm="1">
        <f t="array" ref="I14:J18">LINEST(L6:L10,$B6:$B10,TRUE, TRUE)</f>
        <v>-0.32348027784764422</v>
      </c>
      <c r="J14">
        <v>-6.7219334931357935</v>
      </c>
      <c r="K14" cm="1">
        <f t="array" ref="K14:L18">LINEST(M6:M10,$B6:$B10,TRUE, TRUE)</f>
        <v>-0.3172329090336351</v>
      </c>
      <c r="L14">
        <v>-6.7587857834594187</v>
      </c>
      <c r="U14" cm="1">
        <f t="array" ref="U14:V18">LINEST(AA6:AA10,T6:T10,TRUE, TRUE)</f>
        <v>-0.69210656615731403</v>
      </c>
      <c r="V14">
        <v>-4.6354335787771781</v>
      </c>
      <c r="W14" cm="1">
        <f t="array" ref="W14:X18">LINEST(AB6:AB10,T6:T10,TRUE, TRUE)</f>
        <v>-0.75772064295152308</v>
      </c>
      <c r="X14">
        <v>-3.9679400667218943</v>
      </c>
      <c r="Y14" cm="1">
        <f t="array" ref="Y14:Z18">LINEST(AC6:AC10,$B6:$B10,TRUE, TRUE)</f>
        <v>-0.66058734440169375</v>
      </c>
      <c r="Z14">
        <v>-5.0553645493029045</v>
      </c>
      <c r="AA14" cm="1">
        <f t="array" ref="AA14:AB18">LINEST(AD6:AD10,$B6:$B10,TRUE, TRUE)</f>
        <v>-0.66317776825324226</v>
      </c>
      <c r="AB14">
        <v>-4.9352411598888448</v>
      </c>
      <c r="AC14" cm="1">
        <f t="array" ref="AC14:AD18">LINEST(AE6:AE10,$B6:$B10,TRUE, TRUE)</f>
        <v>-0.75280244881582448</v>
      </c>
      <c r="AD14">
        <v>-3.9461379314384448</v>
      </c>
      <c r="AM14">
        <v>2.2285298619643835E-5</v>
      </c>
      <c r="AN14">
        <v>2.1389715035339486E-5</v>
      </c>
      <c r="AO14">
        <v>2.1716380021759541E-5</v>
      </c>
      <c r="AP14">
        <v>2.2278750964429417E-5</v>
      </c>
      <c r="AQ14">
        <v>2.3189970446647352E-5</v>
      </c>
      <c r="AR14" cm="1">
        <f t="array" ref="AR14:AS14">LINEST(AM14:AQ14,$AM$6:$AQ$6)</f>
        <v>-7.6724335577311111E-8</v>
      </c>
      <c r="AS14">
        <v>2.2172023017563926E-5</v>
      </c>
      <c r="AT14">
        <f>AR14/AM14</f>
        <v>-3.4428228621392969E-3</v>
      </c>
      <c r="AU14">
        <f>MAX(AM14:AQ14)/MIN(AM14:AQ14)</f>
        <v>1.0841645346061664</v>
      </c>
      <c r="AZ14">
        <v>7.0292110269245284E-5</v>
      </c>
      <c r="BA14">
        <v>6.9138734440769744E-5</v>
      </c>
      <c r="BB14">
        <v>6.9469802381923675E-5</v>
      </c>
      <c r="BC14">
        <v>7.1079635971389227E-5</v>
      </c>
      <c r="BD14">
        <v>7.143192759779476E-5</v>
      </c>
      <c r="BE14" cm="1">
        <f t="array" ref="BE14:BF14">LINEST(AZ14:BD14,$AM$6:$AQ$6)</f>
        <v>-1.1730303924723309E-7</v>
      </c>
      <c r="BF14">
        <v>7.0282442132224538E-5</v>
      </c>
      <c r="BH14">
        <f>MAX(AZ14:BD14)/MIN(AZ14:BD14)</f>
        <v>1.033167994403912</v>
      </c>
    </row>
    <row r="15" spans="2:63" x14ac:dyDescent="0.2">
      <c r="C15">
        <v>6.8521213118110675E-3</v>
      </c>
      <c r="D15">
        <v>8.2005183654918448E-2</v>
      </c>
      <c r="E15">
        <v>1.9320865939461678E-2</v>
      </c>
      <c r="F15">
        <v>0.23122929201597009</v>
      </c>
      <c r="G15">
        <v>7.5751440424531554E-3</v>
      </c>
      <c r="H15">
        <v>9.0658213733469981E-2</v>
      </c>
      <c r="I15">
        <v>5.1602051744595477E-3</v>
      </c>
      <c r="J15">
        <v>6.1756579279938398E-2</v>
      </c>
      <c r="K15">
        <v>4.3435326893506458E-3</v>
      </c>
      <c r="L15">
        <v>5.1982762664661189E-2</v>
      </c>
      <c r="U15">
        <v>1.680044675453999E-2</v>
      </c>
      <c r="V15">
        <v>0.20106528458799097</v>
      </c>
      <c r="W15">
        <v>2.3315423870301343E-2</v>
      </c>
      <c r="X15">
        <v>0.27903557591437023</v>
      </c>
      <c r="Y15">
        <v>5.9238399933442466E-2</v>
      </c>
      <c r="Z15">
        <v>0.70895648878719142</v>
      </c>
      <c r="AA15">
        <v>1.830982928863753E-2</v>
      </c>
      <c r="AB15">
        <v>0.21912935355023183</v>
      </c>
      <c r="AC15">
        <v>3.9165256210519493E-2</v>
      </c>
      <c r="AD15">
        <v>0.46872404650797045</v>
      </c>
      <c r="AM15">
        <v>1.373286170522294E-5</v>
      </c>
      <c r="AN15">
        <v>1.3743252682562578E-5</v>
      </c>
      <c r="AO15">
        <v>1.3872358672096259E-5</v>
      </c>
      <c r="AP15">
        <v>1.3643765975387261E-5</v>
      </c>
      <c r="AQ15">
        <v>1.3826226550352396E-5</v>
      </c>
      <c r="AR15" cm="1">
        <f t="array" ref="AR15:AS15">LINEST(AM15:AQ15,$AM$6:$AQ$6)</f>
        <v>3.8350190132608554E-9</v>
      </c>
      <c r="AS15">
        <v>1.3763693117124288E-5</v>
      </c>
      <c r="AT15">
        <f t="shared" ref="AT15:AT17" si="13">AR15/AM15</f>
        <v>2.7925854753218002E-4</v>
      </c>
      <c r="AU15">
        <f t="shared" ref="AU15:AU17" si="14">MAX(AM15:AQ15)/MIN(AM15:AQ15)</f>
        <v>1.0167543695136203</v>
      </c>
      <c r="AZ15">
        <v>5.7726662497692633E-5</v>
      </c>
      <c r="BA15">
        <v>5.7293070808069981E-5</v>
      </c>
      <c r="BB15">
        <v>5.6010550059958188E-5</v>
      </c>
      <c r="BC15">
        <v>5.8838388042370224E-5</v>
      </c>
      <c r="BD15">
        <v>5.9215632280588131E-5</v>
      </c>
      <c r="BE15" cm="1">
        <f t="array" ref="BE15:BF15">LINEST(AZ15:BD15,$AM$6:$AQ$6)</f>
        <v>-1.5910963351120264E-7</v>
      </c>
      <c r="BF15">
        <v>5.7816860737735837E-5</v>
      </c>
      <c r="BH15">
        <f t="shared" ref="BH15:BH17" si="15">MAX(AZ15:BD15)/MIN(AZ15:BD15)</f>
        <v>1.0572228306488503</v>
      </c>
    </row>
    <row r="16" spans="2:63" x14ac:dyDescent="0.2">
      <c r="C16">
        <v>0.9986749631046391</v>
      </c>
      <c r="D16">
        <v>2.6221437335530805E-2</v>
      </c>
      <c r="E16">
        <v>0.99189597970267773</v>
      </c>
      <c r="F16">
        <v>7.3936355246151081E-2</v>
      </c>
      <c r="G16">
        <v>0.99848319199623148</v>
      </c>
      <c r="H16">
        <v>2.8988273233636778E-2</v>
      </c>
      <c r="I16">
        <v>0.99923716930493789</v>
      </c>
      <c r="J16">
        <v>1.9746876983532256E-2</v>
      </c>
      <c r="K16">
        <v>0.99943790878947747</v>
      </c>
      <c r="L16">
        <v>1.6621665765362025E-2</v>
      </c>
      <c r="U16">
        <v>0.99823538511875687</v>
      </c>
      <c r="V16">
        <v>6.4291310929323886E-2</v>
      </c>
      <c r="W16">
        <v>0.99716757905736098</v>
      </c>
      <c r="X16">
        <v>8.9222577672790418E-2</v>
      </c>
      <c r="Y16">
        <v>0.97644330138222635</v>
      </c>
      <c r="Z16">
        <v>0.22669125676955074</v>
      </c>
      <c r="AA16">
        <v>0.99771840838293624</v>
      </c>
      <c r="AB16">
        <v>7.0067358627861009E-2</v>
      </c>
      <c r="AC16">
        <v>0.99194530907531242</v>
      </c>
      <c r="AD16">
        <v>0.14987611350136906</v>
      </c>
      <c r="AM16">
        <v>7.652595909558241E-6</v>
      </c>
      <c r="AN16">
        <v>7.9784800410686942E-6</v>
      </c>
      <c r="AO16">
        <v>7.2602796511495705E-6</v>
      </c>
      <c r="AP16">
        <v>7.7151641560516193E-6</v>
      </c>
      <c r="AQ16">
        <v>7.7824412283762362E-6</v>
      </c>
      <c r="AR16" cm="1">
        <f t="array" ref="AR16:AS16">LINEST(AM16:AQ16,$AM$6:$AQ$6)</f>
        <v>-1.5620145388725128E-8</v>
      </c>
      <c r="AS16">
        <v>7.6777921972408724E-6</v>
      </c>
      <c r="AT16">
        <f t="shared" si="13"/>
        <v>-2.0411564354541789E-3</v>
      </c>
      <c r="AU16">
        <f t="shared" si="14"/>
        <v>1.098921863127601</v>
      </c>
      <c r="AZ16">
        <v>4.5272222595012799E-5</v>
      </c>
      <c r="BA16">
        <v>4.5348261121160061E-5</v>
      </c>
      <c r="BB16">
        <v>4.4341797020260921E-5</v>
      </c>
      <c r="BC16">
        <v>4.6217341159669039E-5</v>
      </c>
      <c r="BD16">
        <v>4.7073815317606799E-5</v>
      </c>
      <c r="BE16" cm="1">
        <f t="array" ref="BE16:BF16">LINEST(AZ16:BD16,$AM$6:$AQ$6)</f>
        <v>-1.2666233266401463E-7</v>
      </c>
      <c r="BF16">
        <v>4.5650687442741924E-5</v>
      </c>
      <c r="BH16">
        <f t="shared" si="15"/>
        <v>1.0616127103756654</v>
      </c>
    </row>
    <row r="17" spans="2:60" x14ac:dyDescent="0.2">
      <c r="C17">
        <v>2261.0878986111807</v>
      </c>
      <c r="D17">
        <v>3</v>
      </c>
      <c r="E17">
        <v>367.18663452647718</v>
      </c>
      <c r="F17">
        <v>3</v>
      </c>
      <c r="G17">
        <v>1974.8376647184989</v>
      </c>
      <c r="H17">
        <v>3</v>
      </c>
      <c r="I17">
        <v>3929.7206147043207</v>
      </c>
      <c r="J17">
        <v>3</v>
      </c>
      <c r="K17">
        <v>5334.2120820225464</v>
      </c>
      <c r="L17">
        <v>3</v>
      </c>
      <c r="U17">
        <v>1697.0876689232114</v>
      </c>
      <c r="V17">
        <v>3</v>
      </c>
      <c r="W17">
        <v>1056.1646018563986</v>
      </c>
      <c r="X17">
        <v>3</v>
      </c>
      <c r="Y17">
        <v>124.3523106389995</v>
      </c>
      <c r="Z17">
        <v>3</v>
      </c>
      <c r="AA17">
        <v>1311.8715912011801</v>
      </c>
      <c r="AB17">
        <v>3</v>
      </c>
      <c r="AC17">
        <v>369.45376986533699</v>
      </c>
      <c r="AD17">
        <v>3</v>
      </c>
      <c r="AM17">
        <v>3.3437046266936902E-6</v>
      </c>
      <c r="AN17">
        <v>3.6546714821479818E-6</v>
      </c>
      <c r="AO17">
        <v>3.646989187722624E-6</v>
      </c>
      <c r="AP17">
        <v>3.5099149851293979E-6</v>
      </c>
      <c r="AQ17">
        <v>3.8657852430631932E-6</v>
      </c>
      <c r="AR17" cm="1">
        <f t="array" ref="AR17:AS17">LINEST(AM17:AQ17,$AM$6:$AQ$6)</f>
        <v>-5.8567122732510883E-9</v>
      </c>
      <c r="AS17">
        <v>3.6042131049513775E-6</v>
      </c>
      <c r="AT17">
        <f t="shared" si="13"/>
        <v>-1.7515638871015652E-3</v>
      </c>
      <c r="AU17">
        <f t="shared" si="14"/>
        <v>1.1561383778344514</v>
      </c>
      <c r="AZ17">
        <v>3.449843313696236E-5</v>
      </c>
      <c r="BA17">
        <v>3.3678315619825141E-5</v>
      </c>
      <c r="BB17">
        <v>3.2932057801145668E-5</v>
      </c>
      <c r="BC17">
        <v>3.5641033825611027E-5</v>
      </c>
      <c r="BD17">
        <v>3.6073490045625855E-5</v>
      </c>
      <c r="BE17" cm="1">
        <f t="array" ref="BE17:BF17">LINEST(AZ17:BD17,$AM$6:$AQ$6)</f>
        <v>-1.649116538949253E-7</v>
      </c>
      <c r="BF17">
        <v>3.4564666085834007E-5</v>
      </c>
      <c r="BH17">
        <f t="shared" si="15"/>
        <v>1.0953913133351449</v>
      </c>
    </row>
    <row r="18" spans="2:60" x14ac:dyDescent="0.2">
      <c r="C18">
        <v>1.5546421333039859</v>
      </c>
      <c r="D18">
        <v>2.0626913278235064E-3</v>
      </c>
      <c r="E18">
        <v>2.0072568115735372</v>
      </c>
      <c r="F18">
        <v>1.6399753881255155E-2</v>
      </c>
      <c r="G18">
        <v>1.6594955569279384</v>
      </c>
      <c r="H18">
        <v>2.5209599552039473E-3</v>
      </c>
      <c r="I18">
        <v>1.5323519186039427</v>
      </c>
      <c r="J18">
        <v>1.1698174518082677E-3</v>
      </c>
      <c r="K18">
        <v>1.4737349021703932</v>
      </c>
      <c r="L18">
        <v>8.2883931844622376E-4</v>
      </c>
      <c r="U18">
        <v>7.0146957740660918</v>
      </c>
      <c r="V18">
        <v>1.2400117983033004E-2</v>
      </c>
      <c r="W18">
        <v>8.4077761358967482</v>
      </c>
      <c r="X18">
        <v>2.3882005099731356E-2</v>
      </c>
      <c r="Y18">
        <v>6.3903316763938722</v>
      </c>
      <c r="Z18">
        <v>0.15416677768727516</v>
      </c>
      <c r="AA18">
        <v>6.4405479709333981</v>
      </c>
      <c r="AB18">
        <v>1.4728304235255868E-2</v>
      </c>
      <c r="AC18">
        <v>8.2989843921101123</v>
      </c>
      <c r="AD18">
        <v>6.7388548194825787E-2</v>
      </c>
      <c r="AM18">
        <v>1.3105446660263599E-6</v>
      </c>
      <c r="AN18">
        <v>1.1561218222837308E-6</v>
      </c>
      <c r="AO18">
        <v>1.1308196051503809E-6</v>
      </c>
      <c r="AP18">
        <v>1.2659185059883389E-6</v>
      </c>
      <c r="AQ18">
        <v>1.2311103263837099E-6</v>
      </c>
      <c r="AR18" cm="1">
        <f t="array" ref="AR18:AS18">LINEST(AM18:AQ18,$AM$6:$AQ$6)</f>
        <v>-6.2075625234253219E-9</v>
      </c>
      <c r="AS18">
        <v>1.218902985166504E-6</v>
      </c>
      <c r="AT18">
        <f>AR18/AM18</f>
        <v>-4.7366279718240945E-3</v>
      </c>
      <c r="AU18">
        <f>MAX(AM18:AQ18)/MIN(AM18:AQ18)</f>
        <v>1.1589334497362898</v>
      </c>
      <c r="AZ18">
        <v>2.3852480048624229E-5</v>
      </c>
      <c r="BA18">
        <v>2.2891685530357325E-5</v>
      </c>
      <c r="BB18">
        <v>2.2402700855923176E-5</v>
      </c>
      <c r="BC18">
        <v>2.4862958954362563E-5</v>
      </c>
      <c r="BD18">
        <v>2.4388218816995201E-5</v>
      </c>
      <c r="BE18" cm="1">
        <f t="array" ref="BE18:BF18">LINEST(AZ18:BD18,$AM$6:$AQ$6)</f>
        <v>-1.1884618692298575E-7</v>
      </c>
      <c r="BF18">
        <v>2.3679608841252501E-5</v>
      </c>
      <c r="BH18">
        <f>MAX(AZ18:BD18)/MIN(AZ18:BD18)</f>
        <v>1.109819709429763</v>
      </c>
    </row>
    <row r="19" spans="2:60" x14ac:dyDescent="0.2">
      <c r="D19" s="5">
        <f>EXP(D14)</f>
        <v>1.1966836456386361E-3</v>
      </c>
      <c r="E19" s="5"/>
      <c r="F19" s="5">
        <f>EXP(F14)</f>
        <v>1.8843744202099158E-3</v>
      </c>
      <c r="G19" s="5"/>
      <c r="H19" s="5">
        <f>EXP(H14)</f>
        <v>1.2491013677736998E-3</v>
      </c>
      <c r="I19" s="5"/>
      <c r="J19" s="5">
        <f>EXP(J14)</f>
        <v>1.2042076344091122E-3</v>
      </c>
      <c r="K19" s="5"/>
      <c r="L19" s="5">
        <f>EXP(L14)</f>
        <v>1.1606375840262659E-3</v>
      </c>
      <c r="V19" s="5">
        <f>EXP(V14)</f>
        <v>9.7018995885251366E-3</v>
      </c>
      <c r="W19" s="5"/>
      <c r="X19" s="5">
        <f>EXP(X14)</f>
        <v>1.8912351218704569E-2</v>
      </c>
      <c r="Y19" s="5"/>
      <c r="Z19" s="5">
        <f>EXP(Z14)</f>
        <v>6.375042321436963E-3</v>
      </c>
      <c r="AA19" s="5"/>
      <c r="AB19" s="5">
        <f>EXP(AB14)</f>
        <v>7.1887271042089277E-3</v>
      </c>
      <c r="AC19" s="5"/>
      <c r="AD19" s="5">
        <f>EXP(AD14)</f>
        <v>1.9329208536275962E-2</v>
      </c>
      <c r="AT19">
        <f>AVERAGE(AR14:AR18)</f>
        <v>-2.0114747349890359E-8</v>
      </c>
      <c r="BG19">
        <f>AVERAGE(BE14:BE18)</f>
        <v>-1.3736656924807227E-7</v>
      </c>
    </row>
    <row r="20" spans="2:60" x14ac:dyDescent="0.2">
      <c r="B20" t="s">
        <v>30</v>
      </c>
      <c r="T20" t="s">
        <v>30</v>
      </c>
      <c r="AM20" t="s">
        <v>29</v>
      </c>
      <c r="AZ20" t="s">
        <v>29</v>
      </c>
    </row>
    <row r="21" spans="2:60" x14ac:dyDescent="0.2">
      <c r="C21" t="s">
        <v>19</v>
      </c>
      <c r="D21" t="s">
        <v>0</v>
      </c>
      <c r="E21" t="s">
        <v>1</v>
      </c>
      <c r="F21" t="s">
        <v>2</v>
      </c>
      <c r="G21" t="s">
        <v>3</v>
      </c>
      <c r="H21" t="s">
        <v>4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M21">
        <v>6.7597090931927742E-6</v>
      </c>
      <c r="AN21">
        <v>6.5916824252021444E-6</v>
      </c>
      <c r="AO21">
        <v>6.313435866837712E-6</v>
      </c>
      <c r="AP21">
        <v>6.5410606328913839E-6</v>
      </c>
      <c r="AQ21">
        <v>6.9638233595194631E-6</v>
      </c>
      <c r="AR21" cm="1">
        <f t="array" ref="AR21:AS21">LINEST(AM21:AQ21,$AM$6:$AQ$6)</f>
        <v>-2.5003063861054832E-8</v>
      </c>
      <c r="AS21">
        <v>6.6339422755286954E-6</v>
      </c>
      <c r="AT21">
        <f>AR21/AM21</f>
        <v>-3.6988372600580775E-3</v>
      </c>
      <c r="AU21">
        <f>MAX(AM21:AQ21)/MIN(AM21:AQ21)</f>
        <v>1.1030164091945578</v>
      </c>
      <c r="AZ21">
        <v>3.6165074159986403E-5</v>
      </c>
      <c r="BA21">
        <v>3.5137793188028394E-5</v>
      </c>
      <c r="BB21">
        <v>3.3750666620836325E-5</v>
      </c>
      <c r="BC21">
        <v>3.8554975822515014E-5</v>
      </c>
      <c r="BD21">
        <v>3.9024326387878765E-5</v>
      </c>
      <c r="BE21" cm="1">
        <f t="array" ref="BE21:BF21">LINEST(AZ21:BD21,$AM$6:$AQ$6)</f>
        <v>-2.7929004337143004E-7</v>
      </c>
      <c r="BF21">
        <v>3.6526567235848985E-5</v>
      </c>
      <c r="BH21">
        <f>MAX(AZ21:BD21)/MIN(AZ21:BD21)</f>
        <v>1.1562534994134512</v>
      </c>
    </row>
    <row r="22" spans="2:60" x14ac:dyDescent="0.2">
      <c r="B22">
        <v>9.670469095114866</v>
      </c>
      <c r="C22">
        <v>1200</v>
      </c>
      <c r="D22">
        <v>7.0292110269245284E-5</v>
      </c>
      <c r="E22">
        <v>6.9138734440769744E-5</v>
      </c>
      <c r="F22">
        <v>6.9469802381923675E-5</v>
      </c>
      <c r="G22">
        <v>7.1079635971389227E-5</v>
      </c>
      <c r="H22">
        <v>7.143192759779476E-5</v>
      </c>
      <c r="I22">
        <f>LN(D22)</f>
        <v>-9.5628509949018223</v>
      </c>
      <c r="J22">
        <f t="shared" ref="J22:J26" si="16">LN(E22)</f>
        <v>-9.5793954279372837</v>
      </c>
      <c r="K22">
        <f t="shared" ref="K22:K26" si="17">LN(F22)</f>
        <v>-9.5746183979169963</v>
      </c>
      <c r="L22">
        <f t="shared" ref="L22:L26" si="18">LN(G22)</f>
        <v>-9.5517096760838864</v>
      </c>
      <c r="M22">
        <f t="shared" ref="M22:M26" si="19">LN(H22)</f>
        <v>-9.5467656233320941</v>
      </c>
      <c r="T22">
        <f>1/U22/(0.000086173)</f>
        <v>9.670469095114866</v>
      </c>
      <c r="U22">
        <v>1200</v>
      </c>
      <c r="V22">
        <v>2.2285298619643835E-5</v>
      </c>
      <c r="W22">
        <v>2.1389715035339486E-5</v>
      </c>
      <c r="X22">
        <v>2.1716380021759541E-5</v>
      </c>
      <c r="Y22">
        <v>2.2278750964429417E-5</v>
      </c>
      <c r="Z22">
        <v>2.3189970446647352E-5</v>
      </c>
      <c r="AA22">
        <f>LN(V22)</f>
        <v>-10.711583351626643</v>
      </c>
      <c r="AB22">
        <f t="shared" ref="AB22:AB26" si="20">LN(W22)</f>
        <v>-10.752600357289722</v>
      </c>
      <c r="AC22">
        <f t="shared" ref="AC22:AC26" si="21">LN(X22)</f>
        <v>-10.737443742453651</v>
      </c>
      <c r="AD22">
        <f t="shared" ref="AD22:AD26" si="22">LN(Y22)</f>
        <v>-10.711877205319144</v>
      </c>
      <c r="AE22">
        <f t="shared" ref="AE22:AE26" si="23">LN(Z22)</f>
        <v>-10.671790681098363</v>
      </c>
      <c r="AM22">
        <v>3.4843752250606368E-6</v>
      </c>
      <c r="AN22">
        <v>3.0927341951311797E-6</v>
      </c>
      <c r="AO22">
        <v>3.4040769577549671E-6</v>
      </c>
      <c r="AP22">
        <v>3.7476311272742895E-6</v>
      </c>
      <c r="AQ22">
        <v>3.7028361570218337E-6</v>
      </c>
      <c r="AR22" cm="1">
        <f t="array" ref="AR22:AS22">LINEST(AM22:AQ22,$AM$6:$AQ$6)</f>
        <v>-2.5048306613536862E-8</v>
      </c>
      <c r="AS22">
        <v>3.4863307324485815E-6</v>
      </c>
      <c r="AT22">
        <f t="shared" ref="AT22:AT24" si="24">AR22/AM22</f>
        <v>-7.1887512095087178E-3</v>
      </c>
      <c r="AU22">
        <f t="shared" ref="AU22:AU24" si="25">MAX(AM22:AQ22)/MIN(AM22:AQ22)</f>
        <v>1.2117533841654091</v>
      </c>
      <c r="AZ22">
        <v>2.5651353223214911E-5</v>
      </c>
      <c r="BA22">
        <v>2.4132381693112828E-5</v>
      </c>
      <c r="BB22">
        <v>2.4037144869998414E-5</v>
      </c>
      <c r="BC22">
        <v>2.738661152797279E-5</v>
      </c>
      <c r="BD22">
        <v>2.9161280222341341E-5</v>
      </c>
      <c r="BE22" cm="1">
        <f t="array" ref="BE22:BF22">LINEST(AZ22:BD22,$AM$6:$AQ$6)</f>
        <v>-2.7005001079091638E-7</v>
      </c>
      <c r="BF22">
        <v>2.6073754307328055E-5</v>
      </c>
      <c r="BH22">
        <f t="shared" ref="BH22:BH24" si="26">MAX(AZ22:BD22)/MIN(AZ22:BD22)</f>
        <v>1.213175707017456</v>
      </c>
    </row>
    <row r="23" spans="2:60" x14ac:dyDescent="0.2">
      <c r="B23">
        <v>10.549602649216217</v>
      </c>
      <c r="C23">
        <v>1100</v>
      </c>
      <c r="D23">
        <v>5.7726662497692633E-5</v>
      </c>
      <c r="E23">
        <v>5.7293070808069981E-5</v>
      </c>
      <c r="F23">
        <v>5.6010550059958188E-5</v>
      </c>
      <c r="G23">
        <v>5.8838388042370224E-5</v>
      </c>
      <c r="H23">
        <v>5.9215632280588131E-5</v>
      </c>
      <c r="I23">
        <f t="shared" ref="I23:I26" si="27">LN(D23)</f>
        <v>-9.7597914028319366</v>
      </c>
      <c r="J23">
        <f t="shared" si="16"/>
        <v>-9.7673308698619312</v>
      </c>
      <c r="K23">
        <f t="shared" si="17"/>
        <v>-9.7899704910452083</v>
      </c>
      <c r="L23">
        <f t="shared" si="18"/>
        <v>-9.7407160582152397</v>
      </c>
      <c r="M23">
        <f t="shared" si="19"/>
        <v>-9.7343249921379833</v>
      </c>
      <c r="T23">
        <f t="shared" ref="T23:T26" si="28">1/U23/(0.000086173)</f>
        <v>10.549602649216217</v>
      </c>
      <c r="U23">
        <v>1100</v>
      </c>
      <c r="V23">
        <v>1.373286170522294E-5</v>
      </c>
      <c r="W23">
        <v>1.3743252682562578E-5</v>
      </c>
      <c r="X23">
        <v>1.3872358672096259E-5</v>
      </c>
      <c r="Y23">
        <v>1.3643765975387261E-5</v>
      </c>
      <c r="Z23">
        <v>1.3826226550352396E-5</v>
      </c>
      <c r="AA23">
        <f t="shared" ref="AA23:AA26" si="29">LN(V23)</f>
        <v>-11.195718932719297</v>
      </c>
      <c r="AB23">
        <f t="shared" si="20"/>
        <v>-11.194962568286657</v>
      </c>
      <c r="AC23">
        <f t="shared" si="21"/>
        <v>-11.185612282428723</v>
      </c>
      <c r="AD23">
        <f t="shared" si="22"/>
        <v>-11.202227845754678</v>
      </c>
      <c r="AE23">
        <f t="shared" si="23"/>
        <v>-11.188943294755079</v>
      </c>
      <c r="AM23">
        <v>1.449640271449526E-6</v>
      </c>
      <c r="AN23">
        <v>1.213121885622311E-6</v>
      </c>
      <c r="AO23">
        <v>1.3067388841158416E-6</v>
      </c>
      <c r="AP23">
        <v>1.5481977907246508E-6</v>
      </c>
      <c r="AQ23">
        <v>1.413033552898163E-6</v>
      </c>
      <c r="AR23" cm="1">
        <f t="array" ref="AR23:AS23">LINEST(AM23:AQ23,$AM$6:$AQ$6)</f>
        <v>-1.0953304853339652E-8</v>
      </c>
      <c r="AS23">
        <v>1.3861464769620983E-6</v>
      </c>
      <c r="AT23">
        <f t="shared" si="24"/>
        <v>-7.555877874713849E-3</v>
      </c>
      <c r="AU23">
        <f t="shared" si="25"/>
        <v>1.2762095953206314</v>
      </c>
      <c r="AZ23">
        <v>1.7258581231892761E-5</v>
      </c>
      <c r="BA23">
        <v>1.5619723031669087E-5</v>
      </c>
      <c r="BB23">
        <v>1.5451789259968787E-5</v>
      </c>
      <c r="BC23">
        <v>1.7400476465943563E-5</v>
      </c>
      <c r="BD23">
        <v>1.8640861148266507E-5</v>
      </c>
      <c r="BE23" cm="1">
        <f t="array" ref="BE23:BF23">LINEST(AZ23:BD23,$AM$6:$AQ$6)</f>
        <v>-1.631779442173983E-7</v>
      </c>
      <c r="BF23">
        <v>1.6874286227548141E-5</v>
      </c>
      <c r="BH23">
        <f t="shared" si="26"/>
        <v>1.206388518160787</v>
      </c>
    </row>
    <row r="24" spans="2:60" x14ac:dyDescent="0.2">
      <c r="B24">
        <v>11.604562914137839</v>
      </c>
      <c r="C24">
        <v>1000</v>
      </c>
      <c r="D24">
        <v>4.5272222595012799E-5</v>
      </c>
      <c r="E24">
        <v>4.5348261121160061E-5</v>
      </c>
      <c r="F24">
        <v>4.4341797020260921E-5</v>
      </c>
      <c r="G24">
        <v>4.6217341159669039E-5</v>
      </c>
      <c r="H24">
        <v>4.7073815317606799E-5</v>
      </c>
      <c r="I24">
        <f t="shared" si="27"/>
        <v>-10.002816901299843</v>
      </c>
      <c r="J24">
        <f t="shared" si="16"/>
        <v>-10.001138725662845</v>
      </c>
      <c r="K24">
        <f t="shared" si="17"/>
        <v>-10.02358282640022</v>
      </c>
      <c r="L24">
        <f t="shared" si="18"/>
        <v>-9.9821554805263002</v>
      </c>
      <c r="M24">
        <f t="shared" si="19"/>
        <v>-9.9637936495878172</v>
      </c>
      <c r="T24">
        <f t="shared" si="28"/>
        <v>11.604562914137839</v>
      </c>
      <c r="U24">
        <v>1000</v>
      </c>
      <c r="V24">
        <v>7.652595909558241E-6</v>
      </c>
      <c r="W24">
        <v>7.9784800410686942E-6</v>
      </c>
      <c r="X24">
        <v>7.2602796511495705E-6</v>
      </c>
      <c r="Y24">
        <v>7.7151641560516193E-6</v>
      </c>
      <c r="Z24">
        <v>7.7824412283762362E-6</v>
      </c>
      <c r="AA24">
        <f t="shared" si="29"/>
        <v>-11.780465633104011</v>
      </c>
      <c r="AB24">
        <f t="shared" si="20"/>
        <v>-11.738762635688493</v>
      </c>
      <c r="AC24">
        <f t="shared" si="21"/>
        <v>-11.833092210427335</v>
      </c>
      <c r="AD24">
        <f t="shared" si="22"/>
        <v>-11.77232279485748</v>
      </c>
      <c r="AE24">
        <f t="shared" si="23"/>
        <v>-11.763640486425789</v>
      </c>
      <c r="AM24">
        <v>6.1174613663423452E-7</v>
      </c>
      <c r="AN24">
        <v>5.2415441611241019E-7</v>
      </c>
      <c r="AO24">
        <v>4.6431212758441207E-7</v>
      </c>
      <c r="AP24">
        <v>5.055422251694296E-7</v>
      </c>
      <c r="AQ24">
        <v>5.428777500820724E-7</v>
      </c>
      <c r="AR24" cm="1">
        <f t="array" ref="AR24:AS24">LINEST(AM24:AQ24,$AM$6:$AQ$6)</f>
        <v>-2.7703810810468024E-9</v>
      </c>
      <c r="AS24">
        <v>5.2972653111651169E-7</v>
      </c>
      <c r="AT24">
        <f t="shared" si="24"/>
        <v>-4.5286449969086182E-3</v>
      </c>
      <c r="AU24">
        <f t="shared" si="25"/>
        <v>1.3175321088786742</v>
      </c>
      <c r="AZ24">
        <v>8.8595803743289309E-6</v>
      </c>
      <c r="BA24">
        <v>9.3367330051712414E-6</v>
      </c>
      <c r="BB24">
        <v>8.6651053481380526E-6</v>
      </c>
      <c r="BC24">
        <v>1.0625923498904384E-5</v>
      </c>
      <c r="BD24">
        <v>1.169327029188114E-5</v>
      </c>
      <c r="BE24" cm="1">
        <f t="array" ref="BE24:BF24">LINEST(AZ24:BD24,$AM$6:$AQ$6)</f>
        <v>-1.4691040762438632E-7</v>
      </c>
      <c r="BF24">
        <v>9.8361225036847496E-6</v>
      </c>
      <c r="BH24">
        <f t="shared" si="26"/>
        <v>1.3494666045109049</v>
      </c>
    </row>
    <row r="25" spans="2:60" x14ac:dyDescent="0.2">
      <c r="B25">
        <v>12.893958793486487</v>
      </c>
      <c r="C25">
        <v>900</v>
      </c>
      <c r="D25">
        <v>3.449843313696236E-5</v>
      </c>
      <c r="E25">
        <v>3.3678315619825141E-5</v>
      </c>
      <c r="F25">
        <v>3.2932057801145668E-5</v>
      </c>
      <c r="G25">
        <v>3.5641033825611027E-5</v>
      </c>
      <c r="H25">
        <v>3.6073490045625855E-5</v>
      </c>
      <c r="I25">
        <f t="shared" si="27"/>
        <v>-10.274596651278245</v>
      </c>
      <c r="J25">
        <f t="shared" si="16"/>
        <v>-10.298656381128607</v>
      </c>
      <c r="K25">
        <f t="shared" si="17"/>
        <v>-10.32106397336306</v>
      </c>
      <c r="L25">
        <f t="shared" si="18"/>
        <v>-10.242012948329764</v>
      </c>
      <c r="M25">
        <f t="shared" si="19"/>
        <v>-10.229952310157433</v>
      </c>
      <c r="T25">
        <f t="shared" si="28"/>
        <v>12.893958793486487</v>
      </c>
      <c r="U25">
        <v>900</v>
      </c>
      <c r="V25">
        <v>3.3437046266936902E-6</v>
      </c>
      <c r="W25">
        <v>3.6546714821479818E-6</v>
      </c>
      <c r="X25">
        <v>3.646989187722624E-6</v>
      </c>
      <c r="Y25">
        <v>3.5099149851293979E-6</v>
      </c>
      <c r="Z25">
        <v>3.8657852430631932E-6</v>
      </c>
      <c r="AA25">
        <f t="shared" si="29"/>
        <v>-12.608431195981096</v>
      </c>
      <c r="AB25">
        <f t="shared" si="20"/>
        <v>-12.519504350567399</v>
      </c>
      <c r="AC25">
        <f t="shared" si="21"/>
        <v>-12.521608610846643</v>
      </c>
      <c r="AD25">
        <f t="shared" si="22"/>
        <v>-12.559918741540683</v>
      </c>
      <c r="AE25">
        <f t="shared" si="23"/>
        <v>-12.463345728885823</v>
      </c>
      <c r="AT25">
        <f>AVERAGE(AR20:AR24)</f>
        <v>-1.5943764102244538E-8</v>
      </c>
      <c r="AZ25">
        <v>4.3579437216786673E-6</v>
      </c>
      <c r="BA25">
        <v>4.1408534575822365E-6</v>
      </c>
      <c r="BB25">
        <v>3.1959283982969139E-6</v>
      </c>
      <c r="BC25">
        <v>4.9041558315213936E-6</v>
      </c>
      <c r="BD25">
        <v>4.672620004244497E-6</v>
      </c>
      <c r="BE25" cm="1">
        <f t="array" ref="BE25:BF25">LINEST(AZ25:BD25,$AM$6:$AQ$6)</f>
        <v>-7.4333711716686468E-8</v>
      </c>
      <c r="BF25">
        <v>4.2543002826647422E-6</v>
      </c>
      <c r="BH25">
        <f>MAX(AZ25:BD25)/MIN(AZ25:BD25)</f>
        <v>1.5345011590794029</v>
      </c>
    </row>
    <row r="26" spans="2:60" x14ac:dyDescent="0.2">
      <c r="B26">
        <v>14.5057036426723</v>
      </c>
      <c r="C26">
        <v>800</v>
      </c>
      <c r="D26">
        <v>2.3852480048624229E-5</v>
      </c>
      <c r="E26">
        <v>2.2891685530357325E-5</v>
      </c>
      <c r="F26">
        <v>2.2402700855923176E-5</v>
      </c>
      <c r="G26">
        <v>2.4862958954362563E-5</v>
      </c>
      <c r="H26">
        <v>2.4388218816995201E-5</v>
      </c>
      <c r="I26">
        <f t="shared" si="27"/>
        <v>-10.643622360768754</v>
      </c>
      <c r="J26">
        <f t="shared" si="16"/>
        <v>-10.684736790609566</v>
      </c>
      <c r="K26">
        <f t="shared" si="17"/>
        <v>-10.70632903244659</v>
      </c>
      <c r="L26">
        <f t="shared" si="18"/>
        <v>-10.602131454251694</v>
      </c>
      <c r="M26">
        <f t="shared" si="19"/>
        <v>-10.621410377636698</v>
      </c>
      <c r="T26">
        <f t="shared" si="28"/>
        <v>14.505703642672298</v>
      </c>
      <c r="U26">
        <v>800</v>
      </c>
      <c r="V26">
        <v>1.3105446660263599E-6</v>
      </c>
      <c r="W26">
        <v>1.1561218222837308E-6</v>
      </c>
      <c r="X26">
        <v>1.1308196051503809E-6</v>
      </c>
      <c r="Y26">
        <v>1.2659185059883389E-6</v>
      </c>
      <c r="Z26">
        <v>1.2311103263837099E-6</v>
      </c>
      <c r="AA26">
        <f t="shared" si="29"/>
        <v>-13.545067731569294</v>
      </c>
      <c r="AB26">
        <f t="shared" si="20"/>
        <v>-13.670439410668061</v>
      </c>
      <c r="AC26">
        <f t="shared" si="21"/>
        <v>-13.692567873860941</v>
      </c>
      <c r="AD26">
        <f t="shared" si="22"/>
        <v>-13.579712607571444</v>
      </c>
      <c r="AE26">
        <f t="shared" si="23"/>
        <v>-13.607594091395512</v>
      </c>
      <c r="AM26" t="s">
        <v>27</v>
      </c>
      <c r="BG26">
        <f>AVERAGE(BE21:BE25)</f>
        <v>-1.8675242354416351E-7</v>
      </c>
    </row>
    <row r="27" spans="2:60" x14ac:dyDescent="0.2">
      <c r="AM27">
        <v>3.8185053867159656E-5</v>
      </c>
      <c r="AN27">
        <v>3.9408700690619492E-5</v>
      </c>
      <c r="AO27">
        <v>4.0975197785162475E-5</v>
      </c>
      <c r="AP27">
        <v>3.7556347785381837E-5</v>
      </c>
      <c r="AQ27">
        <v>3.4467827910375239E-5</v>
      </c>
      <c r="AR27" cm="1">
        <f t="array" ref="AR27:AS27">LINEST(AM27:AQ27,$AM$6:$AQ$6)</f>
        <v>2.9734185309624257E-7</v>
      </c>
      <c r="AS27">
        <v>3.8118625607739742E-5</v>
      </c>
      <c r="AT27">
        <f>AR27/AM27</f>
        <v>7.786864832786471E-3</v>
      </c>
      <c r="AU27">
        <f>MAX(AM27:AQ27)/MIN(AM27:AQ27)</f>
        <v>1.1887954730338095</v>
      </c>
      <c r="AZ27" t="s">
        <v>27</v>
      </c>
    </row>
    <row r="28" spans="2:60" x14ac:dyDescent="0.2">
      <c r="D28" t="s">
        <v>0</v>
      </c>
      <c r="F28" t="s">
        <v>1</v>
      </c>
      <c r="H28" t="s">
        <v>2</v>
      </c>
      <c r="J28" t="s">
        <v>3</v>
      </c>
      <c r="L28" t="s">
        <v>4</v>
      </c>
      <c r="V28" t="s">
        <v>0</v>
      </c>
      <c r="X28" t="s">
        <v>1</v>
      </c>
      <c r="Z28" t="s">
        <v>2</v>
      </c>
      <c r="AB28" t="s">
        <v>3</v>
      </c>
      <c r="AD28" t="s">
        <v>4</v>
      </c>
      <c r="AM28">
        <v>2.5130812277979265E-5</v>
      </c>
      <c r="AN28">
        <v>2.7281548597583104E-5</v>
      </c>
      <c r="AO28">
        <v>2.765430093688068E-5</v>
      </c>
      <c r="AP28">
        <v>2.3388615266771722E-5</v>
      </c>
      <c r="AQ28">
        <v>2.2439377029509901E-5</v>
      </c>
      <c r="AR28" cm="1">
        <f t="array" ref="AR28:AS28">LINEST(AM28:AQ28,$AM$6:$AQ$6)</f>
        <v>2.8645562291105894E-7</v>
      </c>
      <c r="AS28">
        <v>2.5178930821744937E-5</v>
      </c>
      <c r="AT28">
        <f t="shared" ref="AT28:AT31" si="30">AR28/AM28</f>
        <v>1.1398581937682296E-2</v>
      </c>
      <c r="AU28">
        <f t="shared" ref="AU28:AU30" si="31">MAX(AM28:AQ28)/MIN(AM28:AQ28)</f>
        <v>1.2324005653326588</v>
      </c>
      <c r="AZ28">
        <v>9.8026754291291685E-5</v>
      </c>
      <c r="BA28">
        <v>9.788330473454093E-5</v>
      </c>
      <c r="BB28">
        <v>9.7337688784131436E-5</v>
      </c>
      <c r="BC28">
        <v>9.8148347416613283E-5</v>
      </c>
      <c r="BD28">
        <v>9.4530524519482662E-5</v>
      </c>
      <c r="BE28" cm="1">
        <f t="array" ref="BE28:BF28">LINEST(AZ28:BD28,$AM$6:$AQ$6)</f>
        <v>1.0698571694450393E-7</v>
      </c>
      <c r="BF28">
        <v>9.7185323949211991E-5</v>
      </c>
      <c r="BH28">
        <f>MAX(AZ28:BD28)/MIN(AZ28:BD28)</f>
        <v>1.0382714780809768</v>
      </c>
    </row>
    <row r="29" spans="2:60" x14ac:dyDescent="0.2">
      <c r="C29" t="s">
        <v>38</v>
      </c>
      <c r="D29" t="s">
        <v>39</v>
      </c>
      <c r="E29" t="s">
        <v>38</v>
      </c>
      <c r="F29" t="s">
        <v>39</v>
      </c>
      <c r="G29" t="s">
        <v>38</v>
      </c>
      <c r="H29" t="s">
        <v>39</v>
      </c>
      <c r="I29" t="s">
        <v>38</v>
      </c>
      <c r="J29" t="s">
        <v>39</v>
      </c>
      <c r="K29" t="s">
        <v>38</v>
      </c>
      <c r="L29" t="s">
        <v>39</v>
      </c>
      <c r="N29">
        <v>0</v>
      </c>
      <c r="O29">
        <v>5</v>
      </c>
      <c r="P29">
        <v>10</v>
      </c>
      <c r="Q29">
        <v>-5</v>
      </c>
      <c r="R29">
        <v>-10</v>
      </c>
      <c r="U29" t="s">
        <v>38</v>
      </c>
      <c r="V29" t="s">
        <v>39</v>
      </c>
      <c r="W29" t="s">
        <v>38</v>
      </c>
      <c r="X29" t="s">
        <v>39</v>
      </c>
      <c r="Y29" t="s">
        <v>38</v>
      </c>
      <c r="Z29" t="s">
        <v>39</v>
      </c>
      <c r="AA29" t="s">
        <v>38</v>
      </c>
      <c r="AB29" t="s">
        <v>39</v>
      </c>
      <c r="AC29" t="s">
        <v>38</v>
      </c>
      <c r="AD29" t="s">
        <v>39</v>
      </c>
      <c r="AM29">
        <v>1.618303401020813E-5</v>
      </c>
      <c r="AN29">
        <v>1.7644664360604235E-5</v>
      </c>
      <c r="AO29">
        <v>1.9153751597177373E-5</v>
      </c>
      <c r="AP29">
        <v>1.4868331188061309E-5</v>
      </c>
      <c r="AQ29">
        <v>1.2665068168531416E-5</v>
      </c>
      <c r="AR29" cm="1">
        <f t="array" ref="AR29:AS29">LINEST(AM29:AQ29,$AM$6:$AQ$6)</f>
        <v>3.1507400059669689E-7</v>
      </c>
      <c r="AS29">
        <v>1.6102969864916493E-5</v>
      </c>
      <c r="AT29">
        <f t="shared" si="30"/>
        <v>1.9469402362866612E-2</v>
      </c>
      <c r="AU29">
        <f t="shared" si="31"/>
        <v>1.5123291357221613</v>
      </c>
      <c r="AZ29">
        <v>8.3521400362929999E-5</v>
      </c>
      <c r="BA29">
        <v>8.3969169816670459E-5</v>
      </c>
      <c r="BB29">
        <v>8.3979337447858586E-5</v>
      </c>
      <c r="BC29">
        <v>8.2953906864146321E-5</v>
      </c>
      <c r="BD29">
        <v>8.2638996467713686E-5</v>
      </c>
      <c r="BE29" cm="1">
        <f t="array" ref="BE29:BF29">LINEST(AZ29:BD29,$AM$6:$AQ$6)</f>
        <v>7.3918898256278794E-8</v>
      </c>
      <c r="BF29">
        <v>8.3412562191863802E-5</v>
      </c>
      <c r="BH29">
        <f t="shared" ref="BH29:BH31" si="32">MAX(AZ29:BD29)/MIN(AZ29:BD29)</f>
        <v>1.0162192310826108</v>
      </c>
    </row>
    <row r="30" spans="2:60" x14ac:dyDescent="0.2">
      <c r="C30" cm="1">
        <f t="array" ref="C30:D34">LINEST(I22:I26,B22:B26,TRUE, TRUE)</f>
        <v>-0.22272750687886961</v>
      </c>
      <c r="D30">
        <v>-7.4105596545081385</v>
      </c>
      <c r="E30" cm="1">
        <f t="array" ref="E30:F34">LINEST(J22:J26,B22:B26,TRUE, TRUE)</f>
        <v>-0.22882578231252296</v>
      </c>
      <c r="F30">
        <v>-7.3558424161225542</v>
      </c>
      <c r="G30" cm="1">
        <f t="array" ref="G30:H34">LINEST(K22:K26,$B22:$B26,TRUE, TRUE)</f>
        <v>-0.23269294527524331</v>
      </c>
      <c r="H30">
        <v>-7.3268977196734237</v>
      </c>
      <c r="I30" cm="1">
        <f t="array" ref="I30:J34">LINEST(L22:L26,$B22:$B26,TRUE, TRUE)</f>
        <v>-0.21653481330088595</v>
      </c>
      <c r="J30">
        <v>-7.4589207006290934</v>
      </c>
      <c r="K30" cm="1">
        <f t="array" ref="K30:L34">LINEST(M22:M26,$B22:$B26,TRUE, TRUE)</f>
        <v>-0.22077447493952485</v>
      </c>
      <c r="L30">
        <v>-7.4042067716246329</v>
      </c>
      <c r="N30">
        <v>-0.12453809661969778</v>
      </c>
      <c r="O30">
        <v>-0.12215546255457164</v>
      </c>
      <c r="P30">
        <v>-0.1214482101770919</v>
      </c>
      <c r="Q30">
        <v>-0.12814339785599374</v>
      </c>
      <c r="R30">
        <v>-0.12172447248027196</v>
      </c>
      <c r="U30" cm="1">
        <f t="array" ref="U30:V34">LINEST(AA22:AA26,T22:T26,TRUE, TRUE)</f>
        <v>-0.59037493427441423</v>
      </c>
      <c r="V30">
        <v>-4.975345268062223</v>
      </c>
      <c r="W30" cm="1">
        <f t="array" ref="W30:X34">LINEST(AB22:AB26,T22:T26,TRUE, TRUE)</f>
        <v>-0.60144527114736801</v>
      </c>
      <c r="X30">
        <v>-4.8512191795819355</v>
      </c>
      <c r="Y30" cm="1">
        <f t="array" ref="Y30:Z34">LINEST(AC22:AC26,$B22:$B26,TRUE, TRUE)</f>
        <v>-0.60714642592971391</v>
      </c>
      <c r="Z30">
        <v>-4.8025008821629074</v>
      </c>
      <c r="AA30" cm="1">
        <f t="array" ref="AA30:AB34">LINEST(AD22:AD26,$B22:$B26,TRUE, TRUE)</f>
        <v>-0.59270879192928128</v>
      </c>
      <c r="AB30">
        <v>-4.9446595222451597</v>
      </c>
      <c r="AC30" cm="1">
        <f t="array" ref="AC30:AD34">LINEST(AE22:AE26,$B22:$B26,TRUE, TRUE)</f>
        <v>-0.59812602767508527</v>
      </c>
      <c r="AD30">
        <v>-4.8543441439003612</v>
      </c>
      <c r="AM30">
        <v>9.5472221640766253E-6</v>
      </c>
      <c r="AN30">
        <v>1.0790344080630763E-5</v>
      </c>
      <c r="AO30">
        <v>1.1743817371919544E-5</v>
      </c>
      <c r="AP30">
        <v>8.1725187107412813E-6</v>
      </c>
      <c r="AQ30">
        <v>6.8428590319316646E-6</v>
      </c>
      <c r="AR30" cm="1">
        <f t="array" ref="AR30:AS30">LINEST(AM30:AQ30,$AM$6:$AQ$6)</f>
        <v>2.4839484099730485E-7</v>
      </c>
      <c r="AS30">
        <v>9.4193522718599749E-6</v>
      </c>
      <c r="AT30">
        <f t="shared" si="30"/>
        <v>2.6017498779062793E-2</v>
      </c>
      <c r="AU30">
        <f t="shared" si="31"/>
        <v>1.7162150085392585</v>
      </c>
      <c r="AZ30">
        <v>7.2439812613873478E-5</v>
      </c>
      <c r="BA30">
        <v>7.3417840184800156E-5</v>
      </c>
      <c r="BB30">
        <v>7.3961755988295651E-5</v>
      </c>
      <c r="BC30">
        <v>7.3801573444577041E-5</v>
      </c>
      <c r="BD30">
        <v>7.1361276789823114E-5</v>
      </c>
      <c r="BE30" cm="1">
        <f t="array" ref="BE30:BF30">LINEST(AZ30:BD30,$AM$6:$AQ$6)</f>
        <v>9.6344502743363831E-8</v>
      </c>
      <c r="BF30">
        <v>7.2996451804273902E-5</v>
      </c>
      <c r="BH30">
        <f t="shared" si="32"/>
        <v>1.0364410407920754</v>
      </c>
    </row>
    <row r="31" spans="2:60" x14ac:dyDescent="0.2">
      <c r="C31">
        <v>1.6963975544058169E-3</v>
      </c>
      <c r="D31">
        <v>2.0302237317516906E-2</v>
      </c>
      <c r="E31">
        <v>2.9198234314009109E-3</v>
      </c>
      <c r="F31">
        <v>3.4944018915607888E-2</v>
      </c>
      <c r="G31">
        <v>1.7984122156509987E-3</v>
      </c>
      <c r="H31">
        <v>2.1523133832656725E-2</v>
      </c>
      <c r="I31">
        <v>2.1399464837699293E-3</v>
      </c>
      <c r="J31">
        <v>2.5610565900338323E-2</v>
      </c>
      <c r="K31">
        <v>4.0424169537474153E-3</v>
      </c>
      <c r="L31">
        <v>4.8379053670635476E-2</v>
      </c>
      <c r="U31">
        <v>8.7580035406414989E-3</v>
      </c>
      <c r="V31">
        <v>0.10481450285516122</v>
      </c>
      <c r="W31">
        <v>2.7081365874318399E-2</v>
      </c>
      <c r="X31">
        <v>0.32410581790510423</v>
      </c>
      <c r="Y31">
        <v>2.3181849466882821E-2</v>
      </c>
      <c r="Z31">
        <v>0.27743697703010195</v>
      </c>
      <c r="AA31">
        <v>1.1645744539980603E-2</v>
      </c>
      <c r="AB31">
        <v>0.1393745639256577</v>
      </c>
      <c r="AC31">
        <v>2.0960468836313247E-2</v>
      </c>
      <c r="AD31">
        <v>0.25085181919535415</v>
      </c>
      <c r="AM31">
        <v>4.9406300800514721E-6</v>
      </c>
      <c r="AN31">
        <v>5.6243985886654158E-6</v>
      </c>
      <c r="AO31">
        <v>6.3429044430872249E-6</v>
      </c>
      <c r="AP31">
        <v>3.9635189022310939E-6</v>
      </c>
      <c r="AQ31">
        <v>3.0580680085073494E-6</v>
      </c>
      <c r="AR31" cm="1">
        <f t="array" ref="AR31:AS31">LINEST(AM31:AQ31,$AM$6:$AQ$6)</f>
        <v>1.6461105111188148E-7</v>
      </c>
      <c r="AS31">
        <v>4.7859040045085119E-6</v>
      </c>
      <c r="AT31">
        <f t="shared" si="30"/>
        <v>3.3317825549523138E-2</v>
      </c>
      <c r="AU31">
        <f>MAX(AM31:AQ31)/MIN(AM31:AQ31)</f>
        <v>2.0741541474688172</v>
      </c>
      <c r="AZ31">
        <v>6.2745913987516554E-5</v>
      </c>
      <c r="BA31">
        <v>6.3080383281199841E-5</v>
      </c>
      <c r="BB31">
        <v>6.4003210527041645E-5</v>
      </c>
      <c r="BC31">
        <v>6.2698212565542345E-5</v>
      </c>
      <c r="BD31">
        <v>6.1839846196209974E-5</v>
      </c>
      <c r="BE31" cm="1">
        <f t="array" ref="BE31:BF31">LINEST(AZ31:BD31,$AM$6:$AQ$6)</f>
        <v>9.4177987546416736E-8</v>
      </c>
      <c r="BF31">
        <v>6.2873513311502075E-5</v>
      </c>
      <c r="BH31">
        <f t="shared" si="32"/>
        <v>1.0349833394469901</v>
      </c>
    </row>
    <row r="32" spans="2:60" x14ac:dyDescent="0.2">
      <c r="C32">
        <v>0.99982599839909325</v>
      </c>
      <c r="D32">
        <v>6.491709668409667E-3</v>
      </c>
      <c r="E32">
        <v>0.99951178351403791</v>
      </c>
      <c r="F32">
        <v>1.1173469302903744E-2</v>
      </c>
      <c r="G32">
        <v>0.99982083404396982</v>
      </c>
      <c r="H32">
        <v>6.8820954957205553E-3</v>
      </c>
      <c r="I32">
        <v>0.99970708312691348</v>
      </c>
      <c r="J32">
        <v>8.1890658486797469E-3</v>
      </c>
      <c r="K32">
        <v>0.99899522421763653</v>
      </c>
      <c r="L32">
        <v>1.5469367516022434E-2</v>
      </c>
      <c r="U32">
        <v>0.99934023535312699</v>
      </c>
      <c r="V32">
        <v>3.3514794991945401E-2</v>
      </c>
      <c r="W32">
        <v>0.99395443865704125</v>
      </c>
      <c r="X32">
        <v>0.10363394136207056</v>
      </c>
      <c r="Y32">
        <v>0.99564553022649793</v>
      </c>
      <c r="Z32">
        <v>8.871142022395305E-2</v>
      </c>
      <c r="AA32">
        <v>0.99884316788192795</v>
      </c>
      <c r="AB32">
        <v>4.4565492463528825E-2</v>
      </c>
      <c r="AC32">
        <v>0.99632936865102606</v>
      </c>
      <c r="AD32">
        <v>8.0210725278222927E-2</v>
      </c>
      <c r="AT32">
        <f>AVERAGE(AR27:AR31)</f>
        <v>2.6237547374263697E-7</v>
      </c>
      <c r="AZ32">
        <v>5.3009568274002203E-5</v>
      </c>
      <c r="BA32">
        <v>5.3737250310694221E-5</v>
      </c>
      <c r="BB32">
        <v>5.3433096818922869E-5</v>
      </c>
      <c r="BC32">
        <v>5.1951283859561979E-5</v>
      </c>
      <c r="BD32">
        <v>5.2221238763927792E-5</v>
      </c>
      <c r="BE32" cm="1">
        <f t="array" ref="BE32:BF32">LINEST(AZ32:BD32,$AM$6:$AQ$6)</f>
        <v>8.4193651222447909E-8</v>
      </c>
      <c r="BF32">
        <v>5.2870487605421819E-5</v>
      </c>
      <c r="BH32">
        <f>MAX(AZ32:BD32)/MIN(AZ32:BD32)</f>
        <v>1.0343777153989144</v>
      </c>
    </row>
    <row r="33" spans="2:60" x14ac:dyDescent="0.2">
      <c r="C33">
        <v>17238.220680547351</v>
      </c>
      <c r="D33">
        <v>3</v>
      </c>
      <c r="E33">
        <v>6141.8150282935867</v>
      </c>
      <c r="F33">
        <v>3</v>
      </c>
      <c r="G33">
        <v>16741.252459962616</v>
      </c>
      <c r="H33">
        <v>3</v>
      </c>
      <c r="I33">
        <v>10238.813550678808</v>
      </c>
      <c r="J33">
        <v>3</v>
      </c>
      <c r="K33">
        <v>2982.7407519746789</v>
      </c>
      <c r="L33">
        <v>3</v>
      </c>
      <c r="U33">
        <v>4544.0760129676655</v>
      </c>
      <c r="V33">
        <v>3</v>
      </c>
      <c r="W33">
        <v>493.23183519493887</v>
      </c>
      <c r="X33">
        <v>3</v>
      </c>
      <c r="Y33">
        <v>685.94725558911671</v>
      </c>
      <c r="Z33">
        <v>3</v>
      </c>
      <c r="AA33">
        <v>2590.2889942573443</v>
      </c>
      <c r="AB33">
        <v>3</v>
      </c>
      <c r="AC33">
        <v>814.29809255801274</v>
      </c>
      <c r="AD33">
        <v>3</v>
      </c>
      <c r="AM33" t="s">
        <v>35</v>
      </c>
      <c r="BG33">
        <f>AVERAGE(BE28:BE32)</f>
        <v>9.1124151342602243E-8</v>
      </c>
    </row>
    <row r="34" spans="2:60" x14ac:dyDescent="0.2">
      <c r="C34">
        <v>0.72645817117800304</v>
      </c>
      <c r="D34">
        <v>1.2642688325677063E-4</v>
      </c>
      <c r="E34">
        <v>0.76678359563227438</v>
      </c>
      <c r="F34">
        <v>3.7453924878879687E-4</v>
      </c>
      <c r="G34">
        <v>0.79291993158032636</v>
      </c>
      <c r="H34">
        <v>1.4208971523665145E-4</v>
      </c>
      <c r="I34">
        <v>0.68662302237387796</v>
      </c>
      <c r="J34">
        <v>2.011823984220388E-4</v>
      </c>
      <c r="K34">
        <v>0.71377383300682418</v>
      </c>
      <c r="L34">
        <v>7.1790399403731035E-4</v>
      </c>
      <c r="U34">
        <v>5.1040946812706265</v>
      </c>
      <c r="V34">
        <v>3.3697244500563855E-3</v>
      </c>
      <c r="W34">
        <v>5.2973068530596636</v>
      </c>
      <c r="X34">
        <v>3.2219981406711236E-2</v>
      </c>
      <c r="Y34">
        <v>5.3982101460730778</v>
      </c>
      <c r="Z34">
        <v>2.3609148234452357E-2</v>
      </c>
      <c r="AA34">
        <v>5.1445292435744863</v>
      </c>
      <c r="AB34">
        <v>5.9582493555505331E-3</v>
      </c>
      <c r="AC34">
        <v>5.2389988621321395</v>
      </c>
      <c r="AD34">
        <v>1.930128134897565E-2</v>
      </c>
      <c r="AM34">
        <v>5.0519884583828364E-6</v>
      </c>
      <c r="AN34">
        <v>4.4692107316578943E-6</v>
      </c>
      <c r="AO34">
        <v>4.1773596553684702E-6</v>
      </c>
      <c r="AP34">
        <v>4.4893846987116355E-6</v>
      </c>
      <c r="AQ34">
        <v>4.6949854222350023E-6</v>
      </c>
      <c r="AR34" cm="1">
        <f t="array" ref="AR34:AS34">LINEST(AM34:AQ34,$AM$6:$AQ$6)</f>
        <v>-2.1108510015736115E-8</v>
      </c>
      <c r="AS34">
        <v>4.5765857932711674E-6</v>
      </c>
      <c r="AU34">
        <f>MAX(AM34:AQ34)/MIN(AM34:AQ34)</f>
        <v>1.2093735936503218</v>
      </c>
      <c r="AZ34" t="s">
        <v>35</v>
      </c>
    </row>
    <row r="35" spans="2:60" x14ac:dyDescent="0.2">
      <c r="D35" s="5">
        <f>EXP(D30)</f>
        <v>6.0483210278370106E-4</v>
      </c>
      <c r="E35" s="5"/>
      <c r="F35" s="5">
        <f>EXP(F30)</f>
        <v>6.3884901413024378E-4</v>
      </c>
      <c r="G35" s="5"/>
      <c r="H35" s="5">
        <f>EXP(H30)</f>
        <v>6.5761051809945948E-4</v>
      </c>
      <c r="I35" s="5"/>
      <c r="J35" s="5">
        <f>EXP(J30)</f>
        <v>5.762778122389118E-4</v>
      </c>
      <c r="K35" s="5"/>
      <c r="L35" s="5">
        <f>EXP(L30)</f>
        <v>6.0868676143012782E-4</v>
      </c>
      <c r="V35" s="5">
        <f>EXP(V30)</f>
        <v>6.9061340602424772E-3</v>
      </c>
      <c r="W35" s="5"/>
      <c r="X35" s="5">
        <f>EXP(X30)</f>
        <v>7.8188391668400845E-3</v>
      </c>
      <c r="Y35" s="5"/>
      <c r="Z35" s="5">
        <f>EXP(Z30)</f>
        <v>8.2091911360916477E-3</v>
      </c>
      <c r="AA35" s="5"/>
      <c r="AB35" s="5">
        <f>EXP(AB30)</f>
        <v>7.1213389088236687E-3</v>
      </c>
      <c r="AC35" s="5"/>
      <c r="AD35" s="5">
        <f>EXP(AD30)</f>
        <v>7.7944437107497237E-3</v>
      </c>
      <c r="AM35">
        <v>2.4493781143774093E-6</v>
      </c>
      <c r="AN35">
        <v>2.0002207266325845E-6</v>
      </c>
      <c r="AO35">
        <v>2.2779365189504065E-6</v>
      </c>
      <c r="AP35">
        <v>2.297295188883147E-6</v>
      </c>
      <c r="AQ35">
        <v>2.6038092930128246E-6</v>
      </c>
      <c r="AR35" cm="1">
        <f t="array" ref="AR35:AS35">LINEST(AM35:AQ35,$AM$6:$AQ$6)</f>
        <v>-1.8976400207507987E-8</v>
      </c>
      <c r="AS35">
        <v>2.3257279683712743E-6</v>
      </c>
      <c r="AU35">
        <f t="shared" ref="AU35:AU37" si="33">MAX(AM35:AQ35)/MIN(AM35:AQ35)</f>
        <v>1.3017609798476566</v>
      </c>
      <c r="AZ35">
        <v>2.9944514031675467E-5</v>
      </c>
      <c r="BA35">
        <v>2.8964102677445762E-5</v>
      </c>
      <c r="BB35">
        <v>2.7267759403660678E-5</v>
      </c>
      <c r="BC35">
        <v>2.98880000037275E-5</v>
      </c>
      <c r="BD35">
        <v>3.1612263782180487E-5</v>
      </c>
      <c r="BE35" cm="1">
        <f t="array" ref="BE35:BF35">LINEST(AZ35:BD35,$AM$6:$AQ$6)</f>
        <v>-1.9225812166642719E-7</v>
      </c>
      <c r="BF35">
        <v>2.9535327979737974E-5</v>
      </c>
      <c r="BH35">
        <f>MAX(AZ35:BD35)/MIN(AZ35:BD35)</f>
        <v>1.1593275162144991</v>
      </c>
    </row>
    <row r="36" spans="2:60" x14ac:dyDescent="0.2">
      <c r="B36" t="s">
        <v>29</v>
      </c>
      <c r="T36" t="s">
        <v>29</v>
      </c>
      <c r="AM36">
        <v>1.2200763002237876E-6</v>
      </c>
      <c r="AN36">
        <v>1.2085135284497505E-6</v>
      </c>
      <c r="AO36">
        <v>1.1426863431300327E-6</v>
      </c>
      <c r="AP36">
        <v>1.363345585873022E-6</v>
      </c>
      <c r="AQ36">
        <v>1.051478051659922E-6</v>
      </c>
      <c r="AR36" cm="1">
        <f t="array" ref="AR36:AS36">LINEST(AM36:AQ36,$AM$6:$AQ$6)</f>
        <v>5.5169051033899607E-10</v>
      </c>
      <c r="AS36">
        <v>1.1972199618673029E-6</v>
      </c>
      <c r="AU36">
        <f t="shared" si="33"/>
        <v>1.2965991859941999</v>
      </c>
      <c r="AZ36">
        <v>1.8590684784734281E-5</v>
      </c>
      <c r="BA36">
        <v>1.8714184073482613E-5</v>
      </c>
      <c r="BB36">
        <v>1.76244600134838E-5</v>
      </c>
      <c r="BC36">
        <v>1.9905412812529006E-5</v>
      </c>
      <c r="BD36">
        <v>2.1693503203547408E-5</v>
      </c>
      <c r="BE36" cm="1">
        <f t="array" ref="BE36:BF36">LINEST(AZ36:BD36,$AM$6:$AQ$6)</f>
        <v>-1.8658630238347221E-7</v>
      </c>
      <c r="BF36">
        <v>1.9305648977555424E-5</v>
      </c>
      <c r="BH36">
        <f t="shared" ref="BH36:BH38" si="34">MAX(AZ36:BD36)/MIN(AZ36:BD36)</f>
        <v>1.2308747721604258</v>
      </c>
    </row>
    <row r="37" spans="2:60" x14ac:dyDescent="0.2">
      <c r="C37" t="s">
        <v>19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V37" t="s">
        <v>5</v>
      </c>
      <c r="W37" t="s">
        <v>6</v>
      </c>
      <c r="X37" t="s">
        <v>7</v>
      </c>
      <c r="Y37" t="s">
        <v>8</v>
      </c>
      <c r="Z37" t="s">
        <v>9</v>
      </c>
      <c r="AM37">
        <v>2.8946406962465296E-7</v>
      </c>
      <c r="AN37">
        <v>5.1090470048983667E-7</v>
      </c>
      <c r="AO37">
        <v>3.9680741667559783E-7</v>
      </c>
      <c r="AP37">
        <v>4.9752854514250217E-7</v>
      </c>
      <c r="AQ37">
        <v>4.0590742170490476E-7</v>
      </c>
      <c r="AR37" cm="1">
        <f t="array" ref="AR37:AS37">LINEST(AM37:AQ37,$AM$6:$AQ$6)</f>
        <v>-9.6477094225587626E-11</v>
      </c>
      <c r="AS37">
        <v>4.2012243072749882E-7</v>
      </c>
      <c r="AU37">
        <f t="shared" si="33"/>
        <v>1.7650021336061674</v>
      </c>
      <c r="AZ37">
        <v>1.1063711765148486E-5</v>
      </c>
      <c r="BA37">
        <v>1.0364018844525796E-5</v>
      </c>
      <c r="BB37">
        <v>1.0734026120687886E-5</v>
      </c>
      <c r="BC37">
        <v>1.1231261864754315E-5</v>
      </c>
      <c r="BD37">
        <v>1.1812153654511798E-5</v>
      </c>
      <c r="BE37" cm="1">
        <f t="array" ref="BE37:BF37">LINEST(AZ37:BD37,$AM$6:$AQ$6)</f>
        <v>-6.0469961757526872E-8</v>
      </c>
      <c r="BF37">
        <v>1.1041034449925656E-5</v>
      </c>
      <c r="BH37">
        <f t="shared" si="34"/>
        <v>1.1397271494494527</v>
      </c>
    </row>
    <row r="38" spans="2:60" x14ac:dyDescent="0.2">
      <c r="B38">
        <v>9.670469095114866</v>
      </c>
      <c r="C38">
        <v>1200</v>
      </c>
      <c r="D38">
        <v>3.6165074159986403E-5</v>
      </c>
      <c r="E38">
        <v>3.5137793188028394E-5</v>
      </c>
      <c r="F38">
        <v>3.3750666620836325E-5</v>
      </c>
      <c r="G38">
        <v>3.8554975822515014E-5</v>
      </c>
      <c r="H38">
        <v>3.9024326387878765E-5</v>
      </c>
      <c r="I38">
        <f>LN(D38)</f>
        <v>-10.227416707064098</v>
      </c>
      <c r="J38">
        <f>LN(E38)</f>
        <v>-10.256233277745705</v>
      </c>
      <c r="K38">
        <f t="shared" ref="K38:K42" si="35">LN(F38)</f>
        <v>-10.296510389112314</v>
      </c>
      <c r="L38">
        <f t="shared" ref="L38:L42" si="36">LN(G38)</f>
        <v>-10.163425391770327</v>
      </c>
      <c r="M38">
        <f t="shared" ref="M38:M42" si="37">LN(H38)</f>
        <v>-10.151325352752655</v>
      </c>
      <c r="T38">
        <f>1/U38/(0.000086173)</f>
        <v>9.670469095114866</v>
      </c>
      <c r="U38">
        <v>1200</v>
      </c>
      <c r="V38">
        <v>6.7597090931927742E-6</v>
      </c>
      <c r="W38">
        <v>6.5916824252021444E-6</v>
      </c>
      <c r="X38">
        <v>6.313435866837712E-6</v>
      </c>
      <c r="Y38">
        <v>6.5410606328913839E-6</v>
      </c>
      <c r="Z38">
        <v>6.9638233595194631E-6</v>
      </c>
      <c r="AA38">
        <f>LN(V38)</f>
        <v>-11.904530702386737</v>
      </c>
      <c r="AB38">
        <f t="shared" ref="AB38:AB42" si="38">LN(W38)</f>
        <v>-11.929701942306103</v>
      </c>
      <c r="AC38">
        <f t="shared" ref="AC38:AC42" si="39">LN(X38)</f>
        <v>-11.972830518218943</v>
      </c>
      <c r="AD38">
        <f t="shared" ref="AD38:AD42" si="40">LN(Y38)</f>
        <v>-11.937411229361233</v>
      </c>
      <c r="AE38">
        <f t="shared" ref="AE38:AE42" si="41">LN(Z38)</f>
        <v>-11.874781901181938</v>
      </c>
      <c r="AT38">
        <f>AVERAGE(AR33:AR37)</f>
        <v>-9.9074242017826737E-9</v>
      </c>
      <c r="AZ38">
        <v>5.4404033921933006E-6</v>
      </c>
      <c r="BA38">
        <v>5.6323774178043241E-6</v>
      </c>
      <c r="BB38">
        <v>5.317787382166887E-6</v>
      </c>
      <c r="BC38">
        <v>6.5399803126230417E-6</v>
      </c>
      <c r="BD38">
        <v>6.8577288207771175E-6</v>
      </c>
      <c r="BE38" cm="1">
        <f t="array" ref="BE38:BF38">LINEST(AZ38:BD38,$AM$6:$AQ$6)</f>
        <v>-7.9749715440783579E-8</v>
      </c>
      <c r="BF38">
        <v>5.9576554651129343E-6</v>
      </c>
      <c r="BH38">
        <f t="shared" si="34"/>
        <v>1.289583115672206</v>
      </c>
    </row>
    <row r="39" spans="2:60" x14ac:dyDescent="0.2">
      <c r="B39">
        <v>10.549602649216217</v>
      </c>
      <c r="C39">
        <v>1100</v>
      </c>
      <c r="D39">
        <v>2.5651353223214911E-5</v>
      </c>
      <c r="E39">
        <v>2.4132381693112828E-5</v>
      </c>
      <c r="F39">
        <v>2.4037144869998414E-5</v>
      </c>
      <c r="G39">
        <v>2.738661152797279E-5</v>
      </c>
      <c r="H39">
        <v>2.9161280222341341E-5</v>
      </c>
      <c r="I39">
        <f t="shared" ref="I39:I42" si="42">LN(D39)</f>
        <v>-10.570914230498762</v>
      </c>
      <c r="J39">
        <f t="shared" ref="J39:J42" si="43">LN(E39)</f>
        <v>-10.631955980624021</v>
      </c>
      <c r="K39">
        <f t="shared" si="35"/>
        <v>-10.635910221157539</v>
      </c>
      <c r="L39">
        <f t="shared" si="36"/>
        <v>-10.505456294354927</v>
      </c>
      <c r="M39">
        <f t="shared" si="37"/>
        <v>-10.442668748415068</v>
      </c>
      <c r="T39">
        <f t="shared" ref="T39:T42" si="44">1/U39/(0.000086173)</f>
        <v>10.549602649216217</v>
      </c>
      <c r="U39">
        <v>1100</v>
      </c>
      <c r="V39">
        <v>3.4843752250606368E-6</v>
      </c>
      <c r="W39">
        <v>3.0927341951311797E-6</v>
      </c>
      <c r="X39">
        <v>3.4040769577549671E-6</v>
      </c>
      <c r="Y39">
        <v>3.7476311272742895E-6</v>
      </c>
      <c r="Z39">
        <v>3.7028361570218337E-6</v>
      </c>
      <c r="AA39">
        <f t="shared" ref="AA39:AA42" si="45">LN(V39)</f>
        <v>-12.567221805272435</v>
      </c>
      <c r="AB39">
        <f t="shared" si="38"/>
        <v>-12.686455005512808</v>
      </c>
      <c r="AC39">
        <f t="shared" si="39"/>
        <v>-12.590536739472579</v>
      </c>
      <c r="AD39">
        <f t="shared" si="40"/>
        <v>-12.494386616981604</v>
      </c>
      <c r="AE39">
        <f t="shared" si="41"/>
        <v>-12.506411503022528</v>
      </c>
      <c r="AM39" t="s">
        <v>26</v>
      </c>
      <c r="BG39">
        <f>AVERAGE(BE34:BE38)</f>
        <v>-1.2976602531205245E-7</v>
      </c>
    </row>
    <row r="40" spans="2:60" x14ac:dyDescent="0.2">
      <c r="B40">
        <v>11.604562914137839</v>
      </c>
      <c r="C40">
        <v>1000</v>
      </c>
      <c r="D40">
        <v>1.7258581231892761E-5</v>
      </c>
      <c r="E40">
        <v>1.5619723031669087E-5</v>
      </c>
      <c r="F40">
        <v>1.5451789259968787E-5</v>
      </c>
      <c r="G40">
        <v>1.7400476465943563E-5</v>
      </c>
      <c r="H40">
        <v>1.8640861148266507E-5</v>
      </c>
      <c r="I40">
        <f t="shared" si="42"/>
        <v>-10.967201075462043</v>
      </c>
      <c r="J40">
        <f t="shared" si="43"/>
        <v>-11.066976145357247</v>
      </c>
      <c r="K40">
        <f t="shared" si="35"/>
        <v>-11.077785751619228</v>
      </c>
      <c r="L40">
        <f t="shared" si="36"/>
        <v>-10.959012969018497</v>
      </c>
      <c r="M40">
        <f t="shared" si="37"/>
        <v>-10.890154550832632</v>
      </c>
      <c r="T40">
        <f t="shared" si="44"/>
        <v>11.604562914137839</v>
      </c>
      <c r="U40">
        <v>1000</v>
      </c>
      <c r="V40">
        <v>1.449640271449526E-6</v>
      </c>
      <c r="W40">
        <v>1.213121885622311E-6</v>
      </c>
      <c r="X40">
        <v>1.3067388841158416E-6</v>
      </c>
      <c r="Y40">
        <v>1.5481977907246508E-6</v>
      </c>
      <c r="Z40">
        <v>1.413033552898163E-6</v>
      </c>
      <c r="AA40">
        <f t="shared" si="45"/>
        <v>-13.444195120966372</v>
      </c>
      <c r="AB40">
        <f t="shared" si="38"/>
        <v>-13.622313450262034</v>
      </c>
      <c r="AC40">
        <f t="shared" si="39"/>
        <v>-13.547975925901255</v>
      </c>
      <c r="AD40">
        <f t="shared" si="40"/>
        <v>-13.378419019172908</v>
      </c>
      <c r="AE40">
        <f t="shared" si="41"/>
        <v>-13.46977170868524</v>
      </c>
      <c r="AM40">
        <v>7.8808866842946179E-7</v>
      </c>
      <c r="AN40">
        <v>7.6253007108735698E-7</v>
      </c>
      <c r="AO40">
        <v>7.5966698758508282E-7</v>
      </c>
      <c r="AP40">
        <v>7.415540817035372E-7</v>
      </c>
      <c r="AQ40">
        <v>7.50606115298883E-7</v>
      </c>
      <c r="AR40" cm="1">
        <f t="array" ref="AR40:AS40">LINEST(AM40:AQ40,$AM$6:$AQ$6)</f>
        <v>7.8195467912438841E-10</v>
      </c>
      <c r="AS40">
        <v>7.604891848208644E-7</v>
      </c>
      <c r="AU40">
        <f>MAX(AM40:AQ40)/MIN(AM40:AQ40)</f>
        <v>1.0627527888714776</v>
      </c>
      <c r="AZ40" t="s">
        <v>26</v>
      </c>
    </row>
    <row r="41" spans="2:60" x14ac:dyDescent="0.2">
      <c r="B41">
        <v>12.893958793486487</v>
      </c>
      <c r="C41">
        <v>900</v>
      </c>
      <c r="D41">
        <v>8.8595803743289309E-6</v>
      </c>
      <c r="E41">
        <v>9.3367330051712414E-6</v>
      </c>
      <c r="F41">
        <v>8.6651053481380526E-6</v>
      </c>
      <c r="G41">
        <v>1.0625923498904384E-5</v>
      </c>
      <c r="H41">
        <v>1.169327029188114E-5</v>
      </c>
      <c r="I41">
        <f t="shared" si="42"/>
        <v>-11.634011156282781</v>
      </c>
      <c r="J41">
        <f t="shared" si="43"/>
        <v>-11.581554152226246</v>
      </c>
      <c r="K41">
        <f t="shared" si="35"/>
        <v>-11.656206476978165</v>
      </c>
      <c r="L41">
        <f t="shared" si="36"/>
        <v>-11.452213929386962</v>
      </c>
      <c r="M41">
        <f t="shared" si="37"/>
        <v>-11.356497070373168</v>
      </c>
      <c r="T41">
        <f t="shared" si="44"/>
        <v>12.893958793486487</v>
      </c>
      <c r="U41">
        <v>900</v>
      </c>
      <c r="V41">
        <v>6.1174613663423452E-7</v>
      </c>
      <c r="W41">
        <v>5.2415441611241019E-7</v>
      </c>
      <c r="X41">
        <v>4.6431212758441207E-7</v>
      </c>
      <c r="Y41">
        <v>5.055422251694296E-7</v>
      </c>
      <c r="Z41">
        <v>5.428777500820724E-7</v>
      </c>
      <c r="AA41">
        <f t="shared" si="45"/>
        <v>-14.306948449912497</v>
      </c>
      <c r="AB41">
        <f t="shared" si="38"/>
        <v>-14.4614795087997</v>
      </c>
      <c r="AC41">
        <f t="shared" si="39"/>
        <v>-14.582708822114316</v>
      </c>
      <c r="AD41">
        <f t="shared" si="40"/>
        <v>-14.497634270482003</v>
      </c>
      <c r="AE41">
        <f t="shared" si="41"/>
        <v>-14.426381680330234</v>
      </c>
      <c r="AM41" s="2">
        <v>3.2864401233649184E-7</v>
      </c>
      <c r="AN41" s="2">
        <v>3.354399353394156E-7</v>
      </c>
      <c r="AO41" s="2">
        <v>3.5605064278100521E-7</v>
      </c>
      <c r="AP41" s="2">
        <v>3.3737330285596901E-7</v>
      </c>
      <c r="AQ41" s="2">
        <v>3.2007610177599217E-7</v>
      </c>
      <c r="AR41" cm="1">
        <f t="array" ref="AR41:AS41">LINEST(AM41:AQ41,$AM$6:$AQ$6)</f>
        <v>1.4003142898694533E-9</v>
      </c>
      <c r="AS41">
        <v>3.3551679901777473E-7</v>
      </c>
      <c r="AU41">
        <f t="shared" ref="AU41:AU43" si="46">MAX(AM41:AQ41)/MIN(AM41:AQ41)</f>
        <v>1.1123937113873941</v>
      </c>
      <c r="AZ41" s="2">
        <v>7.5884125235989867E-5</v>
      </c>
      <c r="BA41" s="2">
        <v>7.7546291357804276E-5</v>
      </c>
      <c r="BB41" s="2">
        <v>7.5107864749779255E-5</v>
      </c>
      <c r="BC41" s="2">
        <v>7.5484667069184881E-5</v>
      </c>
      <c r="BD41" s="2">
        <v>7.603990828580568E-5</v>
      </c>
      <c r="BE41" cm="1">
        <f t="array" ref="BE41:BF41">LINEST(AZ41:BD41,$AM$6:$AQ$6)</f>
        <v>3.9507443313309303E-9</v>
      </c>
      <c r="BF41">
        <v>7.6012571339712794E-5</v>
      </c>
      <c r="BH41">
        <f>MAX(AZ41:BD41)/MIN(AZ41:BD41)</f>
        <v>1.0324656627657915</v>
      </c>
    </row>
    <row r="42" spans="2:60" x14ac:dyDescent="0.2">
      <c r="B42">
        <v>14.5057036426723</v>
      </c>
      <c r="C42">
        <v>800</v>
      </c>
      <c r="D42">
        <v>4.3579437216786673E-6</v>
      </c>
      <c r="E42">
        <v>4.1408534575822365E-6</v>
      </c>
      <c r="F42">
        <v>3.1959283982969139E-6</v>
      </c>
      <c r="G42">
        <v>4.9041558315213936E-6</v>
      </c>
      <c r="H42">
        <v>4.672620004244497E-6</v>
      </c>
      <c r="I42">
        <f t="shared" si="42"/>
        <v>-12.343510235320855</v>
      </c>
      <c r="J42">
        <f t="shared" si="43"/>
        <v>-12.394608642198419</v>
      </c>
      <c r="K42">
        <f t="shared" si="35"/>
        <v>-12.653632933847843</v>
      </c>
      <c r="L42">
        <f t="shared" si="36"/>
        <v>-12.225427583423846</v>
      </c>
      <c r="M42">
        <f t="shared" si="37"/>
        <v>-12.273790614855113</v>
      </c>
      <c r="T42">
        <f t="shared" si="44"/>
        <v>14.505703642672298</v>
      </c>
      <c r="U42">
        <v>800</v>
      </c>
      <c r="AA42" t="e">
        <f t="shared" si="45"/>
        <v>#NUM!</v>
      </c>
      <c r="AB42" t="e">
        <f t="shared" si="38"/>
        <v>#NUM!</v>
      </c>
      <c r="AC42" t="e">
        <f t="shared" si="39"/>
        <v>#NUM!</v>
      </c>
      <c r="AD42" t="e">
        <f t="shared" si="40"/>
        <v>#NUM!</v>
      </c>
      <c r="AE42" t="e">
        <f t="shared" si="41"/>
        <v>#NUM!</v>
      </c>
      <c r="AM42" s="2">
        <v>1.2612578636346326E-7</v>
      </c>
      <c r="AN42" s="2">
        <v>1.3969904171191634E-7</v>
      </c>
      <c r="AO42" s="2">
        <v>1.3558738779643227E-7</v>
      </c>
      <c r="AP42" s="2">
        <v>1.4077348021367264E-7</v>
      </c>
      <c r="AQ42" s="2">
        <v>1.3290061557646655E-7</v>
      </c>
      <c r="AR42" cm="1">
        <f t="array" ref="AR42:AS42">LINEST(AM42:AQ42,$AM$6:$AQ$6)</f>
        <v>8.5982118763502871E-11</v>
      </c>
      <c r="AS42">
        <v>1.350172623323902E-7</v>
      </c>
      <c r="AU42">
        <f t="shared" si="46"/>
        <v>1.1161355998050895</v>
      </c>
      <c r="AZ42" s="2">
        <v>6.4743437417344248E-5</v>
      </c>
      <c r="BA42" s="2">
        <v>6.4132670430494366E-5</v>
      </c>
      <c r="BB42" s="2">
        <v>6.4490266919509581E-5</v>
      </c>
      <c r="BC42" s="2">
        <v>6.4334286940013279E-5</v>
      </c>
      <c r="BD42" s="2">
        <v>6.4614199410944885E-5</v>
      </c>
      <c r="BE42" cm="1">
        <f t="array" ref="BE42:BF42">LINEST(AZ42:BD42,$AM$6:$AQ$6)</f>
        <v>-8.9896298477903988E-9</v>
      </c>
      <c r="BF42">
        <v>6.4462972223661272E-5</v>
      </c>
      <c r="BH42">
        <f t="shared" ref="BH42:BH44" si="47">MAX(AZ42:BD42)/MIN(AZ42:BD42)</f>
        <v>1.0095234922037406</v>
      </c>
    </row>
    <row r="43" spans="2:60" x14ac:dyDescent="0.2">
      <c r="AM43" s="2">
        <v>3.0493259034065925E-8</v>
      </c>
      <c r="AN43" s="2">
        <v>4.8764950470394749E-8</v>
      </c>
      <c r="AO43" s="2">
        <v>5.0985225900536523E-8</v>
      </c>
      <c r="AP43" s="2">
        <v>4.5706272843210552E-8</v>
      </c>
      <c r="AQ43" s="2">
        <v>4.2061947300048467E-8</v>
      </c>
      <c r="AR43" cm="1">
        <f t="array" ref="AR43:AS43">LINEST(AM43:AQ43,$AM$6:$AQ$6)</f>
        <v>4.1810469656320619E-10</v>
      </c>
      <c r="AS43">
        <v>4.3602331109651246E-8</v>
      </c>
      <c r="AU43">
        <f t="shared" si="46"/>
        <v>1.6720162919803929</v>
      </c>
      <c r="AZ43">
        <v>5.3494445944211557E-5</v>
      </c>
      <c r="BA43">
        <v>5.4235848396445759E-5</v>
      </c>
      <c r="BB43">
        <v>5.3909285880964689E-5</v>
      </c>
      <c r="BC43">
        <v>5.3615921751218695E-5</v>
      </c>
      <c r="BD43">
        <v>5.3249748022089621E-5</v>
      </c>
      <c r="BE43" cm="1">
        <f t="array" ref="BE43:BF43">LINEST(AZ43:BD43,$AM$6:$AQ$6)</f>
        <v>3.8780047259544036E-8</v>
      </c>
      <c r="BF43">
        <v>5.3701049998986071E-5</v>
      </c>
      <c r="BH43">
        <f t="shared" si="47"/>
        <v>1.0185184045180284</v>
      </c>
    </row>
    <row r="44" spans="2:60" x14ac:dyDescent="0.2">
      <c r="D44" t="s">
        <v>0</v>
      </c>
      <c r="F44" t="s">
        <v>1</v>
      </c>
      <c r="H44" t="s">
        <v>2</v>
      </c>
      <c r="J44" t="s">
        <v>3</v>
      </c>
      <c r="L44" t="s">
        <v>4</v>
      </c>
      <c r="V44" t="s">
        <v>5</v>
      </c>
      <c r="X44" t="s">
        <v>6</v>
      </c>
      <c r="Z44" t="s">
        <v>7</v>
      </c>
      <c r="AB44" t="s">
        <v>8</v>
      </c>
      <c r="AD44" t="s">
        <v>9</v>
      </c>
      <c r="AT44">
        <f>AVERAGE(AR39:AR43)</f>
        <v>6.7158894608013773E-10</v>
      </c>
      <c r="AZ44">
        <v>4.2470246687356521E-5</v>
      </c>
      <c r="BA44">
        <v>4.2671183810671855E-5</v>
      </c>
      <c r="BB44">
        <v>4.3569370518182463E-5</v>
      </c>
      <c r="BC44">
        <v>4.209888481209641E-5</v>
      </c>
      <c r="BD44">
        <v>4.2993999142461786E-5</v>
      </c>
      <c r="BE44" cm="1">
        <f t="array" ref="BE44:BF44">LINEST(AZ44:BD44,$AM$6:$AQ$6)</f>
        <v>3.4460835000335958E-8</v>
      </c>
      <c r="BF44">
        <v>4.2760736994153806E-5</v>
      </c>
      <c r="BH44">
        <f t="shared" si="47"/>
        <v>1.0349293268135107</v>
      </c>
    </row>
    <row r="45" spans="2:60" x14ac:dyDescent="0.2">
      <c r="C45" t="s">
        <v>38</v>
      </c>
      <c r="D45" t="s">
        <v>39</v>
      </c>
      <c r="E45" t="s">
        <v>38</v>
      </c>
      <c r="F45" t="s">
        <v>39</v>
      </c>
      <c r="G45" t="s">
        <v>38</v>
      </c>
      <c r="H45" t="s">
        <v>39</v>
      </c>
      <c r="I45" t="s">
        <v>38</v>
      </c>
      <c r="J45" t="s">
        <v>39</v>
      </c>
      <c r="K45" t="s">
        <v>38</v>
      </c>
      <c r="L45" t="s">
        <v>39</v>
      </c>
      <c r="U45" t="s">
        <v>38</v>
      </c>
      <c r="V45" t="s">
        <v>39</v>
      </c>
      <c r="W45" t="s">
        <v>38</v>
      </c>
      <c r="X45" t="s">
        <v>39</v>
      </c>
      <c r="Y45" t="s">
        <v>38</v>
      </c>
      <c r="Z45" t="s">
        <v>39</v>
      </c>
      <c r="AA45" t="s">
        <v>38</v>
      </c>
      <c r="AB45" t="s">
        <v>39</v>
      </c>
      <c r="AC45" t="s">
        <v>38</v>
      </c>
      <c r="AD45" t="s">
        <v>39</v>
      </c>
      <c r="AM45" t="s">
        <v>36</v>
      </c>
      <c r="AZ45">
        <v>3.2353460134435369E-5</v>
      </c>
      <c r="BA45">
        <v>3.221247198673789E-5</v>
      </c>
      <c r="BB45">
        <v>3.3084024372763509E-5</v>
      </c>
      <c r="BC45">
        <v>3.1588570499403371E-5</v>
      </c>
      <c r="BD45">
        <v>3.1632991098414152E-5</v>
      </c>
      <c r="BE45" cm="1">
        <f t="array" ref="BE45:BF45">LINEST(AZ45:BD45,$AM$6:$AQ$6)</f>
        <v>7.0519360720664704E-8</v>
      </c>
      <c r="BF45">
        <v>3.2174303618350853E-5</v>
      </c>
      <c r="BH45">
        <f>MAX(AZ45:BD45)/MIN(AZ45:BD45)</f>
        <v>1.0473416127959441</v>
      </c>
    </row>
    <row r="46" spans="2:60" x14ac:dyDescent="0.2">
      <c r="C46" cm="1">
        <f t="array" ref="C46:D50">LINEST(I38:I42,B38:B42,TRUE, TRUE)</f>
        <v>-0.44274242109919942</v>
      </c>
      <c r="D46">
        <v>-5.9043889442109574</v>
      </c>
      <c r="E46" cm="1">
        <f t="array" ref="E46:F50">LINEST(J38:J42,B38:B42,TRUE, TRUE)</f>
        <v>-0.43695398204326624</v>
      </c>
      <c r="F46">
        <v>-6.0106071497881235</v>
      </c>
      <c r="G46" cm="1">
        <f t="array" ref="G46:H50">LINEST(K38:K42,$B38:$B42,TRUE, TRUE)</f>
        <v>-0.48285937978277937</v>
      </c>
      <c r="H46">
        <v>-5.5446076819064158</v>
      </c>
      <c r="I46" cm="1">
        <f t="array" ref="I46:J50">LINEST(L38:L42,$B38:$B42,TRUE, TRUE)</f>
        <v>-0.42368845017175338</v>
      </c>
      <c r="J46">
        <v>-6.042577103884053</v>
      </c>
      <c r="K46" cm="1">
        <f t="array" ref="K46:L50">LINEST(M38:M42,$B38:$B42,TRUE, TRUE)</f>
        <v>-0.43409896082884963</v>
      </c>
      <c r="L46">
        <v>-5.881046102526339</v>
      </c>
      <c r="U46" cm="1">
        <f t="array" ref="U46:V50">LINEST($AA38:$AA41,$T38:$T41,TRUE, TRUE)</f>
        <v>-0.75167340755453094</v>
      </c>
      <c r="V46">
        <v>-4.6522796393652452</v>
      </c>
      <c r="W46" cm="1">
        <f t="array" ref="W46:X50">LINEST($AB38:$AB41,$T38:$T41,TRUE, TRUE)</f>
        <v>-0.79093631720041668</v>
      </c>
      <c r="X46">
        <v>-4.33259757290209</v>
      </c>
      <c r="Y46" cm="1">
        <f t="array" ref="Y46:Z50">LINEST($AC38:$AC41,$T38:$T41,TRUE, TRUE)</f>
        <v>-0.82055004666809517</v>
      </c>
      <c r="Z46">
        <v>-4.0000520154433765</v>
      </c>
      <c r="AA46" cm="1">
        <f t="array" ref="AA46:AB50">LINEST($AD38:$AD41,$T38:$T41,TRUE, TRUE)</f>
        <v>-0.80262486590564475</v>
      </c>
      <c r="AB46">
        <v>-4.1038990157832487</v>
      </c>
      <c r="AC46" cm="1">
        <f t="array" ref="AC46:AD50">LINEST($AE38:$AE41,$T38:$T41,TRUE, TRUE)</f>
        <v>-0.80324804317646248</v>
      </c>
      <c r="AD46">
        <v>-4.0893060273332491</v>
      </c>
      <c r="AM46">
        <v>4.6908850250579452E-6</v>
      </c>
      <c r="AN46">
        <v>4.5434767650166494E-6</v>
      </c>
      <c r="AO46">
        <v>4.8054290451744083E-6</v>
      </c>
      <c r="AP46">
        <v>4.7734500402893297E-6</v>
      </c>
      <c r="AQ46">
        <v>4.8140854561449197E-6</v>
      </c>
      <c r="AR46" cm="1">
        <f t="array" ref="AR46:AS46">LINEST(AM46:AQ46,$AM$6:$AQ$6)</f>
        <v>-4.945721944274063E-9</v>
      </c>
      <c r="AS46">
        <v>4.7254652663366498E-6</v>
      </c>
      <c r="AU46">
        <f>MAX(AM46:AQ46)/MIN(AM46:AQ46)</f>
        <v>1.0595598272256772</v>
      </c>
      <c r="BG46">
        <f>AVERAGE(BE41:BE45)</f>
        <v>2.7744271492817047E-8</v>
      </c>
    </row>
    <row r="47" spans="2:60" x14ac:dyDescent="0.2">
      <c r="C47">
        <v>1.3569370152605368E-2</v>
      </c>
      <c r="D47">
        <v>0.16239623334278966</v>
      </c>
      <c r="E47">
        <v>1.2453660734436029E-2</v>
      </c>
      <c r="F47">
        <v>0.14904358653766234</v>
      </c>
      <c r="G47">
        <v>2.8543916742193209E-2</v>
      </c>
      <c r="H47">
        <v>0.34160941234935288</v>
      </c>
      <c r="I47">
        <v>1.0472996536247713E-2</v>
      </c>
      <c r="J47">
        <v>0.12533928768773078</v>
      </c>
      <c r="K47">
        <v>2.6297966248992746E-2</v>
      </c>
      <c r="L47">
        <v>0.31473020599944684</v>
      </c>
      <c r="U47">
        <v>2.3995873066775805E-2</v>
      </c>
      <c r="V47">
        <v>0.26981546505266291</v>
      </c>
      <c r="W47">
        <v>4.1497623510750467E-2</v>
      </c>
      <c r="X47">
        <v>0.46660942717004855</v>
      </c>
      <c r="Y47">
        <v>2.3585829774712332E-2</v>
      </c>
      <c r="Z47">
        <v>0.26520483799892108</v>
      </c>
      <c r="AA47">
        <v>3.5528917190589926E-2</v>
      </c>
      <c r="AB47">
        <v>0.39949583363438856</v>
      </c>
      <c r="AC47">
        <v>2.5335882912311092E-2</v>
      </c>
      <c r="AD47">
        <v>0.28488286346080222</v>
      </c>
      <c r="AM47">
        <v>2.6151851043396464E-6</v>
      </c>
      <c r="AN47">
        <v>2.5050037152183123E-6</v>
      </c>
      <c r="AO47">
        <v>2.752155343413654E-6</v>
      </c>
      <c r="AP47">
        <v>2.7432992620372222E-6</v>
      </c>
      <c r="AQ47">
        <v>2.9218111906815395E-6</v>
      </c>
      <c r="AR47" cm="1">
        <f t="array" ref="AR47:AS47">LINEST(AM47:AQ47,$AM$6:$AQ$6)</f>
        <v>-1.1552144827093617E-8</v>
      </c>
      <c r="AS47">
        <v>2.707490923138075E-6</v>
      </c>
      <c r="AU47">
        <f t="shared" ref="AU47:AU49" si="48">MAX(AM47:AQ47)/MIN(AM47:AQ47)</f>
        <v>1.1663899629892973</v>
      </c>
      <c r="AZ47" t="s">
        <v>36</v>
      </c>
    </row>
    <row r="48" spans="2:60" x14ac:dyDescent="0.2">
      <c r="C48">
        <v>0.99718993575392278</v>
      </c>
      <c r="D48">
        <v>5.1926749826488532E-2</v>
      </c>
      <c r="E48">
        <v>0.99756898939940997</v>
      </c>
      <c r="F48">
        <v>4.7657195441518599E-2</v>
      </c>
      <c r="G48">
        <v>0.98962524599289714</v>
      </c>
      <c r="H48">
        <v>0.1092307754207293</v>
      </c>
      <c r="I48">
        <v>0.99817032237412162</v>
      </c>
      <c r="J48">
        <v>4.0077664987788607E-2</v>
      </c>
      <c r="K48">
        <v>0.98910988088660845</v>
      </c>
      <c r="L48">
        <v>0.10063605745876801</v>
      </c>
      <c r="U48">
        <v>0.99796595544757638</v>
      </c>
      <c r="V48">
        <v>5.775977761987984E-2</v>
      </c>
      <c r="W48">
        <v>0.99452468661854376</v>
      </c>
      <c r="X48">
        <v>9.9887738990132188E-2</v>
      </c>
      <c r="Y48">
        <v>0.99835029945165799</v>
      </c>
      <c r="Z48">
        <v>5.6772774175654177E-2</v>
      </c>
      <c r="AA48">
        <v>0.99609635720626677</v>
      </c>
      <c r="AB48">
        <v>8.5520637248450646E-2</v>
      </c>
      <c r="AC48">
        <v>0.99801418200159209</v>
      </c>
      <c r="AD48">
        <v>6.0985276874321745E-2</v>
      </c>
      <c r="AM48">
        <v>1.199583045128404E-6</v>
      </c>
      <c r="AN48">
        <v>1.5480664963238553E-6</v>
      </c>
      <c r="AO48">
        <v>1.4517088087878181E-6</v>
      </c>
      <c r="AP48">
        <v>1.4634978515114201E-6</v>
      </c>
      <c r="AQ48">
        <v>1.2661127721814673E-6</v>
      </c>
      <c r="AR48" cm="1">
        <f t="array" ref="AR48:AS48">LINEST(AM48:AQ48,$AM$6:$AQ$6)</f>
        <v>9.1152143605027376E-9</v>
      </c>
      <c r="AS48">
        <v>1.385793794786593E-6</v>
      </c>
      <c r="AU48">
        <f t="shared" si="48"/>
        <v>1.290503815146995</v>
      </c>
      <c r="AZ48" s="2">
        <v>3.1373093779462575E-5</v>
      </c>
      <c r="BA48" s="2">
        <v>2.9440364932743874E-5</v>
      </c>
      <c r="BB48" s="2">
        <v>2.9492101962406141E-5</v>
      </c>
      <c r="BC48" s="2">
        <v>3.3355755020246913E-5</v>
      </c>
      <c r="BD48" s="2">
        <v>3.3338190978032005E-5</v>
      </c>
      <c r="BE48" cm="1">
        <f t="array" ref="BE48:BF48">LINEST(AZ48:BD48,$AM$6:$AQ$6)</f>
        <v>-2.321513623750954E-7</v>
      </c>
      <c r="BF48">
        <v>3.1399901334578299E-5</v>
      </c>
      <c r="BH48">
        <f>MAX(AZ48:BD48)/MIN(AZ48:BD48)</f>
        <v>1.1329939386433454</v>
      </c>
    </row>
    <row r="49" spans="2:60" x14ac:dyDescent="0.2">
      <c r="C49">
        <v>1064.5912496263852</v>
      </c>
      <c r="D49">
        <v>3</v>
      </c>
      <c r="E49">
        <v>1231.0546763851855</v>
      </c>
      <c r="F49">
        <v>3</v>
      </c>
      <c r="G49">
        <v>286.16348261810197</v>
      </c>
      <c r="H49">
        <v>3</v>
      </c>
      <c r="I49">
        <v>1636.6331012462856</v>
      </c>
      <c r="J49">
        <v>3</v>
      </c>
      <c r="K49">
        <v>272.47908050986467</v>
      </c>
      <c r="L49">
        <v>3</v>
      </c>
      <c r="U49">
        <v>981.26263189120755</v>
      </c>
      <c r="V49">
        <v>2</v>
      </c>
      <c r="W49">
        <v>363.27589576399436</v>
      </c>
      <c r="X49">
        <v>2</v>
      </c>
      <c r="Y49">
        <v>1210.3412349047551</v>
      </c>
      <c r="Z49">
        <v>2</v>
      </c>
      <c r="AA49">
        <v>510.34195997920688</v>
      </c>
      <c r="AB49">
        <v>2</v>
      </c>
      <c r="AC49">
        <v>1005.1416421864782</v>
      </c>
      <c r="AD49">
        <v>2</v>
      </c>
      <c r="AM49">
        <v>6.3925628867080076E-7</v>
      </c>
      <c r="AN49">
        <v>6.483756378477445E-7</v>
      </c>
      <c r="AO49">
        <v>6.3323188596606148E-7</v>
      </c>
      <c r="AP49">
        <v>7.2412037274626798E-7</v>
      </c>
      <c r="AQ49">
        <v>6.554391465445881E-7</v>
      </c>
      <c r="AR49" cm="1">
        <f t="array" ref="AR49:AS49">LINEST(AM49:AQ49,$AM$6:$AQ$6)</f>
        <v>-2.4031851211115351E-9</v>
      </c>
      <c r="AS49">
        <v>6.6008466635509252E-7</v>
      </c>
      <c r="AU49">
        <f t="shared" si="48"/>
        <v>1.1435311278451283</v>
      </c>
      <c r="AZ49" s="2">
        <v>2.0800802227676657E-5</v>
      </c>
      <c r="BA49" s="2">
        <v>1.989767929914725E-5</v>
      </c>
      <c r="BB49" s="2">
        <v>1.8528503664105651E-5</v>
      </c>
      <c r="BC49" s="2">
        <v>2.1279036343076024E-5</v>
      </c>
      <c r="BD49" s="2">
        <v>2.1186500140908743E-5</v>
      </c>
      <c r="BE49" cm="1">
        <f t="array" ref="BE49:BF49">LINEST(AZ49:BD49,$AM$6:$AQ$6)</f>
        <v>-1.3394699995069922E-7</v>
      </c>
      <c r="BF49">
        <v>2.0338504334982865E-5</v>
      </c>
      <c r="BH49">
        <f t="shared" ref="BH49:BH51" si="49">MAX(AZ49:BD49)/MIN(AZ49:BD49)</f>
        <v>1.1484487214312316</v>
      </c>
    </row>
    <row r="50" spans="2:60" x14ac:dyDescent="0.2">
      <c r="C50">
        <v>2.8705503757972854</v>
      </c>
      <c r="D50">
        <v>8.0891620426281792E-3</v>
      </c>
      <c r="E50">
        <v>2.7959815708778146</v>
      </c>
      <c r="F50">
        <v>6.8136248320533029E-3</v>
      </c>
      <c r="G50">
        <v>3.4143201878641132</v>
      </c>
      <c r="H50">
        <v>3.5794086897041402E-2</v>
      </c>
      <c r="I50">
        <v>2.6287915611057833</v>
      </c>
      <c r="J50">
        <v>4.8186576926202498E-3</v>
      </c>
      <c r="K50">
        <v>2.7595635120158351</v>
      </c>
      <c r="L50">
        <v>3.0382848182533364E-2</v>
      </c>
      <c r="U50">
        <v>3.2736804547856488</v>
      </c>
      <c r="V50">
        <v>6.6723838213959448E-3</v>
      </c>
      <c r="W50">
        <v>3.6246071920530731</v>
      </c>
      <c r="X50">
        <v>1.9955120801121547E-2</v>
      </c>
      <c r="Y50">
        <v>3.9011087945582257</v>
      </c>
      <c r="Z50">
        <v>6.4462957751996513E-3</v>
      </c>
      <c r="AA50">
        <v>3.732528511494321</v>
      </c>
      <c r="AB50">
        <v>1.4627558790762168E-2</v>
      </c>
      <c r="AC50">
        <v>3.7383268116007429</v>
      </c>
      <c r="AD50">
        <v>7.4384079908753646E-3</v>
      </c>
      <c r="AT50">
        <f>AVERAGE(AR45:AR49)</f>
        <v>-2.4464593829941192E-9</v>
      </c>
      <c r="AZ50" s="2">
        <v>1.1370818584925558E-5</v>
      </c>
      <c r="BA50" s="2">
        <v>1.1066555539391352E-5</v>
      </c>
      <c r="BB50" s="2">
        <v>9.5942904088899442E-6</v>
      </c>
      <c r="BC50" s="2">
        <v>1.1038513905518621E-5</v>
      </c>
      <c r="BD50" s="2">
        <v>1.2390581377476976E-5</v>
      </c>
      <c r="BE50" cm="1">
        <f t="array" ref="BE50:BF50">LINEST(AZ50:BD50,$AM$6:$AQ$6)</f>
        <v>-1.1129080606602667E-7</v>
      </c>
      <c r="BF50">
        <v>1.1092151963240492E-5</v>
      </c>
      <c r="BH50">
        <f t="shared" si="49"/>
        <v>1.2914536510168615</v>
      </c>
    </row>
    <row r="51" spans="2:60" x14ac:dyDescent="0.2">
      <c r="D51" s="5">
        <f>EXP(D46)</f>
        <v>2.7274478944634252E-3</v>
      </c>
      <c r="E51" s="5"/>
      <c r="F51" s="5">
        <f>EXP(F46)</f>
        <v>2.4525986335299371E-3</v>
      </c>
      <c r="G51" s="5"/>
      <c r="H51" s="5">
        <f>EXP(H46)</f>
        <v>3.9084762692135656E-3</v>
      </c>
      <c r="I51" s="5"/>
      <c r="J51" s="5">
        <f>EXP(J46)</f>
        <v>2.3754292906205759E-3</v>
      </c>
      <c r="K51" s="5"/>
      <c r="L51" s="5">
        <f>EXP(L46)</f>
        <v>2.7918631717763331E-3</v>
      </c>
      <c r="V51" s="5">
        <f>EXP(V46)</f>
        <v>9.5398297521739981E-3</v>
      </c>
      <c r="W51" s="5"/>
      <c r="X51" s="5">
        <f>EXP(X46)</f>
        <v>1.3133388210349378E-2</v>
      </c>
      <c r="Y51" s="5"/>
      <c r="Z51" s="5">
        <f>EXP(Z46)</f>
        <v>1.8314686217433682E-2</v>
      </c>
      <c r="AA51" s="5"/>
      <c r="AB51" s="5">
        <f>EXP(AB46)</f>
        <v>1.6508184086827995E-2</v>
      </c>
      <c r="AC51" s="5"/>
      <c r="AD51" s="5">
        <f>EXP(AD46)</f>
        <v>1.6750854160856449E-2</v>
      </c>
      <c r="AZ51" s="2">
        <v>5.9061611863109262E-6</v>
      </c>
      <c r="BA51" s="2">
        <v>5.9603184827859215E-6</v>
      </c>
      <c r="BB51" s="2">
        <v>5.2663516280976404E-6</v>
      </c>
      <c r="BC51" s="2">
        <v>6.0851243951468561E-6</v>
      </c>
      <c r="BD51" s="2">
        <v>5.9817794316550433E-6</v>
      </c>
      <c r="BE51" cm="1">
        <f t="array" ref="BE51:BF51">LINEST(AZ51:BD51,$AM$6:$AQ$6)</f>
        <v>-3.1113230389514813E-8</v>
      </c>
      <c r="BF51">
        <v>5.8399470247992773E-6</v>
      </c>
      <c r="BH51">
        <f t="shared" si="49"/>
        <v>1.1554724835844241</v>
      </c>
    </row>
    <row r="52" spans="2:60" x14ac:dyDescent="0.2">
      <c r="B52" t="s">
        <v>27</v>
      </c>
      <c r="T52" t="s">
        <v>27</v>
      </c>
      <c r="BG52">
        <f>AVERAGE(BE47:BE51)</f>
        <v>-1.2712559969533403E-7</v>
      </c>
    </row>
    <row r="53" spans="2:60" x14ac:dyDescent="0.2">
      <c r="C53" t="s">
        <v>19</v>
      </c>
      <c r="D53" t="s">
        <v>0</v>
      </c>
      <c r="E53" t="s">
        <v>1</v>
      </c>
      <c r="F53" t="s">
        <v>2</v>
      </c>
      <c r="G53" t="s">
        <v>3</v>
      </c>
      <c r="H53" t="s">
        <v>4</v>
      </c>
      <c r="V53" t="s">
        <v>5</v>
      </c>
      <c r="W53" t="s">
        <v>6</v>
      </c>
      <c r="X53" t="s">
        <v>7</v>
      </c>
      <c r="Y53" t="s">
        <v>8</v>
      </c>
      <c r="Z53" t="s">
        <v>9</v>
      </c>
    </row>
    <row r="54" spans="2:60" x14ac:dyDescent="0.2">
      <c r="B54">
        <v>9.670469095114866</v>
      </c>
      <c r="C54">
        <v>1200</v>
      </c>
      <c r="D54">
        <v>9.8026754291291685E-5</v>
      </c>
      <c r="E54">
        <v>9.788330473454093E-5</v>
      </c>
      <c r="F54">
        <v>9.7337688784131436E-5</v>
      </c>
      <c r="G54">
        <v>9.8148347416613283E-5</v>
      </c>
      <c r="H54">
        <v>9.4530524519482662E-5</v>
      </c>
      <c r="I54">
        <f>LN(D54)</f>
        <v>-9.2302701135798682</v>
      </c>
      <c r="J54">
        <f t="shared" ref="J54:J58" si="50">LN(E54)</f>
        <v>-9.231734556836134</v>
      </c>
      <c r="K54">
        <f t="shared" ref="K54:K58" si="51">LN(F54)</f>
        <v>-9.2373242975830827</v>
      </c>
      <c r="L54">
        <f t="shared" ref="L54:L58" si="52">LN(G54)</f>
        <v>-9.2290304747079208</v>
      </c>
      <c r="M54">
        <f t="shared" ref="M54:M58" si="53">LN(H54)</f>
        <v>-9.2665877648331545</v>
      </c>
      <c r="T54">
        <f>1/U54/(0.000086173)</f>
        <v>9.670469095114866</v>
      </c>
      <c r="U54">
        <v>1200</v>
      </c>
      <c r="V54">
        <v>3.8185053867159656E-5</v>
      </c>
      <c r="W54">
        <v>3.9408700690619492E-5</v>
      </c>
      <c r="X54">
        <v>4.0975197785162475E-5</v>
      </c>
      <c r="Y54">
        <v>3.7556347785381837E-5</v>
      </c>
      <c r="Z54">
        <v>3.4467827910375239E-5</v>
      </c>
      <c r="AA54">
        <f>LN(V54)</f>
        <v>-10.173066378935916</v>
      </c>
      <c r="AB54">
        <f t="shared" ref="AB54:AB57" si="54">LN(W54)</f>
        <v>-10.141523936328523</v>
      </c>
      <c r="AC54">
        <f t="shared" ref="AC54:AC57" si="55">LN(X54)</f>
        <v>-10.102543606374402</v>
      </c>
      <c r="AD54">
        <f t="shared" ref="AD54:AD57" si="56">LN(Y54)</f>
        <v>-10.189668145162937</v>
      </c>
      <c r="AE54">
        <f t="shared" ref="AE54:AE57" si="57">LN(Z54)</f>
        <v>-10.275484193335226</v>
      </c>
    </row>
    <row r="55" spans="2:60" x14ac:dyDescent="0.2">
      <c r="B55">
        <v>10.549602649216217</v>
      </c>
      <c r="C55">
        <v>1100</v>
      </c>
      <c r="D55">
        <v>8.3521400362929999E-5</v>
      </c>
      <c r="E55">
        <v>8.3969169816670459E-5</v>
      </c>
      <c r="F55">
        <v>8.3979337447858586E-5</v>
      </c>
      <c r="G55">
        <v>8.2953906864146321E-5</v>
      </c>
      <c r="H55">
        <v>8.2638996467713686E-5</v>
      </c>
      <c r="I55">
        <f t="shared" ref="I55:I58" si="58">LN(D55)</f>
        <v>-9.3904076671729726</v>
      </c>
      <c r="J55">
        <f t="shared" si="50"/>
        <v>-9.3850608524835035</v>
      </c>
      <c r="K55">
        <f t="shared" si="51"/>
        <v>-9.3849397721432712</v>
      </c>
      <c r="L55">
        <f t="shared" si="52"/>
        <v>-9.3972254434116724</v>
      </c>
      <c r="M55">
        <f t="shared" si="53"/>
        <v>-9.4010288766473185</v>
      </c>
      <c r="T55">
        <f t="shared" ref="T55:T58" si="59">1/U55/(0.000086173)</f>
        <v>10.549602649216217</v>
      </c>
      <c r="U55">
        <v>1100</v>
      </c>
      <c r="V55">
        <v>2.5130812277979265E-5</v>
      </c>
      <c r="W55">
        <v>2.7281548597583104E-5</v>
      </c>
      <c r="X55">
        <v>2.765430093688068E-5</v>
      </c>
      <c r="Y55">
        <v>2.3388615266771722E-5</v>
      </c>
      <c r="Z55">
        <v>2.2439377029509901E-5</v>
      </c>
      <c r="AA55">
        <f t="shared" ref="AA55:AA57" si="60">LN(V55)</f>
        <v>-10.591415883891786</v>
      </c>
      <c r="AB55">
        <f t="shared" si="54"/>
        <v>-10.509299959826611</v>
      </c>
      <c r="AC55">
        <f t="shared" si="55"/>
        <v>-10.495729292838186</v>
      </c>
      <c r="AD55">
        <f t="shared" si="56"/>
        <v>-10.663261181054349</v>
      </c>
      <c r="AE55">
        <f t="shared" si="57"/>
        <v>-10.704693239303433</v>
      </c>
    </row>
    <row r="56" spans="2:60" x14ac:dyDescent="0.2">
      <c r="B56">
        <v>11.604562914137839</v>
      </c>
      <c r="C56">
        <v>1000</v>
      </c>
      <c r="D56">
        <v>7.2439812613873478E-5</v>
      </c>
      <c r="E56">
        <v>7.3417840184800156E-5</v>
      </c>
      <c r="F56">
        <v>7.3961755988295651E-5</v>
      </c>
      <c r="G56">
        <v>7.3801573444577041E-5</v>
      </c>
      <c r="H56">
        <v>7.1361276789823114E-5</v>
      </c>
      <c r="I56">
        <f t="shared" si="58"/>
        <v>-9.5327545117294168</v>
      </c>
      <c r="J56">
        <f t="shared" si="50"/>
        <v>-9.5193435975878824</v>
      </c>
      <c r="K56">
        <f t="shared" si="51"/>
        <v>-9.5119624093219013</v>
      </c>
      <c r="L56">
        <f t="shared" si="52"/>
        <v>-9.5141305061979011</v>
      </c>
      <c r="M56">
        <f t="shared" si="53"/>
        <v>-9.5477551776185159</v>
      </c>
      <c r="T56">
        <f t="shared" si="59"/>
        <v>11.604562914137839</v>
      </c>
      <c r="U56">
        <v>1000</v>
      </c>
      <c r="V56">
        <v>1.618303401020813E-5</v>
      </c>
      <c r="W56">
        <v>1.7644664360604235E-5</v>
      </c>
      <c r="X56">
        <v>1.9153751597177373E-5</v>
      </c>
      <c r="Y56">
        <v>1.4868331188061309E-5</v>
      </c>
      <c r="Z56">
        <v>1.2665068168531416E-5</v>
      </c>
      <c r="AA56">
        <f t="shared" si="60"/>
        <v>-11.031547147830787</v>
      </c>
      <c r="AB56">
        <f t="shared" si="54"/>
        <v>-10.945077122802925</v>
      </c>
      <c r="AC56">
        <f t="shared" si="55"/>
        <v>-10.86301195566684</v>
      </c>
      <c r="AD56">
        <f t="shared" si="56"/>
        <v>-11.116277030551281</v>
      </c>
      <c r="AE56">
        <f t="shared" si="57"/>
        <v>-11.276662892090741</v>
      </c>
    </row>
    <row r="57" spans="2:60" x14ac:dyDescent="0.2">
      <c r="B57">
        <v>12.893958793486487</v>
      </c>
      <c r="C57">
        <v>900</v>
      </c>
      <c r="D57">
        <v>6.2745913987516554E-5</v>
      </c>
      <c r="E57">
        <v>6.3080383281199841E-5</v>
      </c>
      <c r="F57">
        <v>6.4003210527041645E-5</v>
      </c>
      <c r="G57">
        <v>6.2698212565542345E-5</v>
      </c>
      <c r="H57">
        <v>6.1839846196209974E-5</v>
      </c>
      <c r="I57">
        <f t="shared" si="58"/>
        <v>-9.6764170978092903</v>
      </c>
      <c r="J57">
        <f t="shared" si="50"/>
        <v>-9.6711007197750263</v>
      </c>
      <c r="K57">
        <f t="shared" si="51"/>
        <v>-9.656577311377772</v>
      </c>
      <c r="L57">
        <f t="shared" si="52"/>
        <v>-9.6771776184583498</v>
      </c>
      <c r="M57">
        <f t="shared" si="53"/>
        <v>-9.6909626408128773</v>
      </c>
      <c r="T57">
        <f t="shared" si="59"/>
        <v>12.893958793486487</v>
      </c>
      <c r="U57">
        <v>900</v>
      </c>
      <c r="V57">
        <v>9.5472221640766253E-6</v>
      </c>
      <c r="W57">
        <v>1.0790344080630763E-5</v>
      </c>
      <c r="X57">
        <v>1.1743817371919544E-5</v>
      </c>
      <c r="Y57">
        <v>8.1725187107412813E-6</v>
      </c>
      <c r="Z57">
        <v>6.8428590319316646E-6</v>
      </c>
      <c r="AA57">
        <f t="shared" si="60"/>
        <v>-11.559260318654912</v>
      </c>
      <c r="AB57">
        <f t="shared" si="54"/>
        <v>-11.436858890358298</v>
      </c>
      <c r="AC57">
        <f t="shared" si="55"/>
        <v>-11.352183636969198</v>
      </c>
      <c r="AD57">
        <f t="shared" si="56"/>
        <v>-11.714733408874828</v>
      </c>
      <c r="AE57">
        <f t="shared" si="57"/>
        <v>-11.892304926537586</v>
      </c>
    </row>
    <row r="58" spans="2:60" x14ac:dyDescent="0.2">
      <c r="B58">
        <v>14.5057036426723</v>
      </c>
      <c r="C58">
        <v>800</v>
      </c>
      <c r="D58">
        <v>5.3009568274002203E-5</v>
      </c>
      <c r="E58">
        <v>5.3737250310694221E-5</v>
      </c>
      <c r="F58">
        <v>5.3433096818922869E-5</v>
      </c>
      <c r="G58">
        <v>5.1951283859561979E-5</v>
      </c>
      <c r="H58">
        <v>5.2221238763927792E-5</v>
      </c>
      <c r="I58">
        <f t="shared" si="58"/>
        <v>-9.8450381272346181</v>
      </c>
      <c r="J58">
        <f t="shared" si="50"/>
        <v>-9.831404122615675</v>
      </c>
      <c r="K58">
        <f t="shared" si="51"/>
        <v>-9.8370802133724702</v>
      </c>
      <c r="L58">
        <f t="shared" si="52"/>
        <v>-9.8652041273545912</v>
      </c>
      <c r="M58">
        <f t="shared" si="53"/>
        <v>-9.8600212729538228</v>
      </c>
      <c r="T58">
        <f t="shared" si="59"/>
        <v>14.505703642672298</v>
      </c>
      <c r="U58">
        <v>800</v>
      </c>
      <c r="V58">
        <v>4.9406300800514721E-6</v>
      </c>
      <c r="W58">
        <v>5.6243985886654158E-6</v>
      </c>
      <c r="X58">
        <v>6.3429044430872249E-6</v>
      </c>
      <c r="Y58">
        <v>3.9635189022310939E-6</v>
      </c>
      <c r="Z58">
        <v>3.0580680085073494E-6</v>
      </c>
      <c r="AA58">
        <f t="shared" ref="AA58" si="61">LN(V58)</f>
        <v>-12.218017688328692</v>
      </c>
      <c r="AB58">
        <f t="shared" ref="AB58" si="62">LN(W58)</f>
        <v>-12.088396533160473</v>
      </c>
      <c r="AC58">
        <f t="shared" ref="AC58" si="63">LN(X58)</f>
        <v>-11.968173780365731</v>
      </c>
      <c r="AD58">
        <f t="shared" ref="AD58" si="64">LN(Y58)</f>
        <v>-12.438378315604984</v>
      </c>
      <c r="AE58">
        <f t="shared" ref="AE58" si="65">LN(Z58)</f>
        <v>-12.697727211166651</v>
      </c>
    </row>
    <row r="60" spans="2:60" x14ac:dyDescent="0.2">
      <c r="D60" t="s">
        <v>0</v>
      </c>
      <c r="F60" t="s">
        <v>1</v>
      </c>
      <c r="H60" t="s">
        <v>2</v>
      </c>
      <c r="J60" t="s">
        <v>3</v>
      </c>
      <c r="L60" t="s">
        <v>4</v>
      </c>
      <c r="V60" t="s">
        <v>5</v>
      </c>
      <c r="X60" t="s">
        <v>6</v>
      </c>
      <c r="Z60" t="s">
        <v>7</v>
      </c>
      <c r="AB60" t="s">
        <v>8</v>
      </c>
      <c r="AD60" t="s">
        <v>9</v>
      </c>
    </row>
    <row r="61" spans="2:60" x14ac:dyDescent="0.2">
      <c r="C61" t="s">
        <v>38</v>
      </c>
      <c r="D61" t="s">
        <v>39</v>
      </c>
      <c r="E61" t="s">
        <v>38</v>
      </c>
      <c r="F61" t="s">
        <v>39</v>
      </c>
      <c r="G61" t="s">
        <v>38</v>
      </c>
      <c r="H61" t="s">
        <v>39</v>
      </c>
      <c r="I61" t="s">
        <v>38</v>
      </c>
      <c r="J61" t="s">
        <v>39</v>
      </c>
      <c r="K61" t="s">
        <v>38</v>
      </c>
      <c r="L61" t="s">
        <v>39</v>
      </c>
      <c r="U61" t="s">
        <v>38</v>
      </c>
      <c r="V61" t="s">
        <v>39</v>
      </c>
      <c r="W61" t="s">
        <v>38</v>
      </c>
      <c r="X61" t="s">
        <v>39</v>
      </c>
      <c r="Y61" t="s">
        <v>38</v>
      </c>
      <c r="Z61" t="s">
        <v>39</v>
      </c>
      <c r="AA61" t="s">
        <v>38</v>
      </c>
      <c r="AB61" t="s">
        <v>39</v>
      </c>
      <c r="AC61" t="s">
        <v>38</v>
      </c>
      <c r="AD61" t="s">
        <v>39</v>
      </c>
    </row>
    <row r="62" spans="2:60" x14ac:dyDescent="0.2">
      <c r="C62" s="3" cm="1">
        <f t="array" ref="C62:D66">LINEST(I54:I58,B54:B58,TRUE, TRUE)</f>
        <v>-0.12453809661969778</v>
      </c>
      <c r="D62">
        <v>-8.0598412567443471</v>
      </c>
      <c r="E62" s="3" cm="1">
        <f t="array" ref="E62:F66">LINEST(J54:J58,B54:B58,TRUE, TRUE)</f>
        <v>-0.12215546255457164</v>
      </c>
      <c r="F62">
        <v>-8.0808144886469204</v>
      </c>
      <c r="G62" s="3" cm="1">
        <f t="array" ref="G62:H66">LINEST(K54:K58,$B54:$B58,TRUE, TRUE)</f>
        <v>-0.1214482101770919</v>
      </c>
      <c r="H62">
        <v>-8.0870398245319244</v>
      </c>
      <c r="I62" s="3" cm="1">
        <f t="array" ref="I62:J66">LINEST(L54:L58,$B54:$B58,TRUE, TRUE)</f>
        <v>-0.12814339785599374</v>
      </c>
      <c r="J62">
        <v>-8.0187131009583954</v>
      </c>
      <c r="K62" s="3" cm="1">
        <f t="array" ref="K62:L66">LINEST(M54:M58,$B54:$B58,TRUE, TRUE)</f>
        <v>-0.12172447248027196</v>
      </c>
      <c r="L62">
        <v>-8.1114618822014446</v>
      </c>
      <c r="U62" cm="1">
        <f t="array" ref="U62:V66">LINEST($AA54:$AA58,$T54:$T58,TRUE, TRUE)</f>
        <v>-0.41978606168222904</v>
      </c>
      <c r="V62">
        <v>-6.1423545968780093</v>
      </c>
      <c r="W62" cm="1">
        <f t="array" ref="W62:X66">LINEST($AB54:$AB58,$T54:$T58,TRUE, TRUE)</f>
        <v>-0.40083046914114484</v>
      </c>
      <c r="X62">
        <v>-6.2764507306965331</v>
      </c>
      <c r="Y62" cm="1">
        <f t="array" ref="Y62:Z66">LINEST($AC54:$AC58,$T54:$T58,TRUE, TRUE)</f>
        <v>-0.38125461900405933</v>
      </c>
      <c r="Z62">
        <v>-6.4404210895237703</v>
      </c>
      <c r="AA62" cm="1">
        <f t="array" ref="AA62:AB66">LINEST($AD54:$AD58,$T54:$T58,TRUE, TRUE)</f>
        <v>-0.46075372811737708</v>
      </c>
      <c r="AB62">
        <v>-5.7669004799535024</v>
      </c>
      <c r="AC62" cm="1">
        <f t="array" ref="AC62:AD66">LINEST($AE54:$AE58,$T54:$T58,TRUE, TRUE)</f>
        <v>-0.50156019498586091</v>
      </c>
      <c r="AD62">
        <v>-5.4284644927503196</v>
      </c>
    </row>
    <row r="63" spans="2:60" x14ac:dyDescent="0.2">
      <c r="C63">
        <v>7.9382946716095269E-3</v>
      </c>
      <c r="D63">
        <v>9.5004347242086479E-2</v>
      </c>
      <c r="E63">
        <v>7.2237738500796431E-3</v>
      </c>
      <c r="F63">
        <v>8.6453066765802222E-2</v>
      </c>
      <c r="G63">
        <v>5.3414226251398021E-3</v>
      </c>
      <c r="H63">
        <v>6.3925363171562555E-2</v>
      </c>
      <c r="I63">
        <v>6.4097396345358416E-3</v>
      </c>
      <c r="J63">
        <v>7.6710824574031528E-2</v>
      </c>
      <c r="K63">
        <v>5.7856587624919844E-3</v>
      </c>
      <c r="L63">
        <v>6.9241916158872208E-2</v>
      </c>
      <c r="U63">
        <v>6.3452348136697227E-3</v>
      </c>
      <c r="V63">
        <v>7.5938840331336382E-2</v>
      </c>
      <c r="W63">
        <v>3.389360373166212E-3</v>
      </c>
      <c r="X63">
        <v>4.0563368222203168E-2</v>
      </c>
      <c r="Y63">
        <v>6.3023277189620027E-3</v>
      </c>
      <c r="Z63">
        <v>7.5425334510074798E-2</v>
      </c>
      <c r="AA63">
        <v>7.6208382720764876E-3</v>
      </c>
      <c r="AB63">
        <v>9.1205075576936218E-2</v>
      </c>
      <c r="AC63">
        <v>4.9112232780302344E-3</v>
      </c>
      <c r="AD63">
        <v>5.8776800432730696E-2</v>
      </c>
    </row>
    <row r="64" spans="2:60" x14ac:dyDescent="0.2">
      <c r="C64">
        <v>0.98795769596987137</v>
      </c>
      <c r="D64">
        <v>3.0377964255214086E-2</v>
      </c>
      <c r="E64">
        <v>0.98961775600145507</v>
      </c>
      <c r="F64">
        <v>2.7643663139677387E-2</v>
      </c>
      <c r="G64">
        <v>0.99423047616552473</v>
      </c>
      <c r="H64">
        <v>2.0440353034361397E-2</v>
      </c>
      <c r="I64">
        <v>0.99254990325620007</v>
      </c>
      <c r="J64">
        <v>2.4528547951178471E-2</v>
      </c>
      <c r="K64">
        <v>0.99326810130720722</v>
      </c>
      <c r="L64">
        <v>2.2140338996034299E-2</v>
      </c>
      <c r="U64">
        <v>0.99931504341098709</v>
      </c>
      <c r="V64">
        <v>2.4281703354999892E-2</v>
      </c>
      <c r="W64">
        <v>0.99978554205114489</v>
      </c>
      <c r="X64">
        <v>1.2970275421031484E-2</v>
      </c>
      <c r="Y64">
        <v>0.99918089964263945</v>
      </c>
      <c r="Z64">
        <v>2.4117508116192773E-2</v>
      </c>
      <c r="AA64">
        <v>0.99917996432541545</v>
      </c>
      <c r="AB64">
        <v>2.916313417437906E-2</v>
      </c>
      <c r="AC64">
        <v>0.99971243926612408</v>
      </c>
      <c r="AD64">
        <v>1.8794082527945288E-2</v>
      </c>
    </row>
    <row r="65" spans="2:31" x14ac:dyDescent="0.2">
      <c r="C65">
        <v>246.12176212245802</v>
      </c>
      <c r="D65">
        <v>3</v>
      </c>
      <c r="E65">
        <v>285.9548733800172</v>
      </c>
      <c r="F65">
        <v>3</v>
      </c>
      <c r="G65">
        <v>516.97358639437857</v>
      </c>
      <c r="H65">
        <v>3</v>
      </c>
      <c r="I65">
        <v>399.67933466724639</v>
      </c>
      <c r="J65">
        <v>3</v>
      </c>
      <c r="K65">
        <v>442.6395048267467</v>
      </c>
      <c r="L65">
        <v>3</v>
      </c>
      <c r="U65">
        <v>4376.8396104545018</v>
      </c>
      <c r="V65">
        <v>3</v>
      </c>
      <c r="W65">
        <v>13985.75637866027</v>
      </c>
      <c r="X65">
        <v>3</v>
      </c>
      <c r="Y65">
        <v>3659.5548664962917</v>
      </c>
      <c r="Z65">
        <v>3</v>
      </c>
      <c r="AA65">
        <v>3655.3774254940663</v>
      </c>
      <c r="AB65">
        <v>3</v>
      </c>
      <c r="AC65">
        <v>10429.578744543436</v>
      </c>
      <c r="AD65">
        <v>3</v>
      </c>
    </row>
    <row r="66" spans="2:31" x14ac:dyDescent="0.2">
      <c r="C66">
        <v>0.22712625983217868</v>
      </c>
      <c r="D66">
        <v>2.7684621368731939E-3</v>
      </c>
      <c r="E66">
        <v>0.21851873946457828</v>
      </c>
      <c r="F66">
        <v>2.2925163353398744E-3</v>
      </c>
      <c r="G66">
        <v>0.21599571681495494</v>
      </c>
      <c r="H66">
        <v>1.2534240965079815E-3</v>
      </c>
      <c r="I66">
        <v>0.2404669376474067</v>
      </c>
      <c r="J66">
        <v>1.8049489937797844E-3</v>
      </c>
      <c r="K66">
        <v>0.21697949981950787</v>
      </c>
      <c r="L66">
        <v>1.4705838325779512E-3</v>
      </c>
      <c r="U66">
        <v>2.58058952684376</v>
      </c>
      <c r="V66">
        <v>1.768803353460639E-3</v>
      </c>
      <c r="W66">
        <v>2.3527964463992435</v>
      </c>
      <c r="X66">
        <v>5.046841334922403E-4</v>
      </c>
      <c r="Y66">
        <v>2.1285954499377411</v>
      </c>
      <c r="Z66">
        <v>1.7449625932038733E-3</v>
      </c>
      <c r="AA66">
        <v>3.1088560792628472</v>
      </c>
      <c r="AB66">
        <v>2.5514651846185073E-3</v>
      </c>
      <c r="AC66">
        <v>3.6839101272258228</v>
      </c>
      <c r="AD66">
        <v>1.0596526142016552E-3</v>
      </c>
    </row>
    <row r="67" spans="2:31" x14ac:dyDescent="0.2">
      <c r="D67" s="5">
        <f>EXP(D62)</f>
        <v>3.1597696053197399E-4</v>
      </c>
      <c r="E67" s="5"/>
      <c r="F67" s="5">
        <f>EXP(F62)</f>
        <v>3.0941891456472213E-4</v>
      </c>
      <c r="G67" s="5"/>
      <c r="H67" s="5">
        <f>EXP(H62)</f>
        <v>3.0749866120504093E-4</v>
      </c>
      <c r="I67" s="5"/>
      <c r="J67" s="5">
        <f>EXP(J62)</f>
        <v>3.2924345338401968E-4</v>
      </c>
      <c r="K67" s="5"/>
      <c r="L67" s="5">
        <f>EXP(L62)</f>
        <v>3.0007987096238617E-4</v>
      </c>
      <c r="V67" s="5">
        <f>EXP(V62)</f>
        <v>2.149855610772443E-3</v>
      </c>
      <c r="W67" s="5"/>
      <c r="X67" s="5">
        <f>EXP(X62)</f>
        <v>1.8800616113237832E-3</v>
      </c>
      <c r="Y67" s="5"/>
      <c r="Z67" s="5">
        <f>EXP(Z62)</f>
        <v>1.5957345919980334E-3</v>
      </c>
      <c r="AA67" s="5"/>
      <c r="AB67" s="5">
        <f>EXP(AB62)</f>
        <v>3.1294422664087523E-3</v>
      </c>
      <c r="AC67" s="5"/>
      <c r="AD67" s="5">
        <f>EXP(AD62)</f>
        <v>4.3898312478889059E-3</v>
      </c>
    </row>
    <row r="68" spans="2:31" x14ac:dyDescent="0.2">
      <c r="B68" t="s">
        <v>35</v>
      </c>
      <c r="T68" t="s">
        <v>35</v>
      </c>
    </row>
    <row r="69" spans="2:31" x14ac:dyDescent="0.2">
      <c r="C69" t="s">
        <v>19</v>
      </c>
      <c r="D69" t="s">
        <v>0</v>
      </c>
      <c r="E69" t="s">
        <v>1</v>
      </c>
      <c r="F69" t="s">
        <v>2</v>
      </c>
      <c r="G69" t="s">
        <v>3</v>
      </c>
      <c r="H69" t="s">
        <v>4</v>
      </c>
      <c r="V69" t="s">
        <v>5</v>
      </c>
      <c r="W69" t="s">
        <v>6</v>
      </c>
      <c r="X69" t="s">
        <v>7</v>
      </c>
      <c r="Y69" t="s">
        <v>8</v>
      </c>
      <c r="Z69" t="s">
        <v>9</v>
      </c>
    </row>
    <row r="70" spans="2:31" x14ac:dyDescent="0.2">
      <c r="B70">
        <f>1/((0.000086173)*C70)</f>
        <v>8.2889735100984563</v>
      </c>
      <c r="C70">
        <v>1400</v>
      </c>
      <c r="D70" s="2">
        <v>4.1261161631671457E-5</v>
      </c>
      <c r="E70" s="2">
        <v>3.8605037828585839E-5</v>
      </c>
      <c r="F70" s="2">
        <v>3.7932968512423359E-5</v>
      </c>
      <c r="G70" s="2">
        <v>4.2534042709564621E-5</v>
      </c>
      <c r="H70" s="2">
        <v>4.2472349716766331E-5</v>
      </c>
      <c r="I70">
        <f>LN(D70)</f>
        <v>-10.095588896774888</v>
      </c>
      <c r="J70">
        <f t="shared" ref="J70:J74" si="66">LN(E70)</f>
        <v>-10.162127776315726</v>
      </c>
      <c r="K70">
        <f t="shared" ref="K70:K74" si="67">LN(F70)</f>
        <v>-10.179689942409336</v>
      </c>
      <c r="L70">
        <f t="shared" ref="L70:L74" si="68">LN(G70)</f>
        <v>-10.065205797736212</v>
      </c>
      <c r="M70">
        <f t="shared" ref="M70:M74" si="69">LN(H70)</f>
        <v>-10.066657288662219</v>
      </c>
      <c r="T70">
        <f>1/U70/(0.000086173)</f>
        <v>8.2889735100984563</v>
      </c>
      <c r="U70">
        <v>1400</v>
      </c>
      <c r="V70" s="2">
        <v>7.9208513126511822E-6</v>
      </c>
      <c r="W70" s="2">
        <v>7.3875715711492113E-6</v>
      </c>
      <c r="X70" s="2">
        <v>7.6501204440005267E-6</v>
      </c>
      <c r="Y70" s="2">
        <v>8.1785984081847566E-6</v>
      </c>
      <c r="Z70" s="2">
        <v>8.3210112840633194E-6</v>
      </c>
      <c r="AA70">
        <f>LN(V70)</f>
        <v>-11.746011868943356</v>
      </c>
      <c r="AB70">
        <f t="shared" ref="AB70" si="70">LN(W70)</f>
        <v>-11.815711487136962</v>
      </c>
      <c r="AC70">
        <f>LN(X70)</f>
        <v>-11.780789165935976</v>
      </c>
      <c r="AD70">
        <f t="shared" ref="AD70" si="71">LN(Y70)</f>
        <v>-11.713989765773329</v>
      </c>
      <c r="AE70">
        <f t="shared" ref="AE70" si="72">LN(Z70)</f>
        <v>-11.696726761952283</v>
      </c>
    </row>
    <row r="71" spans="2:31" x14ac:dyDescent="0.2">
      <c r="B71">
        <f t="shared" ref="B71:B74" si="73">1/((0.000086173)*C71)</f>
        <v>8.9265868570291058</v>
      </c>
      <c r="C71">
        <v>1300</v>
      </c>
      <c r="D71">
        <v>2.9944514031675467E-5</v>
      </c>
      <c r="E71">
        <v>2.8964102677445762E-5</v>
      </c>
      <c r="F71">
        <v>2.7267759403660678E-5</v>
      </c>
      <c r="G71">
        <v>2.98880000037275E-5</v>
      </c>
      <c r="H71">
        <v>3.1612263782180487E-5</v>
      </c>
      <c r="I71">
        <f t="shared" ref="I71:I74" si="74">LN(D71)</f>
        <v>-10.416164421076298</v>
      </c>
      <c r="J71">
        <f t="shared" si="66"/>
        <v>-10.449453333441713</v>
      </c>
      <c r="K71">
        <f t="shared" si="67"/>
        <v>-10.509805527897825</v>
      </c>
      <c r="L71">
        <f t="shared" si="68"/>
        <v>-10.418053495793126</v>
      </c>
      <c r="M71">
        <f t="shared" si="69"/>
        <v>-10.361965418287749</v>
      </c>
      <c r="T71">
        <f>1/U71/(0.000086173)</f>
        <v>8.9265868570291058</v>
      </c>
      <c r="U71">
        <v>1300</v>
      </c>
      <c r="V71">
        <v>5.0519884583828364E-6</v>
      </c>
      <c r="W71">
        <v>4.4692107316578943E-6</v>
      </c>
      <c r="X71">
        <v>4.1773596553684702E-6</v>
      </c>
      <c r="Y71">
        <v>4.4893846987116355E-6</v>
      </c>
      <c r="Z71">
        <v>4.6949854222350023E-6</v>
      </c>
      <c r="AA71">
        <f>LN(V71)</f>
        <v>-12.195728638042606</v>
      </c>
      <c r="AB71">
        <f t="shared" ref="AB71:AB74" si="75">LN(W71)</f>
        <v>-12.318298735028037</v>
      </c>
      <c r="AC71">
        <f t="shared" ref="AC71:AC74" si="76">LN(X71)</f>
        <v>-12.385831172404821</v>
      </c>
      <c r="AD71">
        <f t="shared" ref="AD71:AD74" si="77">LN(Y71)</f>
        <v>-12.313794903749553</v>
      </c>
      <c r="AE71">
        <f t="shared" ref="AE71:AE74" si="78">LN(Z71)</f>
        <v>-12.26901555026414</v>
      </c>
    </row>
    <row r="72" spans="2:31" x14ac:dyDescent="0.2">
      <c r="B72">
        <f t="shared" si="73"/>
        <v>9.670469095114866</v>
      </c>
      <c r="C72">
        <v>1200</v>
      </c>
      <c r="D72">
        <v>1.8590684784734281E-5</v>
      </c>
      <c r="E72">
        <v>1.8714184073482613E-5</v>
      </c>
      <c r="F72">
        <v>1.76244600134838E-5</v>
      </c>
      <c r="G72">
        <v>1.9905412812529006E-5</v>
      </c>
      <c r="H72">
        <v>2.1693503203547408E-5</v>
      </c>
      <c r="I72">
        <f t="shared" si="74"/>
        <v>-10.892849920721391</v>
      </c>
      <c r="J72">
        <f t="shared" si="66"/>
        <v>-10.886228815021136</v>
      </c>
      <c r="K72">
        <f t="shared" si="67"/>
        <v>-10.946222847268114</v>
      </c>
      <c r="L72">
        <f t="shared" si="68"/>
        <v>-10.824518862589693</v>
      </c>
      <c r="M72">
        <f t="shared" si="69"/>
        <v>-10.738497733786049</v>
      </c>
      <c r="T72">
        <f t="shared" ref="T72:T74" si="79">1/U72/(0.000086173)</f>
        <v>9.670469095114866</v>
      </c>
      <c r="U72">
        <v>1200</v>
      </c>
      <c r="V72">
        <v>2.4493781143774093E-6</v>
      </c>
      <c r="W72">
        <v>2.0002207266325845E-6</v>
      </c>
      <c r="X72">
        <v>2.2779365189504065E-6</v>
      </c>
      <c r="Y72">
        <v>2.297295188883147E-6</v>
      </c>
      <c r="Z72">
        <v>2.6038092930128246E-6</v>
      </c>
      <c r="AA72">
        <f t="shared" ref="AA72:AA74" si="80">LN(V72)</f>
        <v>-12.919676396494509</v>
      </c>
      <c r="AB72">
        <f t="shared" si="75"/>
        <v>-13.12225302017762</v>
      </c>
      <c r="AC72">
        <f t="shared" si="76"/>
        <v>-12.992240560337933</v>
      </c>
      <c r="AD72">
        <f t="shared" si="77"/>
        <v>-12.98377813189888</v>
      </c>
      <c r="AE72">
        <f t="shared" si="78"/>
        <v>-12.85853507247004</v>
      </c>
    </row>
    <row r="73" spans="2:31" x14ac:dyDescent="0.2">
      <c r="B73">
        <f t="shared" si="73"/>
        <v>10.549602649216217</v>
      </c>
      <c r="C73">
        <v>1100</v>
      </c>
      <c r="D73">
        <v>1.1063711765148486E-5</v>
      </c>
      <c r="E73">
        <v>1.0364018844525796E-5</v>
      </c>
      <c r="F73">
        <v>1.0734026120687886E-5</v>
      </c>
      <c r="G73">
        <v>1.1231261864754315E-5</v>
      </c>
      <c r="H73">
        <v>1.1812153654511798E-5</v>
      </c>
      <c r="I73">
        <f t="shared" si="74"/>
        <v>-11.411840015536567</v>
      </c>
      <c r="J73">
        <f t="shared" si="66"/>
        <v>-11.477170476998426</v>
      </c>
      <c r="K73">
        <f t="shared" si="67"/>
        <v>-11.442091850759283</v>
      </c>
      <c r="L73">
        <f t="shared" si="68"/>
        <v>-11.396809430009597</v>
      </c>
      <c r="M73">
        <f t="shared" si="69"/>
        <v>-11.346381585827229</v>
      </c>
      <c r="T73">
        <f t="shared" si="79"/>
        <v>10.549602649216217</v>
      </c>
      <c r="U73">
        <v>1100</v>
      </c>
      <c r="V73">
        <v>1.2200763002237876E-6</v>
      </c>
      <c r="W73">
        <v>1.2085135284497505E-6</v>
      </c>
      <c r="X73">
        <v>1.1426863431300327E-6</v>
      </c>
      <c r="Y73">
        <v>1.363345585873022E-6</v>
      </c>
      <c r="Z73">
        <v>1.051478051659922E-6</v>
      </c>
      <c r="AA73">
        <f t="shared" si="80"/>
        <v>-13.616597160007688</v>
      </c>
      <c r="AB73">
        <f t="shared" si="75"/>
        <v>-13.626119442451174</v>
      </c>
      <c r="AC73">
        <f t="shared" si="76"/>
        <v>-13.682128626269701</v>
      </c>
      <c r="AD73">
        <f t="shared" si="77"/>
        <v>-13.505568889425133</v>
      </c>
      <c r="AE73">
        <f t="shared" si="78"/>
        <v>-13.765313715383446</v>
      </c>
    </row>
    <row r="74" spans="2:31" x14ac:dyDescent="0.2">
      <c r="B74">
        <f t="shared" si="73"/>
        <v>11.604562914137839</v>
      </c>
      <c r="C74">
        <v>1000</v>
      </c>
      <c r="D74">
        <v>5.4404033921933006E-6</v>
      </c>
      <c r="E74">
        <v>5.6323774178043241E-6</v>
      </c>
      <c r="F74">
        <v>5.317787382166887E-6</v>
      </c>
      <c r="G74">
        <v>6.5399803126230417E-6</v>
      </c>
      <c r="H74">
        <v>6.8577288207771175E-6</v>
      </c>
      <c r="I74">
        <f t="shared" si="74"/>
        <v>-12.121657346868909</v>
      </c>
      <c r="J74">
        <f t="shared" si="66"/>
        <v>-12.08697892824935</v>
      </c>
      <c r="K74">
        <f t="shared" si="67"/>
        <v>-12.144453246731175</v>
      </c>
      <c r="L74">
        <f t="shared" si="68"/>
        <v>-11.937576402801986</v>
      </c>
      <c r="M74">
        <f t="shared" si="69"/>
        <v>-11.890134246732602</v>
      </c>
      <c r="T74">
        <f t="shared" si="79"/>
        <v>11.604562914137839</v>
      </c>
      <c r="U74">
        <v>1000</v>
      </c>
      <c r="V74">
        <v>2.8946406962465296E-7</v>
      </c>
      <c r="W74">
        <v>5.1090470048983667E-7</v>
      </c>
      <c r="X74">
        <v>3.9680741667559783E-7</v>
      </c>
      <c r="Y74">
        <v>4.9752854514250217E-7</v>
      </c>
      <c r="Z74">
        <v>4.0590742170490476E-7</v>
      </c>
      <c r="AA74">
        <f t="shared" si="80"/>
        <v>-15.055234659467814</v>
      </c>
      <c r="AB74">
        <f t="shared" si="75"/>
        <v>-14.487082760241263</v>
      </c>
      <c r="AC74">
        <f t="shared" si="76"/>
        <v>-14.739814770491627</v>
      </c>
      <c r="AD74">
        <f t="shared" si="77"/>
        <v>-14.513612904822912</v>
      </c>
      <c r="AE74">
        <f t="shared" si="78"/>
        <v>-14.717140728703791</v>
      </c>
    </row>
    <row r="76" spans="2:31" x14ac:dyDescent="0.2">
      <c r="D76" t="s">
        <v>0</v>
      </c>
      <c r="F76" t="s">
        <v>1</v>
      </c>
      <c r="H76" t="s">
        <v>2</v>
      </c>
      <c r="J76" t="s">
        <v>3</v>
      </c>
      <c r="L76" t="s">
        <v>4</v>
      </c>
    </row>
    <row r="77" spans="2:31" x14ac:dyDescent="0.2">
      <c r="C77" t="s">
        <v>38</v>
      </c>
      <c r="D77" t="s">
        <v>39</v>
      </c>
      <c r="E77" t="s">
        <v>38</v>
      </c>
      <c r="F77" t="s">
        <v>39</v>
      </c>
      <c r="G77" t="s">
        <v>38</v>
      </c>
      <c r="H77" t="s">
        <v>39</v>
      </c>
      <c r="I77" t="s">
        <v>38</v>
      </c>
      <c r="J77" t="s">
        <v>39</v>
      </c>
      <c r="K77" t="s">
        <v>38</v>
      </c>
      <c r="L77" t="s">
        <v>39</v>
      </c>
      <c r="V77" t="s">
        <v>5</v>
      </c>
      <c r="X77" t="s">
        <v>6</v>
      </c>
      <c r="Z77" t="s">
        <v>7</v>
      </c>
      <c r="AB77" t="s">
        <v>8</v>
      </c>
      <c r="AD77" t="s">
        <v>9</v>
      </c>
    </row>
    <row r="78" spans="2:31" x14ac:dyDescent="0.2">
      <c r="C78" cm="1">
        <f t="array" ref="C78:D82">LINEST($I70:$I74,$B70:$B74,TRUE, TRUE)</f>
        <v>-0.6138352498083911</v>
      </c>
      <c r="D78">
        <v>-4.9671000473577642</v>
      </c>
      <c r="E78" cm="1">
        <f t="array" ref="E78:F82">LINEST($J70:$J74,$B70:$B74,TRUE, TRUE)</f>
        <v>-0.59300026897616676</v>
      </c>
      <c r="F78">
        <v>-5.1962220978407929</v>
      </c>
      <c r="G78" cm="1">
        <f t="array" ref="G78:H82">LINEST($K71:$K74,$B71:$B74,TRUE, TRUE)</f>
        <v>-0.60740132218471876</v>
      </c>
      <c r="H78">
        <v>-5.0725569108751358</v>
      </c>
      <c r="I78" cm="1">
        <f t="array" ref="I78:J82">LINEST($L71:$L74,$B71:$B74,TRUE, TRUE)</f>
        <v>-0.57467289987582948</v>
      </c>
      <c r="J78">
        <v>-5.2895838873502141</v>
      </c>
      <c r="K78" cm="1">
        <f t="array" ref="K78:L82">LINEST($M71:$M74,$B71:$B74,TRUE, TRUE)</f>
        <v>-0.58212521294573993</v>
      </c>
      <c r="L78">
        <v>-5.1536663705313313</v>
      </c>
      <c r="U78" t="s">
        <v>38</v>
      </c>
      <c r="V78" t="s">
        <v>39</v>
      </c>
      <c r="W78" t="s">
        <v>38</v>
      </c>
      <c r="X78" t="s">
        <v>39</v>
      </c>
      <c r="Y78" t="s">
        <v>38</v>
      </c>
      <c r="Z78" t="s">
        <v>39</v>
      </c>
      <c r="AA78" t="s">
        <v>38</v>
      </c>
      <c r="AB78" t="s">
        <v>39</v>
      </c>
      <c r="AC78" t="s">
        <v>38</v>
      </c>
      <c r="AD78" t="s">
        <v>39</v>
      </c>
    </row>
    <row r="79" spans="2:31" x14ac:dyDescent="0.2">
      <c r="C79">
        <v>1.4930383481972192E-2</v>
      </c>
      <c r="D79">
        <v>0.14748150938138918</v>
      </c>
      <c r="E79">
        <v>1.8247469558507333E-2</v>
      </c>
      <c r="F79">
        <v>0.18024750376499576</v>
      </c>
      <c r="G79">
        <v>1.6743976498533472E-2</v>
      </c>
      <c r="H79">
        <v>0.17140343518646517</v>
      </c>
      <c r="I79">
        <v>1.9155536191683357E-2</v>
      </c>
      <c r="J79">
        <v>0.19608990172560012</v>
      </c>
      <c r="K79">
        <v>2.535932380334098E-2</v>
      </c>
      <c r="L79">
        <v>0.25959635181518825</v>
      </c>
      <c r="U79" cm="1">
        <f t="array" ref="U79:V83">LINEST($AA70:$AA73,$T70:$T73,TRUE, TRUE)</f>
        <v>-0.8426327772067681</v>
      </c>
      <c r="V79">
        <v>-4.7333808527297236</v>
      </c>
      <c r="W79" cm="1">
        <f t="array" ref="W79:X83">LINEST($AB70:$AB73,$T70:$T73,TRUE, TRUE)</f>
        <v>-0.82397448555399599</v>
      </c>
      <c r="X79">
        <v>-5.0090942435915018</v>
      </c>
      <c r="Y79" cm="1">
        <f t="array" ref="Y79:Z83">LINEST($AC70:$AC73,$T70:$T73,TRUE, TRUE)</f>
        <v>-0.83604266869157728</v>
      </c>
      <c r="Z79">
        <v>-4.8858009375821103</v>
      </c>
      <c r="AA79" cm="1">
        <f t="array" ref="AA79:AB83">LINEST($AD70:$AD73,$T70:$T73,TRUE, TRUE)</f>
        <v>-0.79731016635174068</v>
      </c>
      <c r="AB79">
        <v>-5.1673304061443091</v>
      </c>
      <c r="AC79" cm="1">
        <f t="array" ref="AC79:AD83">LINEST($AE70:$AE73,$T70:$T73,TRUE, TRUE)</f>
        <v>-0.90554372589871501</v>
      </c>
      <c r="AD79">
        <v>-4.1724973291215175</v>
      </c>
    </row>
    <row r="80" spans="2:31" x14ac:dyDescent="0.2">
      <c r="C80">
        <v>0.99822830316023514</v>
      </c>
      <c r="D80">
        <v>3.9164470992394632E-2</v>
      </c>
      <c r="E80">
        <v>0.99716740266228632</v>
      </c>
      <c r="F80">
        <v>4.7865648800761024E-2</v>
      </c>
      <c r="G80">
        <v>0.99848247383633582</v>
      </c>
      <c r="H80">
        <v>3.3472914236352076E-2</v>
      </c>
      <c r="I80">
        <v>0.99778275756557511</v>
      </c>
      <c r="J80">
        <v>3.8293867657525335E-2</v>
      </c>
      <c r="K80">
        <v>0.99621882083257429</v>
      </c>
      <c r="L80">
        <v>5.0695870890374299E-2</v>
      </c>
      <c r="U80">
        <v>3.1869754321610037E-2</v>
      </c>
      <c r="V80">
        <v>0.29947528548805236</v>
      </c>
      <c r="W80">
        <v>7.1843888391672384E-2</v>
      </c>
      <c r="X80">
        <v>0.67510620789689568</v>
      </c>
      <c r="Y80">
        <v>2.5186479108344647E-2</v>
      </c>
      <c r="Z80">
        <v>0.23667355403163101</v>
      </c>
      <c r="AA80">
        <v>6.1192473752643431E-2</v>
      </c>
      <c r="AB80">
        <v>0.57501646739607637</v>
      </c>
      <c r="AC80">
        <v>3.5361155422424531E-2</v>
      </c>
      <c r="AD80">
        <v>0.33228345623415484</v>
      </c>
    </row>
    <row r="81" spans="2:31" x14ac:dyDescent="0.2">
      <c r="C81">
        <v>1690.2919519110078</v>
      </c>
      <c r="D81">
        <v>3</v>
      </c>
      <c r="E81">
        <v>1056.0986442221752</v>
      </c>
      <c r="F81">
        <v>3</v>
      </c>
      <c r="G81">
        <v>1315.93444349635</v>
      </c>
      <c r="H81">
        <v>2</v>
      </c>
      <c r="I81">
        <v>900.02134369613054</v>
      </c>
      <c r="J81">
        <v>2</v>
      </c>
      <c r="K81">
        <v>526.93552816266072</v>
      </c>
      <c r="L81">
        <v>2</v>
      </c>
      <c r="U81">
        <v>0.99714720865926032</v>
      </c>
      <c r="V81">
        <v>5.3769153516977843E-2</v>
      </c>
      <c r="W81">
        <v>0.98502287538932276</v>
      </c>
      <c r="X81">
        <v>0.12121163612388022</v>
      </c>
      <c r="Y81">
        <v>0.99818815749458034</v>
      </c>
      <c r="Z81">
        <v>4.2493445291809283E-2</v>
      </c>
      <c r="AA81">
        <v>0.98835646057255266</v>
      </c>
      <c r="AB81">
        <v>0.10324106932504587</v>
      </c>
      <c r="AC81">
        <v>0.9969595241047684</v>
      </c>
      <c r="AD81">
        <v>5.9659681567008821E-2</v>
      </c>
    </row>
    <row r="82" spans="2:31" x14ac:dyDescent="0.2">
      <c r="C82">
        <v>2.5926640940414138</v>
      </c>
      <c r="D82">
        <v>4.601567364342361E-3</v>
      </c>
      <c r="E82">
        <v>2.4196490796677592</v>
      </c>
      <c r="F82">
        <v>6.8733610053533858E-3</v>
      </c>
      <c r="G82">
        <v>1.4744203076501206</v>
      </c>
      <c r="H82">
        <v>2.2408719749483631E-3</v>
      </c>
      <c r="I82">
        <v>1.3198095689841451</v>
      </c>
      <c r="J82">
        <v>2.9328406003441302E-3</v>
      </c>
      <c r="K82">
        <v>1.3542618912303175</v>
      </c>
      <c r="L82">
        <v>5.1401426506670006E-3</v>
      </c>
      <c r="U82">
        <v>699.06774773139318</v>
      </c>
      <c r="V82">
        <v>2</v>
      </c>
      <c r="W82">
        <v>131.53698069482581</v>
      </c>
      <c r="X82">
        <v>2</v>
      </c>
      <c r="Y82">
        <v>1101.8487031944464</v>
      </c>
      <c r="Z82">
        <v>2</v>
      </c>
      <c r="AA82">
        <v>169.76907524230916</v>
      </c>
      <c r="AB82">
        <v>2</v>
      </c>
      <c r="AC82">
        <v>655.7917631699105</v>
      </c>
      <c r="AD82">
        <v>2</v>
      </c>
    </row>
    <row r="83" spans="2:31" x14ac:dyDescent="0.2">
      <c r="D83" s="5">
        <f>EXP(D78)</f>
        <v>6.9633120584606766E-3</v>
      </c>
      <c r="E83" s="5"/>
      <c r="F83" s="5">
        <f>EXP(F78)</f>
        <v>5.5374448787262193E-3</v>
      </c>
      <c r="G83" s="5"/>
      <c r="H83" s="5">
        <f>EXP(H78)</f>
        <v>6.2663770715106239E-3</v>
      </c>
      <c r="I83" s="5"/>
      <c r="J83" s="5">
        <f>EXP(J78)</f>
        <v>5.043858636462506E-3</v>
      </c>
      <c r="K83" s="5"/>
      <c r="L83" s="5">
        <f>EXP(L78)</f>
        <v>5.7781808912497849E-3</v>
      </c>
      <c r="U83">
        <v>2.0210900540305685</v>
      </c>
      <c r="V83">
        <v>5.782243739864662E-3</v>
      </c>
      <c r="W83">
        <v>1.9325756162457999</v>
      </c>
      <c r="X83">
        <v>2.9384521463655888E-2</v>
      </c>
      <c r="Y83">
        <v>1.9896003722638369</v>
      </c>
      <c r="Z83">
        <v>3.6113857855359769E-3</v>
      </c>
      <c r="AA83">
        <v>1.80952076525167</v>
      </c>
      <c r="AB83">
        <v>2.1317436790757857E-2</v>
      </c>
      <c r="AC83">
        <v>2.334144935982235</v>
      </c>
      <c r="AD83">
        <v>7.1185552093537847E-3</v>
      </c>
    </row>
    <row r="84" spans="2:31" x14ac:dyDescent="0.2">
      <c r="B84" t="s">
        <v>26</v>
      </c>
      <c r="V84" s="5">
        <f>EXP(V79)</f>
        <v>8.7966804282293021E-3</v>
      </c>
      <c r="W84" s="5"/>
      <c r="X84" s="5">
        <f>EXP(X79)</f>
        <v>6.676948256888502E-3</v>
      </c>
      <c r="Y84" s="5"/>
      <c r="Z84" s="5">
        <f>EXP(Z79)</f>
        <v>7.5530717996782765E-3</v>
      </c>
      <c r="AA84" s="5"/>
      <c r="AB84" s="5">
        <f>EXP(AB79)</f>
        <v>5.6997645834463654E-3</v>
      </c>
      <c r="AC84" s="5"/>
      <c r="AD84" s="5">
        <f>EXP(AD79)</f>
        <v>1.5413718889812645E-2</v>
      </c>
    </row>
    <row r="85" spans="2:31" x14ac:dyDescent="0.2">
      <c r="C85" t="s">
        <v>19</v>
      </c>
      <c r="D85" t="s">
        <v>0</v>
      </c>
      <c r="E85" t="s">
        <v>1</v>
      </c>
      <c r="F85" t="s">
        <v>2</v>
      </c>
      <c r="G85" t="s">
        <v>3</v>
      </c>
      <c r="H85" t="s">
        <v>4</v>
      </c>
      <c r="T85" t="s">
        <v>26</v>
      </c>
    </row>
    <row r="86" spans="2:31" x14ac:dyDescent="0.2">
      <c r="B86">
        <f t="shared" ref="B86:B92" si="81">1/((0.000086173)*C86)</f>
        <v>8.2889735100984563</v>
      </c>
      <c r="C86">
        <v>1400</v>
      </c>
      <c r="D86" s="2">
        <v>7.5884125235989867E-5</v>
      </c>
      <c r="E86" s="2">
        <v>7.7546291357804276E-5</v>
      </c>
      <c r="F86" s="2">
        <v>7.5107864749779255E-5</v>
      </c>
      <c r="G86" s="2">
        <v>7.5484667069184881E-5</v>
      </c>
      <c r="H86" s="2">
        <v>7.603990828580568E-5</v>
      </c>
      <c r="I86">
        <f t="shared" ref="I86:I87" si="82">LN(D86)</f>
        <v>-9.4863030491143938</v>
      </c>
      <c r="J86">
        <f t="shared" ref="J86:J87" si="83">LN(E86)</f>
        <v>-9.4646354920796636</v>
      </c>
      <c r="K86">
        <f t="shared" ref="K86:K87" si="84">LN(F86)</f>
        <v>-9.4965852809785378</v>
      </c>
      <c r="L86">
        <f t="shared" ref="L86:L87" si="85">LN(G86)</f>
        <v>-9.4915810075102414</v>
      </c>
      <c r="M86">
        <f t="shared" ref="M86:M87" si="86">LN(H86)</f>
        <v>-9.4842522464756822</v>
      </c>
      <c r="V86" t="s">
        <v>5</v>
      </c>
      <c r="W86" t="s">
        <v>6</v>
      </c>
      <c r="X86" t="s">
        <v>7</v>
      </c>
      <c r="Y86" t="s">
        <v>8</v>
      </c>
      <c r="Z86" t="s">
        <v>9</v>
      </c>
    </row>
    <row r="87" spans="2:31" x14ac:dyDescent="0.2">
      <c r="B87">
        <f t="shared" si="81"/>
        <v>8.9265868570291058</v>
      </c>
      <c r="C87">
        <v>1300</v>
      </c>
      <c r="D87" s="2">
        <v>6.4743437417344248E-5</v>
      </c>
      <c r="E87" s="2">
        <v>6.4132670430494366E-5</v>
      </c>
      <c r="F87" s="2">
        <v>6.4490266919509581E-5</v>
      </c>
      <c r="G87" s="2">
        <v>6.4334286940013279E-5</v>
      </c>
      <c r="H87" s="2">
        <v>6.4614199410944885E-5</v>
      </c>
      <c r="I87">
        <f t="shared" si="82"/>
        <v>-9.6450782151490397</v>
      </c>
      <c r="J87">
        <f t="shared" si="83"/>
        <v>-9.6545566447770508</v>
      </c>
      <c r="K87">
        <f t="shared" si="84"/>
        <v>-9.6489962460218894</v>
      </c>
      <c r="L87">
        <f t="shared" si="85"/>
        <v>-9.6514178349355948</v>
      </c>
      <c r="M87">
        <f t="shared" si="86"/>
        <v>-9.6470763662063383</v>
      </c>
      <c r="T87">
        <f>1/U87/(0.000086173)</f>
        <v>8.2889735100984563</v>
      </c>
      <c r="U87">
        <v>1400</v>
      </c>
      <c r="V87">
        <v>7.8808866842946179E-7</v>
      </c>
      <c r="W87">
        <v>7.6253007108735698E-7</v>
      </c>
      <c r="X87">
        <v>7.5966698758508282E-7</v>
      </c>
      <c r="Y87">
        <v>7.415540817035372E-7</v>
      </c>
      <c r="Z87">
        <v>7.50606115298883E-7</v>
      </c>
      <c r="AA87">
        <f>LN(V87)</f>
        <v>-14.053655230031172</v>
      </c>
      <c r="AB87">
        <f t="shared" ref="AB87:AB90" si="87">LN(W87)</f>
        <v>-14.086623891750866</v>
      </c>
      <c r="AC87">
        <f t="shared" ref="AC87:AC90" si="88">LN(X87)</f>
        <v>-14.090385673922569</v>
      </c>
      <c r="AD87">
        <f t="shared" ref="AD87:AD90" si="89">LN(Y87)</f>
        <v>-14.114517742487246</v>
      </c>
      <c r="AE87">
        <f t="shared" ref="AE87:AE90" si="90">LN(Z87)</f>
        <v>-14.102384803064606</v>
      </c>
    </row>
    <row r="88" spans="2:31" x14ac:dyDescent="0.2">
      <c r="B88">
        <f t="shared" si="81"/>
        <v>9.670469095114866</v>
      </c>
      <c r="C88">
        <v>1200</v>
      </c>
      <c r="D88">
        <v>5.3494445944211557E-5</v>
      </c>
      <c r="E88">
        <v>5.4235848396445759E-5</v>
      </c>
      <c r="F88">
        <v>5.3909285880964689E-5</v>
      </c>
      <c r="G88">
        <v>5.3615921751218695E-5</v>
      </c>
      <c r="H88">
        <v>5.3249748022089621E-5</v>
      </c>
      <c r="I88">
        <f>LN(D88)</f>
        <v>-9.8359327235782601</v>
      </c>
      <c r="J88">
        <f t="shared" ref="J88:J92" si="91">LN(E88)</f>
        <v>-9.8221684586250362</v>
      </c>
      <c r="K88">
        <f t="shared" ref="K88:K92" si="92">LN(F88)</f>
        <v>-9.8282078150925187</v>
      </c>
      <c r="L88">
        <f t="shared" ref="L88:L92" si="93">LN(G88)</f>
        <v>-9.8336644864000569</v>
      </c>
      <c r="M88">
        <f t="shared" ref="M88:M92" si="94">LN(H88)</f>
        <v>-9.8405174853654724</v>
      </c>
      <c r="T88">
        <f t="shared" ref="T88:T90" si="95">1/U88/(0.000086173)</f>
        <v>8.9265868570291058</v>
      </c>
      <c r="U88">
        <v>1300</v>
      </c>
      <c r="V88" s="2">
        <v>3.2864401233649184E-7</v>
      </c>
      <c r="W88" s="2">
        <v>3.354399353394156E-7</v>
      </c>
      <c r="X88" s="2">
        <v>3.5605064278100521E-7</v>
      </c>
      <c r="Y88" s="2">
        <v>3.3737330285596901E-7</v>
      </c>
      <c r="Z88" s="2">
        <v>3.2007610177599217E-7</v>
      </c>
      <c r="AA88">
        <f t="shared" ref="AA88:AA90" si="96">LN(V88)</f>
        <v>-14.928290701369804</v>
      </c>
      <c r="AB88">
        <f t="shared" si="87"/>
        <v>-14.907822926847411</v>
      </c>
      <c r="AC88">
        <f t="shared" si="88"/>
        <v>-14.84819286120884</v>
      </c>
      <c r="AD88">
        <f t="shared" si="89"/>
        <v>-14.902075796058927</v>
      </c>
      <c r="AE88">
        <f t="shared" si="90"/>
        <v>-14.954707051376893</v>
      </c>
    </row>
    <row r="89" spans="2:31" x14ac:dyDescent="0.2">
      <c r="B89">
        <f t="shared" si="81"/>
        <v>10.549602649216217</v>
      </c>
      <c r="C89">
        <v>1100</v>
      </c>
      <c r="D89">
        <v>4.2470246687356521E-5</v>
      </c>
      <c r="E89">
        <v>4.2671183810671855E-5</v>
      </c>
      <c r="F89">
        <v>4.3569370518182463E-5</v>
      </c>
      <c r="G89">
        <v>4.209888481209641E-5</v>
      </c>
      <c r="H89">
        <v>4.2993999142461786E-5</v>
      </c>
      <c r="I89">
        <f t="shared" ref="I89:I92" si="97">LN(D89)</f>
        <v>-10.066706805147451</v>
      </c>
      <c r="J89">
        <f t="shared" si="91"/>
        <v>-10.061986717754037</v>
      </c>
      <c r="K89">
        <f t="shared" si="92"/>
        <v>-10.041156165536664</v>
      </c>
      <c r="L89">
        <f t="shared" si="93"/>
        <v>-10.075489306650617</v>
      </c>
      <c r="M89">
        <f t="shared" si="94"/>
        <v>-10.054450006835863</v>
      </c>
      <c r="T89">
        <f t="shared" si="95"/>
        <v>9.670469095114866</v>
      </c>
      <c r="U89">
        <v>1200</v>
      </c>
      <c r="V89" s="2">
        <v>1.2612578636346326E-7</v>
      </c>
      <c r="W89" s="2">
        <v>1.3969904171191634E-7</v>
      </c>
      <c r="X89" s="2">
        <v>1.3558738779643227E-7</v>
      </c>
      <c r="Y89" s="2">
        <v>1.4077348021367264E-7</v>
      </c>
      <c r="Z89" s="2">
        <v>1.3290061557646655E-7</v>
      </c>
      <c r="AA89">
        <f t="shared" si="96"/>
        <v>-15.885986123497519</v>
      </c>
      <c r="AB89">
        <f t="shared" si="87"/>
        <v>-15.783775430321079</v>
      </c>
      <c r="AC89">
        <f t="shared" si="88"/>
        <v>-15.813649476116641</v>
      </c>
      <c r="AD89">
        <f t="shared" si="89"/>
        <v>-15.776113761717866</v>
      </c>
      <c r="AE89">
        <f t="shared" si="90"/>
        <v>-15.833664239360839</v>
      </c>
    </row>
    <row r="90" spans="2:31" x14ac:dyDescent="0.2">
      <c r="B90">
        <f t="shared" si="81"/>
        <v>11.604562914137839</v>
      </c>
      <c r="C90">
        <v>1000</v>
      </c>
      <c r="D90">
        <v>3.2353460134435369E-5</v>
      </c>
      <c r="E90">
        <v>3.221247198673789E-5</v>
      </c>
      <c r="F90">
        <v>3.3084024372763509E-5</v>
      </c>
      <c r="G90">
        <v>3.1588570499403371E-5</v>
      </c>
      <c r="H90">
        <v>3.1632991098414152E-5</v>
      </c>
      <c r="I90">
        <f t="shared" si="97"/>
        <v>-10.33878958340371</v>
      </c>
      <c r="J90">
        <f t="shared" si="91"/>
        <v>-10.343156851625659</v>
      </c>
      <c r="K90">
        <f t="shared" si="92"/>
        <v>-10.316460039441514</v>
      </c>
      <c r="L90">
        <f t="shared" si="93"/>
        <v>-10.362715195854973</v>
      </c>
      <c r="M90">
        <f t="shared" si="94"/>
        <v>-10.361309959881744</v>
      </c>
      <c r="T90">
        <f t="shared" si="95"/>
        <v>10.549602649216217</v>
      </c>
      <c r="U90">
        <v>1100</v>
      </c>
      <c r="V90" s="2">
        <v>3.0493259034065925E-8</v>
      </c>
      <c r="W90" s="2">
        <v>4.8764950470394749E-8</v>
      </c>
      <c r="X90" s="2">
        <v>5.0985225900536523E-8</v>
      </c>
      <c r="Y90" s="2">
        <v>4.5706272843210552E-8</v>
      </c>
      <c r="Z90" s="2">
        <v>4.2061947300048467E-8</v>
      </c>
      <c r="AA90">
        <f t="shared" si="96"/>
        <v>-17.305760193037049</v>
      </c>
      <c r="AB90">
        <f t="shared" si="87"/>
        <v>-16.836254010202335</v>
      </c>
      <c r="AC90">
        <f t="shared" si="88"/>
        <v>-16.791729934414597</v>
      </c>
      <c r="AD90">
        <f t="shared" si="89"/>
        <v>-16.901030287126328</v>
      </c>
      <c r="AE90">
        <f t="shared" si="90"/>
        <v>-16.984122369596925</v>
      </c>
    </row>
    <row r="91" spans="2:31" x14ac:dyDescent="0.2">
      <c r="B91">
        <f t="shared" si="81"/>
        <v>12.893958793486487</v>
      </c>
      <c r="C91">
        <v>900</v>
      </c>
      <c r="D91">
        <v>2.2127145426235138E-5</v>
      </c>
      <c r="E91">
        <v>2.2816865903542848E-5</v>
      </c>
      <c r="F91">
        <v>2.2991526033781998E-5</v>
      </c>
      <c r="G91">
        <v>2.2240381713792757E-5</v>
      </c>
      <c r="H91">
        <v>2.2103707869795913E-5</v>
      </c>
      <c r="I91">
        <f t="shared" si="97"/>
        <v>-10.718705403354006</v>
      </c>
      <c r="J91">
        <f t="shared" si="91"/>
        <v>-10.688010562859665</v>
      </c>
      <c r="K91">
        <f t="shared" si="92"/>
        <v>-10.68038484323718</v>
      </c>
      <c r="L91">
        <f t="shared" si="93"/>
        <v>-10.71360092533922</v>
      </c>
      <c r="M91">
        <f t="shared" si="94"/>
        <v>-10.719765186599696</v>
      </c>
    </row>
    <row r="92" spans="2:31" x14ac:dyDescent="0.2">
      <c r="B92">
        <f t="shared" si="81"/>
        <v>14.5057036426723</v>
      </c>
      <c r="C92">
        <v>800</v>
      </c>
      <c r="D92">
        <v>1.3925379483171542E-5</v>
      </c>
      <c r="E92">
        <v>1.4701755471208739E-5</v>
      </c>
      <c r="F92">
        <v>1.4558723751898416E-5</v>
      </c>
      <c r="G92">
        <v>1.3891755416151417E-5</v>
      </c>
      <c r="H92">
        <v>1.3678028037874853E-5</v>
      </c>
      <c r="I92">
        <f t="shared" si="97"/>
        <v>-11.18179752058893</v>
      </c>
      <c r="J92">
        <f t="shared" si="91"/>
        <v>-11.127543651499444</v>
      </c>
      <c r="K92">
        <f t="shared" si="92"/>
        <v>-11.137320173440187</v>
      </c>
      <c r="L92">
        <f t="shared" si="93"/>
        <v>-11.184215029330769</v>
      </c>
      <c r="M92">
        <f t="shared" si="94"/>
        <v>-11.19971980543853</v>
      </c>
    </row>
    <row r="93" spans="2:31" x14ac:dyDescent="0.2">
      <c r="V93" t="s">
        <v>5</v>
      </c>
      <c r="X93" t="s">
        <v>6</v>
      </c>
      <c r="Z93" t="s">
        <v>7</v>
      </c>
      <c r="AB93" t="s">
        <v>8</v>
      </c>
      <c r="AD93" t="s">
        <v>9</v>
      </c>
    </row>
    <row r="94" spans="2:31" x14ac:dyDescent="0.2">
      <c r="D94" t="s">
        <v>0</v>
      </c>
      <c r="F94" t="s">
        <v>1</v>
      </c>
      <c r="H94" t="s">
        <v>2</v>
      </c>
      <c r="J94" t="s">
        <v>3</v>
      </c>
      <c r="L94" t="s">
        <v>4</v>
      </c>
      <c r="U94" t="s">
        <v>38</v>
      </c>
      <c r="V94" t="s">
        <v>39</v>
      </c>
      <c r="W94" t="s">
        <v>38</v>
      </c>
      <c r="X94" t="s">
        <v>39</v>
      </c>
      <c r="Y94" t="s">
        <v>38</v>
      </c>
      <c r="Z94" t="s">
        <v>39</v>
      </c>
      <c r="AA94" t="s">
        <v>38</v>
      </c>
      <c r="AB94" t="s">
        <v>39</v>
      </c>
      <c r="AC94" t="s">
        <v>38</v>
      </c>
      <c r="AD94" t="s">
        <v>39</v>
      </c>
    </row>
    <row r="95" spans="2:31" x14ac:dyDescent="0.2">
      <c r="C95" t="s">
        <v>38</v>
      </c>
      <c r="D95" t="s">
        <v>39</v>
      </c>
      <c r="E95" t="s">
        <v>38</v>
      </c>
      <c r="F95" t="s">
        <v>39</v>
      </c>
      <c r="G95" t="s">
        <v>38</v>
      </c>
      <c r="H95" t="s">
        <v>39</v>
      </c>
      <c r="I95" t="s">
        <v>38</v>
      </c>
      <c r="J95" t="s">
        <v>39</v>
      </c>
      <c r="K95" t="s">
        <v>38</v>
      </c>
      <c r="L95" t="s">
        <v>39</v>
      </c>
      <c r="U95" cm="1">
        <f t="array" ref="U95:V99">LINEST($AA87:$AA90,$T87:$T90,TRUE, TRUE)</f>
        <v>-1.4280850898092239</v>
      </c>
      <c r="V95">
        <v>-2.1781060504945167</v>
      </c>
      <c r="W95" cm="1">
        <f t="array" ref="W95:X99">LINEST($AB87:$AB90,$T87:$T90,TRUE, TRUE)</f>
        <v>-1.2112179996135686</v>
      </c>
      <c r="X95">
        <v>-4.0679412047028194</v>
      </c>
      <c r="Y95" cm="1">
        <f t="array" ref="Y95:Z99">LINEST($AC87:$AC90,$T87:$T90,TRUE, TRUE)</f>
        <v>-1.2035058545214383</v>
      </c>
      <c r="Z95">
        <v>-4.1224888829528528</v>
      </c>
      <c r="AA95" cm="1">
        <f t="array" ref="AA95:AB99">LINEST($AD87:$AD90,$T87:$T90,TRUE, TRUE)</f>
        <v>-1.2278636843834312</v>
      </c>
      <c r="AB95">
        <v>-3.931971103948019</v>
      </c>
      <c r="AC95" cm="1">
        <f t="array" ref="AC95:AD99">LINEST($AE87:$AE90,$T87:$T90,TRUE, TRUE)</f>
        <v>-1.2654874947532635</v>
      </c>
      <c r="AD95">
        <v>-3.6251385420411602</v>
      </c>
    </row>
    <row r="96" spans="2:31" x14ac:dyDescent="0.2">
      <c r="C96" cm="1">
        <f t="array" ref="C96:D100">LINEST(I86:I92,B86:B92,TRUE, TRUE)</f>
        <v>-0.27258255074416321</v>
      </c>
      <c r="D96">
        <v>-7.205305996412898</v>
      </c>
      <c r="E96" cm="1">
        <f t="array" ref="E96:F100">LINEST(J86:J92,B86:B92,TRUE, TRUE)</f>
        <v>-0.26603993954563787</v>
      </c>
      <c r="F96">
        <v>-7.2608576173168577</v>
      </c>
      <c r="G96" cm="1">
        <f t="array" ref="G96:H100">LINEST(K86:K92,$B86:$B92,TRUE, TRUE)</f>
        <v>-0.26365604518429819</v>
      </c>
      <c r="H96">
        <v>-7.2850400072758053</v>
      </c>
      <c r="I96" cm="1">
        <f t="array" ref="I96:J100">LINEST(L86:L92,$B86:$B92,TRUE, TRUE)</f>
        <v>-0.27218107131780461</v>
      </c>
      <c r="J96">
        <v>-7.2153144986715212</v>
      </c>
      <c r="K96" cm="1">
        <f t="array" ref="K96:L100">LINEST(M86:M92,$B86:$B92,TRUE, TRUE)</f>
        <v>-0.27533256347217455</v>
      </c>
      <c r="L96">
        <v>-7.1801013072015181</v>
      </c>
      <c r="U96">
        <v>5.2645399238664882E-2</v>
      </c>
      <c r="V96">
        <v>0.49470089438189219</v>
      </c>
      <c r="W96">
        <v>1.5216121208960494E-2</v>
      </c>
      <c r="X96">
        <v>0.14298360122545317</v>
      </c>
      <c r="Y96">
        <v>2.6137362510437509E-2</v>
      </c>
      <c r="Z96">
        <v>0.24560886226883688</v>
      </c>
      <c r="AA96">
        <v>1.4808155341850499E-2</v>
      </c>
      <c r="AB96">
        <v>0.13915000736435137</v>
      </c>
      <c r="AC96">
        <v>1.9574049290584147E-2</v>
      </c>
      <c r="AD96">
        <v>0.18393439561220798</v>
      </c>
    </row>
    <row r="97" spans="2:31" x14ac:dyDescent="0.2">
      <c r="C97">
        <v>3.7798862823807838E-3</v>
      </c>
      <c r="D97">
        <v>4.200702375591351E-2</v>
      </c>
      <c r="E97">
        <v>2.0243815475384026E-3</v>
      </c>
      <c r="F97">
        <v>2.2497566700582537E-2</v>
      </c>
      <c r="G97">
        <v>4.5293391821164125E-3</v>
      </c>
      <c r="H97">
        <v>5.0335921349971162E-2</v>
      </c>
      <c r="I97">
        <v>3.1111589667368383E-3</v>
      </c>
      <c r="J97">
        <v>3.4575254084580946E-2</v>
      </c>
      <c r="K97">
        <v>4.0561919070683707E-3</v>
      </c>
      <c r="L97">
        <v>4.5077692044069889E-2</v>
      </c>
      <c r="U97">
        <v>0.99728940969729418</v>
      </c>
      <c r="V97">
        <v>8.8820846406931317E-2</v>
      </c>
      <c r="W97">
        <v>0.99968445869151101</v>
      </c>
      <c r="X97">
        <v>2.5671925455125585E-2</v>
      </c>
      <c r="Y97">
        <v>0.99905757321670818</v>
      </c>
      <c r="Z97">
        <v>4.4097731133109559E-2</v>
      </c>
      <c r="AA97">
        <v>0.99970919270611369</v>
      </c>
      <c r="AB97">
        <v>2.498362459416005E-2</v>
      </c>
      <c r="AC97">
        <v>0.99952173579510217</v>
      </c>
      <c r="AD97">
        <v>3.3024417152179034E-2</v>
      </c>
    </row>
    <row r="98" spans="2:31" x14ac:dyDescent="0.2">
      <c r="C98">
        <v>0.99903946318659909</v>
      </c>
      <c r="D98">
        <v>2.0640023389577763E-2</v>
      </c>
      <c r="E98">
        <v>0.99971057546131492</v>
      </c>
      <c r="F98">
        <v>1.1054110988837689E-2</v>
      </c>
      <c r="G98">
        <v>0.99852658916224313</v>
      </c>
      <c r="H98">
        <v>2.4732401896316116E-2</v>
      </c>
      <c r="I98">
        <v>0.99934714768601773</v>
      </c>
      <c r="J98">
        <v>1.6988445959727948E-2</v>
      </c>
      <c r="K98">
        <v>0.99891602113433797</v>
      </c>
      <c r="L98">
        <v>2.2148786915826401E-2</v>
      </c>
      <c r="U98">
        <v>735.84665945404265</v>
      </c>
      <c r="V98">
        <v>2</v>
      </c>
      <c r="W98">
        <v>6336.3143385475496</v>
      </c>
      <c r="X98">
        <v>2</v>
      </c>
      <c r="Y98">
        <v>2120.1807735703737</v>
      </c>
      <c r="Z98">
        <v>2</v>
      </c>
      <c r="AA98">
        <v>6875.4065920834882</v>
      </c>
      <c r="AB98">
        <v>2</v>
      </c>
      <c r="AC98">
        <v>4179.789018533972</v>
      </c>
      <c r="AD98">
        <v>2</v>
      </c>
    </row>
    <row r="99" spans="2:31" x14ac:dyDescent="0.2">
      <c r="C99">
        <v>5200.4225618872151</v>
      </c>
      <c r="D99">
        <v>5</v>
      </c>
      <c r="E99">
        <v>17270.660255745588</v>
      </c>
      <c r="F99">
        <v>5</v>
      </c>
      <c r="G99">
        <v>3388.48664464285</v>
      </c>
      <c r="H99">
        <v>5</v>
      </c>
      <c r="I99">
        <v>7653.6999738130871</v>
      </c>
      <c r="J99">
        <v>5</v>
      </c>
      <c r="K99">
        <v>4607.6360562819582</v>
      </c>
      <c r="L99">
        <v>5</v>
      </c>
      <c r="U99">
        <v>5.8051993432851425</v>
      </c>
      <c r="V99">
        <v>1.5778285512887368E-2</v>
      </c>
      <c r="W99">
        <v>4.1759337497644218</v>
      </c>
      <c r="X99">
        <v>1.3180955131470501E-3</v>
      </c>
      <c r="Y99">
        <v>4.1229245031795987</v>
      </c>
      <c r="Z99">
        <v>3.8892197821760398E-3</v>
      </c>
      <c r="AA99">
        <v>4.2915015850563831</v>
      </c>
      <c r="AB99">
        <v>1.2483629957238378E-3</v>
      </c>
      <c r="AC99">
        <v>4.5585285971022671</v>
      </c>
      <c r="AD99">
        <v>2.1812242564822732E-3</v>
      </c>
    </row>
    <row r="100" spans="2:31" x14ac:dyDescent="0.2">
      <c r="C100">
        <v>2.2154349565445899</v>
      </c>
      <c r="D100">
        <v>2.1300528276115855E-3</v>
      </c>
      <c r="E100">
        <v>2.1103601745181253</v>
      </c>
      <c r="F100">
        <v>6.1096684876771074E-4</v>
      </c>
      <c r="G100">
        <v>2.0727091681549461</v>
      </c>
      <c r="H100">
        <v>3.058458517804505E-3</v>
      </c>
      <c r="I100">
        <v>2.2089136548064001</v>
      </c>
      <c r="J100">
        <v>1.4430364806329843E-3</v>
      </c>
      <c r="K100">
        <v>2.2603623151519416</v>
      </c>
      <c r="L100">
        <v>2.4528438092134138E-3</v>
      </c>
      <c r="V100" s="5">
        <f>EXP(V95)</f>
        <v>0.11325582846207408</v>
      </c>
      <c r="W100" s="5"/>
      <c r="X100" s="5">
        <f>EXP(X95)</f>
        <v>1.7112583571917108E-2</v>
      </c>
      <c r="Y100" s="5"/>
      <c r="Z100" s="5">
        <f>EXP(Z95)</f>
        <v>1.6204134018796178E-2</v>
      </c>
      <c r="AA100" s="5"/>
      <c r="AB100" s="5">
        <f>EXP(AB95)</f>
        <v>1.9604990967779064E-2</v>
      </c>
      <c r="AC100" s="5"/>
      <c r="AD100" s="5">
        <f>EXP(AD95)</f>
        <v>2.6645405571753638E-2</v>
      </c>
    </row>
    <row r="101" spans="2:31" x14ac:dyDescent="0.2">
      <c r="D101" s="5">
        <f>EXP(D96)</f>
        <v>7.4263491773062125E-4</v>
      </c>
      <c r="E101" s="5"/>
      <c r="F101" s="5">
        <f>EXP(F96)</f>
        <v>7.0250529647622581E-4</v>
      </c>
      <c r="G101" s="5"/>
      <c r="H101" s="5">
        <f>EXP(H96)</f>
        <v>6.8572080198373855E-4</v>
      </c>
      <c r="I101" s="5"/>
      <c r="J101" s="5">
        <f>EXP(J96)</f>
        <v>7.3523932561405758E-4</v>
      </c>
      <c r="K101" s="5"/>
      <c r="L101" s="5">
        <f>EXP(L96)</f>
        <v>7.6159068362169574E-4</v>
      </c>
      <c r="T101" t="s">
        <v>36</v>
      </c>
    </row>
    <row r="102" spans="2:31" x14ac:dyDescent="0.2">
      <c r="B102" t="s">
        <v>36</v>
      </c>
      <c r="V102" t="s">
        <v>5</v>
      </c>
      <c r="W102" t="s">
        <v>6</v>
      </c>
      <c r="X102" t="s">
        <v>7</v>
      </c>
      <c r="Y102" t="s">
        <v>8</v>
      </c>
      <c r="Z102" t="s">
        <v>9</v>
      </c>
    </row>
    <row r="103" spans="2:31" x14ac:dyDescent="0.2">
      <c r="C103" t="s">
        <v>19</v>
      </c>
      <c r="D103" t="s">
        <v>0</v>
      </c>
      <c r="E103" t="s">
        <v>1</v>
      </c>
      <c r="F103" t="s">
        <v>2</v>
      </c>
      <c r="G103" t="s">
        <v>3</v>
      </c>
      <c r="H103" t="s">
        <v>4</v>
      </c>
      <c r="T103">
        <f>1/U103/(0.000086173)</f>
        <v>8.2889735100984563</v>
      </c>
      <c r="U103">
        <v>1400</v>
      </c>
      <c r="V103">
        <v>4.6908850250579452E-6</v>
      </c>
      <c r="W103">
        <v>4.5434767650166494E-6</v>
      </c>
      <c r="X103">
        <v>4.8054290451744083E-6</v>
      </c>
      <c r="Y103">
        <v>4.7734500402893297E-6</v>
      </c>
      <c r="Z103">
        <v>4.8140854561449197E-6</v>
      </c>
      <c r="AA103">
        <f>LN(V103)</f>
        <v>-12.269889288605393</v>
      </c>
      <c r="AB103">
        <f t="shared" ref="AB103:AB106" si="98">LN(W103)</f>
        <v>-12.301818031719398</v>
      </c>
      <c r="AC103">
        <f t="shared" ref="AC103:AC106" si="99">LN(X103)</f>
        <v>-12.245764228128797</v>
      </c>
      <c r="AD103">
        <f t="shared" ref="AD103:AD106" si="100">LN(Y103)</f>
        <v>-12.252441235617491</v>
      </c>
      <c r="AE103">
        <f t="shared" ref="AE103:AE106" si="101">LN(Z103)</f>
        <v>-12.243964467172892</v>
      </c>
    </row>
    <row r="104" spans="2:31" x14ac:dyDescent="0.2">
      <c r="B104">
        <f>1/((0.000086173)*C104)</f>
        <v>8.2889735100984563</v>
      </c>
      <c r="C104">
        <v>1400</v>
      </c>
      <c r="D104" s="2">
        <v>3.1373093779462575E-5</v>
      </c>
      <c r="E104" s="2">
        <v>2.9440364932743874E-5</v>
      </c>
      <c r="F104" s="2">
        <v>2.9492101962406141E-5</v>
      </c>
      <c r="G104" s="2">
        <v>3.3355755020246913E-5</v>
      </c>
      <c r="H104" s="2">
        <v>3.3338190978032005E-5</v>
      </c>
      <c r="I104">
        <f>LN(D104)</f>
        <v>-10.369559918391115</v>
      </c>
      <c r="J104">
        <f t="shared" ref="J104:J107" si="102">LN(E104)</f>
        <v>-10.433143868367114</v>
      </c>
      <c r="K104">
        <f t="shared" ref="K104:K107" si="103">LN(F104)</f>
        <v>-10.431388060552525</v>
      </c>
      <c r="L104">
        <f t="shared" ref="L104:L107" si="104">LN(G104)</f>
        <v>-10.308280236164908</v>
      </c>
      <c r="M104">
        <f t="shared" ref="M104:M107" si="105">LN(H104)</f>
        <v>-10.308806941920821</v>
      </c>
      <c r="T104">
        <f t="shared" ref="T104:T106" si="106">1/U104/(0.000086173)</f>
        <v>8.9265868570291058</v>
      </c>
      <c r="U104">
        <v>1300</v>
      </c>
      <c r="V104">
        <v>2.6151851043396464E-6</v>
      </c>
      <c r="W104">
        <v>2.5050037152183123E-6</v>
      </c>
      <c r="X104">
        <v>2.752155343413654E-6</v>
      </c>
      <c r="Y104">
        <v>2.7432992620372222E-6</v>
      </c>
      <c r="Z104">
        <v>2.9218111906815395E-6</v>
      </c>
      <c r="AA104">
        <f t="shared" ref="AA104:AA106" si="107">LN(V104)</f>
        <v>-12.854175677354235</v>
      </c>
      <c r="AB104">
        <f t="shared" si="98"/>
        <v>-12.897220340307463</v>
      </c>
      <c r="AC104">
        <f t="shared" si="99"/>
        <v>-12.803126192024918</v>
      </c>
      <c r="AD104">
        <f t="shared" si="100"/>
        <v>-12.806349251691044</v>
      </c>
      <c r="AE104">
        <f t="shared" si="101"/>
        <v>-12.743306863191146</v>
      </c>
    </row>
    <row r="105" spans="2:31" x14ac:dyDescent="0.2">
      <c r="B105">
        <f t="shared" ref="B105:B107" si="108">1/((0.000086173)*C105)</f>
        <v>8.9265868570291058</v>
      </c>
      <c r="C105">
        <v>1300</v>
      </c>
      <c r="D105" s="2">
        <v>2.0800802227676657E-5</v>
      </c>
      <c r="E105" s="2">
        <v>1.989767929914725E-5</v>
      </c>
      <c r="F105" s="2">
        <v>1.8528503664105651E-5</v>
      </c>
      <c r="G105" s="2">
        <v>2.1279036343076024E-5</v>
      </c>
      <c r="H105" s="2">
        <v>2.1186500140908743E-5</v>
      </c>
      <c r="I105">
        <f t="shared" ref="I105:I107" si="109">LN(D105)</f>
        <v>-10.780519003362452</v>
      </c>
      <c r="J105">
        <f t="shared" si="102"/>
        <v>-10.824907451167554</v>
      </c>
      <c r="K105">
        <f t="shared" si="103"/>
        <v>-10.896200272999639</v>
      </c>
      <c r="L105">
        <f t="shared" si="104"/>
        <v>-10.757788179146097</v>
      </c>
      <c r="M105">
        <f t="shared" si="105"/>
        <v>-10.762146364926693</v>
      </c>
      <c r="T105">
        <f t="shared" si="106"/>
        <v>9.670469095114866</v>
      </c>
      <c r="U105">
        <v>1200</v>
      </c>
      <c r="V105">
        <v>1.199583045128404E-6</v>
      </c>
      <c r="W105">
        <v>1.5480664963238553E-6</v>
      </c>
      <c r="X105">
        <v>1.4517088087878181E-6</v>
      </c>
      <c r="Y105">
        <v>1.4634978515114201E-6</v>
      </c>
      <c r="Z105">
        <v>1.2661127721814673E-6</v>
      </c>
      <c r="AA105">
        <f t="shared" si="107"/>
        <v>-13.633536523942361</v>
      </c>
      <c r="AB105">
        <f t="shared" si="98"/>
        <v>-13.378503827437774</v>
      </c>
      <c r="AC105">
        <f t="shared" si="99"/>
        <v>-13.44276920658546</v>
      </c>
      <c r="AD105">
        <f t="shared" si="100"/>
        <v>-13.434681198863775</v>
      </c>
      <c r="AE105">
        <f t="shared" si="101"/>
        <v>-13.579559160656958</v>
      </c>
    </row>
    <row r="106" spans="2:31" x14ac:dyDescent="0.2">
      <c r="B106">
        <f t="shared" si="108"/>
        <v>9.670469095114866</v>
      </c>
      <c r="C106">
        <v>1200</v>
      </c>
      <c r="D106" s="2">
        <v>1.1370818584925558E-5</v>
      </c>
      <c r="E106" s="2">
        <v>1.1066555539391352E-5</v>
      </c>
      <c r="F106" s="2">
        <v>9.5942904088899442E-6</v>
      </c>
      <c r="G106" s="2">
        <v>1.1038513905518621E-5</v>
      </c>
      <c r="H106" s="2">
        <v>1.2390581377476976E-5</v>
      </c>
      <c r="I106">
        <f t="shared" si="109"/>
        <v>-11.384460257637194</v>
      </c>
      <c r="J106">
        <f t="shared" si="102"/>
        <v>-11.411583012381621</v>
      </c>
      <c r="K106">
        <f t="shared" si="103"/>
        <v>-11.554342385497836</v>
      </c>
      <c r="L106">
        <f t="shared" si="104"/>
        <v>-11.414120136183437</v>
      </c>
      <c r="M106">
        <f t="shared" si="105"/>
        <v>-11.29857394030245</v>
      </c>
      <c r="T106">
        <f t="shared" si="106"/>
        <v>10.549602649216217</v>
      </c>
      <c r="U106">
        <v>1100</v>
      </c>
      <c r="V106">
        <v>6.3925628867080076E-7</v>
      </c>
      <c r="W106">
        <v>6.483756378477445E-7</v>
      </c>
      <c r="X106">
        <v>6.3323188596606148E-7</v>
      </c>
      <c r="Y106">
        <v>7.2412037274626798E-7</v>
      </c>
      <c r="Z106">
        <v>6.554391465445881E-7</v>
      </c>
      <c r="AA106">
        <f t="shared" si="107"/>
        <v>-14.262960385246968</v>
      </c>
      <c r="AB106">
        <f t="shared" si="98"/>
        <v>-14.2487956205117</v>
      </c>
      <c r="AC106">
        <f t="shared" si="99"/>
        <v>-14.27242915334377</v>
      </c>
      <c r="AD106">
        <f t="shared" si="100"/>
        <v>-14.138308197681209</v>
      </c>
      <c r="AE106">
        <f t="shared" si="101"/>
        <v>-14.237960373224361</v>
      </c>
    </row>
    <row r="107" spans="2:31" x14ac:dyDescent="0.2">
      <c r="B107">
        <f t="shared" si="108"/>
        <v>10.549602649216217</v>
      </c>
      <c r="C107">
        <v>1100</v>
      </c>
      <c r="D107" s="2">
        <v>5.9061611863109262E-6</v>
      </c>
      <c r="E107" s="2">
        <v>5.9603184827859215E-6</v>
      </c>
      <c r="F107" s="2">
        <v>5.2663516280976404E-6</v>
      </c>
      <c r="G107" s="2">
        <v>6.0851243951468561E-6</v>
      </c>
      <c r="H107" s="2">
        <v>5.9817794316550433E-6</v>
      </c>
      <c r="I107">
        <f t="shared" si="109"/>
        <v>-12.039514483055781</v>
      </c>
      <c r="J107">
        <f t="shared" si="102"/>
        <v>-12.030386641605659</v>
      </c>
      <c r="K107">
        <f t="shared" si="103"/>
        <v>-12.154172725838412</v>
      </c>
      <c r="L107">
        <f t="shared" si="104"/>
        <v>-12.009663388817245</v>
      </c>
      <c r="M107">
        <f t="shared" si="105"/>
        <v>-12.026792470443153</v>
      </c>
    </row>
    <row r="109" spans="2:31" x14ac:dyDescent="0.2">
      <c r="V109" t="s">
        <v>5</v>
      </c>
      <c r="X109" t="s">
        <v>6</v>
      </c>
      <c r="Z109" t="s">
        <v>7</v>
      </c>
      <c r="AB109" t="s">
        <v>8</v>
      </c>
      <c r="AD109" t="s">
        <v>9</v>
      </c>
    </row>
    <row r="110" spans="2:31" x14ac:dyDescent="0.2">
      <c r="D110" t="s">
        <v>0</v>
      </c>
      <c r="F110" t="s">
        <v>1</v>
      </c>
      <c r="H110" t="s">
        <v>2</v>
      </c>
      <c r="J110" t="s">
        <v>3</v>
      </c>
      <c r="L110" t="s">
        <v>4</v>
      </c>
      <c r="U110" t="s">
        <v>38</v>
      </c>
      <c r="V110" t="s">
        <v>39</v>
      </c>
      <c r="W110" t="s">
        <v>38</v>
      </c>
      <c r="X110" t="s">
        <v>39</v>
      </c>
      <c r="Y110" t="s">
        <v>38</v>
      </c>
      <c r="Z110" t="s">
        <v>39</v>
      </c>
      <c r="AA110" t="s">
        <v>38</v>
      </c>
      <c r="AB110" t="s">
        <v>39</v>
      </c>
      <c r="AC110" t="s">
        <v>38</v>
      </c>
      <c r="AD110" t="s">
        <v>39</v>
      </c>
    </row>
    <row r="111" spans="2:31" x14ac:dyDescent="0.2">
      <c r="C111" t="s">
        <v>38</v>
      </c>
      <c r="D111" t="s">
        <v>39</v>
      </c>
      <c r="E111" t="s">
        <v>38</v>
      </c>
      <c r="F111" t="s">
        <v>39</v>
      </c>
      <c r="G111" t="s">
        <v>38</v>
      </c>
      <c r="H111" t="s">
        <v>39</v>
      </c>
      <c r="I111" t="s">
        <v>38</v>
      </c>
      <c r="J111" t="s">
        <v>39</v>
      </c>
      <c r="K111" t="s">
        <v>38</v>
      </c>
      <c r="L111" t="s">
        <v>39</v>
      </c>
      <c r="U111" cm="1">
        <f t="array" ref="U111:V115">LINEST($AA103:$AA106,$T103:$T106,TRUE, TRUE)</f>
        <v>-0.894225210155422</v>
      </c>
      <c r="V111">
        <v>-4.8861689707446967</v>
      </c>
      <c r="W111" cm="1">
        <f t="array" ref="W111:X115">LINEST($AB103:$AB106,$T103:$T106,TRUE, TRUE)</f>
        <v>-0.84184659992945909</v>
      </c>
      <c r="X111">
        <v>-5.3278195526837004</v>
      </c>
      <c r="Y111" cm="1">
        <f t="array" ref="Y111:Z115">LINEST($AC103:$AC106,$T103:$T106,TRUE, TRUE)</f>
        <v>-0.89412710688440378</v>
      </c>
      <c r="Z111">
        <v>-4.8229688364688865</v>
      </c>
      <c r="AA111" cm="1">
        <f t="array" ref="AA111:AB115">LINEST($AD103:$AD106,$T103:$T106,TRUE, TRUE)</f>
        <v>-0.83413931852892098</v>
      </c>
      <c r="AB111">
        <v>-5.351311806425505</v>
      </c>
      <c r="AC111" cm="1">
        <f t="array" ref="AC111:AD115">LINEST($AE103:$AE106,$T103:$T106,TRUE, TRUE)</f>
        <v>-0.90444278289401925</v>
      </c>
      <c r="AD111">
        <v>-4.7366008944902465</v>
      </c>
    </row>
    <row r="112" spans="2:31" x14ac:dyDescent="0.2">
      <c r="C112" cm="1">
        <f t="array" ref="C112:D116">LINEST($I104:$I107,$B104:$B107,TRUE, TRUE)</f>
        <v>-0.74721725359803293</v>
      </c>
      <c r="D112">
        <v>-4.1503758623540215</v>
      </c>
      <c r="E112" cm="1">
        <f t="array" ref="E112:F116">LINEST($J104:$J107,$B104:$B107,TRUE, TRUE)</f>
        <v>-0.71572620698804523</v>
      </c>
      <c r="F112">
        <v>-4.4765894990469475</v>
      </c>
      <c r="G112" cm="1">
        <f t="array" ref="G112:H116">LINEST($K104:$K107,$B104:$B107,TRUE, TRUE)</f>
        <v>-0.772964121446576</v>
      </c>
      <c r="H112">
        <v>-4.0249257397643898</v>
      </c>
      <c r="I112" cm="1">
        <f t="array" ref="I112:J116">LINEST($L104:$L107,$B104:$B107,TRUE, TRUE)</f>
        <v>-0.76446293806328658</v>
      </c>
      <c r="J112">
        <v>-3.967924657032424</v>
      </c>
      <c r="K112" cm="1">
        <f t="array" ref="K112:L116">LINEST($M104:$M107,$B104:$B107,TRUE, TRUE)</f>
        <v>-0.75812112893439121</v>
      </c>
      <c r="L112">
        <v>-4.0038940097203852</v>
      </c>
      <c r="U112">
        <v>4.997326792576913E-2</v>
      </c>
      <c r="V112">
        <v>0.46959127854627841</v>
      </c>
      <c r="W112">
        <v>4.7321419903792745E-2</v>
      </c>
      <c r="X112">
        <v>0.44467226174313335</v>
      </c>
      <c r="Y112">
        <v>1.4106723644053399E-2</v>
      </c>
      <c r="Z112">
        <v>0.13255875925404767</v>
      </c>
      <c r="AA112">
        <v>1.1088657336929725E-2</v>
      </c>
      <c r="AB112">
        <v>0.1041984443351822</v>
      </c>
      <c r="AC112">
        <v>5.2214322865185764E-2</v>
      </c>
      <c r="AD112">
        <v>0.49065013457018958</v>
      </c>
    </row>
    <row r="113" spans="3:30" x14ac:dyDescent="0.2">
      <c r="C113">
        <v>2.0333290305787802E-2</v>
      </c>
      <c r="D113">
        <v>0.19106886917883278</v>
      </c>
      <c r="E113">
        <v>2.0622334141445649E-2</v>
      </c>
      <c r="F113">
        <v>0.19378497060618205</v>
      </c>
      <c r="G113">
        <v>2.7885241870169195E-2</v>
      </c>
      <c r="H113">
        <v>0.26203342158523507</v>
      </c>
      <c r="I113">
        <v>2.8343332362563849E-2</v>
      </c>
      <c r="J113">
        <v>0.26633802900720782</v>
      </c>
      <c r="K113">
        <v>2.0927228821709505E-2</v>
      </c>
      <c r="L113">
        <v>0.19665002003500343</v>
      </c>
      <c r="U113">
        <v>0.99379263260852935</v>
      </c>
      <c r="V113">
        <v>8.4312551886342846E-2</v>
      </c>
      <c r="W113">
        <v>0.99372023000732523</v>
      </c>
      <c r="X113">
        <v>7.9838478382090655E-2</v>
      </c>
      <c r="Y113">
        <v>0.99950241459036382</v>
      </c>
      <c r="Z113">
        <v>2.3800201959020599E-2</v>
      </c>
      <c r="AA113">
        <v>0.99964668891140573</v>
      </c>
      <c r="AB113">
        <v>1.8708262154448142E-2</v>
      </c>
      <c r="AC113">
        <v>0.99337841709517627</v>
      </c>
      <c r="AD113">
        <v>8.8093554584432882E-2</v>
      </c>
    </row>
    <row r="114" spans="3:30" x14ac:dyDescent="0.2">
      <c r="C114">
        <v>0.99852120209613571</v>
      </c>
      <c r="D114">
        <v>3.4305372954062635E-2</v>
      </c>
      <c r="E114">
        <v>0.99834235589983777</v>
      </c>
      <c r="F114">
        <v>3.4793034145792774E-2</v>
      </c>
      <c r="G114">
        <v>0.99740384156633333</v>
      </c>
      <c r="H114">
        <v>4.7046671142943378E-2</v>
      </c>
      <c r="I114">
        <v>0.99725825799680834</v>
      </c>
      <c r="J114">
        <v>4.7819539918826419E-2</v>
      </c>
      <c r="K114">
        <v>0.99847834957148685</v>
      </c>
      <c r="L114">
        <v>3.5307438138499445E-2</v>
      </c>
      <c r="U114">
        <v>320.19778109930036</v>
      </c>
      <c r="V114">
        <v>2</v>
      </c>
      <c r="W114">
        <v>316.48300213749371</v>
      </c>
      <c r="X114">
        <v>2</v>
      </c>
      <c r="Y114">
        <v>4017.4104595279441</v>
      </c>
      <c r="Z114">
        <v>2</v>
      </c>
      <c r="AA114">
        <v>5658.7337402215007</v>
      </c>
      <c r="AB114">
        <v>2</v>
      </c>
      <c r="AC114">
        <v>300.042582377553</v>
      </c>
      <c r="AD114">
        <v>2</v>
      </c>
    </row>
    <row r="115" spans="3:30" x14ac:dyDescent="0.2">
      <c r="C115">
        <v>1350.4498477944828</v>
      </c>
      <c r="D115">
        <v>2</v>
      </c>
      <c r="E115">
        <v>1204.5316069983382</v>
      </c>
      <c r="F115">
        <v>2</v>
      </c>
      <c r="G115">
        <v>768.36900909600661</v>
      </c>
      <c r="H115">
        <v>2</v>
      </c>
      <c r="I115">
        <v>727.4632382156426</v>
      </c>
      <c r="J115">
        <v>2</v>
      </c>
      <c r="K115">
        <v>1312.3623282478977</v>
      </c>
      <c r="L115">
        <v>2</v>
      </c>
      <c r="U115">
        <v>2.2761599977773121</v>
      </c>
      <c r="V115">
        <v>1.4217212811174509E-2</v>
      </c>
      <c r="W115">
        <v>2.0173204550313906</v>
      </c>
      <c r="X115">
        <v>1.2748365260735112E-2</v>
      </c>
      <c r="Y115">
        <v>2.2756606012274796</v>
      </c>
      <c r="Z115">
        <v>1.1328992265803358E-3</v>
      </c>
      <c r="AA115">
        <v>1.9805515625234418</v>
      </c>
      <c r="AB115">
        <v>6.9999814567911327E-4</v>
      </c>
      <c r="AC115">
        <v>2.3284727672452958</v>
      </c>
      <c r="AD115">
        <v>1.5520948718640912E-2</v>
      </c>
    </row>
    <row r="116" spans="3:30" x14ac:dyDescent="0.2">
      <c r="C116">
        <v>1.5892885355001074</v>
      </c>
      <c r="D116">
        <v>2.3537172270346645E-3</v>
      </c>
      <c r="E116">
        <v>1.4581520306141655</v>
      </c>
      <c r="F116">
        <v>2.4211104501406034E-3</v>
      </c>
      <c r="G116">
        <v>1.7006997167775981</v>
      </c>
      <c r="H116">
        <v>4.4267785312645221E-3</v>
      </c>
      <c r="I116">
        <v>1.6634962960990725</v>
      </c>
      <c r="J116">
        <v>4.5734167960964668E-3</v>
      </c>
      <c r="K116">
        <v>1.6360108104268383</v>
      </c>
      <c r="L116">
        <v>2.4932303758079303E-3</v>
      </c>
      <c r="V116" s="5">
        <f>EXP(V111)</f>
        <v>7.5502925302396301E-3</v>
      </c>
      <c r="W116" s="5"/>
      <c r="X116" s="5">
        <f>EXP(X111)</f>
        <v>4.8546437752844786E-3</v>
      </c>
      <c r="Y116" s="5"/>
      <c r="Z116" s="5">
        <f>EXP(Z111)</f>
        <v>8.0428736823899127E-3</v>
      </c>
      <c r="AA116" s="5"/>
      <c r="AB116" s="5">
        <f>EXP(AB111)</f>
        <v>4.7419264280301691E-3</v>
      </c>
      <c r="AC116" s="5"/>
      <c r="AD116" s="5">
        <f>EXP(AD111)</f>
        <v>8.7684003059194434E-3</v>
      </c>
    </row>
    <row r="117" spans="3:30" x14ac:dyDescent="0.2">
      <c r="D117" s="5">
        <f>EXP(D112)</f>
        <v>1.5758492347564556E-2</v>
      </c>
      <c r="E117" s="5"/>
      <c r="F117" s="5">
        <f>EXP(F112)</f>
        <v>1.1372131758420558E-2</v>
      </c>
      <c r="G117" s="5"/>
      <c r="H117" s="5">
        <f>EXP(H112)</f>
        <v>1.7864750744656356E-2</v>
      </c>
      <c r="I117" s="5"/>
      <c r="J117" s="5">
        <f>EXP(J112)</f>
        <v>1.8912642654409461E-2</v>
      </c>
      <c r="K117" s="5"/>
      <c r="L117" s="5">
        <f>EXP(L112)</f>
        <v>1.824445629566801E-2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u10mo</vt:lpstr>
      <vt:lpstr>u5mo</vt:lpstr>
      <vt:lpstr>u15mo</vt:lpstr>
      <vt:lpstr>bccU</vt:lpstr>
      <vt:lpstr>bccMo</vt:lpstr>
      <vt:lpstr>u30mo</vt:lpstr>
      <vt:lpstr>u50mo</vt:lpstr>
      <vt:lpstr>summary</vt:lpstr>
      <vt:lpstr>summary 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Beeler</dc:creator>
  <cp:lastModifiedBy>Benjamin W. Beeler</cp:lastModifiedBy>
  <dcterms:created xsi:type="dcterms:W3CDTF">2024-02-26T15:04:48Z</dcterms:created>
  <dcterms:modified xsi:type="dcterms:W3CDTF">2025-08-04T18:46:39Z</dcterms:modified>
</cp:coreProperties>
</file>