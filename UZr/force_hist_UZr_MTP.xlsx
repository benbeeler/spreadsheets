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spreadsheets/UZr/"/>
    </mc:Choice>
  </mc:AlternateContent>
  <xr:revisionPtr revIDLastSave="0" documentId="13_ncr:1_{315CF5BD-6191-A641-B4E7-3C1C4D07BF91}" xr6:coauthVersionLast="47" xr6:coauthVersionMax="47" xr10:uidLastSave="{00000000-0000-0000-0000-000000000000}"/>
  <bookViews>
    <workbookView xWindow="13320" yWindow="2000" windowWidth="27640" windowHeight="19700" xr2:uid="{6557D022-7474-6E43-AE54-8F5A5DB1062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72" i="1" l="1"/>
  <c r="G68" i="1"/>
  <c r="G16" i="1" l="1"/>
</calcChain>
</file>

<file path=xl/sharedStrings.xml><?xml version="1.0" encoding="utf-8"?>
<sst xmlns="http://schemas.openxmlformats.org/spreadsheetml/2006/main" count="431" uniqueCount="43">
  <si>
    <t>==</t>
  </si>
  <si>
    <t>all</t>
  </si>
  <si>
    <t>atoms</t>
  </si>
  <si>
    <t>|F|</t>
  </si>
  <si>
    <t>bin</t>
  </si>
  <si>
    <t>(eV/A)</t>
  </si>
  <si>
    <t>RMSE</t>
  </si>
  <si>
    <t>comp</t>
  </si>
  <si>
    <t>MAE</t>
  </si>
  <si>
    <t>|dF|</t>
  </si>
  <si>
    <t>rel</t>
  </si>
  <si>
    <t>[0</t>
  </si>
  <si>
    <t>0.5)</t>
  </si>
  <si>
    <t>[0.5</t>
  </si>
  <si>
    <t>1)</t>
  </si>
  <si>
    <t>[1</t>
  </si>
  <si>
    <t>2)</t>
  </si>
  <si>
    <t>[2</t>
  </si>
  <si>
    <t>5)</t>
  </si>
  <si>
    <t>[5</t>
  </si>
  <si>
    <t>10)</t>
  </si>
  <si>
    <t>[10</t>
  </si>
  <si>
    <t>20)</t>
  </si>
  <si>
    <t>[20</t>
  </si>
  <si>
    <t>50)</t>
  </si>
  <si>
    <t>[50</t>
  </si>
  <si>
    <t>inf)</t>
  </si>
  <si>
    <t>ALL</t>
  </si>
  <si>
    <t>RMSE comp</t>
  </si>
  <si>
    <t>MAE comp</t>
  </si>
  <si>
    <t>scale 50</t>
  </si>
  <si>
    <t>noscale</t>
  </si>
  <si>
    <t>scale5</t>
  </si>
  <si>
    <t>scale5 continued</t>
  </si>
  <si>
    <t>rad basis</t>
  </si>
  <si>
    <t>2 6</t>
  </si>
  <si>
    <t>under5</t>
  </si>
  <si>
    <t>under5_2.2-6_rad12</t>
  </si>
  <si>
    <t>16_ under20, 2-6, rad12, scale_force1</t>
  </si>
  <si>
    <t>18_ under20, 2-6, rad12, scale_force1</t>
  </si>
  <si>
    <t>20_ under20, 2-6, rad12, scale_force1</t>
  </si>
  <si>
    <t>20_ under20, 2-6, rad12, scale_force5</t>
  </si>
  <si>
    <t>20_ under20, 2-6, rad14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</si>
</sst>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97FE4-DF68-2C44-BB52-FAE501302E80}">
  <dimension ref="B4:N172"/>
  <sheetViews>
    <sheetView tabSelected="1" topLeftCell="A147" workbookViewId="0">
      <selection activeCell="I172" sqref="I172"/>
    </sheetView>
  </sheetViews>
  <sheetFormatPr baseColWidth="10" defaultRowHeight="16" x14ac:dyDescent="0.2"/>
  <sheetData>
    <row r="4" spans="2:14" x14ac:dyDescent="0.2">
      <c r="E4" t="s">
        <v>2</v>
      </c>
      <c r="F4" t="s">
        <v>28</v>
      </c>
      <c r="G4" t="s">
        <v>29</v>
      </c>
    </row>
    <row r="5" spans="2:14" x14ac:dyDescent="0.2">
      <c r="B5" t="s">
        <v>30</v>
      </c>
    </row>
    <row r="6" spans="2:14" x14ac:dyDescent="0.2">
      <c r="B6" t="s">
        <v>0</v>
      </c>
      <c r="C6" t="s">
        <v>1</v>
      </c>
      <c r="D6" t="s">
        <v>2</v>
      </c>
      <c r="E6" t="s">
        <v>0</v>
      </c>
    </row>
    <row r="7" spans="2:14" x14ac:dyDescent="0.2">
      <c r="C7" t="s">
        <v>3</v>
      </c>
      <c r="D7" t="s">
        <v>4</v>
      </c>
      <c r="E7" t="s">
        <v>5</v>
      </c>
      <c r="F7" t="s">
        <v>2</v>
      </c>
      <c r="G7" t="s">
        <v>6</v>
      </c>
      <c r="H7" t="s">
        <v>7</v>
      </c>
      <c r="I7" t="s">
        <v>8</v>
      </c>
      <c r="J7" t="s">
        <v>7</v>
      </c>
      <c r="K7" t="s">
        <v>6</v>
      </c>
      <c r="L7" t="s">
        <v>9</v>
      </c>
      <c r="M7" t="s">
        <v>10</v>
      </c>
      <c r="N7" t="s">
        <v>6</v>
      </c>
    </row>
    <row r="8" spans="2:14" x14ac:dyDescent="0.2">
      <c r="C8" t="s">
        <v>11</v>
      </c>
      <c r="D8" t="s">
        <v>12</v>
      </c>
      <c r="E8">
        <v>18934</v>
      </c>
      <c r="F8">
        <v>0.16919999999999999</v>
      </c>
      <c r="G8">
        <v>0.12759999999999999</v>
      </c>
      <c r="H8">
        <v>0.29299999999999998</v>
      </c>
      <c r="I8">
        <v>0.88</v>
      </c>
    </row>
    <row r="9" spans="2:14" x14ac:dyDescent="0.2">
      <c r="C9" t="s">
        <v>13</v>
      </c>
      <c r="D9" t="s">
        <v>14</v>
      </c>
      <c r="E9">
        <v>22326</v>
      </c>
      <c r="F9">
        <v>0.22059999999999999</v>
      </c>
      <c r="G9">
        <v>0.1719</v>
      </c>
      <c r="H9">
        <v>0.38219999999999998</v>
      </c>
      <c r="I9">
        <v>0.51100000000000001</v>
      </c>
    </row>
    <row r="10" spans="2:14" x14ac:dyDescent="0.2">
      <c r="C10" t="s">
        <v>15</v>
      </c>
      <c r="D10" t="s">
        <v>16</v>
      </c>
      <c r="E10">
        <v>20637</v>
      </c>
      <c r="F10">
        <v>0.24859999999999999</v>
      </c>
      <c r="G10">
        <v>0.19500000000000001</v>
      </c>
      <c r="H10">
        <v>0.43049999999999999</v>
      </c>
      <c r="I10">
        <v>0.30299999999999999</v>
      </c>
    </row>
    <row r="11" spans="2:14" x14ac:dyDescent="0.2">
      <c r="C11" t="s">
        <v>17</v>
      </c>
      <c r="D11" t="s">
        <v>18</v>
      </c>
      <c r="E11">
        <v>9704</v>
      </c>
      <c r="F11">
        <v>0.29349999999999998</v>
      </c>
      <c r="G11">
        <v>0.2311</v>
      </c>
      <c r="H11">
        <v>0.50829999999999997</v>
      </c>
      <c r="I11">
        <v>0.16900000000000001</v>
      </c>
    </row>
    <row r="12" spans="2:14" x14ac:dyDescent="0.2">
      <c r="C12" t="s">
        <v>19</v>
      </c>
      <c r="D12" t="s">
        <v>20</v>
      </c>
      <c r="E12">
        <v>1211</v>
      </c>
      <c r="F12">
        <v>0.38109999999999999</v>
      </c>
      <c r="G12">
        <v>0.29170000000000001</v>
      </c>
      <c r="H12">
        <v>0.66010000000000002</v>
      </c>
      <c r="I12">
        <v>0.1</v>
      </c>
    </row>
    <row r="13" spans="2:14" x14ac:dyDescent="0.2">
      <c r="C13" t="s">
        <v>21</v>
      </c>
      <c r="D13" t="s">
        <v>22</v>
      </c>
      <c r="E13">
        <v>116</v>
      </c>
      <c r="F13">
        <v>0.71330000000000005</v>
      </c>
      <c r="G13">
        <v>0.46810000000000002</v>
      </c>
      <c r="H13">
        <v>1.2354000000000001</v>
      </c>
      <c r="I13">
        <v>9.7000000000000003E-2</v>
      </c>
    </row>
    <row r="14" spans="2:14" x14ac:dyDescent="0.2">
      <c r="C14" t="s">
        <v>23</v>
      </c>
      <c r="D14" t="s">
        <v>24</v>
      </c>
      <c r="E14">
        <v>0</v>
      </c>
    </row>
    <row r="15" spans="2:14" x14ac:dyDescent="0.2">
      <c r="C15" t="s">
        <v>25</v>
      </c>
      <c r="D15" t="s">
        <v>26</v>
      </c>
      <c r="E15">
        <v>0</v>
      </c>
    </row>
    <row r="16" spans="2:14" x14ac:dyDescent="0.2">
      <c r="C16" t="s">
        <v>27</v>
      </c>
      <c r="D16">
        <v>72928</v>
      </c>
      <c r="E16">
        <v>0.23350000000000001</v>
      </c>
      <c r="F16">
        <v>0.17730000000000001</v>
      </c>
      <c r="G16">
        <f>E16*SQRT(3)</f>
        <v>0.40443386356733285</v>
      </c>
    </row>
    <row r="18" spans="2:14" x14ac:dyDescent="0.2">
      <c r="B18" t="s">
        <v>31</v>
      </c>
      <c r="E18" t="s">
        <v>2</v>
      </c>
      <c r="F18" t="s">
        <v>28</v>
      </c>
      <c r="G18" t="s">
        <v>29</v>
      </c>
    </row>
    <row r="19" spans="2:14" x14ac:dyDescent="0.2">
      <c r="B19" t="s">
        <v>0</v>
      </c>
      <c r="C19" t="s">
        <v>1</v>
      </c>
      <c r="D19" t="s">
        <v>2</v>
      </c>
      <c r="E19" t="s">
        <v>0</v>
      </c>
    </row>
    <row r="20" spans="2:14" x14ac:dyDescent="0.2">
      <c r="C20" t="s">
        <v>3</v>
      </c>
      <c r="D20" t="s">
        <v>4</v>
      </c>
      <c r="E20" t="s">
        <v>5</v>
      </c>
      <c r="F20" t="s">
        <v>2</v>
      </c>
      <c r="G20" t="s">
        <v>6</v>
      </c>
      <c r="H20" t="s">
        <v>7</v>
      </c>
      <c r="I20" t="s">
        <v>8</v>
      </c>
      <c r="J20" t="s">
        <v>7</v>
      </c>
      <c r="K20" t="s">
        <v>6</v>
      </c>
      <c r="L20" t="s">
        <v>9</v>
      </c>
      <c r="M20" t="s">
        <v>10</v>
      </c>
      <c r="N20" t="s">
        <v>6</v>
      </c>
    </row>
    <row r="21" spans="2:14" x14ac:dyDescent="0.2">
      <c r="C21" t="s">
        <v>11</v>
      </c>
      <c r="D21" t="s">
        <v>12</v>
      </c>
      <c r="E21">
        <v>18934</v>
      </c>
      <c r="F21">
        <v>0.1784</v>
      </c>
      <c r="G21">
        <v>0.13270000000000001</v>
      </c>
      <c r="H21">
        <v>0.309</v>
      </c>
      <c r="I21">
        <v>0.92800000000000005</v>
      </c>
    </row>
    <row r="22" spans="2:14" x14ac:dyDescent="0.2">
      <c r="C22" t="s">
        <v>13</v>
      </c>
      <c r="D22" t="s">
        <v>14</v>
      </c>
      <c r="E22">
        <v>22326</v>
      </c>
      <c r="F22">
        <v>0.23719999999999999</v>
      </c>
      <c r="G22">
        <v>0.18329999999999999</v>
      </c>
      <c r="H22">
        <v>0.41089999999999999</v>
      </c>
      <c r="I22">
        <v>0.55000000000000004</v>
      </c>
    </row>
    <row r="23" spans="2:14" x14ac:dyDescent="0.2">
      <c r="C23" t="s">
        <v>15</v>
      </c>
      <c r="D23" t="s">
        <v>16</v>
      </c>
      <c r="E23">
        <v>20637</v>
      </c>
      <c r="F23">
        <v>0.2641</v>
      </c>
      <c r="G23">
        <v>0.20549999999999999</v>
      </c>
      <c r="H23">
        <v>0.45750000000000002</v>
      </c>
      <c r="I23">
        <v>0.32200000000000001</v>
      </c>
    </row>
    <row r="24" spans="2:14" x14ac:dyDescent="0.2">
      <c r="C24" t="s">
        <v>17</v>
      </c>
      <c r="D24" t="s">
        <v>18</v>
      </c>
      <c r="E24">
        <v>9704</v>
      </c>
      <c r="F24">
        <v>0.30359999999999998</v>
      </c>
      <c r="G24">
        <v>0.2387</v>
      </c>
      <c r="H24">
        <v>0.52580000000000005</v>
      </c>
      <c r="I24">
        <v>0.17499999999999999</v>
      </c>
    </row>
    <row r="25" spans="2:14" x14ac:dyDescent="0.2">
      <c r="C25" t="s">
        <v>19</v>
      </c>
      <c r="D25" t="s">
        <v>20</v>
      </c>
      <c r="E25">
        <v>1211</v>
      </c>
      <c r="F25">
        <v>0.36549999999999999</v>
      </c>
      <c r="G25">
        <v>0.28770000000000001</v>
      </c>
      <c r="H25">
        <v>0.6331</v>
      </c>
      <c r="I25">
        <v>9.6000000000000002E-2</v>
      </c>
    </row>
    <row r="26" spans="2:14" x14ac:dyDescent="0.2">
      <c r="C26" t="s">
        <v>21</v>
      </c>
      <c r="D26" t="s">
        <v>22</v>
      </c>
      <c r="E26">
        <v>116</v>
      </c>
      <c r="F26">
        <v>0.4304</v>
      </c>
      <c r="G26">
        <v>0.33339999999999997</v>
      </c>
      <c r="H26">
        <v>0.74550000000000005</v>
      </c>
      <c r="I26">
        <v>5.8999999999999997E-2</v>
      </c>
    </row>
    <row r="27" spans="2:14" x14ac:dyDescent="0.2">
      <c r="C27" t="s">
        <v>23</v>
      </c>
      <c r="D27" t="s">
        <v>24</v>
      </c>
      <c r="E27">
        <v>0</v>
      </c>
    </row>
    <row r="28" spans="2:14" x14ac:dyDescent="0.2">
      <c r="C28" t="s">
        <v>25</v>
      </c>
      <c r="D28" t="s">
        <v>26</v>
      </c>
      <c r="E28">
        <v>0</v>
      </c>
    </row>
    <row r="29" spans="2:14" x14ac:dyDescent="0.2">
      <c r="C29" t="s">
        <v>27</v>
      </c>
      <c r="D29">
        <v>72928</v>
      </c>
      <c r="E29">
        <v>0.245</v>
      </c>
      <c r="F29">
        <v>0.18579999999999999</v>
      </c>
    </row>
    <row r="31" spans="2:14" x14ac:dyDescent="0.2">
      <c r="B31" t="s">
        <v>32</v>
      </c>
      <c r="E31" t="s">
        <v>2</v>
      </c>
      <c r="F31" t="s">
        <v>28</v>
      </c>
      <c r="G31" t="s">
        <v>29</v>
      </c>
    </row>
    <row r="32" spans="2:14" x14ac:dyDescent="0.2">
      <c r="B32" t="s">
        <v>0</v>
      </c>
      <c r="C32" t="s">
        <v>1</v>
      </c>
      <c r="D32" t="s">
        <v>2</v>
      </c>
      <c r="E32" t="s">
        <v>0</v>
      </c>
    </row>
    <row r="33" spans="2:14" x14ac:dyDescent="0.2">
      <c r="C33" t="s">
        <v>3</v>
      </c>
      <c r="D33" t="s">
        <v>4</v>
      </c>
      <c r="E33" t="s">
        <v>5</v>
      </c>
      <c r="F33" t="s">
        <v>2</v>
      </c>
      <c r="G33" t="s">
        <v>6</v>
      </c>
      <c r="H33" t="s">
        <v>7</v>
      </c>
      <c r="I33" t="s">
        <v>8</v>
      </c>
      <c r="J33" t="s">
        <v>7</v>
      </c>
      <c r="K33" t="s">
        <v>6</v>
      </c>
      <c r="L33" t="s">
        <v>9</v>
      </c>
      <c r="M33" t="s">
        <v>10</v>
      </c>
      <c r="N33" t="s">
        <v>6</v>
      </c>
    </row>
    <row r="34" spans="2:14" x14ac:dyDescent="0.2">
      <c r="C34" t="s">
        <v>11</v>
      </c>
      <c r="D34" t="s">
        <v>12</v>
      </c>
      <c r="E34">
        <v>18934</v>
      </c>
      <c r="F34">
        <v>0.16789999999999999</v>
      </c>
      <c r="G34">
        <v>0.12529999999999999</v>
      </c>
      <c r="H34">
        <v>0.2908</v>
      </c>
      <c r="I34">
        <v>0.873</v>
      </c>
    </row>
    <row r="35" spans="2:14" x14ac:dyDescent="0.2">
      <c r="C35" t="s">
        <v>13</v>
      </c>
      <c r="D35" t="s">
        <v>14</v>
      </c>
      <c r="E35">
        <v>22326</v>
      </c>
      <c r="F35">
        <v>0.22170000000000001</v>
      </c>
      <c r="G35">
        <v>0.1714</v>
      </c>
      <c r="H35">
        <v>0.3841</v>
      </c>
      <c r="I35">
        <v>0.51400000000000001</v>
      </c>
    </row>
    <row r="36" spans="2:14" x14ac:dyDescent="0.2">
      <c r="C36" t="s">
        <v>15</v>
      </c>
      <c r="D36" t="s">
        <v>16</v>
      </c>
      <c r="E36">
        <v>20637</v>
      </c>
      <c r="F36">
        <v>0.25240000000000001</v>
      </c>
      <c r="G36">
        <v>0.1973</v>
      </c>
      <c r="H36">
        <v>0.43719999999999998</v>
      </c>
      <c r="I36">
        <v>0.307</v>
      </c>
    </row>
    <row r="37" spans="2:14" x14ac:dyDescent="0.2">
      <c r="C37" t="s">
        <v>17</v>
      </c>
      <c r="D37" t="s">
        <v>18</v>
      </c>
      <c r="E37">
        <v>9704</v>
      </c>
      <c r="F37">
        <v>0.3115</v>
      </c>
      <c r="G37">
        <v>0.2445</v>
      </c>
      <c r="H37">
        <v>0.53959999999999997</v>
      </c>
      <c r="I37">
        <v>0.17899999999999999</v>
      </c>
    </row>
    <row r="38" spans="2:14" x14ac:dyDescent="0.2">
      <c r="C38" t="s">
        <v>19</v>
      </c>
      <c r="D38" t="s">
        <v>20</v>
      </c>
      <c r="E38">
        <v>1211</v>
      </c>
      <c r="F38">
        <v>0.433</v>
      </c>
      <c r="G38">
        <v>0.3271</v>
      </c>
      <c r="H38">
        <v>0.74990000000000001</v>
      </c>
      <c r="I38">
        <v>0.114</v>
      </c>
    </row>
    <row r="39" spans="2:14" x14ac:dyDescent="0.2">
      <c r="C39" t="s">
        <v>21</v>
      </c>
      <c r="D39" t="s">
        <v>22</v>
      </c>
      <c r="E39">
        <v>116</v>
      </c>
      <c r="F39">
        <v>1.1709000000000001</v>
      </c>
      <c r="G39">
        <v>0.83850000000000002</v>
      </c>
      <c r="H39">
        <v>2.028</v>
      </c>
      <c r="I39">
        <v>0.159</v>
      </c>
    </row>
    <row r="40" spans="2:14" x14ac:dyDescent="0.2">
      <c r="C40" t="s">
        <v>23</v>
      </c>
      <c r="D40" t="s">
        <v>24</v>
      </c>
      <c r="E40">
        <v>0</v>
      </c>
    </row>
    <row r="41" spans="2:14" x14ac:dyDescent="0.2">
      <c r="C41" t="s">
        <v>25</v>
      </c>
      <c r="D41" t="s">
        <v>26</v>
      </c>
      <c r="E41">
        <v>0</v>
      </c>
    </row>
    <row r="42" spans="2:14" x14ac:dyDescent="0.2">
      <c r="C42" t="s">
        <v>27</v>
      </c>
      <c r="D42">
        <v>72928</v>
      </c>
      <c r="E42">
        <v>0.24210000000000001</v>
      </c>
      <c r="F42">
        <v>0.18010000000000001</v>
      </c>
    </row>
    <row r="44" spans="2:14" x14ac:dyDescent="0.2">
      <c r="B44" t="s">
        <v>33</v>
      </c>
      <c r="E44" t="s">
        <v>2</v>
      </c>
      <c r="F44" t="s">
        <v>28</v>
      </c>
      <c r="G44" t="s">
        <v>29</v>
      </c>
    </row>
    <row r="45" spans="2:14" x14ac:dyDescent="0.2">
      <c r="B45" t="s">
        <v>0</v>
      </c>
      <c r="C45" t="s">
        <v>1</v>
      </c>
      <c r="D45" t="s">
        <v>2</v>
      </c>
      <c r="E45" t="s">
        <v>0</v>
      </c>
    </row>
    <row r="46" spans="2:14" x14ac:dyDescent="0.2">
      <c r="C46" t="s">
        <v>3</v>
      </c>
      <c r="D46" t="s">
        <v>4</v>
      </c>
      <c r="E46" t="s">
        <v>5</v>
      </c>
      <c r="F46" t="s">
        <v>2</v>
      </c>
      <c r="G46" t="s">
        <v>6</v>
      </c>
      <c r="H46" t="s">
        <v>7</v>
      </c>
      <c r="I46" t="s">
        <v>8</v>
      </c>
      <c r="J46" t="s">
        <v>7</v>
      </c>
      <c r="K46" t="s">
        <v>6</v>
      </c>
      <c r="L46" t="s">
        <v>9</v>
      </c>
      <c r="M46" t="s">
        <v>10</v>
      </c>
      <c r="N46" t="s">
        <v>6</v>
      </c>
    </row>
    <row r="47" spans="2:14" x14ac:dyDescent="0.2">
      <c r="C47" t="s">
        <v>11</v>
      </c>
      <c r="D47" t="s">
        <v>12</v>
      </c>
      <c r="E47">
        <v>18934</v>
      </c>
      <c r="F47">
        <v>0.15840000000000001</v>
      </c>
      <c r="G47">
        <v>0.1182</v>
      </c>
      <c r="H47">
        <v>0.27429999999999999</v>
      </c>
      <c r="I47">
        <v>0.82299999999999995</v>
      </c>
    </row>
    <row r="48" spans="2:14" x14ac:dyDescent="0.2">
      <c r="C48" t="s">
        <v>13</v>
      </c>
      <c r="D48" t="s">
        <v>14</v>
      </c>
      <c r="E48">
        <v>22326</v>
      </c>
      <c r="F48">
        <v>0.20630000000000001</v>
      </c>
      <c r="G48">
        <v>0.1593</v>
      </c>
      <c r="H48">
        <v>0.3574</v>
      </c>
      <c r="I48">
        <v>0.47799999999999998</v>
      </c>
    </row>
    <row r="49" spans="2:14" x14ac:dyDescent="0.2">
      <c r="C49" t="s">
        <v>15</v>
      </c>
      <c r="D49" t="s">
        <v>16</v>
      </c>
      <c r="E49">
        <v>20637</v>
      </c>
      <c r="F49">
        <v>0.23580000000000001</v>
      </c>
      <c r="G49">
        <v>0.18379999999999999</v>
      </c>
      <c r="H49">
        <v>0.40839999999999999</v>
      </c>
      <c r="I49">
        <v>0.28699999999999998</v>
      </c>
    </row>
    <row r="50" spans="2:14" x14ac:dyDescent="0.2">
      <c r="C50" t="s">
        <v>17</v>
      </c>
      <c r="D50" t="s">
        <v>18</v>
      </c>
      <c r="E50">
        <v>9704</v>
      </c>
      <c r="F50">
        <v>0.29249999999999998</v>
      </c>
      <c r="G50">
        <v>0.2301</v>
      </c>
      <c r="H50">
        <v>0.50670000000000004</v>
      </c>
      <c r="I50">
        <v>0.16800000000000001</v>
      </c>
    </row>
    <row r="51" spans="2:14" x14ac:dyDescent="0.2">
      <c r="C51" t="s">
        <v>19</v>
      </c>
      <c r="D51" t="s">
        <v>20</v>
      </c>
      <c r="E51">
        <v>1211</v>
      </c>
      <c r="F51">
        <v>0.41189999999999999</v>
      </c>
      <c r="G51">
        <v>0.30919999999999997</v>
      </c>
      <c r="H51">
        <v>0.71340000000000003</v>
      </c>
      <c r="I51">
        <v>0.108</v>
      </c>
    </row>
    <row r="52" spans="2:14" x14ac:dyDescent="0.2">
      <c r="C52" t="s">
        <v>21</v>
      </c>
      <c r="D52" t="s">
        <v>22</v>
      </c>
      <c r="E52">
        <v>116</v>
      </c>
      <c r="F52">
        <v>1.0163</v>
      </c>
      <c r="G52">
        <v>0.7167</v>
      </c>
      <c r="H52">
        <v>1.7604</v>
      </c>
      <c r="I52">
        <v>0.13800000000000001</v>
      </c>
    </row>
    <row r="53" spans="2:14" x14ac:dyDescent="0.2">
      <c r="C53" t="s">
        <v>23</v>
      </c>
      <c r="D53" t="s">
        <v>24</v>
      </c>
      <c r="E53">
        <v>0</v>
      </c>
    </row>
    <row r="54" spans="2:14" x14ac:dyDescent="0.2">
      <c r="C54" t="s">
        <v>25</v>
      </c>
      <c r="D54" t="s">
        <v>26</v>
      </c>
      <c r="E54">
        <v>0</v>
      </c>
    </row>
    <row r="55" spans="2:14" x14ac:dyDescent="0.2">
      <c r="C55" t="s">
        <v>27</v>
      </c>
      <c r="D55">
        <v>72928</v>
      </c>
      <c r="E55">
        <v>0.2261</v>
      </c>
      <c r="F55">
        <v>0.16839999999999999</v>
      </c>
    </row>
    <row r="57" spans="2:14" x14ac:dyDescent="0.2">
      <c r="B57" t="s">
        <v>34</v>
      </c>
      <c r="E57" t="s">
        <v>2</v>
      </c>
      <c r="F57" t="s">
        <v>28</v>
      </c>
      <c r="G57" t="s">
        <v>29</v>
      </c>
    </row>
    <row r="58" spans="2:14" x14ac:dyDescent="0.2">
      <c r="B58" t="s">
        <v>0</v>
      </c>
      <c r="C58" t="s">
        <v>1</v>
      </c>
      <c r="D58" t="s">
        <v>2</v>
      </c>
      <c r="E58" t="s">
        <v>0</v>
      </c>
    </row>
    <row r="59" spans="2:14" x14ac:dyDescent="0.2">
      <c r="C59" t="s">
        <v>3</v>
      </c>
      <c r="D59" t="s">
        <v>4</v>
      </c>
      <c r="E59" t="s">
        <v>5</v>
      </c>
      <c r="F59" t="s">
        <v>2</v>
      </c>
      <c r="G59" t="s">
        <v>6</v>
      </c>
      <c r="H59" t="s">
        <v>7</v>
      </c>
      <c r="I59" t="s">
        <v>8</v>
      </c>
      <c r="J59" t="s">
        <v>7</v>
      </c>
      <c r="K59" t="s">
        <v>6</v>
      </c>
      <c r="L59" t="s">
        <v>9</v>
      </c>
      <c r="M59" t="s">
        <v>10</v>
      </c>
      <c r="N59" t="s">
        <v>6</v>
      </c>
    </row>
    <row r="60" spans="2:14" x14ac:dyDescent="0.2">
      <c r="C60" t="s">
        <v>11</v>
      </c>
      <c r="D60" t="s">
        <v>12</v>
      </c>
      <c r="E60">
        <v>18934</v>
      </c>
      <c r="F60">
        <v>0.15939999999999999</v>
      </c>
      <c r="G60">
        <v>0.11940000000000001</v>
      </c>
      <c r="H60">
        <v>0.27610000000000001</v>
      </c>
      <c r="I60">
        <v>0.82899999999999996</v>
      </c>
    </row>
    <row r="61" spans="2:14" x14ac:dyDescent="0.2">
      <c r="C61" t="s">
        <v>13</v>
      </c>
      <c r="D61" t="s">
        <v>14</v>
      </c>
      <c r="E61">
        <v>22326</v>
      </c>
      <c r="F61">
        <v>0.2064</v>
      </c>
      <c r="G61">
        <v>0.16059999999999999</v>
      </c>
      <c r="H61">
        <v>0.35749999999999998</v>
      </c>
      <c r="I61">
        <v>0.47799999999999998</v>
      </c>
    </row>
    <row r="62" spans="2:14" x14ac:dyDescent="0.2">
      <c r="C62" t="s">
        <v>15</v>
      </c>
      <c r="D62" t="s">
        <v>16</v>
      </c>
      <c r="E62">
        <v>20637</v>
      </c>
      <c r="F62">
        <v>0.23280000000000001</v>
      </c>
      <c r="G62">
        <v>0.18240000000000001</v>
      </c>
      <c r="H62">
        <v>0.4032</v>
      </c>
      <c r="I62">
        <v>0.28399999999999997</v>
      </c>
    </row>
    <row r="63" spans="2:14" x14ac:dyDescent="0.2">
      <c r="C63" t="s">
        <v>17</v>
      </c>
      <c r="D63" t="s">
        <v>18</v>
      </c>
      <c r="E63">
        <v>9704</v>
      </c>
      <c r="F63">
        <v>0.27329999999999999</v>
      </c>
      <c r="G63">
        <v>0.21529999999999999</v>
      </c>
      <c r="H63">
        <v>0.47339999999999999</v>
      </c>
      <c r="I63">
        <v>0.157</v>
      </c>
    </row>
    <row r="64" spans="2:14" x14ac:dyDescent="0.2">
      <c r="C64" t="s">
        <v>19</v>
      </c>
      <c r="D64" t="s">
        <v>20</v>
      </c>
      <c r="E64">
        <v>1211</v>
      </c>
      <c r="F64">
        <v>0.33450000000000002</v>
      </c>
      <c r="G64">
        <v>0.25840000000000002</v>
      </c>
      <c r="H64">
        <v>0.57930000000000004</v>
      </c>
      <c r="I64">
        <v>8.7999999999999995E-2</v>
      </c>
    </row>
    <row r="65" spans="2:14" x14ac:dyDescent="0.2">
      <c r="C65" t="s">
        <v>21</v>
      </c>
      <c r="D65" t="s">
        <v>22</v>
      </c>
      <c r="E65">
        <v>116</v>
      </c>
      <c r="F65">
        <v>0.4778</v>
      </c>
      <c r="G65">
        <v>0.34229999999999999</v>
      </c>
      <c r="H65">
        <v>0.8276</v>
      </c>
      <c r="I65">
        <v>6.5000000000000002E-2</v>
      </c>
    </row>
    <row r="66" spans="2:14" x14ac:dyDescent="0.2">
      <c r="C66" t="s">
        <v>23</v>
      </c>
      <c r="D66" t="s">
        <v>24</v>
      </c>
      <c r="E66">
        <v>0</v>
      </c>
    </row>
    <row r="67" spans="2:14" x14ac:dyDescent="0.2">
      <c r="C67" t="s">
        <v>25</v>
      </c>
      <c r="D67" t="s">
        <v>26</v>
      </c>
      <c r="E67">
        <v>0</v>
      </c>
    </row>
    <row r="68" spans="2:14" x14ac:dyDescent="0.2">
      <c r="C68" t="s">
        <v>27</v>
      </c>
      <c r="D68">
        <v>72928</v>
      </c>
      <c r="E68">
        <v>0.21709999999999999</v>
      </c>
      <c r="F68">
        <v>0.1653</v>
      </c>
      <c r="G68">
        <f>E68*SQRT(3)</f>
        <v>0.37602823032320321</v>
      </c>
    </row>
    <row r="70" spans="2:14" x14ac:dyDescent="0.2">
      <c r="B70" s="1" t="s">
        <v>35</v>
      </c>
      <c r="E70" t="s">
        <v>2</v>
      </c>
      <c r="F70" t="s">
        <v>28</v>
      </c>
      <c r="G70" t="s">
        <v>29</v>
      </c>
    </row>
    <row r="71" spans="2:14" x14ac:dyDescent="0.2">
      <c r="B71" t="s">
        <v>0</v>
      </c>
      <c r="C71" t="s">
        <v>1</v>
      </c>
      <c r="D71" t="s">
        <v>2</v>
      </c>
      <c r="E71" t="s">
        <v>0</v>
      </c>
    </row>
    <row r="72" spans="2:14" x14ac:dyDescent="0.2">
      <c r="C72" t="s">
        <v>3</v>
      </c>
      <c r="D72" t="s">
        <v>4</v>
      </c>
      <c r="E72" t="s">
        <v>5</v>
      </c>
      <c r="F72" t="s">
        <v>2</v>
      </c>
      <c r="G72" t="s">
        <v>6</v>
      </c>
      <c r="H72" t="s">
        <v>7</v>
      </c>
      <c r="I72" t="s">
        <v>8</v>
      </c>
      <c r="J72" t="s">
        <v>7</v>
      </c>
      <c r="K72" t="s">
        <v>6</v>
      </c>
      <c r="L72" t="s">
        <v>9</v>
      </c>
      <c r="M72" t="s">
        <v>10</v>
      </c>
      <c r="N72" t="s">
        <v>6</v>
      </c>
    </row>
    <row r="73" spans="2:14" x14ac:dyDescent="0.2">
      <c r="C73" t="s">
        <v>11</v>
      </c>
      <c r="D73" t="s">
        <v>12</v>
      </c>
      <c r="E73">
        <v>18869</v>
      </c>
      <c r="F73">
        <v>0.16200000000000001</v>
      </c>
      <c r="G73">
        <v>0.12189999999999999</v>
      </c>
      <c r="H73">
        <v>0.28060000000000002</v>
      </c>
      <c r="I73">
        <v>0.84199999999999997</v>
      </c>
    </row>
    <row r="74" spans="2:14" x14ac:dyDescent="0.2">
      <c r="C74" t="s">
        <v>13</v>
      </c>
      <c r="D74" t="s">
        <v>14</v>
      </c>
      <c r="E74">
        <v>22288</v>
      </c>
      <c r="F74">
        <v>0.20860000000000001</v>
      </c>
      <c r="G74">
        <v>0.16220000000000001</v>
      </c>
      <c r="H74">
        <v>0.36130000000000001</v>
      </c>
      <c r="I74">
        <v>0.48299999999999998</v>
      </c>
    </row>
    <row r="75" spans="2:14" x14ac:dyDescent="0.2">
      <c r="C75" t="s">
        <v>15</v>
      </c>
      <c r="D75" t="s">
        <v>16</v>
      </c>
      <c r="E75">
        <v>20621</v>
      </c>
      <c r="F75">
        <v>0.23449999999999999</v>
      </c>
      <c r="G75">
        <v>0.1835</v>
      </c>
      <c r="H75">
        <v>0.40620000000000001</v>
      </c>
      <c r="I75">
        <v>0.28599999999999998</v>
      </c>
    </row>
    <row r="76" spans="2:14" x14ac:dyDescent="0.2">
      <c r="C76" t="s">
        <v>17</v>
      </c>
      <c r="D76" t="s">
        <v>18</v>
      </c>
      <c r="E76">
        <v>9700</v>
      </c>
      <c r="F76">
        <v>0.27750000000000002</v>
      </c>
      <c r="G76">
        <v>0.218</v>
      </c>
      <c r="H76">
        <v>0.48060000000000003</v>
      </c>
      <c r="I76">
        <v>0.16</v>
      </c>
    </row>
    <row r="77" spans="2:14" x14ac:dyDescent="0.2">
      <c r="C77" t="s">
        <v>19</v>
      </c>
      <c r="D77" t="s">
        <v>20</v>
      </c>
      <c r="E77">
        <v>1201</v>
      </c>
      <c r="F77">
        <v>0.33939999999999998</v>
      </c>
      <c r="G77">
        <v>0.2656</v>
      </c>
      <c r="H77">
        <v>0.58789999999999998</v>
      </c>
      <c r="I77">
        <v>8.8999999999999996E-2</v>
      </c>
    </row>
    <row r="78" spans="2:14" x14ac:dyDescent="0.2">
      <c r="C78" t="s">
        <v>21</v>
      </c>
      <c r="D78" t="s">
        <v>22</v>
      </c>
      <c r="E78">
        <v>105</v>
      </c>
      <c r="F78">
        <v>0.47670000000000001</v>
      </c>
      <c r="G78">
        <v>0.36870000000000003</v>
      </c>
      <c r="H78">
        <v>0.82569999999999999</v>
      </c>
      <c r="I78">
        <v>6.6000000000000003E-2</v>
      </c>
    </row>
    <row r="79" spans="2:14" x14ac:dyDescent="0.2">
      <c r="C79" t="s">
        <v>23</v>
      </c>
      <c r="D79" t="s">
        <v>24</v>
      </c>
      <c r="E79">
        <v>0</v>
      </c>
    </row>
    <row r="80" spans="2:14" x14ac:dyDescent="0.2">
      <c r="C80" t="s">
        <v>25</v>
      </c>
      <c r="D80" t="s">
        <v>26</v>
      </c>
      <c r="E80">
        <v>0</v>
      </c>
    </row>
    <row r="81" spans="2:14" x14ac:dyDescent="0.2">
      <c r="C81" t="s">
        <v>27</v>
      </c>
      <c r="D81">
        <v>72784</v>
      </c>
      <c r="E81">
        <v>0.21959999999999999</v>
      </c>
      <c r="F81">
        <v>0.16719999999999999</v>
      </c>
    </row>
    <row r="83" spans="2:14" x14ac:dyDescent="0.2">
      <c r="B83" t="s">
        <v>36</v>
      </c>
      <c r="E83" t="s">
        <v>2</v>
      </c>
      <c r="F83" t="s">
        <v>28</v>
      </c>
      <c r="G83" t="s">
        <v>29</v>
      </c>
    </row>
    <row r="84" spans="2:14" x14ac:dyDescent="0.2">
      <c r="B84" t="s">
        <v>0</v>
      </c>
      <c r="C84" t="s">
        <v>1</v>
      </c>
      <c r="D84" t="s">
        <v>2</v>
      </c>
      <c r="E84" t="s">
        <v>0</v>
      </c>
    </row>
    <row r="85" spans="2:14" x14ac:dyDescent="0.2">
      <c r="C85" t="s">
        <v>3</v>
      </c>
      <c r="D85" t="s">
        <v>4</v>
      </c>
      <c r="E85" t="s">
        <v>5</v>
      </c>
      <c r="F85" t="s">
        <v>2</v>
      </c>
      <c r="G85" t="s">
        <v>6</v>
      </c>
      <c r="H85" t="s">
        <v>7</v>
      </c>
      <c r="I85" t="s">
        <v>8</v>
      </c>
      <c r="J85" t="s">
        <v>7</v>
      </c>
      <c r="K85" t="s">
        <v>6</v>
      </c>
      <c r="L85" t="s">
        <v>9</v>
      </c>
      <c r="M85" t="s">
        <v>10</v>
      </c>
      <c r="N85" t="s">
        <v>6</v>
      </c>
    </row>
    <row r="86" spans="2:14" x14ac:dyDescent="0.2">
      <c r="C86" t="s">
        <v>11</v>
      </c>
      <c r="D86" t="s">
        <v>12</v>
      </c>
      <c r="E86">
        <v>16905</v>
      </c>
      <c r="F86">
        <v>0.1487</v>
      </c>
      <c r="G86">
        <v>0.1105</v>
      </c>
      <c r="H86">
        <v>0.2576</v>
      </c>
      <c r="I86">
        <v>0.78500000000000003</v>
      </c>
    </row>
    <row r="87" spans="2:14" x14ac:dyDescent="0.2">
      <c r="C87" t="s">
        <v>13</v>
      </c>
      <c r="D87" t="s">
        <v>14</v>
      </c>
      <c r="E87">
        <v>16668</v>
      </c>
      <c r="F87">
        <v>0.1938</v>
      </c>
      <c r="G87">
        <v>0.14879999999999999</v>
      </c>
      <c r="H87">
        <v>0.33579999999999999</v>
      </c>
      <c r="I87">
        <v>0.45500000000000002</v>
      </c>
    </row>
    <row r="88" spans="2:14" x14ac:dyDescent="0.2">
      <c r="C88" t="s">
        <v>15</v>
      </c>
      <c r="D88" t="s">
        <v>16</v>
      </c>
      <c r="E88">
        <v>10959</v>
      </c>
      <c r="F88">
        <v>0.21820000000000001</v>
      </c>
      <c r="G88">
        <v>0.1681</v>
      </c>
      <c r="H88">
        <v>0.378</v>
      </c>
      <c r="I88">
        <v>0.27500000000000002</v>
      </c>
    </row>
    <row r="89" spans="2:14" x14ac:dyDescent="0.2">
      <c r="C89" t="s">
        <v>17</v>
      </c>
      <c r="D89" t="s">
        <v>18</v>
      </c>
      <c r="E89">
        <v>1884</v>
      </c>
      <c r="F89">
        <v>0.2727</v>
      </c>
      <c r="G89">
        <v>0.21079999999999999</v>
      </c>
      <c r="H89">
        <v>0.47239999999999999</v>
      </c>
      <c r="I89">
        <v>0.17899999999999999</v>
      </c>
    </row>
    <row r="90" spans="2:14" x14ac:dyDescent="0.2">
      <c r="C90" t="s">
        <v>19</v>
      </c>
      <c r="D90" t="s">
        <v>20</v>
      </c>
      <c r="E90">
        <v>0</v>
      </c>
    </row>
    <row r="91" spans="2:14" x14ac:dyDescent="0.2">
      <c r="C91" t="s">
        <v>21</v>
      </c>
      <c r="D91" t="s">
        <v>22</v>
      </c>
      <c r="E91">
        <v>0</v>
      </c>
    </row>
    <row r="92" spans="2:14" x14ac:dyDescent="0.2">
      <c r="C92" t="s">
        <v>23</v>
      </c>
      <c r="D92" t="s">
        <v>24</v>
      </c>
      <c r="E92">
        <v>0</v>
      </c>
    </row>
    <row r="93" spans="2:14" x14ac:dyDescent="0.2">
      <c r="C93" t="s">
        <v>25</v>
      </c>
      <c r="D93" t="s">
        <v>26</v>
      </c>
      <c r="E93">
        <v>0</v>
      </c>
    </row>
    <row r="94" spans="2:14" x14ac:dyDescent="0.2">
      <c r="C94" t="s">
        <v>27</v>
      </c>
      <c r="D94">
        <v>46416</v>
      </c>
      <c r="E94">
        <v>0.18920000000000001</v>
      </c>
      <c r="F94">
        <v>0.1419</v>
      </c>
    </row>
    <row r="96" spans="2:14" x14ac:dyDescent="0.2">
      <c r="B96" t="s">
        <v>37</v>
      </c>
    </row>
    <row r="97" spans="2:14" x14ac:dyDescent="0.2">
      <c r="B97" t="s">
        <v>0</v>
      </c>
    </row>
    <row r="109" spans="2:14" x14ac:dyDescent="0.2">
      <c r="B109" t="s">
        <v>38</v>
      </c>
    </row>
    <row r="110" spans="2:14" x14ac:dyDescent="0.2">
      <c r="B110" t="s">
        <v>0</v>
      </c>
      <c r="C110" t="s">
        <v>1</v>
      </c>
      <c r="D110" t="s">
        <v>2</v>
      </c>
      <c r="E110" t="s">
        <v>0</v>
      </c>
    </row>
    <row r="111" spans="2:14" x14ac:dyDescent="0.2">
      <c r="C111" t="s">
        <v>3</v>
      </c>
      <c r="D111" t="s">
        <v>4</v>
      </c>
      <c r="E111" t="s">
        <v>5</v>
      </c>
      <c r="F111" t="s">
        <v>2</v>
      </c>
      <c r="G111" t="s">
        <v>6</v>
      </c>
      <c r="H111" t="s">
        <v>7</v>
      </c>
      <c r="I111" t="s">
        <v>8</v>
      </c>
      <c r="J111" t="s">
        <v>7</v>
      </c>
      <c r="K111" t="s">
        <v>6</v>
      </c>
      <c r="L111" t="s">
        <v>9</v>
      </c>
      <c r="M111" t="s">
        <v>10</v>
      </c>
      <c r="N111" t="s">
        <v>6</v>
      </c>
    </row>
    <row r="112" spans="2:14" x14ac:dyDescent="0.2">
      <c r="C112" t="s">
        <v>11</v>
      </c>
      <c r="D112" t="s">
        <v>12</v>
      </c>
      <c r="E112">
        <v>18869</v>
      </c>
      <c r="F112">
        <v>0.20019999999999999</v>
      </c>
      <c r="G112">
        <v>0.14779999999999999</v>
      </c>
      <c r="H112">
        <v>0.3468</v>
      </c>
      <c r="I112">
        <v>1.0409999999999999</v>
      </c>
    </row>
    <row r="113" spans="2:14" x14ac:dyDescent="0.2">
      <c r="C113" t="s">
        <v>13</v>
      </c>
      <c r="D113" t="s">
        <v>14</v>
      </c>
      <c r="E113">
        <v>22288</v>
      </c>
      <c r="F113">
        <v>0.26650000000000001</v>
      </c>
      <c r="G113">
        <v>0.2051</v>
      </c>
      <c r="H113">
        <v>0.46150000000000002</v>
      </c>
      <c r="I113">
        <v>0.61699999999999999</v>
      </c>
    </row>
    <row r="114" spans="2:14" x14ac:dyDescent="0.2">
      <c r="C114" t="s">
        <v>15</v>
      </c>
      <c r="D114" t="s">
        <v>16</v>
      </c>
      <c r="E114">
        <v>20621</v>
      </c>
      <c r="F114">
        <v>0.29949999999999999</v>
      </c>
      <c r="G114">
        <v>0.2336</v>
      </c>
      <c r="H114">
        <v>0.51870000000000005</v>
      </c>
      <c r="I114">
        <v>0.36499999999999999</v>
      </c>
    </row>
    <row r="115" spans="2:14" x14ac:dyDescent="0.2">
      <c r="C115" t="s">
        <v>17</v>
      </c>
      <c r="D115" t="s">
        <v>18</v>
      </c>
      <c r="E115">
        <v>9700</v>
      </c>
      <c r="F115">
        <v>0.37419999999999998</v>
      </c>
      <c r="G115">
        <v>0.29120000000000001</v>
      </c>
      <c r="H115">
        <v>0.6482</v>
      </c>
      <c r="I115">
        <v>0.215</v>
      </c>
    </row>
    <row r="116" spans="2:14" x14ac:dyDescent="0.2">
      <c r="C116" t="s">
        <v>19</v>
      </c>
      <c r="D116" t="s">
        <v>20</v>
      </c>
      <c r="E116">
        <v>1201</v>
      </c>
      <c r="F116">
        <v>0.66090000000000004</v>
      </c>
      <c r="G116">
        <v>0.49109999999999998</v>
      </c>
      <c r="H116">
        <v>1.1447000000000001</v>
      </c>
      <c r="I116">
        <v>0.17399999999999999</v>
      </c>
    </row>
    <row r="117" spans="2:14" x14ac:dyDescent="0.2">
      <c r="C117" t="s">
        <v>21</v>
      </c>
      <c r="D117" t="s">
        <v>22</v>
      </c>
      <c r="E117">
        <v>105</v>
      </c>
      <c r="F117">
        <v>2.5402999999999998</v>
      </c>
      <c r="G117">
        <v>1.3987000000000001</v>
      </c>
      <c r="H117">
        <v>4.4000000000000004</v>
      </c>
      <c r="I117">
        <v>0.35099999999999998</v>
      </c>
    </row>
    <row r="118" spans="2:14" x14ac:dyDescent="0.2">
      <c r="C118" t="s">
        <v>23</v>
      </c>
      <c r="D118" t="s">
        <v>24</v>
      </c>
      <c r="E118">
        <v>0</v>
      </c>
    </row>
    <row r="119" spans="2:14" x14ac:dyDescent="0.2">
      <c r="C119" t="s">
        <v>25</v>
      </c>
      <c r="D119" t="s">
        <v>26</v>
      </c>
      <c r="E119">
        <v>0</v>
      </c>
    </row>
    <row r="120" spans="2:14" x14ac:dyDescent="0.2">
      <c r="C120" t="s">
        <v>27</v>
      </c>
      <c r="D120">
        <v>72784</v>
      </c>
      <c r="E120">
        <v>0.30449999999999999</v>
      </c>
      <c r="F120">
        <v>0.2162</v>
      </c>
    </row>
    <row r="122" spans="2:14" x14ac:dyDescent="0.2">
      <c r="B122" t="s">
        <v>39</v>
      </c>
    </row>
    <row r="123" spans="2:14" x14ac:dyDescent="0.2">
      <c r="B123" t="s">
        <v>0</v>
      </c>
      <c r="C123" t="s">
        <v>1</v>
      </c>
      <c r="D123" t="s">
        <v>2</v>
      </c>
      <c r="E123" t="s">
        <v>0</v>
      </c>
    </row>
    <row r="124" spans="2:14" x14ac:dyDescent="0.2">
      <c r="C124" t="s">
        <v>3</v>
      </c>
      <c r="D124" t="s">
        <v>4</v>
      </c>
      <c r="E124" t="s">
        <v>5</v>
      </c>
      <c r="F124" t="s">
        <v>2</v>
      </c>
      <c r="G124" t="s">
        <v>6</v>
      </c>
      <c r="H124" t="s">
        <v>7</v>
      </c>
      <c r="I124" t="s">
        <v>8</v>
      </c>
      <c r="J124" t="s">
        <v>7</v>
      </c>
      <c r="K124" t="s">
        <v>6</v>
      </c>
      <c r="L124" t="s">
        <v>9</v>
      </c>
      <c r="M124" t="s">
        <v>10</v>
      </c>
      <c r="N124" t="s">
        <v>6</v>
      </c>
    </row>
    <row r="125" spans="2:14" x14ac:dyDescent="0.2">
      <c r="C125" t="s">
        <v>11</v>
      </c>
      <c r="D125" t="s">
        <v>12</v>
      </c>
      <c r="E125">
        <v>18869</v>
      </c>
      <c r="F125">
        <v>0.19209999999999999</v>
      </c>
      <c r="G125">
        <v>0.1424</v>
      </c>
      <c r="H125">
        <v>0.33279999999999998</v>
      </c>
      <c r="I125">
        <v>0.999</v>
      </c>
    </row>
    <row r="126" spans="2:14" x14ac:dyDescent="0.2">
      <c r="C126" t="s">
        <v>13</v>
      </c>
      <c r="D126" t="s">
        <v>14</v>
      </c>
      <c r="E126">
        <v>22288</v>
      </c>
      <c r="F126">
        <v>0.25700000000000001</v>
      </c>
      <c r="G126">
        <v>0.19850000000000001</v>
      </c>
      <c r="H126">
        <v>0.4451</v>
      </c>
      <c r="I126">
        <v>0.59499999999999997</v>
      </c>
    </row>
    <row r="127" spans="2:14" x14ac:dyDescent="0.2">
      <c r="C127" t="s">
        <v>15</v>
      </c>
      <c r="D127" t="s">
        <v>16</v>
      </c>
      <c r="E127">
        <v>20621</v>
      </c>
      <c r="F127">
        <v>0.29149999999999998</v>
      </c>
      <c r="G127">
        <v>0.22850000000000001</v>
      </c>
      <c r="H127">
        <v>0.50490000000000002</v>
      </c>
      <c r="I127">
        <v>0.35499999999999998</v>
      </c>
    </row>
    <row r="128" spans="2:14" x14ac:dyDescent="0.2">
      <c r="C128" t="s">
        <v>17</v>
      </c>
      <c r="D128" t="s">
        <v>18</v>
      </c>
      <c r="E128">
        <v>9700</v>
      </c>
      <c r="F128">
        <v>0.36990000000000001</v>
      </c>
      <c r="G128">
        <v>0.28739999999999999</v>
      </c>
      <c r="H128">
        <v>0.64059999999999995</v>
      </c>
      <c r="I128">
        <v>0.21299999999999999</v>
      </c>
    </row>
    <row r="129" spans="2:14" x14ac:dyDescent="0.2">
      <c r="C129" t="s">
        <v>19</v>
      </c>
      <c r="D129" t="s">
        <v>20</v>
      </c>
      <c r="E129">
        <v>1201</v>
      </c>
      <c r="F129">
        <v>0.59950000000000003</v>
      </c>
      <c r="G129">
        <v>0.45469999999999999</v>
      </c>
      <c r="H129">
        <v>1.0383</v>
      </c>
      <c r="I129">
        <v>0.158</v>
      </c>
    </row>
    <row r="130" spans="2:14" x14ac:dyDescent="0.2">
      <c r="C130" t="s">
        <v>21</v>
      </c>
      <c r="D130" t="s">
        <v>22</v>
      </c>
      <c r="E130">
        <v>105</v>
      </c>
      <c r="F130">
        <v>1.8065</v>
      </c>
      <c r="G130">
        <v>1.0094000000000001</v>
      </c>
      <c r="H130">
        <v>3.129</v>
      </c>
      <c r="I130">
        <v>0.249</v>
      </c>
    </row>
    <row r="131" spans="2:14" x14ac:dyDescent="0.2">
      <c r="C131" t="s">
        <v>23</v>
      </c>
      <c r="D131" t="s">
        <v>24</v>
      </c>
      <c r="E131">
        <v>0</v>
      </c>
    </row>
    <row r="132" spans="2:14" x14ac:dyDescent="0.2">
      <c r="C132" t="s">
        <v>25</v>
      </c>
      <c r="D132" t="s">
        <v>26</v>
      </c>
      <c r="E132">
        <v>0</v>
      </c>
    </row>
    <row r="133" spans="2:14" x14ac:dyDescent="0.2">
      <c r="C133" t="s">
        <v>27</v>
      </c>
      <c r="D133">
        <v>72784</v>
      </c>
      <c r="E133">
        <v>0.28760000000000002</v>
      </c>
      <c r="F133">
        <v>0.2097</v>
      </c>
    </row>
    <row r="135" spans="2:14" x14ac:dyDescent="0.2">
      <c r="B135" t="s">
        <v>40</v>
      </c>
    </row>
    <row r="136" spans="2:14" x14ac:dyDescent="0.2">
      <c r="B136" t="s">
        <v>0</v>
      </c>
      <c r="C136" t="s">
        <v>1</v>
      </c>
      <c r="D136" t="s">
        <v>2</v>
      </c>
      <c r="E136" t="s">
        <v>0</v>
      </c>
    </row>
    <row r="137" spans="2:14" x14ac:dyDescent="0.2">
      <c r="C137" t="s">
        <v>3</v>
      </c>
      <c r="D137" t="s">
        <v>4</v>
      </c>
      <c r="E137" t="s">
        <v>5</v>
      </c>
      <c r="F137" t="s">
        <v>2</v>
      </c>
      <c r="G137" t="s">
        <v>6</v>
      </c>
      <c r="H137" t="s">
        <v>7</v>
      </c>
      <c r="I137" t="s">
        <v>8</v>
      </c>
      <c r="J137" t="s">
        <v>7</v>
      </c>
      <c r="K137" t="s">
        <v>6</v>
      </c>
      <c r="L137" t="s">
        <v>9</v>
      </c>
      <c r="M137" t="s">
        <v>10</v>
      </c>
      <c r="N137" t="s">
        <v>6</v>
      </c>
    </row>
    <row r="138" spans="2:14" x14ac:dyDescent="0.2">
      <c r="C138" t="s">
        <v>11</v>
      </c>
      <c r="D138" t="s">
        <v>12</v>
      </c>
      <c r="E138">
        <v>18869</v>
      </c>
      <c r="F138">
        <v>0.18440000000000001</v>
      </c>
      <c r="G138">
        <v>0.1366</v>
      </c>
      <c r="H138">
        <v>0.31950000000000001</v>
      </c>
      <c r="I138">
        <v>0.95899999999999996</v>
      </c>
    </row>
    <row r="139" spans="2:14" x14ac:dyDescent="0.2">
      <c r="C139" t="s">
        <v>13</v>
      </c>
      <c r="D139" t="s">
        <v>14</v>
      </c>
      <c r="E139">
        <v>22288</v>
      </c>
      <c r="F139">
        <v>0.24610000000000001</v>
      </c>
      <c r="G139">
        <v>0.18990000000000001</v>
      </c>
      <c r="H139">
        <v>0.42630000000000001</v>
      </c>
      <c r="I139">
        <v>0.56999999999999995</v>
      </c>
    </row>
    <row r="140" spans="2:14" x14ac:dyDescent="0.2">
      <c r="C140" t="s">
        <v>15</v>
      </c>
      <c r="D140" t="s">
        <v>16</v>
      </c>
      <c r="E140">
        <v>20621</v>
      </c>
      <c r="F140">
        <v>0.28139999999999998</v>
      </c>
      <c r="G140">
        <v>0.22020000000000001</v>
      </c>
      <c r="H140">
        <v>0.48730000000000001</v>
      </c>
      <c r="I140">
        <v>0.34300000000000003</v>
      </c>
    </row>
    <row r="141" spans="2:14" x14ac:dyDescent="0.2">
      <c r="C141" t="s">
        <v>17</v>
      </c>
      <c r="D141" t="s">
        <v>18</v>
      </c>
      <c r="E141">
        <v>9700</v>
      </c>
      <c r="F141">
        <v>0.34639999999999999</v>
      </c>
      <c r="G141">
        <v>0.27100000000000002</v>
      </c>
      <c r="H141">
        <v>0.59989999999999999</v>
      </c>
      <c r="I141">
        <v>0.19900000000000001</v>
      </c>
    </row>
    <row r="142" spans="2:14" x14ac:dyDescent="0.2">
      <c r="C142" t="s">
        <v>19</v>
      </c>
      <c r="D142" t="s">
        <v>20</v>
      </c>
      <c r="E142">
        <v>1201</v>
      </c>
      <c r="F142">
        <v>0.73450000000000004</v>
      </c>
      <c r="G142">
        <v>0.56469999999999998</v>
      </c>
      <c r="H142">
        <v>1.2723</v>
      </c>
      <c r="I142">
        <v>0.193</v>
      </c>
    </row>
    <row r="143" spans="2:14" x14ac:dyDescent="0.2">
      <c r="C143" t="s">
        <v>21</v>
      </c>
      <c r="D143" t="s">
        <v>22</v>
      </c>
      <c r="E143">
        <v>105</v>
      </c>
      <c r="F143">
        <v>2.3214000000000001</v>
      </c>
      <c r="G143">
        <v>1.8573</v>
      </c>
      <c r="H143">
        <v>4.0209000000000001</v>
      </c>
      <c r="I143">
        <v>0.32100000000000001</v>
      </c>
    </row>
    <row r="144" spans="2:14" x14ac:dyDescent="0.2">
      <c r="C144" t="s">
        <v>23</v>
      </c>
      <c r="D144" t="s">
        <v>24</v>
      </c>
      <c r="E144">
        <v>0</v>
      </c>
    </row>
    <row r="145" spans="2:14" x14ac:dyDescent="0.2">
      <c r="C145" t="s">
        <v>25</v>
      </c>
      <c r="D145" t="s">
        <v>26</v>
      </c>
      <c r="E145">
        <v>0</v>
      </c>
    </row>
    <row r="146" spans="2:14" x14ac:dyDescent="0.2">
      <c r="C146" t="s">
        <v>27</v>
      </c>
      <c r="D146">
        <v>72784</v>
      </c>
      <c r="E146">
        <v>0.28720000000000001</v>
      </c>
      <c r="F146">
        <v>0.2041</v>
      </c>
    </row>
    <row r="148" spans="2:14" x14ac:dyDescent="0.2">
      <c r="B148" t="s">
        <v>41</v>
      </c>
    </row>
    <row r="149" spans="2:14" x14ac:dyDescent="0.2">
      <c r="B149" t="s">
        <v>0</v>
      </c>
      <c r="C149" t="s">
        <v>1</v>
      </c>
      <c r="D149" t="s">
        <v>2</v>
      </c>
      <c r="E149" t="s">
        <v>0</v>
      </c>
    </row>
    <row r="150" spans="2:14" x14ac:dyDescent="0.2">
      <c r="C150" t="s">
        <v>3</v>
      </c>
      <c r="D150" t="s">
        <v>4</v>
      </c>
      <c r="E150" t="s">
        <v>5</v>
      </c>
      <c r="F150" t="s">
        <v>2</v>
      </c>
      <c r="G150" t="s">
        <v>6</v>
      </c>
      <c r="H150" t="s">
        <v>7</v>
      </c>
      <c r="I150" t="s">
        <v>8</v>
      </c>
      <c r="J150" t="s">
        <v>7</v>
      </c>
      <c r="K150" t="s">
        <v>6</v>
      </c>
      <c r="L150" t="s">
        <v>9</v>
      </c>
      <c r="M150" t="s">
        <v>10</v>
      </c>
      <c r="N150" t="s">
        <v>6</v>
      </c>
    </row>
    <row r="151" spans="2:14" x14ac:dyDescent="0.2">
      <c r="C151" t="s">
        <v>11</v>
      </c>
      <c r="D151" t="s">
        <v>12</v>
      </c>
      <c r="E151">
        <v>18869</v>
      </c>
      <c r="F151">
        <v>0.18310000000000001</v>
      </c>
      <c r="G151">
        <v>0.1361</v>
      </c>
      <c r="H151">
        <v>0.31709999999999999</v>
      </c>
      <c r="I151">
        <v>0.95199999999999996</v>
      </c>
    </row>
    <row r="152" spans="2:14" x14ac:dyDescent="0.2">
      <c r="C152" t="s">
        <v>13</v>
      </c>
      <c r="D152" t="s">
        <v>14</v>
      </c>
      <c r="E152">
        <v>22288</v>
      </c>
      <c r="F152">
        <v>0.2422</v>
      </c>
      <c r="G152">
        <v>0.18709999999999999</v>
      </c>
      <c r="H152">
        <v>0.4194</v>
      </c>
      <c r="I152">
        <v>0.56100000000000005</v>
      </c>
    </row>
    <row r="153" spans="2:14" x14ac:dyDescent="0.2">
      <c r="C153" t="s">
        <v>15</v>
      </c>
      <c r="D153" t="s">
        <v>16</v>
      </c>
      <c r="E153">
        <v>20621</v>
      </c>
      <c r="F153">
        <v>0.27379999999999999</v>
      </c>
      <c r="G153">
        <v>0.2145</v>
      </c>
      <c r="H153">
        <v>0.4743</v>
      </c>
      <c r="I153">
        <v>0.33400000000000002</v>
      </c>
    </row>
    <row r="154" spans="2:14" x14ac:dyDescent="0.2">
      <c r="C154" t="s">
        <v>17</v>
      </c>
      <c r="D154" t="s">
        <v>18</v>
      </c>
      <c r="E154">
        <v>9700</v>
      </c>
      <c r="F154">
        <v>0.3271</v>
      </c>
      <c r="G154">
        <v>0.25719999999999998</v>
      </c>
      <c r="H154">
        <v>0.5665</v>
      </c>
      <c r="I154">
        <v>0.188</v>
      </c>
    </row>
    <row r="155" spans="2:14" x14ac:dyDescent="0.2">
      <c r="C155" t="s">
        <v>19</v>
      </c>
      <c r="D155" t="s">
        <v>20</v>
      </c>
      <c r="E155">
        <v>1201</v>
      </c>
      <c r="F155">
        <v>0.51180000000000003</v>
      </c>
      <c r="G155">
        <v>0.39529999999999998</v>
      </c>
      <c r="H155">
        <v>0.88639999999999997</v>
      </c>
      <c r="I155">
        <v>0.13500000000000001</v>
      </c>
    </row>
    <row r="156" spans="2:14" x14ac:dyDescent="0.2">
      <c r="C156" t="s">
        <v>21</v>
      </c>
      <c r="D156" t="s">
        <v>22</v>
      </c>
      <c r="E156">
        <v>105</v>
      </c>
      <c r="F156">
        <v>1.3324</v>
      </c>
      <c r="G156">
        <v>1.0472999999999999</v>
      </c>
      <c r="H156">
        <v>2.3077000000000001</v>
      </c>
      <c r="I156">
        <v>0.184</v>
      </c>
    </row>
    <row r="157" spans="2:14" x14ac:dyDescent="0.2">
      <c r="C157" t="s">
        <v>23</v>
      </c>
      <c r="D157" t="s">
        <v>24</v>
      </c>
      <c r="E157">
        <v>0</v>
      </c>
    </row>
    <row r="158" spans="2:14" x14ac:dyDescent="0.2">
      <c r="C158" t="s">
        <v>25</v>
      </c>
      <c r="D158" t="s">
        <v>26</v>
      </c>
      <c r="E158">
        <v>0</v>
      </c>
    </row>
    <row r="159" spans="2:14" x14ac:dyDescent="0.2">
      <c r="C159" t="s">
        <v>27</v>
      </c>
      <c r="D159">
        <v>72784</v>
      </c>
      <c r="E159">
        <v>0.26269999999999999</v>
      </c>
      <c r="F159">
        <v>0.19570000000000001</v>
      </c>
    </row>
    <row r="161" spans="2:14" x14ac:dyDescent="0.2">
      <c r="B161" t="s">
        <v>42</v>
      </c>
    </row>
    <row r="162" spans="2:14" x14ac:dyDescent="0.2">
      <c r="B162" t="s">
        <v>0</v>
      </c>
      <c r="C162" t="s">
        <v>1</v>
      </c>
      <c r="D162" t="s">
        <v>2</v>
      </c>
      <c r="E162" t="s">
        <v>0</v>
      </c>
    </row>
    <row r="163" spans="2:14" x14ac:dyDescent="0.2">
      <c r="C163" t="s">
        <v>3</v>
      </c>
      <c r="D163" t="s">
        <v>4</v>
      </c>
      <c r="E163" t="s">
        <v>5</v>
      </c>
      <c r="F163" t="s">
        <v>2</v>
      </c>
      <c r="G163" t="s">
        <v>6</v>
      </c>
      <c r="H163" t="s">
        <v>7</v>
      </c>
      <c r="I163" t="s">
        <v>8</v>
      </c>
      <c r="J163" t="s">
        <v>7</v>
      </c>
      <c r="K163" t="s">
        <v>6</v>
      </c>
      <c r="L163" t="s">
        <v>9</v>
      </c>
      <c r="M163" t="s">
        <v>10</v>
      </c>
      <c r="N163" t="s">
        <v>6</v>
      </c>
    </row>
    <row r="164" spans="2:14" x14ac:dyDescent="0.2">
      <c r="C164" t="s">
        <v>11</v>
      </c>
      <c r="D164" t="s">
        <v>12</v>
      </c>
      <c r="E164">
        <v>18869</v>
      </c>
      <c r="F164">
        <v>0.1628</v>
      </c>
      <c r="G164">
        <v>0.1217</v>
      </c>
      <c r="H164">
        <v>0.28199999999999997</v>
      </c>
      <c r="I164">
        <v>0.84699999999999998</v>
      </c>
    </row>
    <row r="165" spans="2:14" x14ac:dyDescent="0.2">
      <c r="C165" t="s">
        <v>13</v>
      </c>
      <c r="D165" t="s">
        <v>14</v>
      </c>
      <c r="E165">
        <v>22288</v>
      </c>
      <c r="F165">
        <v>0.2099</v>
      </c>
      <c r="G165">
        <v>0.16300000000000001</v>
      </c>
      <c r="H165">
        <v>0.36349999999999999</v>
      </c>
      <c r="I165">
        <v>0.48599999999999999</v>
      </c>
    </row>
    <row r="166" spans="2:14" x14ac:dyDescent="0.2">
      <c r="C166" t="s">
        <v>15</v>
      </c>
      <c r="D166" t="s">
        <v>16</v>
      </c>
      <c r="E166">
        <v>20621</v>
      </c>
      <c r="F166">
        <v>0.23760000000000001</v>
      </c>
      <c r="G166">
        <v>0.18640000000000001</v>
      </c>
      <c r="H166">
        <v>0.41149999999999998</v>
      </c>
      <c r="I166">
        <v>0.28899999999999998</v>
      </c>
    </row>
    <row r="167" spans="2:14" x14ac:dyDescent="0.2">
      <c r="C167" t="s">
        <v>17</v>
      </c>
      <c r="D167" t="s">
        <v>18</v>
      </c>
      <c r="E167">
        <v>9700</v>
      </c>
      <c r="F167">
        <v>0.27689999999999998</v>
      </c>
      <c r="G167">
        <v>0.21840000000000001</v>
      </c>
      <c r="H167">
        <v>0.47949999999999998</v>
      </c>
      <c r="I167">
        <v>0.159</v>
      </c>
    </row>
    <row r="168" spans="2:14" x14ac:dyDescent="0.2">
      <c r="C168" t="s">
        <v>19</v>
      </c>
      <c r="D168" t="s">
        <v>20</v>
      </c>
      <c r="E168">
        <v>1201</v>
      </c>
      <c r="F168">
        <v>0.3281</v>
      </c>
      <c r="G168">
        <v>0.25879999999999997</v>
      </c>
      <c r="H168">
        <v>0.56840000000000002</v>
      </c>
      <c r="I168">
        <v>8.5999999999999993E-2</v>
      </c>
    </row>
    <row r="169" spans="2:14" x14ac:dyDescent="0.2">
      <c r="C169" t="s">
        <v>21</v>
      </c>
      <c r="D169" t="s">
        <v>22</v>
      </c>
      <c r="E169">
        <v>105</v>
      </c>
      <c r="F169">
        <v>0.41970000000000002</v>
      </c>
      <c r="G169">
        <v>0.32890000000000003</v>
      </c>
      <c r="H169">
        <v>0.72699999999999998</v>
      </c>
      <c r="I169">
        <v>5.8000000000000003E-2</v>
      </c>
    </row>
    <row r="170" spans="2:14" x14ac:dyDescent="0.2">
      <c r="C170" t="s">
        <v>23</v>
      </c>
      <c r="D170" t="s">
        <v>24</v>
      </c>
      <c r="E170">
        <v>0</v>
      </c>
    </row>
    <row r="171" spans="2:14" x14ac:dyDescent="0.2">
      <c r="C171" t="s">
        <v>25</v>
      </c>
      <c r="D171" t="s">
        <v>26</v>
      </c>
      <c r="E171">
        <v>0</v>
      </c>
    </row>
    <row r="172" spans="2:14" x14ac:dyDescent="0.2">
      <c r="C172" t="s">
        <v>27</v>
      </c>
      <c r="D172">
        <v>72784</v>
      </c>
      <c r="E172">
        <v>0.2205</v>
      </c>
      <c r="F172">
        <v>0.16819999999999999</v>
      </c>
      <c r="G172">
        <f>E172*SQRT(3)</f>
        <v>0.38191720306893745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W. Beeler</cp:lastModifiedBy>
  <dcterms:created xsi:type="dcterms:W3CDTF">2026-10-01T16:10:15Z</dcterms:created>
  <dcterms:modified xsi:type="dcterms:W3CDTF">2026-10-05T21:36:20Z</dcterms:modified>
</cp:coreProperties>
</file>