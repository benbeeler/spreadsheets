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beeler/projects/spreadsheets/UZr/"/>
    </mc:Choice>
  </mc:AlternateContent>
  <xr:revisionPtr revIDLastSave="0" documentId="13_ncr:1_{050F2985-DAA9-DF43-82FD-F329CE859AB5}" xr6:coauthVersionLast="47" xr6:coauthVersionMax="47" xr10:uidLastSave="{00000000-0000-0000-0000-000000000000}"/>
  <bookViews>
    <workbookView xWindow="18400" yWindow="1320" windowWidth="22020" windowHeight="19700" xr2:uid="{6557D022-7474-6E43-AE54-8F5A5DB106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15" i="1" l="1"/>
  <c r="G302" i="1"/>
  <c r="G276" i="1"/>
  <c r="G289" i="1"/>
  <c r="G237" i="1"/>
  <c r="G133" i="1"/>
  <c r="G120" i="1"/>
  <c r="G81" i="1"/>
  <c r="G211" i="1"/>
  <c r="G198" i="1"/>
  <c r="G185" i="1"/>
  <c r="G68" i="1"/>
  <c r="G16" i="1" l="1"/>
</calcChain>
</file>

<file path=xl/sharedStrings.xml><?xml version="1.0" encoding="utf-8"?>
<sst xmlns="http://schemas.openxmlformats.org/spreadsheetml/2006/main" count="841" uniqueCount="56">
  <si>
    <t>==</t>
  </si>
  <si>
    <t>all</t>
  </si>
  <si>
    <t>atoms</t>
  </si>
  <si>
    <t>|F|</t>
  </si>
  <si>
    <t>bin</t>
  </si>
  <si>
    <t>(eV/A)</t>
  </si>
  <si>
    <t>RMSE</t>
  </si>
  <si>
    <t>comp</t>
  </si>
  <si>
    <t>MAE</t>
  </si>
  <si>
    <t>|dF|</t>
  </si>
  <si>
    <t>rel</t>
  </si>
  <si>
    <t>[0</t>
  </si>
  <si>
    <t>0.5)</t>
  </si>
  <si>
    <t>[0.5</t>
  </si>
  <si>
    <t>1)</t>
  </si>
  <si>
    <t>[1</t>
  </si>
  <si>
    <t>2)</t>
  </si>
  <si>
    <t>[2</t>
  </si>
  <si>
    <t>5)</t>
  </si>
  <si>
    <t>[5</t>
  </si>
  <si>
    <t>10)</t>
  </si>
  <si>
    <t>[10</t>
  </si>
  <si>
    <t>20)</t>
  </si>
  <si>
    <t>[20</t>
  </si>
  <si>
    <t>50)</t>
  </si>
  <si>
    <t>[50</t>
  </si>
  <si>
    <t>inf)</t>
  </si>
  <si>
    <t>ALL</t>
  </si>
  <si>
    <t>RMSE comp</t>
  </si>
  <si>
    <t>MAE comp</t>
  </si>
  <si>
    <t>scale 50</t>
  </si>
  <si>
    <t>noscale</t>
  </si>
  <si>
    <t>scale5</t>
  </si>
  <si>
    <t>scale5 continued</t>
  </si>
  <si>
    <t>rad basis</t>
  </si>
  <si>
    <t>2 6</t>
  </si>
  <si>
    <t>under5</t>
  </si>
  <si>
    <t>16_ under20, 2-6, rad12, scale_force1</t>
  </si>
  <si>
    <t>18_ under20, 2-6, rad12, scale_force1</t>
  </si>
  <si>
    <t>20_ under20, 2-6, rad12, scale_force1</t>
  </si>
  <si>
    <t>20_ under20, 2-6, rad12, scale_force5</t>
  </si>
  <si>
    <t>20_ under20, 2-6, rad14</t>
  </si>
  <si>
    <t>22_ under20, 2-6, rad14</t>
  </si>
  <si>
    <t>22_ under20, 2-6, rad12</t>
  </si>
  <si>
    <t>RMSE dF</t>
  </si>
  <si>
    <t>rel RMSE</t>
  </si>
  <si>
    <t>22_ under20, 2-6, rad10</t>
  </si>
  <si>
    <t>16_ under20, 2-6, rad12</t>
  </si>
  <si>
    <t>16_ under20, 2-6, rad8</t>
  </si>
  <si>
    <t>16_train18_2-6, under20, rad8</t>
  </si>
  <si>
    <t>16_train18_2-6, under20, rad8, scale20</t>
  </si>
  <si>
    <t>16_train18_2-6, under20, rad12, scale20</t>
  </si>
  <si>
    <t>16_train18_2-6, under20, rad12</t>
  </si>
  <si>
    <t>18_train18_2-6, under20, rad12</t>
  </si>
  <si>
    <t>20_train18_2-6, under20, rad12</t>
  </si>
  <si>
    <t>22_train18_2-6, under20, rad12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</si>
</sst>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97FE4-DF68-2C44-BB52-FAE501302E80}">
  <dimension ref="B4:N315"/>
  <sheetViews>
    <sheetView tabSelected="1" topLeftCell="A270" workbookViewId="0">
      <selection activeCell="J302" sqref="J302"/>
    </sheetView>
  </sheetViews>
  <sheetFormatPr baseColWidth="10" defaultRowHeight="16" x14ac:dyDescent="0.2"/>
  <sheetData>
    <row r="4" spans="2:14" x14ac:dyDescent="0.2">
      <c r="E4" t="s">
        <v>2</v>
      </c>
      <c r="F4" t="s">
        <v>28</v>
      </c>
      <c r="G4" t="s">
        <v>29</v>
      </c>
    </row>
    <row r="5" spans="2:14" x14ac:dyDescent="0.2">
      <c r="B5" t="s">
        <v>30</v>
      </c>
    </row>
    <row r="6" spans="2:14" x14ac:dyDescent="0.2">
      <c r="B6" t="s">
        <v>0</v>
      </c>
      <c r="C6" t="s">
        <v>1</v>
      </c>
      <c r="D6" t="s">
        <v>2</v>
      </c>
      <c r="E6" t="s">
        <v>0</v>
      </c>
    </row>
    <row r="7" spans="2:14" x14ac:dyDescent="0.2">
      <c r="C7" t="s">
        <v>3</v>
      </c>
      <c r="D7" t="s">
        <v>4</v>
      </c>
      <c r="E7" t="s">
        <v>5</v>
      </c>
      <c r="F7" t="s">
        <v>2</v>
      </c>
      <c r="G7" t="s">
        <v>6</v>
      </c>
      <c r="H7" t="s">
        <v>7</v>
      </c>
      <c r="I7" t="s">
        <v>8</v>
      </c>
      <c r="J7" t="s">
        <v>7</v>
      </c>
      <c r="K7" t="s">
        <v>6</v>
      </c>
      <c r="L7" t="s">
        <v>9</v>
      </c>
      <c r="M7" t="s">
        <v>10</v>
      </c>
      <c r="N7" t="s">
        <v>6</v>
      </c>
    </row>
    <row r="8" spans="2:14" x14ac:dyDescent="0.2">
      <c r="C8" t="s">
        <v>11</v>
      </c>
      <c r="D8" t="s">
        <v>12</v>
      </c>
      <c r="E8">
        <v>18934</v>
      </c>
      <c r="F8">
        <v>0.16919999999999999</v>
      </c>
      <c r="G8">
        <v>0.12759999999999999</v>
      </c>
      <c r="H8">
        <v>0.29299999999999998</v>
      </c>
      <c r="I8">
        <v>0.88</v>
      </c>
    </row>
    <row r="9" spans="2:14" x14ac:dyDescent="0.2">
      <c r="C9" t="s">
        <v>13</v>
      </c>
      <c r="D9" t="s">
        <v>14</v>
      </c>
      <c r="E9">
        <v>22326</v>
      </c>
      <c r="F9">
        <v>0.22059999999999999</v>
      </c>
      <c r="G9">
        <v>0.1719</v>
      </c>
      <c r="H9">
        <v>0.38219999999999998</v>
      </c>
      <c r="I9">
        <v>0.51100000000000001</v>
      </c>
    </row>
    <row r="10" spans="2:14" x14ac:dyDescent="0.2">
      <c r="C10" t="s">
        <v>15</v>
      </c>
      <c r="D10" t="s">
        <v>16</v>
      </c>
      <c r="E10">
        <v>20637</v>
      </c>
      <c r="F10">
        <v>0.24859999999999999</v>
      </c>
      <c r="G10">
        <v>0.19500000000000001</v>
      </c>
      <c r="H10">
        <v>0.43049999999999999</v>
      </c>
      <c r="I10">
        <v>0.30299999999999999</v>
      </c>
    </row>
    <row r="11" spans="2:14" x14ac:dyDescent="0.2">
      <c r="C11" t="s">
        <v>17</v>
      </c>
      <c r="D11" t="s">
        <v>18</v>
      </c>
      <c r="E11">
        <v>9704</v>
      </c>
      <c r="F11">
        <v>0.29349999999999998</v>
      </c>
      <c r="G11">
        <v>0.2311</v>
      </c>
      <c r="H11">
        <v>0.50829999999999997</v>
      </c>
      <c r="I11">
        <v>0.16900000000000001</v>
      </c>
    </row>
    <row r="12" spans="2:14" x14ac:dyDescent="0.2">
      <c r="C12" t="s">
        <v>19</v>
      </c>
      <c r="D12" t="s">
        <v>20</v>
      </c>
      <c r="E12">
        <v>1211</v>
      </c>
      <c r="F12">
        <v>0.38109999999999999</v>
      </c>
      <c r="G12">
        <v>0.29170000000000001</v>
      </c>
      <c r="H12">
        <v>0.66010000000000002</v>
      </c>
      <c r="I12">
        <v>0.1</v>
      </c>
    </row>
    <row r="13" spans="2:14" x14ac:dyDescent="0.2">
      <c r="C13" t="s">
        <v>21</v>
      </c>
      <c r="D13" t="s">
        <v>22</v>
      </c>
      <c r="E13">
        <v>116</v>
      </c>
      <c r="F13">
        <v>0.71330000000000005</v>
      </c>
      <c r="G13">
        <v>0.46810000000000002</v>
      </c>
      <c r="H13">
        <v>1.2354000000000001</v>
      </c>
      <c r="I13">
        <v>9.7000000000000003E-2</v>
      </c>
    </row>
    <row r="14" spans="2:14" x14ac:dyDescent="0.2">
      <c r="C14" t="s">
        <v>23</v>
      </c>
      <c r="D14" t="s">
        <v>24</v>
      </c>
      <c r="E14">
        <v>0</v>
      </c>
    </row>
    <row r="15" spans="2:14" x14ac:dyDescent="0.2">
      <c r="C15" t="s">
        <v>25</v>
      </c>
      <c r="D15" t="s">
        <v>26</v>
      </c>
      <c r="E15">
        <v>0</v>
      </c>
    </row>
    <row r="16" spans="2:14" x14ac:dyDescent="0.2">
      <c r="C16" t="s">
        <v>27</v>
      </c>
      <c r="D16">
        <v>72928</v>
      </c>
      <c r="E16">
        <v>0.23350000000000001</v>
      </c>
      <c r="F16">
        <v>0.17730000000000001</v>
      </c>
      <c r="G16">
        <f>E16*SQRT(3)</f>
        <v>0.40443386356733285</v>
      </c>
    </row>
    <row r="18" spans="2:14" x14ac:dyDescent="0.2">
      <c r="B18" t="s">
        <v>31</v>
      </c>
      <c r="E18" t="s">
        <v>2</v>
      </c>
      <c r="F18" t="s">
        <v>28</v>
      </c>
      <c r="G18" t="s">
        <v>29</v>
      </c>
    </row>
    <row r="19" spans="2:14" x14ac:dyDescent="0.2">
      <c r="B19" t="s">
        <v>0</v>
      </c>
      <c r="C19" t="s">
        <v>1</v>
      </c>
      <c r="D19" t="s">
        <v>2</v>
      </c>
      <c r="E19" t="s">
        <v>0</v>
      </c>
    </row>
    <row r="20" spans="2:14" x14ac:dyDescent="0.2">
      <c r="C20" t="s">
        <v>3</v>
      </c>
      <c r="D20" t="s">
        <v>4</v>
      </c>
      <c r="E20" t="s">
        <v>5</v>
      </c>
      <c r="F20" t="s">
        <v>2</v>
      </c>
      <c r="G20" t="s">
        <v>6</v>
      </c>
      <c r="H20" t="s">
        <v>7</v>
      </c>
      <c r="I20" t="s">
        <v>8</v>
      </c>
      <c r="J20" t="s">
        <v>7</v>
      </c>
      <c r="K20" t="s">
        <v>6</v>
      </c>
      <c r="L20" t="s">
        <v>9</v>
      </c>
      <c r="M20" t="s">
        <v>10</v>
      </c>
      <c r="N20" t="s">
        <v>6</v>
      </c>
    </row>
    <row r="21" spans="2:14" x14ac:dyDescent="0.2">
      <c r="C21" t="s">
        <v>11</v>
      </c>
      <c r="D21" t="s">
        <v>12</v>
      </c>
      <c r="E21">
        <v>18934</v>
      </c>
      <c r="F21">
        <v>0.1784</v>
      </c>
      <c r="G21">
        <v>0.13270000000000001</v>
      </c>
      <c r="H21">
        <v>0.309</v>
      </c>
      <c r="I21">
        <v>0.92800000000000005</v>
      </c>
    </row>
    <row r="22" spans="2:14" x14ac:dyDescent="0.2">
      <c r="C22" t="s">
        <v>13</v>
      </c>
      <c r="D22" t="s">
        <v>14</v>
      </c>
      <c r="E22">
        <v>22326</v>
      </c>
      <c r="F22">
        <v>0.23719999999999999</v>
      </c>
      <c r="G22">
        <v>0.18329999999999999</v>
      </c>
      <c r="H22">
        <v>0.41089999999999999</v>
      </c>
      <c r="I22">
        <v>0.55000000000000004</v>
      </c>
    </row>
    <row r="23" spans="2:14" x14ac:dyDescent="0.2">
      <c r="C23" t="s">
        <v>15</v>
      </c>
      <c r="D23" t="s">
        <v>16</v>
      </c>
      <c r="E23">
        <v>20637</v>
      </c>
      <c r="F23">
        <v>0.2641</v>
      </c>
      <c r="G23">
        <v>0.20549999999999999</v>
      </c>
      <c r="H23">
        <v>0.45750000000000002</v>
      </c>
      <c r="I23">
        <v>0.32200000000000001</v>
      </c>
    </row>
    <row r="24" spans="2:14" x14ac:dyDescent="0.2">
      <c r="C24" t="s">
        <v>17</v>
      </c>
      <c r="D24" t="s">
        <v>18</v>
      </c>
      <c r="E24">
        <v>9704</v>
      </c>
      <c r="F24">
        <v>0.30359999999999998</v>
      </c>
      <c r="G24">
        <v>0.2387</v>
      </c>
      <c r="H24">
        <v>0.52580000000000005</v>
      </c>
      <c r="I24">
        <v>0.17499999999999999</v>
      </c>
    </row>
    <row r="25" spans="2:14" x14ac:dyDescent="0.2">
      <c r="C25" t="s">
        <v>19</v>
      </c>
      <c r="D25" t="s">
        <v>20</v>
      </c>
      <c r="E25">
        <v>1211</v>
      </c>
      <c r="F25">
        <v>0.36549999999999999</v>
      </c>
      <c r="G25">
        <v>0.28770000000000001</v>
      </c>
      <c r="H25">
        <v>0.6331</v>
      </c>
      <c r="I25">
        <v>9.6000000000000002E-2</v>
      </c>
    </row>
    <row r="26" spans="2:14" x14ac:dyDescent="0.2">
      <c r="C26" t="s">
        <v>21</v>
      </c>
      <c r="D26" t="s">
        <v>22</v>
      </c>
      <c r="E26">
        <v>116</v>
      </c>
      <c r="F26">
        <v>0.4304</v>
      </c>
      <c r="G26">
        <v>0.33339999999999997</v>
      </c>
      <c r="H26">
        <v>0.74550000000000005</v>
      </c>
      <c r="I26">
        <v>5.8999999999999997E-2</v>
      </c>
    </row>
    <row r="27" spans="2:14" x14ac:dyDescent="0.2">
      <c r="C27" t="s">
        <v>23</v>
      </c>
      <c r="D27" t="s">
        <v>24</v>
      </c>
      <c r="E27">
        <v>0</v>
      </c>
    </row>
    <row r="28" spans="2:14" x14ac:dyDescent="0.2">
      <c r="C28" t="s">
        <v>25</v>
      </c>
      <c r="D28" t="s">
        <v>26</v>
      </c>
      <c r="E28">
        <v>0</v>
      </c>
    </row>
    <row r="29" spans="2:14" x14ac:dyDescent="0.2">
      <c r="C29" t="s">
        <v>27</v>
      </c>
      <c r="D29">
        <v>72928</v>
      </c>
      <c r="E29">
        <v>0.245</v>
      </c>
      <c r="F29">
        <v>0.18579999999999999</v>
      </c>
    </row>
    <row r="31" spans="2:14" x14ac:dyDescent="0.2">
      <c r="B31" t="s">
        <v>32</v>
      </c>
      <c r="E31" t="s">
        <v>2</v>
      </c>
      <c r="F31" t="s">
        <v>28</v>
      </c>
      <c r="G31" t="s">
        <v>29</v>
      </c>
    </row>
    <row r="32" spans="2:14" x14ac:dyDescent="0.2">
      <c r="B32" t="s">
        <v>0</v>
      </c>
      <c r="C32" t="s">
        <v>1</v>
      </c>
      <c r="D32" t="s">
        <v>2</v>
      </c>
      <c r="E32" t="s">
        <v>0</v>
      </c>
    </row>
    <row r="33" spans="2:14" x14ac:dyDescent="0.2">
      <c r="C33" t="s">
        <v>3</v>
      </c>
      <c r="D33" t="s">
        <v>4</v>
      </c>
      <c r="E33" t="s">
        <v>5</v>
      </c>
      <c r="F33" t="s">
        <v>2</v>
      </c>
      <c r="G33" t="s">
        <v>6</v>
      </c>
      <c r="H33" t="s">
        <v>7</v>
      </c>
      <c r="I33" t="s">
        <v>8</v>
      </c>
      <c r="J33" t="s">
        <v>7</v>
      </c>
      <c r="K33" t="s">
        <v>6</v>
      </c>
      <c r="L33" t="s">
        <v>9</v>
      </c>
      <c r="M33" t="s">
        <v>10</v>
      </c>
      <c r="N33" t="s">
        <v>6</v>
      </c>
    </row>
    <row r="34" spans="2:14" x14ac:dyDescent="0.2">
      <c r="C34" t="s">
        <v>11</v>
      </c>
      <c r="D34" t="s">
        <v>12</v>
      </c>
      <c r="E34">
        <v>18934</v>
      </c>
      <c r="F34">
        <v>0.16789999999999999</v>
      </c>
      <c r="G34">
        <v>0.12529999999999999</v>
      </c>
      <c r="H34">
        <v>0.2908</v>
      </c>
      <c r="I34">
        <v>0.873</v>
      </c>
    </row>
    <row r="35" spans="2:14" x14ac:dyDescent="0.2">
      <c r="C35" t="s">
        <v>13</v>
      </c>
      <c r="D35" t="s">
        <v>14</v>
      </c>
      <c r="E35">
        <v>22326</v>
      </c>
      <c r="F35">
        <v>0.22170000000000001</v>
      </c>
      <c r="G35">
        <v>0.1714</v>
      </c>
      <c r="H35">
        <v>0.3841</v>
      </c>
      <c r="I35">
        <v>0.51400000000000001</v>
      </c>
    </row>
    <row r="36" spans="2:14" x14ac:dyDescent="0.2">
      <c r="C36" t="s">
        <v>15</v>
      </c>
      <c r="D36" t="s">
        <v>16</v>
      </c>
      <c r="E36">
        <v>20637</v>
      </c>
      <c r="F36">
        <v>0.25240000000000001</v>
      </c>
      <c r="G36">
        <v>0.1973</v>
      </c>
      <c r="H36">
        <v>0.43719999999999998</v>
      </c>
      <c r="I36">
        <v>0.307</v>
      </c>
    </row>
    <row r="37" spans="2:14" x14ac:dyDescent="0.2">
      <c r="C37" t="s">
        <v>17</v>
      </c>
      <c r="D37" t="s">
        <v>18</v>
      </c>
      <c r="E37">
        <v>9704</v>
      </c>
      <c r="F37">
        <v>0.3115</v>
      </c>
      <c r="G37">
        <v>0.2445</v>
      </c>
      <c r="H37">
        <v>0.53959999999999997</v>
      </c>
      <c r="I37">
        <v>0.17899999999999999</v>
      </c>
    </row>
    <row r="38" spans="2:14" x14ac:dyDescent="0.2">
      <c r="C38" t="s">
        <v>19</v>
      </c>
      <c r="D38" t="s">
        <v>20</v>
      </c>
      <c r="E38">
        <v>1211</v>
      </c>
      <c r="F38">
        <v>0.433</v>
      </c>
      <c r="G38">
        <v>0.3271</v>
      </c>
      <c r="H38">
        <v>0.74990000000000001</v>
      </c>
      <c r="I38">
        <v>0.114</v>
      </c>
    </row>
    <row r="39" spans="2:14" x14ac:dyDescent="0.2">
      <c r="C39" t="s">
        <v>21</v>
      </c>
      <c r="D39" t="s">
        <v>22</v>
      </c>
      <c r="E39">
        <v>116</v>
      </c>
      <c r="F39">
        <v>1.1709000000000001</v>
      </c>
      <c r="G39">
        <v>0.83850000000000002</v>
      </c>
      <c r="H39">
        <v>2.028</v>
      </c>
      <c r="I39">
        <v>0.159</v>
      </c>
    </row>
    <row r="40" spans="2:14" x14ac:dyDescent="0.2">
      <c r="C40" t="s">
        <v>23</v>
      </c>
      <c r="D40" t="s">
        <v>24</v>
      </c>
      <c r="E40">
        <v>0</v>
      </c>
    </row>
    <row r="41" spans="2:14" x14ac:dyDescent="0.2">
      <c r="C41" t="s">
        <v>25</v>
      </c>
      <c r="D41" t="s">
        <v>26</v>
      </c>
      <c r="E41">
        <v>0</v>
      </c>
    </row>
    <row r="42" spans="2:14" x14ac:dyDescent="0.2">
      <c r="C42" t="s">
        <v>27</v>
      </c>
      <c r="D42">
        <v>72928</v>
      </c>
      <c r="E42">
        <v>0.24210000000000001</v>
      </c>
      <c r="F42">
        <v>0.18010000000000001</v>
      </c>
    </row>
    <row r="44" spans="2:14" x14ac:dyDescent="0.2">
      <c r="B44" t="s">
        <v>33</v>
      </c>
      <c r="E44" t="s">
        <v>2</v>
      </c>
      <c r="F44" t="s">
        <v>28</v>
      </c>
      <c r="G44" t="s">
        <v>29</v>
      </c>
    </row>
    <row r="45" spans="2:14" x14ac:dyDescent="0.2">
      <c r="B45" t="s">
        <v>0</v>
      </c>
      <c r="C45" t="s">
        <v>1</v>
      </c>
      <c r="D45" t="s">
        <v>2</v>
      </c>
      <c r="E45" t="s">
        <v>0</v>
      </c>
    </row>
    <row r="46" spans="2:14" x14ac:dyDescent="0.2">
      <c r="C46" t="s">
        <v>3</v>
      </c>
      <c r="D46" t="s">
        <v>4</v>
      </c>
      <c r="E46" t="s">
        <v>5</v>
      </c>
      <c r="F46" t="s">
        <v>2</v>
      </c>
      <c r="G46" t="s">
        <v>6</v>
      </c>
      <c r="H46" t="s">
        <v>7</v>
      </c>
      <c r="I46" t="s">
        <v>8</v>
      </c>
      <c r="J46" t="s">
        <v>7</v>
      </c>
      <c r="K46" t="s">
        <v>6</v>
      </c>
      <c r="L46" t="s">
        <v>9</v>
      </c>
      <c r="M46" t="s">
        <v>10</v>
      </c>
      <c r="N46" t="s">
        <v>6</v>
      </c>
    </row>
    <row r="47" spans="2:14" x14ac:dyDescent="0.2">
      <c r="C47" t="s">
        <v>11</v>
      </c>
      <c r="D47" t="s">
        <v>12</v>
      </c>
      <c r="E47">
        <v>18934</v>
      </c>
      <c r="F47">
        <v>0.15840000000000001</v>
      </c>
      <c r="G47">
        <v>0.1182</v>
      </c>
      <c r="H47">
        <v>0.27429999999999999</v>
      </c>
      <c r="I47">
        <v>0.82299999999999995</v>
      </c>
    </row>
    <row r="48" spans="2:14" x14ac:dyDescent="0.2">
      <c r="C48" t="s">
        <v>13</v>
      </c>
      <c r="D48" t="s">
        <v>14</v>
      </c>
      <c r="E48">
        <v>22326</v>
      </c>
      <c r="F48">
        <v>0.20630000000000001</v>
      </c>
      <c r="G48">
        <v>0.1593</v>
      </c>
      <c r="H48">
        <v>0.3574</v>
      </c>
      <c r="I48">
        <v>0.47799999999999998</v>
      </c>
    </row>
    <row r="49" spans="2:14" x14ac:dyDescent="0.2">
      <c r="C49" t="s">
        <v>15</v>
      </c>
      <c r="D49" t="s">
        <v>16</v>
      </c>
      <c r="E49">
        <v>20637</v>
      </c>
      <c r="F49">
        <v>0.23580000000000001</v>
      </c>
      <c r="G49">
        <v>0.18379999999999999</v>
      </c>
      <c r="H49">
        <v>0.40839999999999999</v>
      </c>
      <c r="I49">
        <v>0.28699999999999998</v>
      </c>
    </row>
    <row r="50" spans="2:14" x14ac:dyDescent="0.2">
      <c r="C50" t="s">
        <v>17</v>
      </c>
      <c r="D50" t="s">
        <v>18</v>
      </c>
      <c r="E50">
        <v>9704</v>
      </c>
      <c r="F50">
        <v>0.29249999999999998</v>
      </c>
      <c r="G50">
        <v>0.2301</v>
      </c>
      <c r="H50">
        <v>0.50670000000000004</v>
      </c>
      <c r="I50">
        <v>0.16800000000000001</v>
      </c>
    </row>
    <row r="51" spans="2:14" x14ac:dyDescent="0.2">
      <c r="C51" t="s">
        <v>19</v>
      </c>
      <c r="D51" t="s">
        <v>20</v>
      </c>
      <c r="E51">
        <v>1211</v>
      </c>
      <c r="F51">
        <v>0.41189999999999999</v>
      </c>
      <c r="G51">
        <v>0.30919999999999997</v>
      </c>
      <c r="H51">
        <v>0.71340000000000003</v>
      </c>
      <c r="I51">
        <v>0.108</v>
      </c>
    </row>
    <row r="52" spans="2:14" x14ac:dyDescent="0.2">
      <c r="C52" t="s">
        <v>21</v>
      </c>
      <c r="D52" t="s">
        <v>22</v>
      </c>
      <c r="E52">
        <v>116</v>
      </c>
      <c r="F52">
        <v>1.0163</v>
      </c>
      <c r="G52">
        <v>0.7167</v>
      </c>
      <c r="H52">
        <v>1.7604</v>
      </c>
      <c r="I52">
        <v>0.13800000000000001</v>
      </c>
    </row>
    <row r="53" spans="2:14" x14ac:dyDescent="0.2">
      <c r="C53" t="s">
        <v>23</v>
      </c>
      <c r="D53" t="s">
        <v>24</v>
      </c>
      <c r="E53">
        <v>0</v>
      </c>
    </row>
    <row r="54" spans="2:14" x14ac:dyDescent="0.2">
      <c r="C54" t="s">
        <v>25</v>
      </c>
      <c r="D54" t="s">
        <v>26</v>
      </c>
      <c r="E54">
        <v>0</v>
      </c>
    </row>
    <row r="55" spans="2:14" x14ac:dyDescent="0.2">
      <c r="C55" t="s">
        <v>27</v>
      </c>
      <c r="D55">
        <v>72928</v>
      </c>
      <c r="E55">
        <v>0.2261</v>
      </c>
      <c r="F55">
        <v>0.16839999999999999</v>
      </c>
    </row>
    <row r="57" spans="2:14" x14ac:dyDescent="0.2">
      <c r="B57" t="s">
        <v>34</v>
      </c>
      <c r="E57" t="s">
        <v>2</v>
      </c>
      <c r="F57" t="s">
        <v>28</v>
      </c>
      <c r="G57" t="s">
        <v>29</v>
      </c>
    </row>
    <row r="58" spans="2:14" x14ac:dyDescent="0.2">
      <c r="B58" t="s">
        <v>0</v>
      </c>
      <c r="C58" t="s">
        <v>1</v>
      </c>
      <c r="D58" t="s">
        <v>2</v>
      </c>
      <c r="E58" t="s">
        <v>0</v>
      </c>
    </row>
    <row r="59" spans="2:14" x14ac:dyDescent="0.2">
      <c r="C59" t="s">
        <v>3</v>
      </c>
      <c r="D59" t="s">
        <v>4</v>
      </c>
      <c r="E59" t="s">
        <v>5</v>
      </c>
      <c r="F59" t="s">
        <v>2</v>
      </c>
      <c r="G59" t="s">
        <v>6</v>
      </c>
      <c r="H59" t="s">
        <v>7</v>
      </c>
      <c r="I59" t="s">
        <v>8</v>
      </c>
      <c r="J59" t="s">
        <v>7</v>
      </c>
      <c r="K59" t="s">
        <v>6</v>
      </c>
      <c r="L59" t="s">
        <v>9</v>
      </c>
      <c r="M59" t="s">
        <v>10</v>
      </c>
      <c r="N59" t="s">
        <v>6</v>
      </c>
    </row>
    <row r="60" spans="2:14" x14ac:dyDescent="0.2">
      <c r="C60" t="s">
        <v>11</v>
      </c>
      <c r="D60" t="s">
        <v>12</v>
      </c>
      <c r="E60">
        <v>18934</v>
      </c>
      <c r="F60">
        <v>0.15939999999999999</v>
      </c>
      <c r="G60">
        <v>0.11940000000000001</v>
      </c>
      <c r="H60">
        <v>0.27610000000000001</v>
      </c>
      <c r="I60">
        <v>0.82899999999999996</v>
      </c>
    </row>
    <row r="61" spans="2:14" x14ac:dyDescent="0.2">
      <c r="C61" t="s">
        <v>13</v>
      </c>
      <c r="D61" t="s">
        <v>14</v>
      </c>
      <c r="E61">
        <v>22326</v>
      </c>
      <c r="F61">
        <v>0.2064</v>
      </c>
      <c r="G61">
        <v>0.16059999999999999</v>
      </c>
      <c r="H61">
        <v>0.35749999999999998</v>
      </c>
      <c r="I61">
        <v>0.47799999999999998</v>
      </c>
    </row>
    <row r="62" spans="2:14" x14ac:dyDescent="0.2">
      <c r="C62" t="s">
        <v>15</v>
      </c>
      <c r="D62" t="s">
        <v>16</v>
      </c>
      <c r="E62">
        <v>20637</v>
      </c>
      <c r="F62">
        <v>0.23280000000000001</v>
      </c>
      <c r="G62">
        <v>0.18240000000000001</v>
      </c>
      <c r="H62">
        <v>0.4032</v>
      </c>
      <c r="I62">
        <v>0.28399999999999997</v>
      </c>
    </row>
    <row r="63" spans="2:14" x14ac:dyDescent="0.2">
      <c r="C63" t="s">
        <v>17</v>
      </c>
      <c r="D63" t="s">
        <v>18</v>
      </c>
      <c r="E63">
        <v>9704</v>
      </c>
      <c r="F63">
        <v>0.27329999999999999</v>
      </c>
      <c r="G63">
        <v>0.21529999999999999</v>
      </c>
      <c r="H63">
        <v>0.47339999999999999</v>
      </c>
      <c r="I63">
        <v>0.157</v>
      </c>
    </row>
    <row r="64" spans="2:14" x14ac:dyDescent="0.2">
      <c r="C64" t="s">
        <v>19</v>
      </c>
      <c r="D64" t="s">
        <v>20</v>
      </c>
      <c r="E64">
        <v>1211</v>
      </c>
      <c r="F64">
        <v>0.33450000000000002</v>
      </c>
      <c r="G64">
        <v>0.25840000000000002</v>
      </c>
      <c r="H64">
        <v>0.57930000000000004</v>
      </c>
      <c r="I64">
        <v>8.7999999999999995E-2</v>
      </c>
    </row>
    <row r="65" spans="2:14" x14ac:dyDescent="0.2">
      <c r="C65" t="s">
        <v>21</v>
      </c>
      <c r="D65" t="s">
        <v>22</v>
      </c>
      <c r="E65">
        <v>116</v>
      </c>
      <c r="F65">
        <v>0.4778</v>
      </c>
      <c r="G65">
        <v>0.34229999999999999</v>
      </c>
      <c r="H65">
        <v>0.8276</v>
      </c>
      <c r="I65">
        <v>6.5000000000000002E-2</v>
      </c>
    </row>
    <row r="66" spans="2:14" x14ac:dyDescent="0.2">
      <c r="C66" t="s">
        <v>23</v>
      </c>
      <c r="D66" t="s">
        <v>24</v>
      </c>
      <c r="E66">
        <v>0</v>
      </c>
    </row>
    <row r="67" spans="2:14" x14ac:dyDescent="0.2">
      <c r="C67" t="s">
        <v>25</v>
      </c>
      <c r="D67" t="s">
        <v>26</v>
      </c>
      <c r="E67">
        <v>0</v>
      </c>
    </row>
    <row r="68" spans="2:14" x14ac:dyDescent="0.2">
      <c r="C68" t="s">
        <v>27</v>
      </c>
      <c r="D68">
        <v>72928</v>
      </c>
      <c r="E68">
        <v>0.21709999999999999</v>
      </c>
      <c r="F68">
        <v>0.1653</v>
      </c>
      <c r="G68">
        <f>E68*SQRT(3)</f>
        <v>0.37602823032320321</v>
      </c>
    </row>
    <row r="70" spans="2:14" x14ac:dyDescent="0.2">
      <c r="B70" s="1" t="s">
        <v>35</v>
      </c>
      <c r="E70" t="s">
        <v>2</v>
      </c>
      <c r="F70" t="s">
        <v>28</v>
      </c>
      <c r="G70" t="s">
        <v>29</v>
      </c>
    </row>
    <row r="71" spans="2:14" x14ac:dyDescent="0.2">
      <c r="B71" t="s">
        <v>0</v>
      </c>
      <c r="C71" t="s">
        <v>1</v>
      </c>
      <c r="D71" t="s">
        <v>2</v>
      </c>
      <c r="E71" t="s">
        <v>0</v>
      </c>
    </row>
    <row r="72" spans="2:14" x14ac:dyDescent="0.2">
      <c r="C72" t="s">
        <v>3</v>
      </c>
      <c r="D72" t="s">
        <v>4</v>
      </c>
      <c r="E72" t="s">
        <v>5</v>
      </c>
      <c r="F72" t="s">
        <v>2</v>
      </c>
      <c r="G72" t="s">
        <v>6</v>
      </c>
      <c r="H72" t="s">
        <v>7</v>
      </c>
      <c r="I72" t="s">
        <v>8</v>
      </c>
      <c r="J72" t="s">
        <v>7</v>
      </c>
      <c r="K72" t="s">
        <v>6</v>
      </c>
      <c r="L72" t="s">
        <v>9</v>
      </c>
      <c r="M72" t="s">
        <v>10</v>
      </c>
      <c r="N72" t="s">
        <v>6</v>
      </c>
    </row>
    <row r="73" spans="2:14" x14ac:dyDescent="0.2">
      <c r="C73" t="s">
        <v>11</v>
      </c>
      <c r="D73" t="s">
        <v>12</v>
      </c>
      <c r="E73">
        <v>18869</v>
      </c>
      <c r="F73">
        <v>0.16200000000000001</v>
      </c>
      <c r="G73">
        <v>0.12189999999999999</v>
      </c>
      <c r="H73">
        <v>0.28060000000000002</v>
      </c>
      <c r="I73">
        <v>0.84199999999999997</v>
      </c>
    </row>
    <row r="74" spans="2:14" x14ac:dyDescent="0.2">
      <c r="C74" t="s">
        <v>13</v>
      </c>
      <c r="D74" t="s">
        <v>14</v>
      </c>
      <c r="E74">
        <v>22288</v>
      </c>
      <c r="F74">
        <v>0.20860000000000001</v>
      </c>
      <c r="G74">
        <v>0.16220000000000001</v>
      </c>
      <c r="H74">
        <v>0.36130000000000001</v>
      </c>
      <c r="I74">
        <v>0.48299999999999998</v>
      </c>
    </row>
    <row r="75" spans="2:14" x14ac:dyDescent="0.2">
      <c r="C75" t="s">
        <v>15</v>
      </c>
      <c r="D75" t="s">
        <v>16</v>
      </c>
      <c r="E75">
        <v>20621</v>
      </c>
      <c r="F75">
        <v>0.23449999999999999</v>
      </c>
      <c r="G75">
        <v>0.1835</v>
      </c>
      <c r="H75">
        <v>0.40620000000000001</v>
      </c>
      <c r="I75">
        <v>0.28599999999999998</v>
      </c>
    </row>
    <row r="76" spans="2:14" x14ac:dyDescent="0.2">
      <c r="C76" t="s">
        <v>17</v>
      </c>
      <c r="D76" t="s">
        <v>18</v>
      </c>
      <c r="E76">
        <v>9700</v>
      </c>
      <c r="F76">
        <v>0.27750000000000002</v>
      </c>
      <c r="G76">
        <v>0.218</v>
      </c>
      <c r="H76">
        <v>0.48060000000000003</v>
      </c>
      <c r="I76">
        <v>0.16</v>
      </c>
    </row>
    <row r="77" spans="2:14" x14ac:dyDescent="0.2">
      <c r="C77" t="s">
        <v>19</v>
      </c>
      <c r="D77" t="s">
        <v>20</v>
      </c>
      <c r="E77">
        <v>1201</v>
      </c>
      <c r="F77">
        <v>0.33939999999999998</v>
      </c>
      <c r="G77">
        <v>0.2656</v>
      </c>
      <c r="H77">
        <v>0.58789999999999998</v>
      </c>
      <c r="I77">
        <v>8.8999999999999996E-2</v>
      </c>
    </row>
    <row r="78" spans="2:14" x14ac:dyDescent="0.2">
      <c r="C78" t="s">
        <v>21</v>
      </c>
      <c r="D78" t="s">
        <v>22</v>
      </c>
      <c r="E78">
        <v>105</v>
      </c>
      <c r="F78">
        <v>0.47670000000000001</v>
      </c>
      <c r="G78">
        <v>0.36870000000000003</v>
      </c>
      <c r="H78">
        <v>0.82569999999999999</v>
      </c>
      <c r="I78">
        <v>6.6000000000000003E-2</v>
      </c>
    </row>
    <row r="79" spans="2:14" x14ac:dyDescent="0.2">
      <c r="C79" t="s">
        <v>23</v>
      </c>
      <c r="D79" t="s">
        <v>24</v>
      </c>
      <c r="E79">
        <v>0</v>
      </c>
    </row>
    <row r="80" spans="2:14" x14ac:dyDescent="0.2">
      <c r="C80" t="s">
        <v>25</v>
      </c>
      <c r="D80" t="s">
        <v>26</v>
      </c>
      <c r="E80">
        <v>0</v>
      </c>
    </row>
    <row r="81" spans="2:14" x14ac:dyDescent="0.2">
      <c r="C81" t="s">
        <v>27</v>
      </c>
      <c r="D81">
        <v>72784</v>
      </c>
      <c r="E81">
        <v>0.21959999999999999</v>
      </c>
      <c r="F81">
        <v>0.16719999999999999</v>
      </c>
      <c r="G81">
        <f>E81*SQRT(3)</f>
        <v>0.38035835734212542</v>
      </c>
    </row>
    <row r="83" spans="2:14" x14ac:dyDescent="0.2">
      <c r="B83" t="s">
        <v>36</v>
      </c>
      <c r="E83" t="s">
        <v>2</v>
      </c>
      <c r="F83" t="s">
        <v>28</v>
      </c>
      <c r="G83" t="s">
        <v>29</v>
      </c>
    </row>
    <row r="84" spans="2:14" x14ac:dyDescent="0.2">
      <c r="B84" t="s">
        <v>0</v>
      </c>
      <c r="C84" t="s">
        <v>1</v>
      </c>
      <c r="D84" t="s">
        <v>2</v>
      </c>
      <c r="E84" t="s">
        <v>0</v>
      </c>
    </row>
    <row r="85" spans="2:14" x14ac:dyDescent="0.2">
      <c r="C85" t="s">
        <v>3</v>
      </c>
      <c r="D85" t="s">
        <v>4</v>
      </c>
      <c r="E85" t="s">
        <v>5</v>
      </c>
      <c r="F85" t="s">
        <v>2</v>
      </c>
      <c r="G85" t="s">
        <v>6</v>
      </c>
      <c r="H85" t="s">
        <v>7</v>
      </c>
      <c r="I85" t="s">
        <v>8</v>
      </c>
      <c r="J85" t="s">
        <v>7</v>
      </c>
      <c r="K85" t="s">
        <v>6</v>
      </c>
      <c r="L85" t="s">
        <v>9</v>
      </c>
      <c r="M85" t="s">
        <v>10</v>
      </c>
      <c r="N85" t="s">
        <v>6</v>
      </c>
    </row>
    <row r="86" spans="2:14" x14ac:dyDescent="0.2">
      <c r="C86" t="s">
        <v>11</v>
      </c>
      <c r="D86" t="s">
        <v>12</v>
      </c>
      <c r="E86">
        <v>16905</v>
      </c>
      <c r="F86">
        <v>0.1487</v>
      </c>
      <c r="G86">
        <v>0.1105</v>
      </c>
      <c r="H86">
        <v>0.2576</v>
      </c>
      <c r="I86">
        <v>0.78500000000000003</v>
      </c>
    </row>
    <row r="87" spans="2:14" x14ac:dyDescent="0.2">
      <c r="C87" t="s">
        <v>13</v>
      </c>
      <c r="D87" t="s">
        <v>14</v>
      </c>
      <c r="E87">
        <v>16668</v>
      </c>
      <c r="F87">
        <v>0.1938</v>
      </c>
      <c r="G87">
        <v>0.14879999999999999</v>
      </c>
      <c r="H87">
        <v>0.33579999999999999</v>
      </c>
      <c r="I87">
        <v>0.45500000000000002</v>
      </c>
    </row>
    <row r="88" spans="2:14" x14ac:dyDescent="0.2">
      <c r="C88" t="s">
        <v>15</v>
      </c>
      <c r="D88" t="s">
        <v>16</v>
      </c>
      <c r="E88">
        <v>10959</v>
      </c>
      <c r="F88">
        <v>0.21820000000000001</v>
      </c>
      <c r="G88">
        <v>0.1681</v>
      </c>
      <c r="H88">
        <v>0.378</v>
      </c>
      <c r="I88">
        <v>0.27500000000000002</v>
      </c>
    </row>
    <row r="89" spans="2:14" x14ac:dyDescent="0.2">
      <c r="C89" t="s">
        <v>17</v>
      </c>
      <c r="D89" t="s">
        <v>18</v>
      </c>
      <c r="E89">
        <v>1884</v>
      </c>
      <c r="F89">
        <v>0.2727</v>
      </c>
      <c r="G89">
        <v>0.21079999999999999</v>
      </c>
      <c r="H89">
        <v>0.47239999999999999</v>
      </c>
      <c r="I89">
        <v>0.17899999999999999</v>
      </c>
    </row>
    <row r="90" spans="2:14" x14ac:dyDescent="0.2">
      <c r="C90" t="s">
        <v>19</v>
      </c>
      <c r="D90" t="s">
        <v>20</v>
      </c>
      <c r="E90">
        <v>0</v>
      </c>
    </row>
    <row r="91" spans="2:14" x14ac:dyDescent="0.2">
      <c r="C91" t="s">
        <v>21</v>
      </c>
      <c r="D91" t="s">
        <v>22</v>
      </c>
      <c r="E91">
        <v>0</v>
      </c>
    </row>
    <row r="92" spans="2:14" x14ac:dyDescent="0.2">
      <c r="C92" t="s">
        <v>23</v>
      </c>
      <c r="D92" t="s">
        <v>24</v>
      </c>
      <c r="E92">
        <v>0</v>
      </c>
    </row>
    <row r="93" spans="2:14" x14ac:dyDescent="0.2">
      <c r="C93" t="s">
        <v>25</v>
      </c>
      <c r="D93" t="s">
        <v>26</v>
      </c>
      <c r="E93">
        <v>0</v>
      </c>
    </row>
    <row r="94" spans="2:14" x14ac:dyDescent="0.2">
      <c r="C94" t="s">
        <v>27</v>
      </c>
      <c r="D94">
        <v>46416</v>
      </c>
      <c r="E94">
        <v>0.18920000000000001</v>
      </c>
      <c r="F94">
        <v>0.1419</v>
      </c>
    </row>
    <row r="96" spans="2:14" x14ac:dyDescent="0.2">
      <c r="B96" t="s">
        <v>37</v>
      </c>
    </row>
    <row r="97" spans="2:14" x14ac:dyDescent="0.2">
      <c r="B97" t="s">
        <v>0</v>
      </c>
      <c r="C97" t="s">
        <v>1</v>
      </c>
      <c r="D97" t="s">
        <v>2</v>
      </c>
      <c r="E97" t="s">
        <v>0</v>
      </c>
    </row>
    <row r="98" spans="2:14" x14ac:dyDescent="0.2">
      <c r="C98" t="s">
        <v>3</v>
      </c>
      <c r="D98" t="s">
        <v>4</v>
      </c>
      <c r="E98" t="s">
        <v>5</v>
      </c>
      <c r="F98" t="s">
        <v>2</v>
      </c>
      <c r="G98" t="s">
        <v>6</v>
      </c>
      <c r="H98" t="s">
        <v>7</v>
      </c>
      <c r="I98" t="s">
        <v>8</v>
      </c>
      <c r="J98" t="s">
        <v>7</v>
      </c>
      <c r="K98" t="s">
        <v>6</v>
      </c>
      <c r="L98" t="s">
        <v>9</v>
      </c>
      <c r="M98" t="s">
        <v>10</v>
      </c>
      <c r="N98" t="s">
        <v>6</v>
      </c>
    </row>
    <row r="99" spans="2:14" x14ac:dyDescent="0.2">
      <c r="C99" t="s">
        <v>11</v>
      </c>
      <c r="D99" t="s">
        <v>12</v>
      </c>
      <c r="E99">
        <v>18869</v>
      </c>
      <c r="F99">
        <v>0.20019999999999999</v>
      </c>
      <c r="G99">
        <v>0.14779999999999999</v>
      </c>
      <c r="H99">
        <v>0.3468</v>
      </c>
      <c r="I99">
        <v>1.0409999999999999</v>
      </c>
    </row>
    <row r="100" spans="2:14" x14ac:dyDescent="0.2">
      <c r="C100" t="s">
        <v>13</v>
      </c>
      <c r="D100" t="s">
        <v>14</v>
      </c>
      <c r="E100">
        <v>22288</v>
      </c>
      <c r="F100">
        <v>0.26650000000000001</v>
      </c>
      <c r="G100">
        <v>0.2051</v>
      </c>
      <c r="H100">
        <v>0.46150000000000002</v>
      </c>
      <c r="I100">
        <v>0.61699999999999999</v>
      </c>
    </row>
    <row r="101" spans="2:14" x14ac:dyDescent="0.2">
      <c r="C101" t="s">
        <v>15</v>
      </c>
      <c r="D101" t="s">
        <v>16</v>
      </c>
      <c r="E101">
        <v>20621</v>
      </c>
      <c r="F101">
        <v>0.29949999999999999</v>
      </c>
      <c r="G101">
        <v>0.2336</v>
      </c>
      <c r="H101">
        <v>0.51870000000000005</v>
      </c>
      <c r="I101">
        <v>0.36499999999999999</v>
      </c>
    </row>
    <row r="102" spans="2:14" x14ac:dyDescent="0.2">
      <c r="C102" t="s">
        <v>17</v>
      </c>
      <c r="D102" t="s">
        <v>18</v>
      </c>
      <c r="E102">
        <v>9700</v>
      </c>
      <c r="F102">
        <v>0.37419999999999998</v>
      </c>
      <c r="G102">
        <v>0.29120000000000001</v>
      </c>
      <c r="H102">
        <v>0.6482</v>
      </c>
      <c r="I102">
        <v>0.215</v>
      </c>
    </row>
    <row r="103" spans="2:14" x14ac:dyDescent="0.2">
      <c r="C103" t="s">
        <v>19</v>
      </c>
      <c r="D103" t="s">
        <v>20</v>
      </c>
      <c r="E103">
        <v>1201</v>
      </c>
      <c r="F103">
        <v>0.66090000000000004</v>
      </c>
      <c r="G103">
        <v>0.49109999999999998</v>
      </c>
      <c r="H103">
        <v>1.1447000000000001</v>
      </c>
      <c r="I103">
        <v>0.17399999999999999</v>
      </c>
    </row>
    <row r="104" spans="2:14" x14ac:dyDescent="0.2">
      <c r="C104" t="s">
        <v>21</v>
      </c>
      <c r="D104" t="s">
        <v>22</v>
      </c>
      <c r="E104">
        <v>105</v>
      </c>
      <c r="F104">
        <v>2.5402999999999998</v>
      </c>
      <c r="G104">
        <v>1.3987000000000001</v>
      </c>
      <c r="H104">
        <v>4.4000000000000004</v>
      </c>
      <c r="I104">
        <v>0.35099999999999998</v>
      </c>
    </row>
    <row r="105" spans="2:14" x14ac:dyDescent="0.2">
      <c r="C105" t="s">
        <v>23</v>
      </c>
      <c r="D105" t="s">
        <v>24</v>
      </c>
      <c r="E105">
        <v>0</v>
      </c>
    </row>
    <row r="106" spans="2:14" x14ac:dyDescent="0.2">
      <c r="C106" t="s">
        <v>25</v>
      </c>
      <c r="D106" t="s">
        <v>26</v>
      </c>
      <c r="E106">
        <v>0</v>
      </c>
    </row>
    <row r="107" spans="2:14" x14ac:dyDescent="0.2">
      <c r="C107" t="s">
        <v>27</v>
      </c>
      <c r="D107">
        <v>72784</v>
      </c>
      <c r="E107">
        <v>0.30449999999999999</v>
      </c>
      <c r="F107">
        <v>0.2162</v>
      </c>
    </row>
    <row r="109" spans="2:14" x14ac:dyDescent="0.2">
      <c r="B109" t="s">
        <v>48</v>
      </c>
    </row>
    <row r="110" spans="2:14" x14ac:dyDescent="0.2">
      <c r="B110" t="s">
        <v>0</v>
      </c>
      <c r="C110" t="s">
        <v>1</v>
      </c>
      <c r="D110" t="s">
        <v>2</v>
      </c>
      <c r="E110" t="s">
        <v>0</v>
      </c>
    </row>
    <row r="111" spans="2:14" x14ac:dyDescent="0.2">
      <c r="C111" t="s">
        <v>3</v>
      </c>
      <c r="D111" t="s">
        <v>4</v>
      </c>
      <c r="E111" t="s">
        <v>5</v>
      </c>
      <c r="F111" t="s">
        <v>2</v>
      </c>
      <c r="G111" t="s">
        <v>6</v>
      </c>
      <c r="H111" t="s">
        <v>7</v>
      </c>
      <c r="I111" t="s">
        <v>8</v>
      </c>
      <c r="J111" t="s">
        <v>7</v>
      </c>
      <c r="K111" t="s">
        <v>6</v>
      </c>
      <c r="L111" t="s">
        <v>9</v>
      </c>
      <c r="M111" t="s">
        <v>10</v>
      </c>
      <c r="N111" t="s">
        <v>6</v>
      </c>
    </row>
    <row r="112" spans="2:14" x14ac:dyDescent="0.2">
      <c r="C112" t="s">
        <v>11</v>
      </c>
      <c r="D112" t="s">
        <v>12</v>
      </c>
      <c r="E112">
        <v>18869</v>
      </c>
      <c r="F112">
        <v>0.1787</v>
      </c>
      <c r="G112">
        <v>0.13420000000000001</v>
      </c>
      <c r="H112">
        <v>0.3095</v>
      </c>
      <c r="I112">
        <v>0.92900000000000005</v>
      </c>
    </row>
    <row r="113" spans="2:14" x14ac:dyDescent="0.2">
      <c r="C113" t="s">
        <v>13</v>
      </c>
      <c r="D113" t="s">
        <v>14</v>
      </c>
      <c r="E113">
        <v>22288</v>
      </c>
      <c r="F113">
        <v>0.23780000000000001</v>
      </c>
      <c r="G113">
        <v>0.18509999999999999</v>
      </c>
      <c r="H113">
        <v>0.41199999999999998</v>
      </c>
      <c r="I113">
        <v>0.55100000000000005</v>
      </c>
    </row>
    <row r="114" spans="2:14" x14ac:dyDescent="0.2">
      <c r="C114" t="s">
        <v>15</v>
      </c>
      <c r="D114" t="s">
        <v>16</v>
      </c>
      <c r="E114">
        <v>20621</v>
      </c>
      <c r="F114">
        <v>0.26390000000000002</v>
      </c>
      <c r="G114">
        <v>0.20699999999999999</v>
      </c>
      <c r="H114">
        <v>0.45710000000000001</v>
      </c>
      <c r="I114">
        <v>0.32100000000000001</v>
      </c>
    </row>
    <row r="115" spans="2:14" x14ac:dyDescent="0.2">
      <c r="C115" t="s">
        <v>17</v>
      </c>
      <c r="D115" t="s">
        <v>18</v>
      </c>
      <c r="E115">
        <v>9700</v>
      </c>
      <c r="F115">
        <v>0.30009999999999998</v>
      </c>
      <c r="G115">
        <v>0.2374</v>
      </c>
      <c r="H115">
        <v>0.51980000000000004</v>
      </c>
      <c r="I115">
        <v>0.17299999999999999</v>
      </c>
    </row>
    <row r="116" spans="2:14" x14ac:dyDescent="0.2">
      <c r="C116" t="s">
        <v>19</v>
      </c>
      <c r="D116" t="s">
        <v>20</v>
      </c>
      <c r="E116">
        <v>1201</v>
      </c>
      <c r="F116">
        <v>0.3589</v>
      </c>
      <c r="G116">
        <v>0.28360000000000002</v>
      </c>
      <c r="H116">
        <v>0.62170000000000003</v>
      </c>
      <c r="I116">
        <v>9.4E-2</v>
      </c>
    </row>
    <row r="117" spans="2:14" x14ac:dyDescent="0.2">
      <c r="C117" t="s">
        <v>21</v>
      </c>
      <c r="D117" t="s">
        <v>22</v>
      </c>
      <c r="E117">
        <v>105</v>
      </c>
      <c r="F117">
        <v>0.43149999999999999</v>
      </c>
      <c r="G117">
        <v>0.33</v>
      </c>
      <c r="H117">
        <v>0.74739999999999995</v>
      </c>
      <c r="I117">
        <v>0.06</v>
      </c>
    </row>
    <row r="118" spans="2:14" x14ac:dyDescent="0.2">
      <c r="C118" t="s">
        <v>23</v>
      </c>
      <c r="D118" t="s">
        <v>24</v>
      </c>
      <c r="E118">
        <v>0</v>
      </c>
    </row>
    <row r="119" spans="2:14" x14ac:dyDescent="0.2">
      <c r="C119" t="s">
        <v>25</v>
      </c>
      <c r="D119" t="s">
        <v>26</v>
      </c>
      <c r="E119">
        <v>0</v>
      </c>
    </row>
    <row r="120" spans="2:14" x14ac:dyDescent="0.2">
      <c r="C120" t="s">
        <v>27</v>
      </c>
      <c r="D120">
        <v>72784</v>
      </c>
      <c r="E120">
        <v>0.24440000000000001</v>
      </c>
      <c r="F120">
        <v>0.18690000000000001</v>
      </c>
      <c r="G120">
        <f>E120*SQRT(3)</f>
        <v>0.42331321736983357</v>
      </c>
    </row>
    <row r="122" spans="2:14" x14ac:dyDescent="0.2">
      <c r="B122" t="s">
        <v>47</v>
      </c>
    </row>
    <row r="123" spans="2:14" x14ac:dyDescent="0.2">
      <c r="B123" t="s">
        <v>0</v>
      </c>
      <c r="C123" t="s">
        <v>1</v>
      </c>
      <c r="D123" t="s">
        <v>2</v>
      </c>
      <c r="E123" t="s">
        <v>0</v>
      </c>
    </row>
    <row r="124" spans="2:14" x14ac:dyDescent="0.2">
      <c r="C124" t="s">
        <v>3</v>
      </c>
      <c r="D124" t="s">
        <v>4</v>
      </c>
      <c r="E124" t="s">
        <v>5</v>
      </c>
      <c r="F124" t="s">
        <v>2</v>
      </c>
      <c r="G124" t="s">
        <v>6</v>
      </c>
      <c r="H124" t="s">
        <v>7</v>
      </c>
      <c r="I124" t="s">
        <v>8</v>
      </c>
      <c r="J124" t="s">
        <v>7</v>
      </c>
      <c r="K124" t="s">
        <v>6</v>
      </c>
      <c r="L124" t="s">
        <v>9</v>
      </c>
      <c r="M124" t="s">
        <v>10</v>
      </c>
      <c r="N124" t="s">
        <v>6</v>
      </c>
    </row>
    <row r="125" spans="2:14" x14ac:dyDescent="0.2">
      <c r="C125" t="s">
        <v>11</v>
      </c>
      <c r="D125" t="s">
        <v>12</v>
      </c>
      <c r="E125">
        <v>18869</v>
      </c>
      <c r="F125">
        <v>0.17599999999999999</v>
      </c>
      <c r="G125">
        <v>0.13100000000000001</v>
      </c>
      <c r="H125">
        <v>0.30480000000000002</v>
      </c>
      <c r="I125">
        <v>0.91500000000000004</v>
      </c>
    </row>
    <row r="126" spans="2:14" x14ac:dyDescent="0.2">
      <c r="C126" t="s">
        <v>13</v>
      </c>
      <c r="D126" t="s">
        <v>14</v>
      </c>
      <c r="E126">
        <v>22288</v>
      </c>
      <c r="F126">
        <v>0.23119999999999999</v>
      </c>
      <c r="G126">
        <v>0.17899999999999999</v>
      </c>
      <c r="H126">
        <v>0.40039999999999998</v>
      </c>
      <c r="I126">
        <v>0.53600000000000003</v>
      </c>
    </row>
    <row r="127" spans="2:14" x14ac:dyDescent="0.2">
      <c r="C127" t="s">
        <v>15</v>
      </c>
      <c r="D127" t="s">
        <v>16</v>
      </c>
      <c r="E127">
        <v>20621</v>
      </c>
      <c r="F127">
        <v>0.25679999999999997</v>
      </c>
      <c r="G127">
        <v>0.20050000000000001</v>
      </c>
      <c r="H127">
        <v>0.44479999999999997</v>
      </c>
      <c r="I127">
        <v>0.313</v>
      </c>
    </row>
    <row r="128" spans="2:14" x14ac:dyDescent="0.2">
      <c r="C128" t="s">
        <v>17</v>
      </c>
      <c r="D128" t="s">
        <v>18</v>
      </c>
      <c r="E128">
        <v>9700</v>
      </c>
      <c r="F128">
        <v>0.30109999999999998</v>
      </c>
      <c r="G128">
        <v>0.23719999999999999</v>
      </c>
      <c r="H128">
        <v>0.52159999999999995</v>
      </c>
      <c r="I128">
        <v>0.17299999999999999</v>
      </c>
    </row>
    <row r="129" spans="2:14" x14ac:dyDescent="0.2">
      <c r="C129" t="s">
        <v>19</v>
      </c>
      <c r="D129" t="s">
        <v>20</v>
      </c>
      <c r="E129">
        <v>1201</v>
      </c>
      <c r="F129">
        <v>0.35110000000000002</v>
      </c>
      <c r="G129">
        <v>0.27650000000000002</v>
      </c>
      <c r="H129">
        <v>0.60809999999999997</v>
      </c>
      <c r="I129">
        <v>9.1999999999999998E-2</v>
      </c>
    </row>
    <row r="130" spans="2:14" x14ac:dyDescent="0.2">
      <c r="C130" t="s">
        <v>21</v>
      </c>
      <c r="D130" t="s">
        <v>22</v>
      </c>
      <c r="E130">
        <v>105</v>
      </c>
      <c r="F130">
        <v>0.43590000000000001</v>
      </c>
      <c r="G130">
        <v>0.34389999999999998</v>
      </c>
      <c r="H130">
        <v>0.75509999999999999</v>
      </c>
      <c r="I130">
        <v>0.06</v>
      </c>
    </row>
    <row r="131" spans="2:14" x14ac:dyDescent="0.2">
      <c r="C131" t="s">
        <v>23</v>
      </c>
      <c r="D131" t="s">
        <v>24</v>
      </c>
      <c r="E131">
        <v>0</v>
      </c>
    </row>
    <row r="132" spans="2:14" x14ac:dyDescent="0.2">
      <c r="C132" t="s">
        <v>25</v>
      </c>
      <c r="D132" t="s">
        <v>26</v>
      </c>
      <c r="E132">
        <v>0</v>
      </c>
    </row>
    <row r="133" spans="2:14" x14ac:dyDescent="0.2">
      <c r="C133" t="s">
        <v>27</v>
      </c>
      <c r="D133">
        <v>72784</v>
      </c>
      <c r="E133">
        <v>0.2397</v>
      </c>
      <c r="F133">
        <v>0.18229999999999999</v>
      </c>
      <c r="G133">
        <f>E133*SQRT(3)</f>
        <v>0.41517257857425988</v>
      </c>
    </row>
    <row r="135" spans="2:14" x14ac:dyDescent="0.2">
      <c r="B135" t="s">
        <v>38</v>
      </c>
    </row>
    <row r="136" spans="2:14" x14ac:dyDescent="0.2">
      <c r="B136" t="s">
        <v>0</v>
      </c>
      <c r="C136" t="s">
        <v>1</v>
      </c>
      <c r="D136" t="s">
        <v>2</v>
      </c>
      <c r="E136" t="s">
        <v>0</v>
      </c>
    </row>
    <row r="137" spans="2:14" x14ac:dyDescent="0.2">
      <c r="C137" t="s">
        <v>3</v>
      </c>
      <c r="D137" t="s">
        <v>4</v>
      </c>
      <c r="E137" t="s">
        <v>5</v>
      </c>
      <c r="F137" t="s">
        <v>2</v>
      </c>
      <c r="G137" t="s">
        <v>6</v>
      </c>
      <c r="H137" t="s">
        <v>7</v>
      </c>
      <c r="I137" t="s">
        <v>8</v>
      </c>
      <c r="J137" t="s">
        <v>7</v>
      </c>
      <c r="K137" t="s">
        <v>6</v>
      </c>
      <c r="L137" t="s">
        <v>9</v>
      </c>
      <c r="M137" t="s">
        <v>10</v>
      </c>
      <c r="N137" t="s">
        <v>6</v>
      </c>
    </row>
    <row r="138" spans="2:14" x14ac:dyDescent="0.2">
      <c r="C138" t="s">
        <v>11</v>
      </c>
      <c r="D138" t="s">
        <v>12</v>
      </c>
      <c r="E138">
        <v>18869</v>
      </c>
      <c r="F138">
        <v>0.19209999999999999</v>
      </c>
      <c r="G138">
        <v>0.1424</v>
      </c>
      <c r="H138">
        <v>0.33279999999999998</v>
      </c>
      <c r="I138">
        <v>0.999</v>
      </c>
    </row>
    <row r="139" spans="2:14" x14ac:dyDescent="0.2">
      <c r="C139" t="s">
        <v>13</v>
      </c>
      <c r="D139" t="s">
        <v>14</v>
      </c>
      <c r="E139">
        <v>22288</v>
      </c>
      <c r="F139">
        <v>0.25700000000000001</v>
      </c>
      <c r="G139">
        <v>0.19850000000000001</v>
      </c>
      <c r="H139">
        <v>0.4451</v>
      </c>
      <c r="I139">
        <v>0.59499999999999997</v>
      </c>
    </row>
    <row r="140" spans="2:14" x14ac:dyDescent="0.2">
      <c r="C140" t="s">
        <v>15</v>
      </c>
      <c r="D140" t="s">
        <v>16</v>
      </c>
      <c r="E140">
        <v>20621</v>
      </c>
      <c r="F140">
        <v>0.29149999999999998</v>
      </c>
      <c r="G140">
        <v>0.22850000000000001</v>
      </c>
      <c r="H140">
        <v>0.50490000000000002</v>
      </c>
      <c r="I140">
        <v>0.35499999999999998</v>
      </c>
    </row>
    <row r="141" spans="2:14" x14ac:dyDescent="0.2">
      <c r="C141" t="s">
        <v>17</v>
      </c>
      <c r="D141" t="s">
        <v>18</v>
      </c>
      <c r="E141">
        <v>9700</v>
      </c>
      <c r="F141">
        <v>0.36990000000000001</v>
      </c>
      <c r="G141">
        <v>0.28739999999999999</v>
      </c>
      <c r="H141">
        <v>0.64059999999999995</v>
      </c>
      <c r="I141">
        <v>0.21299999999999999</v>
      </c>
    </row>
    <row r="142" spans="2:14" x14ac:dyDescent="0.2">
      <c r="C142" t="s">
        <v>19</v>
      </c>
      <c r="D142" t="s">
        <v>20</v>
      </c>
      <c r="E142">
        <v>1201</v>
      </c>
      <c r="F142">
        <v>0.59950000000000003</v>
      </c>
      <c r="G142">
        <v>0.45469999999999999</v>
      </c>
      <c r="H142">
        <v>1.0383</v>
      </c>
      <c r="I142">
        <v>0.158</v>
      </c>
    </row>
    <row r="143" spans="2:14" x14ac:dyDescent="0.2">
      <c r="C143" t="s">
        <v>21</v>
      </c>
      <c r="D143" t="s">
        <v>22</v>
      </c>
      <c r="E143">
        <v>105</v>
      </c>
      <c r="F143">
        <v>1.8065</v>
      </c>
      <c r="G143">
        <v>1.0094000000000001</v>
      </c>
      <c r="H143">
        <v>3.129</v>
      </c>
      <c r="I143">
        <v>0.249</v>
      </c>
    </row>
    <row r="144" spans="2:14" x14ac:dyDescent="0.2">
      <c r="C144" t="s">
        <v>23</v>
      </c>
      <c r="D144" t="s">
        <v>24</v>
      </c>
      <c r="E144">
        <v>0</v>
      </c>
    </row>
    <row r="145" spans="2:14" x14ac:dyDescent="0.2">
      <c r="C145" t="s">
        <v>25</v>
      </c>
      <c r="D145" t="s">
        <v>26</v>
      </c>
      <c r="E145">
        <v>0</v>
      </c>
    </row>
    <row r="146" spans="2:14" x14ac:dyDescent="0.2">
      <c r="C146" t="s">
        <v>27</v>
      </c>
      <c r="D146">
        <v>72784</v>
      </c>
      <c r="E146">
        <v>0.28760000000000002</v>
      </c>
      <c r="F146">
        <v>0.2097</v>
      </c>
    </row>
    <row r="148" spans="2:14" x14ac:dyDescent="0.2">
      <c r="B148" t="s">
        <v>39</v>
      </c>
    </row>
    <row r="149" spans="2:14" x14ac:dyDescent="0.2">
      <c r="B149" t="s">
        <v>0</v>
      </c>
      <c r="C149" t="s">
        <v>1</v>
      </c>
      <c r="D149" t="s">
        <v>2</v>
      </c>
      <c r="E149" t="s">
        <v>0</v>
      </c>
    </row>
    <row r="150" spans="2:14" x14ac:dyDescent="0.2">
      <c r="C150" t="s">
        <v>3</v>
      </c>
      <c r="D150" t="s">
        <v>4</v>
      </c>
      <c r="E150" t="s">
        <v>5</v>
      </c>
      <c r="F150" t="s">
        <v>2</v>
      </c>
      <c r="G150" t="s">
        <v>6</v>
      </c>
      <c r="H150" t="s">
        <v>7</v>
      </c>
      <c r="I150" t="s">
        <v>8</v>
      </c>
      <c r="J150" t="s">
        <v>7</v>
      </c>
      <c r="K150" t="s">
        <v>6</v>
      </c>
      <c r="L150" t="s">
        <v>9</v>
      </c>
      <c r="M150" t="s">
        <v>10</v>
      </c>
      <c r="N150" t="s">
        <v>6</v>
      </c>
    </row>
    <row r="151" spans="2:14" x14ac:dyDescent="0.2">
      <c r="C151" t="s">
        <v>11</v>
      </c>
      <c r="D151" t="s">
        <v>12</v>
      </c>
      <c r="E151">
        <v>18869</v>
      </c>
      <c r="F151">
        <v>0.18440000000000001</v>
      </c>
      <c r="G151">
        <v>0.1366</v>
      </c>
      <c r="H151">
        <v>0.31950000000000001</v>
      </c>
      <c r="I151">
        <v>0.95899999999999996</v>
      </c>
    </row>
    <row r="152" spans="2:14" x14ac:dyDescent="0.2">
      <c r="C152" t="s">
        <v>13</v>
      </c>
      <c r="D152" t="s">
        <v>14</v>
      </c>
      <c r="E152">
        <v>22288</v>
      </c>
      <c r="F152">
        <v>0.24610000000000001</v>
      </c>
      <c r="G152">
        <v>0.18990000000000001</v>
      </c>
      <c r="H152">
        <v>0.42630000000000001</v>
      </c>
      <c r="I152">
        <v>0.56999999999999995</v>
      </c>
    </row>
    <row r="153" spans="2:14" x14ac:dyDescent="0.2">
      <c r="C153" t="s">
        <v>15</v>
      </c>
      <c r="D153" t="s">
        <v>16</v>
      </c>
      <c r="E153">
        <v>20621</v>
      </c>
      <c r="F153">
        <v>0.28139999999999998</v>
      </c>
      <c r="G153">
        <v>0.22020000000000001</v>
      </c>
      <c r="H153">
        <v>0.48730000000000001</v>
      </c>
      <c r="I153">
        <v>0.34300000000000003</v>
      </c>
    </row>
    <row r="154" spans="2:14" x14ac:dyDescent="0.2">
      <c r="C154" t="s">
        <v>17</v>
      </c>
      <c r="D154" t="s">
        <v>18</v>
      </c>
      <c r="E154">
        <v>9700</v>
      </c>
      <c r="F154">
        <v>0.34639999999999999</v>
      </c>
      <c r="G154">
        <v>0.27100000000000002</v>
      </c>
      <c r="H154">
        <v>0.59989999999999999</v>
      </c>
      <c r="I154">
        <v>0.19900000000000001</v>
      </c>
    </row>
    <row r="155" spans="2:14" x14ac:dyDescent="0.2">
      <c r="C155" t="s">
        <v>19</v>
      </c>
      <c r="D155" t="s">
        <v>20</v>
      </c>
      <c r="E155">
        <v>1201</v>
      </c>
      <c r="F155">
        <v>0.73450000000000004</v>
      </c>
      <c r="G155">
        <v>0.56469999999999998</v>
      </c>
      <c r="H155">
        <v>1.2723</v>
      </c>
      <c r="I155">
        <v>0.193</v>
      </c>
    </row>
    <row r="156" spans="2:14" x14ac:dyDescent="0.2">
      <c r="C156" t="s">
        <v>21</v>
      </c>
      <c r="D156" t="s">
        <v>22</v>
      </c>
      <c r="E156">
        <v>105</v>
      </c>
      <c r="F156">
        <v>2.3214000000000001</v>
      </c>
      <c r="G156">
        <v>1.8573</v>
      </c>
      <c r="H156">
        <v>4.0209000000000001</v>
      </c>
      <c r="I156">
        <v>0.32100000000000001</v>
      </c>
    </row>
    <row r="157" spans="2:14" x14ac:dyDescent="0.2">
      <c r="C157" t="s">
        <v>23</v>
      </c>
      <c r="D157" t="s">
        <v>24</v>
      </c>
      <c r="E157">
        <v>0</v>
      </c>
    </row>
    <row r="158" spans="2:14" x14ac:dyDescent="0.2">
      <c r="C158" t="s">
        <v>25</v>
      </c>
      <c r="D158" t="s">
        <v>26</v>
      </c>
      <c r="E158">
        <v>0</v>
      </c>
    </row>
    <row r="159" spans="2:14" x14ac:dyDescent="0.2">
      <c r="C159" t="s">
        <v>27</v>
      </c>
      <c r="D159">
        <v>72784</v>
      </c>
      <c r="E159">
        <v>0.28720000000000001</v>
      </c>
      <c r="F159">
        <v>0.2041</v>
      </c>
    </row>
    <row r="161" spans="2:14" x14ac:dyDescent="0.2">
      <c r="B161" t="s">
        <v>40</v>
      </c>
    </row>
    <row r="162" spans="2:14" x14ac:dyDescent="0.2">
      <c r="B162" t="s">
        <v>0</v>
      </c>
      <c r="C162" t="s">
        <v>1</v>
      </c>
      <c r="D162" t="s">
        <v>2</v>
      </c>
      <c r="E162" t="s">
        <v>0</v>
      </c>
    </row>
    <row r="163" spans="2:14" x14ac:dyDescent="0.2">
      <c r="C163" t="s">
        <v>3</v>
      </c>
      <c r="D163" t="s">
        <v>4</v>
      </c>
      <c r="E163" t="s">
        <v>5</v>
      </c>
      <c r="F163" t="s">
        <v>2</v>
      </c>
      <c r="G163" t="s">
        <v>6</v>
      </c>
      <c r="H163" t="s">
        <v>7</v>
      </c>
      <c r="I163" t="s">
        <v>8</v>
      </c>
      <c r="J163" t="s">
        <v>7</v>
      </c>
      <c r="K163" t="s">
        <v>6</v>
      </c>
      <c r="L163" t="s">
        <v>9</v>
      </c>
      <c r="M163" t="s">
        <v>10</v>
      </c>
      <c r="N163" t="s">
        <v>6</v>
      </c>
    </row>
    <row r="164" spans="2:14" x14ac:dyDescent="0.2">
      <c r="C164" t="s">
        <v>11</v>
      </c>
      <c r="D164" t="s">
        <v>12</v>
      </c>
      <c r="E164">
        <v>18869</v>
      </c>
      <c r="F164">
        <v>0.18310000000000001</v>
      </c>
      <c r="G164">
        <v>0.1361</v>
      </c>
      <c r="H164">
        <v>0.31709999999999999</v>
      </c>
      <c r="I164">
        <v>0.95199999999999996</v>
      </c>
    </row>
    <row r="165" spans="2:14" x14ac:dyDescent="0.2">
      <c r="C165" t="s">
        <v>13</v>
      </c>
      <c r="D165" t="s">
        <v>14</v>
      </c>
      <c r="E165">
        <v>22288</v>
      </c>
      <c r="F165">
        <v>0.2422</v>
      </c>
      <c r="G165">
        <v>0.18709999999999999</v>
      </c>
      <c r="H165">
        <v>0.4194</v>
      </c>
      <c r="I165">
        <v>0.56100000000000005</v>
      </c>
    </row>
    <row r="166" spans="2:14" x14ac:dyDescent="0.2">
      <c r="C166" t="s">
        <v>15</v>
      </c>
      <c r="D166" t="s">
        <v>16</v>
      </c>
      <c r="E166">
        <v>20621</v>
      </c>
      <c r="F166">
        <v>0.27379999999999999</v>
      </c>
      <c r="G166">
        <v>0.2145</v>
      </c>
      <c r="H166">
        <v>0.4743</v>
      </c>
      <c r="I166">
        <v>0.33400000000000002</v>
      </c>
    </row>
    <row r="167" spans="2:14" x14ac:dyDescent="0.2">
      <c r="C167" t="s">
        <v>17</v>
      </c>
      <c r="D167" t="s">
        <v>18</v>
      </c>
      <c r="E167">
        <v>9700</v>
      </c>
      <c r="F167">
        <v>0.3271</v>
      </c>
      <c r="G167">
        <v>0.25719999999999998</v>
      </c>
      <c r="H167">
        <v>0.5665</v>
      </c>
      <c r="I167">
        <v>0.188</v>
      </c>
    </row>
    <row r="168" spans="2:14" x14ac:dyDescent="0.2">
      <c r="C168" t="s">
        <v>19</v>
      </c>
      <c r="D168" t="s">
        <v>20</v>
      </c>
      <c r="E168">
        <v>1201</v>
      </c>
      <c r="F168">
        <v>0.51180000000000003</v>
      </c>
      <c r="G168">
        <v>0.39529999999999998</v>
      </c>
      <c r="H168">
        <v>0.88639999999999997</v>
      </c>
      <c r="I168">
        <v>0.13500000000000001</v>
      </c>
    </row>
    <row r="169" spans="2:14" x14ac:dyDescent="0.2">
      <c r="C169" t="s">
        <v>21</v>
      </c>
      <c r="D169" t="s">
        <v>22</v>
      </c>
      <c r="E169">
        <v>105</v>
      </c>
      <c r="F169">
        <v>1.3324</v>
      </c>
      <c r="G169">
        <v>1.0472999999999999</v>
      </c>
      <c r="H169">
        <v>2.3077000000000001</v>
      </c>
      <c r="I169">
        <v>0.184</v>
      </c>
    </row>
    <row r="170" spans="2:14" x14ac:dyDescent="0.2">
      <c r="C170" t="s">
        <v>23</v>
      </c>
      <c r="D170" t="s">
        <v>24</v>
      </c>
      <c r="E170">
        <v>0</v>
      </c>
    </row>
    <row r="171" spans="2:14" x14ac:dyDescent="0.2">
      <c r="C171" t="s">
        <v>25</v>
      </c>
      <c r="D171" t="s">
        <v>26</v>
      </c>
      <c r="E171">
        <v>0</v>
      </c>
    </row>
    <row r="172" spans="2:14" x14ac:dyDescent="0.2">
      <c r="C172" t="s">
        <v>27</v>
      </c>
      <c r="D172">
        <v>72784</v>
      </c>
      <c r="E172">
        <v>0.26269999999999999</v>
      </c>
      <c r="F172">
        <v>0.19570000000000001</v>
      </c>
    </row>
    <row r="174" spans="2:14" x14ac:dyDescent="0.2">
      <c r="B174" t="s">
        <v>41</v>
      </c>
    </row>
    <row r="175" spans="2:14" x14ac:dyDescent="0.2">
      <c r="B175" t="s">
        <v>0</v>
      </c>
      <c r="C175" t="s">
        <v>1</v>
      </c>
      <c r="D175" t="s">
        <v>2</v>
      </c>
      <c r="E175" t="s">
        <v>0</v>
      </c>
    </row>
    <row r="176" spans="2:14" x14ac:dyDescent="0.2">
      <c r="C176" t="s">
        <v>3</v>
      </c>
      <c r="D176" t="s">
        <v>4</v>
      </c>
      <c r="E176" t="s">
        <v>5</v>
      </c>
      <c r="F176" t="s">
        <v>2</v>
      </c>
      <c r="G176" t="s">
        <v>6</v>
      </c>
      <c r="H176" t="s">
        <v>7</v>
      </c>
      <c r="I176" t="s">
        <v>8</v>
      </c>
      <c r="J176" t="s">
        <v>7</v>
      </c>
      <c r="K176" t="s">
        <v>6</v>
      </c>
      <c r="L176" t="s">
        <v>9</v>
      </c>
      <c r="M176" t="s">
        <v>10</v>
      </c>
      <c r="N176" t="s">
        <v>6</v>
      </c>
    </row>
    <row r="177" spans="2:14" x14ac:dyDescent="0.2">
      <c r="C177" t="s">
        <v>11</v>
      </c>
      <c r="D177" t="s">
        <v>12</v>
      </c>
      <c r="E177">
        <v>18869</v>
      </c>
      <c r="F177">
        <v>0.1628</v>
      </c>
      <c r="G177">
        <v>0.1217</v>
      </c>
      <c r="H177">
        <v>0.28199999999999997</v>
      </c>
      <c r="I177">
        <v>0.84699999999999998</v>
      </c>
    </row>
    <row r="178" spans="2:14" x14ac:dyDescent="0.2">
      <c r="C178" t="s">
        <v>13</v>
      </c>
      <c r="D178" t="s">
        <v>14</v>
      </c>
      <c r="E178">
        <v>22288</v>
      </c>
      <c r="F178">
        <v>0.2099</v>
      </c>
      <c r="G178">
        <v>0.16300000000000001</v>
      </c>
      <c r="H178">
        <v>0.36349999999999999</v>
      </c>
      <c r="I178">
        <v>0.48599999999999999</v>
      </c>
    </row>
    <row r="179" spans="2:14" x14ac:dyDescent="0.2">
      <c r="C179" t="s">
        <v>15</v>
      </c>
      <c r="D179" t="s">
        <v>16</v>
      </c>
      <c r="E179">
        <v>20621</v>
      </c>
      <c r="F179">
        <v>0.23760000000000001</v>
      </c>
      <c r="G179">
        <v>0.18640000000000001</v>
      </c>
      <c r="H179">
        <v>0.41149999999999998</v>
      </c>
      <c r="I179">
        <v>0.28899999999999998</v>
      </c>
    </row>
    <row r="180" spans="2:14" x14ac:dyDescent="0.2">
      <c r="C180" t="s">
        <v>17</v>
      </c>
      <c r="D180" t="s">
        <v>18</v>
      </c>
      <c r="E180">
        <v>9700</v>
      </c>
      <c r="F180">
        <v>0.27689999999999998</v>
      </c>
      <c r="G180">
        <v>0.21840000000000001</v>
      </c>
      <c r="H180">
        <v>0.47949999999999998</v>
      </c>
      <c r="I180">
        <v>0.159</v>
      </c>
    </row>
    <row r="181" spans="2:14" x14ac:dyDescent="0.2">
      <c r="C181" t="s">
        <v>19</v>
      </c>
      <c r="D181" t="s">
        <v>20</v>
      </c>
      <c r="E181">
        <v>1201</v>
      </c>
      <c r="F181">
        <v>0.3281</v>
      </c>
      <c r="G181">
        <v>0.25879999999999997</v>
      </c>
      <c r="H181">
        <v>0.56840000000000002</v>
      </c>
      <c r="I181">
        <v>8.5999999999999993E-2</v>
      </c>
    </row>
    <row r="182" spans="2:14" x14ac:dyDescent="0.2">
      <c r="C182" t="s">
        <v>21</v>
      </c>
      <c r="D182" t="s">
        <v>22</v>
      </c>
      <c r="E182">
        <v>105</v>
      </c>
      <c r="F182">
        <v>0.41970000000000002</v>
      </c>
      <c r="G182">
        <v>0.32890000000000003</v>
      </c>
      <c r="H182">
        <v>0.72699999999999998</v>
      </c>
      <c r="I182">
        <v>5.8000000000000003E-2</v>
      </c>
    </row>
    <row r="183" spans="2:14" x14ac:dyDescent="0.2">
      <c r="C183" t="s">
        <v>23</v>
      </c>
      <c r="D183" t="s">
        <v>24</v>
      </c>
      <c r="E183">
        <v>0</v>
      </c>
    </row>
    <row r="184" spans="2:14" x14ac:dyDescent="0.2">
      <c r="C184" t="s">
        <v>25</v>
      </c>
      <c r="D184" t="s">
        <v>26</v>
      </c>
      <c r="E184">
        <v>0</v>
      </c>
    </row>
    <row r="185" spans="2:14" x14ac:dyDescent="0.2">
      <c r="C185" t="s">
        <v>27</v>
      </c>
      <c r="D185">
        <v>72784</v>
      </c>
      <c r="E185">
        <v>0.2205</v>
      </c>
      <c r="F185">
        <v>0.16819999999999999</v>
      </c>
      <c r="G185">
        <f>E185*SQRT(3)</f>
        <v>0.38191720306893745</v>
      </c>
    </row>
    <row r="187" spans="2:14" x14ac:dyDescent="0.2">
      <c r="B187" t="s">
        <v>42</v>
      </c>
    </row>
    <row r="188" spans="2:14" x14ac:dyDescent="0.2">
      <c r="B188" t="s">
        <v>0</v>
      </c>
      <c r="C188" t="s">
        <v>1</v>
      </c>
      <c r="D188" t="s">
        <v>2</v>
      </c>
      <c r="E188" t="s">
        <v>0</v>
      </c>
    </row>
    <row r="189" spans="2:14" x14ac:dyDescent="0.2">
      <c r="C189" t="s">
        <v>3</v>
      </c>
      <c r="D189" t="s">
        <v>4</v>
      </c>
      <c r="E189" t="s">
        <v>5</v>
      </c>
      <c r="F189" t="s">
        <v>2</v>
      </c>
      <c r="G189" t="s">
        <v>6</v>
      </c>
      <c r="H189" t="s">
        <v>7</v>
      </c>
      <c r="I189" t="s">
        <v>8</v>
      </c>
      <c r="J189" t="s">
        <v>7</v>
      </c>
      <c r="K189" t="s">
        <v>6</v>
      </c>
      <c r="L189" t="s">
        <v>9</v>
      </c>
      <c r="M189" t="s">
        <v>10</v>
      </c>
      <c r="N189" t="s">
        <v>6</v>
      </c>
    </row>
    <row r="190" spans="2:14" x14ac:dyDescent="0.2">
      <c r="C190" t="s">
        <v>11</v>
      </c>
      <c r="D190" t="s">
        <v>12</v>
      </c>
      <c r="E190">
        <v>18869</v>
      </c>
      <c r="F190">
        <v>0.14219999999999999</v>
      </c>
      <c r="G190">
        <v>0.10589999999999999</v>
      </c>
      <c r="H190">
        <v>0.2462</v>
      </c>
      <c r="I190">
        <v>0.73899999999999999</v>
      </c>
    </row>
    <row r="191" spans="2:14" x14ac:dyDescent="0.2">
      <c r="C191" t="s">
        <v>13</v>
      </c>
      <c r="D191" t="s">
        <v>14</v>
      </c>
      <c r="E191">
        <v>22288</v>
      </c>
      <c r="F191">
        <v>0.1817</v>
      </c>
      <c r="G191">
        <v>0.1409</v>
      </c>
      <c r="H191">
        <v>0.31480000000000002</v>
      </c>
      <c r="I191">
        <v>0.42099999999999999</v>
      </c>
    </row>
    <row r="192" spans="2:14" x14ac:dyDescent="0.2">
      <c r="C192" t="s">
        <v>15</v>
      </c>
      <c r="D192" t="s">
        <v>16</v>
      </c>
      <c r="E192">
        <v>20621</v>
      </c>
      <c r="F192">
        <v>0.20649999999999999</v>
      </c>
      <c r="G192">
        <v>0.16189999999999999</v>
      </c>
      <c r="H192">
        <v>0.35759999999999997</v>
      </c>
      <c r="I192">
        <v>0.251</v>
      </c>
    </row>
    <row r="193" spans="2:14" x14ac:dyDescent="0.2">
      <c r="C193" t="s">
        <v>17</v>
      </c>
      <c r="D193" t="s">
        <v>18</v>
      </c>
      <c r="E193">
        <v>9700</v>
      </c>
      <c r="F193">
        <v>0.24310000000000001</v>
      </c>
      <c r="G193">
        <v>0.19159999999999999</v>
      </c>
      <c r="H193">
        <v>0.42109999999999997</v>
      </c>
      <c r="I193">
        <v>0.14000000000000001</v>
      </c>
    </row>
    <row r="194" spans="2:14" x14ac:dyDescent="0.2">
      <c r="C194" t="s">
        <v>19</v>
      </c>
      <c r="D194" t="s">
        <v>20</v>
      </c>
      <c r="E194">
        <v>1201</v>
      </c>
      <c r="F194">
        <v>0.2888</v>
      </c>
      <c r="G194">
        <v>0.22600000000000001</v>
      </c>
      <c r="H194">
        <v>0.50029999999999997</v>
      </c>
      <c r="I194">
        <v>7.5999999999999998E-2</v>
      </c>
    </row>
    <row r="195" spans="2:14" x14ac:dyDescent="0.2">
      <c r="C195" t="s">
        <v>21</v>
      </c>
      <c r="D195" t="s">
        <v>22</v>
      </c>
      <c r="E195">
        <v>105</v>
      </c>
      <c r="F195">
        <v>0.31019999999999998</v>
      </c>
      <c r="G195">
        <v>0.2379</v>
      </c>
      <c r="H195">
        <v>0.53720000000000001</v>
      </c>
      <c r="I195">
        <v>4.2999999999999997E-2</v>
      </c>
    </row>
    <row r="196" spans="2:14" x14ac:dyDescent="0.2">
      <c r="C196" t="s">
        <v>23</v>
      </c>
      <c r="D196" t="s">
        <v>24</v>
      </c>
      <c r="E196">
        <v>0</v>
      </c>
    </row>
    <row r="197" spans="2:14" x14ac:dyDescent="0.2">
      <c r="C197" t="s">
        <v>25</v>
      </c>
      <c r="D197" t="s">
        <v>26</v>
      </c>
      <c r="E197">
        <v>0</v>
      </c>
    </row>
    <row r="198" spans="2:14" x14ac:dyDescent="0.2">
      <c r="C198" t="s">
        <v>27</v>
      </c>
      <c r="D198">
        <v>72784</v>
      </c>
      <c r="E198">
        <v>0.19189999999999999</v>
      </c>
      <c r="F198">
        <v>0.14610000000000001</v>
      </c>
      <c r="G198">
        <f>E198*SQRT(3)</f>
        <v>0.33238054997246752</v>
      </c>
    </row>
    <row r="200" spans="2:14" x14ac:dyDescent="0.2">
      <c r="B200" t="s">
        <v>43</v>
      </c>
    </row>
    <row r="201" spans="2:14" x14ac:dyDescent="0.2">
      <c r="B201" t="s">
        <v>0</v>
      </c>
      <c r="C201" t="s">
        <v>1</v>
      </c>
      <c r="D201" t="s">
        <v>2</v>
      </c>
      <c r="E201" t="s">
        <v>0</v>
      </c>
      <c r="F201" t="s">
        <v>28</v>
      </c>
      <c r="G201" t="s">
        <v>29</v>
      </c>
      <c r="H201" t="s">
        <v>44</v>
      </c>
      <c r="I201" t="s">
        <v>45</v>
      </c>
    </row>
    <row r="202" spans="2:14" x14ac:dyDescent="0.2">
      <c r="C202" t="s">
        <v>3</v>
      </c>
      <c r="D202" t="s">
        <v>4</v>
      </c>
      <c r="E202" t="s">
        <v>5</v>
      </c>
      <c r="F202" t="s">
        <v>2</v>
      </c>
      <c r="G202" t="s">
        <v>6</v>
      </c>
      <c r="H202" t="s">
        <v>7</v>
      </c>
      <c r="I202" t="s">
        <v>8</v>
      </c>
      <c r="J202" t="s">
        <v>7</v>
      </c>
      <c r="K202" t="s">
        <v>6</v>
      </c>
      <c r="L202" t="s">
        <v>9</v>
      </c>
      <c r="M202" t="s">
        <v>10</v>
      </c>
      <c r="N202" t="s">
        <v>6</v>
      </c>
    </row>
    <row r="203" spans="2:14" x14ac:dyDescent="0.2">
      <c r="C203" t="s">
        <v>11</v>
      </c>
      <c r="D203" t="s">
        <v>12</v>
      </c>
      <c r="E203">
        <v>18869</v>
      </c>
      <c r="F203">
        <v>0.1424</v>
      </c>
      <c r="G203">
        <v>0.106</v>
      </c>
      <c r="H203">
        <v>0.2467</v>
      </c>
      <c r="I203">
        <v>0.74</v>
      </c>
    </row>
    <row r="204" spans="2:14" x14ac:dyDescent="0.2">
      <c r="C204" t="s">
        <v>13</v>
      </c>
      <c r="D204" t="s">
        <v>14</v>
      </c>
      <c r="E204">
        <v>22288</v>
      </c>
      <c r="F204">
        <v>0.18229999999999999</v>
      </c>
      <c r="G204">
        <v>0.1409</v>
      </c>
      <c r="H204">
        <v>0.31580000000000003</v>
      </c>
      <c r="I204">
        <v>0.42199999999999999</v>
      </c>
    </row>
    <row r="205" spans="2:14" x14ac:dyDescent="0.2">
      <c r="C205" t="s">
        <v>15</v>
      </c>
      <c r="D205" t="s">
        <v>16</v>
      </c>
      <c r="E205">
        <v>20621</v>
      </c>
      <c r="F205">
        <v>0.20810000000000001</v>
      </c>
      <c r="G205">
        <v>0.16259999999999999</v>
      </c>
      <c r="H205">
        <v>0.36049999999999999</v>
      </c>
      <c r="I205">
        <v>0.253</v>
      </c>
    </row>
    <row r="206" spans="2:14" x14ac:dyDescent="0.2">
      <c r="C206" t="s">
        <v>17</v>
      </c>
      <c r="D206" t="s">
        <v>18</v>
      </c>
      <c r="E206">
        <v>9700</v>
      </c>
      <c r="F206">
        <v>0.24690000000000001</v>
      </c>
      <c r="G206">
        <v>0.19470000000000001</v>
      </c>
      <c r="H206">
        <v>0.42759999999999998</v>
      </c>
      <c r="I206">
        <v>0.14199999999999999</v>
      </c>
    </row>
    <row r="207" spans="2:14" x14ac:dyDescent="0.2">
      <c r="C207" t="s">
        <v>19</v>
      </c>
      <c r="D207" t="s">
        <v>20</v>
      </c>
      <c r="E207">
        <v>1201</v>
      </c>
      <c r="F207">
        <v>0.29370000000000002</v>
      </c>
      <c r="G207">
        <v>0.22989999999999999</v>
      </c>
      <c r="H207">
        <v>0.50880000000000003</v>
      </c>
      <c r="I207">
        <v>7.6999999999999999E-2</v>
      </c>
    </row>
    <row r="208" spans="2:14" x14ac:dyDescent="0.2">
      <c r="C208" t="s">
        <v>21</v>
      </c>
      <c r="D208" t="s">
        <v>22</v>
      </c>
      <c r="E208">
        <v>105</v>
      </c>
      <c r="F208">
        <v>0.31780000000000003</v>
      </c>
      <c r="G208">
        <v>0.24660000000000001</v>
      </c>
      <c r="H208">
        <v>0.55049999999999999</v>
      </c>
      <c r="I208">
        <v>4.3999999999999997E-2</v>
      </c>
    </row>
    <row r="209" spans="2:14" x14ac:dyDescent="0.2">
      <c r="C209" t="s">
        <v>23</v>
      </c>
      <c r="D209" t="s">
        <v>24</v>
      </c>
      <c r="E209">
        <v>0</v>
      </c>
    </row>
    <row r="210" spans="2:14" x14ac:dyDescent="0.2">
      <c r="C210" t="s">
        <v>25</v>
      </c>
      <c r="D210" t="s">
        <v>26</v>
      </c>
      <c r="E210">
        <v>0</v>
      </c>
    </row>
    <row r="211" spans="2:14" x14ac:dyDescent="0.2">
      <c r="C211" t="s">
        <v>27</v>
      </c>
      <c r="D211">
        <v>72784</v>
      </c>
      <c r="E211">
        <v>0.19339999999999999</v>
      </c>
      <c r="F211">
        <v>0.14680000000000001</v>
      </c>
      <c r="G211">
        <f>E211*SQRT(3)</f>
        <v>0.33497862618382085</v>
      </c>
    </row>
    <row r="213" spans="2:14" x14ac:dyDescent="0.2">
      <c r="B213" t="s">
        <v>46</v>
      </c>
    </row>
    <row r="214" spans="2:14" x14ac:dyDescent="0.2">
      <c r="B214" t="s">
        <v>0</v>
      </c>
      <c r="C214" t="s">
        <v>1</v>
      </c>
      <c r="D214" t="s">
        <v>2</v>
      </c>
      <c r="E214" t="s">
        <v>0</v>
      </c>
    </row>
    <row r="215" spans="2:14" x14ac:dyDescent="0.2">
      <c r="C215" t="s">
        <v>3</v>
      </c>
      <c r="D215" t="s">
        <v>4</v>
      </c>
      <c r="E215" t="s">
        <v>5</v>
      </c>
      <c r="F215" t="s">
        <v>2</v>
      </c>
      <c r="G215" t="s">
        <v>6</v>
      </c>
      <c r="H215" t="s">
        <v>7</v>
      </c>
      <c r="I215" t="s">
        <v>8</v>
      </c>
      <c r="J215" t="s">
        <v>7</v>
      </c>
      <c r="K215" t="s">
        <v>6</v>
      </c>
      <c r="L215" t="s">
        <v>9</v>
      </c>
      <c r="M215" t="s">
        <v>10</v>
      </c>
      <c r="N215" t="s">
        <v>6</v>
      </c>
    </row>
    <row r="216" spans="2:14" x14ac:dyDescent="0.2">
      <c r="C216" t="s">
        <v>11</v>
      </c>
      <c r="D216" t="s">
        <v>12</v>
      </c>
      <c r="E216">
        <v>18869</v>
      </c>
      <c r="F216">
        <v>0.155</v>
      </c>
      <c r="G216">
        <v>0.1159</v>
      </c>
      <c r="H216">
        <v>0.26850000000000002</v>
      </c>
      <c r="I216">
        <v>0.80600000000000005</v>
      </c>
    </row>
    <row r="217" spans="2:14" x14ac:dyDescent="0.2">
      <c r="C217" t="s">
        <v>13</v>
      </c>
      <c r="D217" t="s">
        <v>14</v>
      </c>
      <c r="E217">
        <v>22288</v>
      </c>
      <c r="F217">
        <v>0.19980000000000001</v>
      </c>
      <c r="G217">
        <v>0.15479999999999999</v>
      </c>
      <c r="H217">
        <v>0.34610000000000002</v>
      </c>
      <c r="I217">
        <v>0.46300000000000002</v>
      </c>
    </row>
    <row r="218" spans="2:14" x14ac:dyDescent="0.2">
      <c r="C218" t="s">
        <v>15</v>
      </c>
      <c r="D218" t="s">
        <v>16</v>
      </c>
      <c r="E218">
        <v>20621</v>
      </c>
      <c r="F218">
        <v>0.22559999999999999</v>
      </c>
      <c r="G218">
        <v>0.1769</v>
      </c>
      <c r="H218">
        <v>0.39079999999999998</v>
      </c>
      <c r="I218">
        <v>0.27500000000000002</v>
      </c>
    </row>
    <row r="219" spans="2:14" x14ac:dyDescent="0.2">
      <c r="C219" t="s">
        <v>17</v>
      </c>
      <c r="D219" t="s">
        <v>18</v>
      </c>
      <c r="E219">
        <v>9700</v>
      </c>
      <c r="F219">
        <v>0.2656</v>
      </c>
      <c r="G219">
        <v>0.20910000000000001</v>
      </c>
      <c r="H219">
        <v>0.46</v>
      </c>
      <c r="I219">
        <v>0.153</v>
      </c>
    </row>
    <row r="220" spans="2:14" x14ac:dyDescent="0.2">
      <c r="C220" t="s">
        <v>19</v>
      </c>
      <c r="D220" t="s">
        <v>20</v>
      </c>
      <c r="E220">
        <v>1201</v>
      </c>
      <c r="F220">
        <v>0.30559999999999998</v>
      </c>
      <c r="G220">
        <v>0.2402</v>
      </c>
      <c r="H220">
        <v>0.5292</v>
      </c>
      <c r="I220">
        <v>0.08</v>
      </c>
    </row>
    <row r="221" spans="2:14" x14ac:dyDescent="0.2">
      <c r="C221" t="s">
        <v>21</v>
      </c>
      <c r="D221" t="s">
        <v>22</v>
      </c>
      <c r="E221">
        <v>105</v>
      </c>
      <c r="F221">
        <v>0.34139999999999998</v>
      </c>
      <c r="G221">
        <v>0.2666</v>
      </c>
      <c r="H221">
        <v>0.59119999999999995</v>
      </c>
      <c r="I221">
        <v>4.7E-2</v>
      </c>
    </row>
    <row r="222" spans="2:14" x14ac:dyDescent="0.2">
      <c r="C222" t="s">
        <v>23</v>
      </c>
      <c r="D222" t="s">
        <v>24</v>
      </c>
      <c r="E222">
        <v>0</v>
      </c>
    </row>
    <row r="223" spans="2:14" x14ac:dyDescent="0.2">
      <c r="C223" t="s">
        <v>25</v>
      </c>
      <c r="D223" t="s">
        <v>26</v>
      </c>
      <c r="E223">
        <v>0</v>
      </c>
    </row>
    <row r="224" spans="2:14" x14ac:dyDescent="0.2">
      <c r="C224" t="s">
        <v>27</v>
      </c>
      <c r="D224">
        <v>72784</v>
      </c>
      <c r="E224">
        <v>0.2097</v>
      </c>
      <c r="F224">
        <v>0.1598</v>
      </c>
    </row>
    <row r="226" spans="2:14" x14ac:dyDescent="0.2">
      <c r="B226" t="s">
        <v>49</v>
      </c>
    </row>
    <row r="227" spans="2:14" x14ac:dyDescent="0.2">
      <c r="B227" t="s">
        <v>0</v>
      </c>
      <c r="C227" t="s">
        <v>1</v>
      </c>
      <c r="D227" t="s">
        <v>2</v>
      </c>
      <c r="E227" t="s">
        <v>0</v>
      </c>
    </row>
    <row r="228" spans="2:14" x14ac:dyDescent="0.2">
      <c r="C228" t="s">
        <v>3</v>
      </c>
      <c r="D228" t="s">
        <v>4</v>
      </c>
      <c r="E228" t="s">
        <v>5</v>
      </c>
      <c r="F228" t="s">
        <v>2</v>
      </c>
      <c r="G228" t="s">
        <v>6</v>
      </c>
      <c r="H228" t="s">
        <v>7</v>
      </c>
      <c r="I228" t="s">
        <v>8</v>
      </c>
      <c r="J228" t="s">
        <v>7</v>
      </c>
      <c r="K228" t="s">
        <v>6</v>
      </c>
      <c r="L228" t="s">
        <v>9</v>
      </c>
      <c r="M228" t="s">
        <v>10</v>
      </c>
      <c r="N228" t="s">
        <v>6</v>
      </c>
    </row>
    <row r="229" spans="2:14" x14ac:dyDescent="0.2">
      <c r="C229" t="s">
        <v>11</v>
      </c>
      <c r="D229" t="s">
        <v>12</v>
      </c>
      <c r="E229">
        <v>19162</v>
      </c>
      <c r="F229">
        <v>0.17810000000000001</v>
      </c>
      <c r="G229">
        <v>0.1336</v>
      </c>
      <c r="H229">
        <v>0.3085</v>
      </c>
      <c r="I229">
        <v>0.92600000000000005</v>
      </c>
    </row>
    <row r="230" spans="2:14" x14ac:dyDescent="0.2">
      <c r="C230" t="s">
        <v>13</v>
      </c>
      <c r="D230" t="s">
        <v>14</v>
      </c>
      <c r="E230">
        <v>22789</v>
      </c>
      <c r="F230">
        <v>0.2364</v>
      </c>
      <c r="G230">
        <v>0.18379999999999999</v>
      </c>
      <c r="H230">
        <v>0.40939999999999999</v>
      </c>
      <c r="I230">
        <v>0.54800000000000004</v>
      </c>
    </row>
    <row r="231" spans="2:14" x14ac:dyDescent="0.2">
      <c r="C231" t="s">
        <v>15</v>
      </c>
      <c r="D231" t="s">
        <v>16</v>
      </c>
      <c r="E231">
        <v>21502</v>
      </c>
      <c r="F231">
        <v>0.26150000000000001</v>
      </c>
      <c r="G231">
        <v>0.2046</v>
      </c>
      <c r="H231">
        <v>0.45290000000000002</v>
      </c>
      <c r="I231">
        <v>0.318</v>
      </c>
    </row>
    <row r="232" spans="2:14" x14ac:dyDescent="0.2">
      <c r="C232" t="s">
        <v>17</v>
      </c>
      <c r="D232" t="s">
        <v>18</v>
      </c>
      <c r="E232">
        <v>10565</v>
      </c>
      <c r="F232">
        <v>0.30299999999999999</v>
      </c>
      <c r="G232">
        <v>0.23899999999999999</v>
      </c>
      <c r="H232">
        <v>0.52490000000000003</v>
      </c>
      <c r="I232">
        <v>0.17399999999999999</v>
      </c>
    </row>
    <row r="233" spans="2:14" x14ac:dyDescent="0.2">
      <c r="C233" t="s">
        <v>19</v>
      </c>
      <c r="D233" t="s">
        <v>20</v>
      </c>
      <c r="E233">
        <v>1373</v>
      </c>
      <c r="F233">
        <v>0.37309999999999999</v>
      </c>
      <c r="G233">
        <v>0.2954</v>
      </c>
      <c r="H233">
        <v>0.6462</v>
      </c>
      <c r="I233">
        <v>9.8000000000000004E-2</v>
      </c>
    </row>
    <row r="234" spans="2:14" x14ac:dyDescent="0.2">
      <c r="C234" t="s">
        <v>21</v>
      </c>
      <c r="D234" t="s">
        <v>22</v>
      </c>
      <c r="E234">
        <v>109</v>
      </c>
      <c r="F234">
        <v>0.45069999999999999</v>
      </c>
      <c r="G234">
        <v>0.3392</v>
      </c>
      <c r="H234">
        <v>0.78069999999999995</v>
      </c>
      <c r="I234">
        <v>6.3E-2</v>
      </c>
    </row>
    <row r="235" spans="2:14" x14ac:dyDescent="0.2">
      <c r="C235" t="s">
        <v>23</v>
      </c>
      <c r="D235" t="s">
        <v>24</v>
      </c>
      <c r="E235">
        <v>0</v>
      </c>
    </row>
    <row r="236" spans="2:14" x14ac:dyDescent="0.2">
      <c r="C236" t="s">
        <v>25</v>
      </c>
      <c r="D236" t="s">
        <v>26</v>
      </c>
      <c r="E236">
        <v>0</v>
      </c>
    </row>
    <row r="237" spans="2:14" x14ac:dyDescent="0.2">
      <c r="C237" t="s">
        <v>27</v>
      </c>
      <c r="D237">
        <v>75500</v>
      </c>
      <c r="E237">
        <v>0.24510000000000001</v>
      </c>
      <c r="F237">
        <v>0.187</v>
      </c>
      <c r="G237">
        <f>E237*SQRT(3)</f>
        <v>0.42452565293513184</v>
      </c>
    </row>
    <row r="239" spans="2:14" x14ac:dyDescent="0.2">
      <c r="B239" t="s">
        <v>50</v>
      </c>
    </row>
    <row r="240" spans="2:14" x14ac:dyDescent="0.2">
      <c r="B240" t="s">
        <v>0</v>
      </c>
      <c r="C240" t="s">
        <v>1</v>
      </c>
      <c r="D240" t="s">
        <v>2</v>
      </c>
      <c r="E240" t="s">
        <v>0</v>
      </c>
    </row>
    <row r="241" spans="2:14" x14ac:dyDescent="0.2">
      <c r="C241" t="s">
        <v>3</v>
      </c>
      <c r="D241" t="s">
        <v>4</v>
      </c>
      <c r="E241" t="s">
        <v>5</v>
      </c>
      <c r="F241" t="s">
        <v>2</v>
      </c>
      <c r="G241" t="s">
        <v>6</v>
      </c>
      <c r="H241" t="s">
        <v>7</v>
      </c>
      <c r="I241" t="s">
        <v>8</v>
      </c>
      <c r="J241" t="s">
        <v>7</v>
      </c>
      <c r="K241" t="s">
        <v>6</v>
      </c>
      <c r="L241" t="s">
        <v>9</v>
      </c>
      <c r="M241" t="s">
        <v>10</v>
      </c>
      <c r="N241" t="s">
        <v>6</v>
      </c>
    </row>
    <row r="242" spans="2:14" x14ac:dyDescent="0.2">
      <c r="C242" t="s">
        <v>11</v>
      </c>
      <c r="D242" t="s">
        <v>12</v>
      </c>
      <c r="E242">
        <v>19162</v>
      </c>
      <c r="F242">
        <v>0.18079999999999999</v>
      </c>
      <c r="G242">
        <v>0.13589999999999999</v>
      </c>
      <c r="H242">
        <v>0.31309999999999999</v>
      </c>
      <c r="I242">
        <v>0.94</v>
      </c>
    </row>
    <row r="243" spans="2:14" x14ac:dyDescent="0.2">
      <c r="C243" t="s">
        <v>13</v>
      </c>
      <c r="D243" t="s">
        <v>14</v>
      </c>
      <c r="E243">
        <v>22789</v>
      </c>
      <c r="F243">
        <v>0.23860000000000001</v>
      </c>
      <c r="G243">
        <v>0.1855</v>
      </c>
      <c r="H243">
        <v>0.41320000000000001</v>
      </c>
      <c r="I243">
        <v>0.55300000000000005</v>
      </c>
    </row>
    <row r="244" spans="2:14" x14ac:dyDescent="0.2">
      <c r="C244" t="s">
        <v>15</v>
      </c>
      <c r="D244" t="s">
        <v>16</v>
      </c>
      <c r="E244">
        <v>21502</v>
      </c>
      <c r="F244">
        <v>0.26579999999999998</v>
      </c>
      <c r="G244">
        <v>0.20860000000000001</v>
      </c>
      <c r="H244">
        <v>0.46039999999999998</v>
      </c>
      <c r="I244">
        <v>0.32300000000000001</v>
      </c>
    </row>
    <row r="245" spans="2:14" x14ac:dyDescent="0.2">
      <c r="C245" t="s">
        <v>17</v>
      </c>
      <c r="D245" t="s">
        <v>18</v>
      </c>
      <c r="E245">
        <v>10565</v>
      </c>
      <c r="F245">
        <v>0.31530000000000002</v>
      </c>
      <c r="G245">
        <v>0.24829999999999999</v>
      </c>
      <c r="H245">
        <v>0.54620000000000002</v>
      </c>
      <c r="I245">
        <v>0.18099999999999999</v>
      </c>
    </row>
    <row r="246" spans="2:14" x14ac:dyDescent="0.2">
      <c r="C246" t="s">
        <v>19</v>
      </c>
      <c r="D246" t="s">
        <v>20</v>
      </c>
      <c r="E246">
        <v>1373</v>
      </c>
      <c r="F246">
        <v>0.4299</v>
      </c>
      <c r="G246">
        <v>0.33360000000000001</v>
      </c>
      <c r="H246">
        <v>0.74470000000000003</v>
      </c>
      <c r="I246">
        <v>0.113</v>
      </c>
    </row>
    <row r="247" spans="2:14" x14ac:dyDescent="0.2">
      <c r="C247" t="s">
        <v>21</v>
      </c>
      <c r="D247" t="s">
        <v>22</v>
      </c>
      <c r="E247">
        <v>109</v>
      </c>
      <c r="F247">
        <v>0.78520000000000001</v>
      </c>
      <c r="G247">
        <v>0.58940000000000003</v>
      </c>
      <c r="H247">
        <v>1.36</v>
      </c>
      <c r="I247">
        <v>0.109</v>
      </c>
    </row>
    <row r="248" spans="2:14" x14ac:dyDescent="0.2">
      <c r="C248" t="s">
        <v>23</v>
      </c>
      <c r="D248" t="s">
        <v>24</v>
      </c>
      <c r="E248">
        <v>0</v>
      </c>
    </row>
    <row r="249" spans="2:14" x14ac:dyDescent="0.2">
      <c r="C249" t="s">
        <v>25</v>
      </c>
      <c r="D249" t="s">
        <v>26</v>
      </c>
      <c r="E249">
        <v>0</v>
      </c>
    </row>
    <row r="250" spans="2:14" x14ac:dyDescent="0.2">
      <c r="C250" t="s">
        <v>27</v>
      </c>
      <c r="D250">
        <v>75500</v>
      </c>
      <c r="E250">
        <v>0.2525</v>
      </c>
      <c r="F250">
        <v>0.1915</v>
      </c>
    </row>
    <row r="252" spans="2:14" x14ac:dyDescent="0.2">
      <c r="B252" t="s">
        <v>51</v>
      </c>
    </row>
    <row r="253" spans="2:14" x14ac:dyDescent="0.2">
      <c r="B253" t="s">
        <v>0</v>
      </c>
      <c r="C253" t="s">
        <v>1</v>
      </c>
      <c r="D253" t="s">
        <v>2</v>
      </c>
      <c r="E253" t="s">
        <v>0</v>
      </c>
    </row>
    <row r="254" spans="2:14" x14ac:dyDescent="0.2">
      <c r="C254" t="s">
        <v>3</v>
      </c>
      <c r="D254" t="s">
        <v>4</v>
      </c>
      <c r="E254" t="s">
        <v>5</v>
      </c>
      <c r="F254" t="s">
        <v>2</v>
      </c>
      <c r="G254" t="s">
        <v>6</v>
      </c>
      <c r="H254" t="s">
        <v>7</v>
      </c>
      <c r="I254" t="s">
        <v>8</v>
      </c>
      <c r="J254" t="s">
        <v>7</v>
      </c>
      <c r="K254" t="s">
        <v>6</v>
      </c>
      <c r="L254" t="s">
        <v>9</v>
      </c>
      <c r="M254" t="s">
        <v>10</v>
      </c>
      <c r="N254" t="s">
        <v>6</v>
      </c>
    </row>
    <row r="255" spans="2:14" x14ac:dyDescent="0.2">
      <c r="C255" t="s">
        <v>11</v>
      </c>
      <c r="D255" t="s">
        <v>12</v>
      </c>
      <c r="E255">
        <v>19162</v>
      </c>
      <c r="F255">
        <v>0.18099999999999999</v>
      </c>
      <c r="G255">
        <v>0.13400000000000001</v>
      </c>
      <c r="H255">
        <v>0.3135</v>
      </c>
      <c r="I255">
        <v>0.94099999999999995</v>
      </c>
    </row>
    <row r="256" spans="2:14" x14ac:dyDescent="0.2">
      <c r="C256" t="s">
        <v>13</v>
      </c>
      <c r="D256" t="s">
        <v>14</v>
      </c>
      <c r="E256">
        <v>22789</v>
      </c>
      <c r="F256">
        <v>0.24279999999999999</v>
      </c>
      <c r="G256">
        <v>0.18709999999999999</v>
      </c>
      <c r="H256">
        <v>0.42049999999999998</v>
      </c>
      <c r="I256">
        <v>0.56200000000000006</v>
      </c>
    </row>
    <row r="257" spans="2:14" x14ac:dyDescent="0.2">
      <c r="C257" t="s">
        <v>15</v>
      </c>
      <c r="D257" t="s">
        <v>16</v>
      </c>
      <c r="E257">
        <v>21502</v>
      </c>
      <c r="F257">
        <v>0.27189999999999998</v>
      </c>
      <c r="G257">
        <v>0.21229999999999999</v>
      </c>
      <c r="H257">
        <v>0.47089999999999999</v>
      </c>
      <c r="I257">
        <v>0.33100000000000002</v>
      </c>
    </row>
    <row r="258" spans="2:14" x14ac:dyDescent="0.2">
      <c r="C258" t="s">
        <v>17</v>
      </c>
      <c r="D258" t="s">
        <v>18</v>
      </c>
      <c r="E258">
        <v>10565</v>
      </c>
      <c r="F258">
        <v>0.31890000000000002</v>
      </c>
      <c r="G258">
        <v>0.25109999999999999</v>
      </c>
      <c r="H258">
        <v>0.5524</v>
      </c>
      <c r="I258">
        <v>0.183</v>
      </c>
    </row>
    <row r="259" spans="2:14" x14ac:dyDescent="0.2">
      <c r="C259" t="s">
        <v>19</v>
      </c>
      <c r="D259" t="s">
        <v>20</v>
      </c>
      <c r="E259">
        <v>1373</v>
      </c>
      <c r="F259">
        <v>0.375</v>
      </c>
      <c r="G259">
        <v>0.29399999999999998</v>
      </c>
      <c r="H259">
        <v>0.64949999999999997</v>
      </c>
      <c r="I259">
        <v>9.9000000000000005E-2</v>
      </c>
    </row>
    <row r="260" spans="2:14" x14ac:dyDescent="0.2">
      <c r="C260" t="s">
        <v>21</v>
      </c>
      <c r="D260" t="s">
        <v>22</v>
      </c>
      <c r="E260">
        <v>109</v>
      </c>
      <c r="F260">
        <v>0.6401</v>
      </c>
      <c r="G260">
        <v>0.46760000000000002</v>
      </c>
      <c r="H260">
        <v>1.1086</v>
      </c>
      <c r="I260">
        <v>8.8999999999999996E-2</v>
      </c>
    </row>
    <row r="261" spans="2:14" x14ac:dyDescent="0.2">
      <c r="C261" t="s">
        <v>23</v>
      </c>
      <c r="D261" t="s">
        <v>24</v>
      </c>
      <c r="E261">
        <v>0</v>
      </c>
    </row>
    <row r="262" spans="2:14" x14ac:dyDescent="0.2">
      <c r="C262" t="s">
        <v>25</v>
      </c>
      <c r="D262" t="s">
        <v>26</v>
      </c>
      <c r="E262">
        <v>0</v>
      </c>
    </row>
    <row r="263" spans="2:14" x14ac:dyDescent="0.2">
      <c r="C263" t="s">
        <v>27</v>
      </c>
      <c r="D263">
        <v>75500</v>
      </c>
      <c r="E263">
        <v>0.254</v>
      </c>
      <c r="F263">
        <v>0.19209999999999999</v>
      </c>
    </row>
    <row r="265" spans="2:14" x14ac:dyDescent="0.2">
      <c r="B265" t="s">
        <v>52</v>
      </c>
    </row>
    <row r="266" spans="2:14" x14ac:dyDescent="0.2">
      <c r="B266" t="s">
        <v>0</v>
      </c>
      <c r="C266" t="s">
        <v>1</v>
      </c>
      <c r="D266" t="s">
        <v>2</v>
      </c>
      <c r="E266" t="s">
        <v>0</v>
      </c>
    </row>
    <row r="267" spans="2:14" x14ac:dyDescent="0.2">
      <c r="C267" t="s">
        <v>3</v>
      </c>
      <c r="D267" t="s">
        <v>4</v>
      </c>
      <c r="E267" t="s">
        <v>5</v>
      </c>
      <c r="F267" t="s">
        <v>2</v>
      </c>
      <c r="G267" t="s">
        <v>6</v>
      </c>
      <c r="H267" t="s">
        <v>7</v>
      </c>
      <c r="I267" t="s">
        <v>8</v>
      </c>
      <c r="J267" t="s">
        <v>7</v>
      </c>
      <c r="K267" t="s">
        <v>6</v>
      </c>
      <c r="L267" t="s">
        <v>9</v>
      </c>
      <c r="M267" t="s">
        <v>10</v>
      </c>
      <c r="N267" t="s">
        <v>6</v>
      </c>
    </row>
    <row r="268" spans="2:14" x14ac:dyDescent="0.2">
      <c r="C268" t="s">
        <v>11</v>
      </c>
      <c r="D268" t="s">
        <v>12</v>
      </c>
      <c r="E268">
        <v>19162</v>
      </c>
      <c r="F268">
        <v>0.1734</v>
      </c>
      <c r="G268">
        <v>0.12970000000000001</v>
      </c>
      <c r="H268">
        <v>0.30030000000000001</v>
      </c>
      <c r="I268">
        <v>0.90100000000000002</v>
      </c>
    </row>
    <row r="269" spans="2:14" x14ac:dyDescent="0.2">
      <c r="C269" t="s">
        <v>13</v>
      </c>
      <c r="D269" t="s">
        <v>14</v>
      </c>
      <c r="E269">
        <v>22789</v>
      </c>
      <c r="F269">
        <v>0.22359999999999999</v>
      </c>
      <c r="G269">
        <v>0.1736</v>
      </c>
      <c r="H269">
        <v>0.38740000000000002</v>
      </c>
      <c r="I269">
        <v>0.51800000000000002</v>
      </c>
    </row>
    <row r="270" spans="2:14" x14ac:dyDescent="0.2">
      <c r="C270" t="s">
        <v>15</v>
      </c>
      <c r="D270" t="s">
        <v>16</v>
      </c>
      <c r="E270">
        <v>21502</v>
      </c>
      <c r="F270">
        <v>0.25119999999999998</v>
      </c>
      <c r="G270">
        <v>0.19589999999999999</v>
      </c>
      <c r="H270">
        <v>0.43519999999999998</v>
      </c>
      <c r="I270">
        <v>0.30499999999999999</v>
      </c>
    </row>
    <row r="271" spans="2:14" x14ac:dyDescent="0.2">
      <c r="C271" t="s">
        <v>17</v>
      </c>
      <c r="D271" t="s">
        <v>18</v>
      </c>
      <c r="E271">
        <v>10565</v>
      </c>
      <c r="F271">
        <v>0.29680000000000001</v>
      </c>
      <c r="G271">
        <v>0.23330000000000001</v>
      </c>
      <c r="H271">
        <v>0.5141</v>
      </c>
      <c r="I271">
        <v>0.17</v>
      </c>
    </row>
    <row r="272" spans="2:14" x14ac:dyDescent="0.2">
      <c r="C272" t="s">
        <v>19</v>
      </c>
      <c r="D272" t="s">
        <v>20</v>
      </c>
      <c r="E272">
        <v>1373</v>
      </c>
      <c r="F272">
        <v>0.34410000000000002</v>
      </c>
      <c r="G272">
        <v>0.27100000000000002</v>
      </c>
      <c r="H272">
        <v>0.59599999999999997</v>
      </c>
      <c r="I272">
        <v>9.0999999999999998E-2</v>
      </c>
    </row>
    <row r="273" spans="2:14" x14ac:dyDescent="0.2">
      <c r="C273" t="s">
        <v>21</v>
      </c>
      <c r="D273" t="s">
        <v>22</v>
      </c>
      <c r="E273">
        <v>109</v>
      </c>
      <c r="F273">
        <v>0.37359999999999999</v>
      </c>
      <c r="G273">
        <v>0.29749999999999999</v>
      </c>
      <c r="H273">
        <v>0.6472</v>
      </c>
      <c r="I273">
        <v>5.1999999999999998E-2</v>
      </c>
    </row>
    <row r="274" spans="2:14" x14ac:dyDescent="0.2">
      <c r="C274" t="s">
        <v>23</v>
      </c>
      <c r="D274" t="s">
        <v>24</v>
      </c>
      <c r="E274">
        <v>0</v>
      </c>
    </row>
    <row r="275" spans="2:14" x14ac:dyDescent="0.2">
      <c r="C275" t="s">
        <v>25</v>
      </c>
      <c r="D275" t="s">
        <v>26</v>
      </c>
      <c r="E275">
        <v>0</v>
      </c>
    </row>
    <row r="276" spans="2:14" x14ac:dyDescent="0.2">
      <c r="C276" t="s">
        <v>27</v>
      </c>
      <c r="D276">
        <v>75500</v>
      </c>
      <c r="E276">
        <v>0.23530000000000001</v>
      </c>
      <c r="F276">
        <v>0.17910000000000001</v>
      </c>
      <c r="G276">
        <f>SQRT(3)*E276</f>
        <v>0.4075515550209568</v>
      </c>
    </row>
    <row r="278" spans="2:14" x14ac:dyDescent="0.2">
      <c r="B278" s="2" t="s">
        <v>53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pans="2:14" x14ac:dyDescent="0.2">
      <c r="B279" s="2" t="s">
        <v>0</v>
      </c>
      <c r="C279" s="2" t="s">
        <v>1</v>
      </c>
      <c r="D279" s="2" t="s">
        <v>2</v>
      </c>
      <c r="E279" s="2" t="s">
        <v>0</v>
      </c>
      <c r="F279" s="2"/>
      <c r="G279" s="2"/>
      <c r="H279" s="2"/>
      <c r="I279" s="2"/>
      <c r="J279" s="2"/>
      <c r="K279" s="2"/>
      <c r="L279" s="2"/>
      <c r="M279" s="2"/>
      <c r="N279" s="2"/>
    </row>
    <row r="280" spans="2:14" x14ac:dyDescent="0.2">
      <c r="B280" s="2"/>
      <c r="C280" s="2" t="s">
        <v>3</v>
      </c>
      <c r="D280" s="2" t="s">
        <v>4</v>
      </c>
      <c r="E280" s="2" t="s">
        <v>5</v>
      </c>
      <c r="F280" s="2" t="s">
        <v>2</v>
      </c>
      <c r="G280" s="2" t="s">
        <v>6</v>
      </c>
      <c r="H280" s="2" t="s">
        <v>7</v>
      </c>
      <c r="I280" s="2" t="s">
        <v>8</v>
      </c>
      <c r="J280" s="2" t="s">
        <v>7</v>
      </c>
      <c r="K280" s="2" t="s">
        <v>6</v>
      </c>
      <c r="L280" s="2" t="s">
        <v>9</v>
      </c>
      <c r="M280" s="2" t="s">
        <v>10</v>
      </c>
      <c r="N280" s="2" t="s">
        <v>6</v>
      </c>
    </row>
    <row r="281" spans="2:14" x14ac:dyDescent="0.2">
      <c r="B281" s="2"/>
      <c r="C281" s="2" t="s">
        <v>11</v>
      </c>
      <c r="D281" s="2" t="s">
        <v>12</v>
      </c>
      <c r="E281" s="2">
        <v>19162</v>
      </c>
      <c r="F281" s="2">
        <v>0.15989999999999999</v>
      </c>
      <c r="G281" s="2">
        <v>0.11990000000000001</v>
      </c>
      <c r="H281" s="2">
        <v>0.27700000000000002</v>
      </c>
      <c r="I281" s="2">
        <v>0.83199999999999996</v>
      </c>
      <c r="J281" s="2"/>
      <c r="K281" s="2"/>
      <c r="L281" s="2"/>
      <c r="M281" s="2"/>
      <c r="N281" s="2"/>
    </row>
    <row r="282" spans="2:14" x14ac:dyDescent="0.2">
      <c r="B282" s="2"/>
      <c r="C282" s="2" t="s">
        <v>13</v>
      </c>
      <c r="D282" s="2" t="s">
        <v>14</v>
      </c>
      <c r="E282" s="2">
        <v>22789</v>
      </c>
      <c r="F282" s="2">
        <v>0.20449999999999999</v>
      </c>
      <c r="G282" s="2">
        <v>0.1588</v>
      </c>
      <c r="H282" s="2">
        <v>0.3543</v>
      </c>
      <c r="I282" s="2">
        <v>0.47399999999999998</v>
      </c>
      <c r="J282" s="2"/>
      <c r="K282" s="2"/>
      <c r="L282" s="2"/>
      <c r="M282" s="2"/>
      <c r="N282" s="2"/>
    </row>
    <row r="283" spans="2:14" x14ac:dyDescent="0.2">
      <c r="B283" s="2"/>
      <c r="C283" s="2" t="s">
        <v>15</v>
      </c>
      <c r="D283" s="2" t="s">
        <v>16</v>
      </c>
      <c r="E283" s="2">
        <v>21502</v>
      </c>
      <c r="F283" s="2">
        <v>0.2321</v>
      </c>
      <c r="G283" s="2">
        <v>0.182</v>
      </c>
      <c r="H283" s="2">
        <v>0.40200000000000002</v>
      </c>
      <c r="I283" s="2">
        <v>0.28199999999999997</v>
      </c>
      <c r="J283" s="2"/>
      <c r="K283" s="2"/>
      <c r="L283" s="2"/>
      <c r="M283" s="2"/>
      <c r="N283" s="2"/>
    </row>
    <row r="284" spans="2:14" x14ac:dyDescent="0.2">
      <c r="B284" s="2"/>
      <c r="C284" s="2" t="s">
        <v>17</v>
      </c>
      <c r="D284" s="2" t="s">
        <v>18</v>
      </c>
      <c r="E284" s="2">
        <v>10565</v>
      </c>
      <c r="F284" s="2">
        <v>0.27379999999999999</v>
      </c>
      <c r="G284" s="2">
        <v>0.2155</v>
      </c>
      <c r="H284" s="2">
        <v>0.47420000000000001</v>
      </c>
      <c r="I284" s="2">
        <v>0.157</v>
      </c>
      <c r="J284" s="2"/>
      <c r="K284" s="2"/>
      <c r="L284" s="2"/>
      <c r="M284" s="2"/>
      <c r="N284" s="2"/>
    </row>
    <row r="285" spans="2:14" x14ac:dyDescent="0.2">
      <c r="B285" s="2"/>
      <c r="C285" s="2" t="s">
        <v>19</v>
      </c>
      <c r="D285" s="2" t="s">
        <v>20</v>
      </c>
      <c r="E285" s="2">
        <v>1373</v>
      </c>
      <c r="F285" s="2">
        <v>0.33350000000000002</v>
      </c>
      <c r="G285" s="2">
        <v>0.26169999999999999</v>
      </c>
      <c r="H285" s="2">
        <v>0.57769999999999999</v>
      </c>
      <c r="I285" s="2">
        <v>8.7999999999999995E-2</v>
      </c>
      <c r="J285" s="2"/>
      <c r="K285" s="2"/>
      <c r="L285" s="2"/>
      <c r="M285" s="2"/>
      <c r="N285" s="2"/>
    </row>
    <row r="286" spans="2:14" x14ac:dyDescent="0.2">
      <c r="B286" s="2"/>
      <c r="C286" s="2" t="s">
        <v>21</v>
      </c>
      <c r="D286" s="2" t="s">
        <v>22</v>
      </c>
      <c r="E286" s="2">
        <v>109</v>
      </c>
      <c r="F286" s="2">
        <v>0.37580000000000002</v>
      </c>
      <c r="G286" s="2">
        <v>0.28939999999999999</v>
      </c>
      <c r="H286" s="2">
        <v>0.65090000000000003</v>
      </c>
      <c r="I286" s="2">
        <v>5.1999999999999998E-2</v>
      </c>
      <c r="J286" s="2"/>
      <c r="K286" s="2"/>
      <c r="L286" s="2"/>
      <c r="M286" s="2"/>
      <c r="N286" s="2"/>
    </row>
    <row r="287" spans="2:14" x14ac:dyDescent="0.2">
      <c r="B287" s="2"/>
      <c r="C287" s="2" t="s">
        <v>23</v>
      </c>
      <c r="D287" s="2" t="s">
        <v>24</v>
      </c>
      <c r="E287" s="2">
        <v>0</v>
      </c>
      <c r="F287" s="2"/>
      <c r="G287" s="2"/>
      <c r="H287" s="2"/>
      <c r="I287" s="2"/>
      <c r="J287" s="2"/>
      <c r="K287" s="2"/>
      <c r="L287" s="2"/>
      <c r="M287" s="2"/>
      <c r="N287" s="2"/>
    </row>
    <row r="288" spans="2:14" x14ac:dyDescent="0.2">
      <c r="B288" s="2"/>
      <c r="C288" s="2" t="s">
        <v>25</v>
      </c>
      <c r="D288" s="2" t="s">
        <v>26</v>
      </c>
      <c r="E288" s="2">
        <v>0</v>
      </c>
      <c r="F288" s="2"/>
      <c r="G288" s="2"/>
      <c r="H288" s="2"/>
      <c r="I288" s="2"/>
      <c r="J288" s="2"/>
      <c r="K288" s="2"/>
      <c r="L288" s="2"/>
      <c r="M288" s="2"/>
      <c r="N288" s="2"/>
    </row>
    <row r="289" spans="2:14" x14ac:dyDescent="0.2">
      <c r="B289" s="2"/>
      <c r="C289" s="2" t="s">
        <v>27</v>
      </c>
      <c r="D289" s="2">
        <v>75500</v>
      </c>
      <c r="E289" s="2">
        <v>0.2172</v>
      </c>
      <c r="F289" s="2">
        <v>0.1656</v>
      </c>
      <c r="G289" s="2">
        <f>SQRT(3)*E289</f>
        <v>0.37620143540396012</v>
      </c>
      <c r="H289" s="2"/>
      <c r="I289" s="2"/>
      <c r="J289" s="2"/>
      <c r="K289" s="2"/>
      <c r="L289" s="2"/>
      <c r="M289" s="2"/>
      <c r="N289" s="2"/>
    </row>
    <row r="291" spans="2:14" x14ac:dyDescent="0.2">
      <c r="B291" t="s">
        <v>54</v>
      </c>
    </row>
    <row r="292" spans="2:14" x14ac:dyDescent="0.2">
      <c r="B292" t="s">
        <v>0</v>
      </c>
      <c r="C292" t="s">
        <v>1</v>
      </c>
      <c r="D292" t="s">
        <v>2</v>
      </c>
      <c r="E292" t="s">
        <v>0</v>
      </c>
    </row>
    <row r="293" spans="2:14" x14ac:dyDescent="0.2">
      <c r="C293" t="s">
        <v>3</v>
      </c>
      <c r="D293" t="s">
        <v>4</v>
      </c>
      <c r="E293" t="s">
        <v>5</v>
      </c>
      <c r="F293" t="s">
        <v>2</v>
      </c>
      <c r="G293" t="s">
        <v>6</v>
      </c>
      <c r="H293" t="s">
        <v>7</v>
      </c>
      <c r="I293" t="s">
        <v>8</v>
      </c>
      <c r="J293" t="s">
        <v>7</v>
      </c>
      <c r="K293" t="s">
        <v>6</v>
      </c>
      <c r="L293" t="s">
        <v>9</v>
      </c>
      <c r="M293" t="s">
        <v>10</v>
      </c>
      <c r="N293" t="s">
        <v>6</v>
      </c>
    </row>
    <row r="294" spans="2:14" x14ac:dyDescent="0.2">
      <c r="C294" t="s">
        <v>11</v>
      </c>
      <c r="D294" t="s">
        <v>12</v>
      </c>
      <c r="E294">
        <v>19162</v>
      </c>
      <c r="F294">
        <v>0.1532</v>
      </c>
      <c r="G294">
        <v>0.1147</v>
      </c>
      <c r="H294">
        <v>0.26540000000000002</v>
      </c>
      <c r="I294">
        <v>0.79700000000000004</v>
      </c>
    </row>
    <row r="295" spans="2:14" x14ac:dyDescent="0.2">
      <c r="C295" t="s">
        <v>13</v>
      </c>
      <c r="D295" t="s">
        <v>14</v>
      </c>
      <c r="E295">
        <v>22789</v>
      </c>
      <c r="F295">
        <v>0.19650000000000001</v>
      </c>
      <c r="G295">
        <v>0.15240000000000001</v>
      </c>
      <c r="H295">
        <v>0.34029999999999999</v>
      </c>
      <c r="I295">
        <v>0.45500000000000002</v>
      </c>
    </row>
    <row r="296" spans="2:14" x14ac:dyDescent="0.2">
      <c r="C296" t="s">
        <v>15</v>
      </c>
      <c r="D296" t="s">
        <v>16</v>
      </c>
      <c r="E296">
        <v>21502</v>
      </c>
      <c r="F296">
        <v>0.22359999999999999</v>
      </c>
      <c r="G296">
        <v>0.17480000000000001</v>
      </c>
      <c r="H296">
        <v>0.38729999999999998</v>
      </c>
      <c r="I296">
        <v>0.27200000000000002</v>
      </c>
    </row>
    <row r="297" spans="2:14" x14ac:dyDescent="0.2">
      <c r="C297" t="s">
        <v>17</v>
      </c>
      <c r="D297" t="s">
        <v>18</v>
      </c>
      <c r="E297">
        <v>10565</v>
      </c>
      <c r="F297">
        <v>0.26419999999999999</v>
      </c>
      <c r="G297">
        <v>0.2084</v>
      </c>
      <c r="H297">
        <v>0.45760000000000001</v>
      </c>
      <c r="I297">
        <v>0.151</v>
      </c>
    </row>
    <row r="298" spans="2:14" x14ac:dyDescent="0.2">
      <c r="C298" t="s">
        <v>19</v>
      </c>
      <c r="D298" t="s">
        <v>20</v>
      </c>
      <c r="E298">
        <v>1373</v>
      </c>
      <c r="F298">
        <v>0.32069999999999999</v>
      </c>
      <c r="G298">
        <v>0.25140000000000001</v>
      </c>
      <c r="H298">
        <v>0.55549999999999999</v>
      </c>
      <c r="I298">
        <v>8.4000000000000005E-2</v>
      </c>
    </row>
    <row r="299" spans="2:14" x14ac:dyDescent="0.2">
      <c r="C299" t="s">
        <v>21</v>
      </c>
      <c r="D299" t="s">
        <v>22</v>
      </c>
      <c r="E299">
        <v>109</v>
      </c>
      <c r="F299">
        <v>0.36840000000000001</v>
      </c>
      <c r="G299">
        <v>0.28420000000000001</v>
      </c>
      <c r="H299">
        <v>0.6381</v>
      </c>
      <c r="I299">
        <v>5.0999999999999997E-2</v>
      </c>
    </row>
    <row r="300" spans="2:14" x14ac:dyDescent="0.2">
      <c r="C300" t="s">
        <v>23</v>
      </c>
      <c r="D300" t="s">
        <v>24</v>
      </c>
      <c r="E300">
        <v>0</v>
      </c>
    </row>
    <row r="301" spans="2:14" x14ac:dyDescent="0.2">
      <c r="C301" t="s">
        <v>25</v>
      </c>
      <c r="D301" t="s">
        <v>26</v>
      </c>
      <c r="E301">
        <v>0</v>
      </c>
    </row>
    <row r="302" spans="2:14" x14ac:dyDescent="0.2">
      <c r="C302" t="s">
        <v>27</v>
      </c>
      <c r="D302">
        <v>75500</v>
      </c>
      <c r="E302">
        <v>0.20899999999999999</v>
      </c>
      <c r="F302">
        <v>0.159</v>
      </c>
      <c r="G302" s="3">
        <f>SQRT(3)*E302</f>
        <v>0.36199861878189532</v>
      </c>
    </row>
    <row r="304" spans="2:14" x14ac:dyDescent="0.2">
      <c r="B304" t="s">
        <v>55</v>
      </c>
    </row>
    <row r="305" spans="2:14" x14ac:dyDescent="0.2">
      <c r="B305" t="s">
        <v>0</v>
      </c>
      <c r="C305" t="s">
        <v>1</v>
      </c>
      <c r="D305" t="s">
        <v>2</v>
      </c>
      <c r="E305" t="s">
        <v>0</v>
      </c>
    </row>
    <row r="306" spans="2:14" x14ac:dyDescent="0.2">
      <c r="C306" t="s">
        <v>3</v>
      </c>
      <c r="D306" t="s">
        <v>4</v>
      </c>
      <c r="E306" t="s">
        <v>5</v>
      </c>
      <c r="F306" t="s">
        <v>2</v>
      </c>
      <c r="G306" t="s">
        <v>6</v>
      </c>
      <c r="H306" t="s">
        <v>7</v>
      </c>
      <c r="I306" t="s">
        <v>8</v>
      </c>
      <c r="J306" t="s">
        <v>7</v>
      </c>
      <c r="K306" t="s">
        <v>6</v>
      </c>
      <c r="L306" t="s">
        <v>9</v>
      </c>
      <c r="M306" t="s">
        <v>10</v>
      </c>
      <c r="N306" t="s">
        <v>6</v>
      </c>
    </row>
    <row r="307" spans="2:14" x14ac:dyDescent="0.2">
      <c r="C307" t="s">
        <v>11</v>
      </c>
      <c r="D307" t="s">
        <v>12</v>
      </c>
      <c r="E307">
        <v>19162</v>
      </c>
      <c r="F307">
        <v>0.15210000000000001</v>
      </c>
      <c r="G307">
        <v>0.1135</v>
      </c>
      <c r="H307">
        <v>0.26350000000000001</v>
      </c>
      <c r="I307">
        <v>0.79100000000000004</v>
      </c>
    </row>
    <row r="308" spans="2:14" x14ac:dyDescent="0.2">
      <c r="C308" t="s">
        <v>13</v>
      </c>
      <c r="D308" t="s">
        <v>14</v>
      </c>
      <c r="E308">
        <v>22789</v>
      </c>
      <c r="F308">
        <v>0.19439999999999999</v>
      </c>
      <c r="G308">
        <v>0.15060000000000001</v>
      </c>
      <c r="H308">
        <v>0.33679999999999999</v>
      </c>
      <c r="I308">
        <v>0.45</v>
      </c>
    </row>
    <row r="309" spans="2:14" x14ac:dyDescent="0.2">
      <c r="C309" t="s">
        <v>15</v>
      </c>
      <c r="D309" t="s">
        <v>16</v>
      </c>
      <c r="E309">
        <v>21502</v>
      </c>
      <c r="F309">
        <v>0.22140000000000001</v>
      </c>
      <c r="G309">
        <v>0.17369999999999999</v>
      </c>
      <c r="H309">
        <v>0.38350000000000001</v>
      </c>
      <c r="I309">
        <v>0.26900000000000002</v>
      </c>
    </row>
    <row r="310" spans="2:14" x14ac:dyDescent="0.2">
      <c r="C310" t="s">
        <v>17</v>
      </c>
      <c r="D310" t="s">
        <v>18</v>
      </c>
      <c r="E310">
        <v>10565</v>
      </c>
      <c r="F310">
        <v>0.2601</v>
      </c>
      <c r="G310">
        <v>0.20530000000000001</v>
      </c>
      <c r="H310">
        <v>0.4506</v>
      </c>
      <c r="I310">
        <v>0.14899999999999999</v>
      </c>
    </row>
    <row r="311" spans="2:14" x14ac:dyDescent="0.2">
      <c r="C311" t="s">
        <v>19</v>
      </c>
      <c r="D311" t="s">
        <v>20</v>
      </c>
      <c r="E311">
        <v>1373</v>
      </c>
      <c r="F311">
        <v>0.30969999999999998</v>
      </c>
      <c r="G311">
        <v>0.24099999999999999</v>
      </c>
      <c r="H311">
        <v>0.53639999999999999</v>
      </c>
      <c r="I311">
        <v>8.1000000000000003E-2</v>
      </c>
    </row>
    <row r="312" spans="2:14" x14ac:dyDescent="0.2">
      <c r="C312" t="s">
        <v>21</v>
      </c>
      <c r="D312" t="s">
        <v>22</v>
      </c>
      <c r="E312">
        <v>109</v>
      </c>
      <c r="F312">
        <v>0.3281</v>
      </c>
      <c r="G312">
        <v>0.2571</v>
      </c>
      <c r="H312">
        <v>0.56820000000000004</v>
      </c>
      <c r="I312">
        <v>4.5999999999999999E-2</v>
      </c>
    </row>
    <row r="313" spans="2:14" x14ac:dyDescent="0.2">
      <c r="C313" t="s">
        <v>23</v>
      </c>
      <c r="D313" t="s">
        <v>24</v>
      </c>
      <c r="E313">
        <v>0</v>
      </c>
    </row>
    <row r="314" spans="2:14" x14ac:dyDescent="0.2">
      <c r="C314" t="s">
        <v>25</v>
      </c>
      <c r="D314" t="s">
        <v>26</v>
      </c>
      <c r="E314">
        <v>0</v>
      </c>
    </row>
    <row r="315" spans="2:14" x14ac:dyDescent="0.2">
      <c r="C315" t="s">
        <v>27</v>
      </c>
      <c r="D315">
        <v>75500</v>
      </c>
      <c r="E315">
        <v>0.2064</v>
      </c>
      <c r="F315">
        <v>0.15720000000000001</v>
      </c>
      <c r="G315" s="3">
        <f>SQRT(3)*E315</f>
        <v>0.35749528668221625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Beeler</dc:creator>
  <cp:lastModifiedBy>Benjamin W. Beeler</cp:lastModifiedBy>
  <dcterms:created xsi:type="dcterms:W3CDTF">2026-10-01T16:10:15Z</dcterms:created>
  <dcterms:modified xsi:type="dcterms:W3CDTF">2026-10-13T12:24:05Z</dcterms:modified>
</cp:coreProperties>
</file>