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jaminbeeler/projects/spreadsheets/UZr/"/>
    </mc:Choice>
  </mc:AlternateContent>
  <xr:revisionPtr revIDLastSave="0" documentId="8_{74876C53-418C-BC4C-BEE2-5BADC39B1F9F}" xr6:coauthVersionLast="47" xr6:coauthVersionMax="47" xr10:uidLastSave="{00000000-0000-0000-0000-000000000000}"/>
  <bookViews>
    <workbookView xWindow="1620" yWindow="5300" windowWidth="24440" windowHeight="15940" xr2:uid="{F6219121-410C-014B-81EF-930FA04B0B4E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29" i="1" l="1"/>
  <c r="S30" i="1"/>
  <c r="S27" i="1"/>
  <c r="S41" i="1"/>
  <c r="S42" i="1"/>
  <c r="P29" i="1"/>
</calcChain>
</file>

<file path=xl/sharedStrings.xml><?xml version="1.0" encoding="utf-8"?>
<sst xmlns="http://schemas.openxmlformats.org/spreadsheetml/2006/main" count="178" uniqueCount="79">
  <si>
    <t>prop_names</t>
  </si>
  <si>
    <t>=</t>
  </si>
  <si>
    <t>'</t>
  </si>
  <si>
    <t>kappa</t>
  </si>
  <si>
    <t>mu</t>
  </si>
  <si>
    <t>L</t>
  </si>
  <si>
    <t>DNdm</t>
  </si>
  <si>
    <t>DNdl</t>
  </si>
  <si>
    <t>DNdi</t>
  </si>
  <si>
    <t>DNdf</t>
  </si>
  <si>
    <t>DFem</t>
  </si>
  <si>
    <t>DFel</t>
  </si>
  <si>
    <t>DFei</t>
  </si>
  <si>
    <t>DFef</t>
  </si>
  <si>
    <t>DZrm</t>
  </si>
  <si>
    <t>DZrl</t>
  </si>
  <si>
    <t>DZri</t>
  </si>
  <si>
    <t>DZrf</t>
  </si>
  <si>
    <t>Va</t>
  </si>
  <si>
    <t>cNdinteq</t>
  </si>
  <si>
    <t>cNdmatrixeq</t>
  </si>
  <si>
    <t>cNdfueleq</t>
  </si>
  <si>
    <t>cNdlinereq</t>
  </si>
  <si>
    <t>cFeinteq</t>
  </si>
  <si>
    <t>cFematrixeq</t>
  </si>
  <si>
    <t>cFefueleq</t>
  </si>
  <si>
    <t>cFelinereq</t>
  </si>
  <si>
    <t>cZrinteq</t>
  </si>
  <si>
    <t>cZrmatrixeq</t>
  </si>
  <si>
    <t>cZrfueleq</t>
  </si>
  <si>
    <t>cZrlinereq</t>
  </si>
  <si>
    <t>gmi</t>
  </si>
  <si>
    <t>gfm</t>
  </si>
  <si>
    <t>gfi</t>
  </si>
  <si>
    <t>gml</t>
  </si>
  <si>
    <t>gfl</t>
  </si>
  <si>
    <t>gil</t>
  </si>
  <si>
    <t>T</t>
  </si>
  <si>
    <t>f0m</t>
  </si>
  <si>
    <t>f0i</t>
  </si>
  <si>
    <t>f0f</t>
  </si>
  <si>
    <t>f0l</t>
  </si>
  <si>
    <t>tgrad_corr_mult'</t>
  </si>
  <si>
    <t>prop_values</t>
  </si>
  <si>
    <t>0.0'</t>
  </si>
  <si>
    <t>diffusion of Nd in Fe matrix</t>
  </si>
  <si>
    <t>diffusion of Nd in liner</t>
  </si>
  <si>
    <t>diffusion of Nd in intermetallic</t>
  </si>
  <si>
    <t>diffusion of Nd in fuel</t>
  </si>
  <si>
    <t>Fe in Fe</t>
  </si>
  <si>
    <t>Fe in liner</t>
  </si>
  <si>
    <t>Fe in intermetallic</t>
  </si>
  <si>
    <t>Fe in fuel</t>
  </si>
  <si>
    <t>Zr in matrix</t>
  </si>
  <si>
    <t>Zr in liner</t>
  </si>
  <si>
    <t>Zr in intermetallic</t>
  </si>
  <si>
    <t>Zr in fuel</t>
  </si>
  <si>
    <t>eq concentration</t>
  </si>
  <si>
    <t>this is a system wide volume term??</t>
  </si>
  <si>
    <t>kNdm</t>
  </si>
  <si>
    <t>kNdi</t>
  </si>
  <si>
    <t>kNdl</t>
  </si>
  <si>
    <t>kNdf</t>
  </si>
  <si>
    <t>kFem</t>
  </si>
  <si>
    <t>kFei</t>
  </si>
  <si>
    <t>kFel</t>
  </si>
  <si>
    <t>kFef</t>
  </si>
  <si>
    <t>kZrm</t>
  </si>
  <si>
    <t>kZri</t>
  </si>
  <si>
    <t>kZrl</t>
  </si>
  <si>
    <t>kZrf</t>
  </si>
  <si>
    <t>I changed to match kNdf</t>
  </si>
  <si>
    <t>from INL/RPT-22-69107</t>
  </si>
  <si>
    <t>um^2/s</t>
  </si>
  <si>
    <t>from INL/RPT-23-74500</t>
  </si>
  <si>
    <t>here</t>
  </si>
  <si>
    <t>k</t>
  </si>
  <si>
    <t>lint</t>
  </si>
  <si>
    <t>initial 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</si>
</sst>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68946-F4F6-E845-AACB-6CAFCFF3298B}">
  <dimension ref="B5:AR51"/>
  <sheetViews>
    <sheetView tabSelected="1" topLeftCell="A8" workbookViewId="0">
      <selection activeCell="H16" sqref="H16"/>
    </sheetView>
  </sheetViews>
  <sheetFormatPr baseColWidth="10" defaultRowHeight="16" x14ac:dyDescent="0.2"/>
  <sheetData>
    <row r="5" spans="2:44" x14ac:dyDescent="0.2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</row>
    <row r="6" spans="2:44" x14ac:dyDescent="0.2">
      <c r="B6" t="s">
        <v>43</v>
      </c>
      <c r="C6" t="s">
        <v>1</v>
      </c>
      <c r="D6" t="s">
        <v>2</v>
      </c>
      <c r="E6">
        <v>4.1599999999999996E-3</v>
      </c>
      <c r="F6">
        <v>0.13320000000000001</v>
      </c>
      <c r="G6" s="1">
        <v>10</v>
      </c>
      <c r="H6" s="1">
        <v>7.4999999999999993E-5</v>
      </c>
      <c r="I6" s="1">
        <v>3.1999999999999999E-6</v>
      </c>
      <c r="J6" s="1">
        <v>1.35E-7</v>
      </c>
      <c r="K6" s="1">
        <v>0.2</v>
      </c>
      <c r="L6" s="1">
        <v>8.0999999999999997E-9</v>
      </c>
      <c r="M6" s="1">
        <v>6</v>
      </c>
      <c r="N6" s="1">
        <v>5.8000000000000003E-8</v>
      </c>
      <c r="O6" s="1">
        <v>0.2</v>
      </c>
      <c r="P6" s="1">
        <v>7.4999999999999993E-5</v>
      </c>
      <c r="Q6" s="1">
        <v>1.5999999999999999E-6</v>
      </c>
      <c r="R6" s="1">
        <v>1.35E-7</v>
      </c>
      <c r="S6">
        <v>0.2</v>
      </c>
      <c r="T6">
        <v>1.3979999999999999E-2</v>
      </c>
      <c r="U6" s="1">
        <v>0.10526000000000001</v>
      </c>
      <c r="V6" s="1">
        <v>4.4499999999999997E-5</v>
      </c>
      <c r="W6" s="1">
        <v>6.4999999999999996E-13</v>
      </c>
      <c r="X6">
        <v>4.4999999999999999E-4</v>
      </c>
      <c r="Y6">
        <v>0.89473999999999998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  <c r="AG6">
        <v>1.5</v>
      </c>
      <c r="AH6">
        <v>1.5</v>
      </c>
      <c r="AI6">
        <v>1.5</v>
      </c>
      <c r="AJ6">
        <v>1.5</v>
      </c>
      <c r="AK6">
        <v>1.5</v>
      </c>
      <c r="AL6">
        <v>1.5</v>
      </c>
      <c r="AM6">
        <v>873</v>
      </c>
      <c r="AN6">
        <v>0</v>
      </c>
      <c r="AO6">
        <v>0</v>
      </c>
      <c r="AP6">
        <v>0</v>
      </c>
      <c r="AQ6">
        <v>0</v>
      </c>
      <c r="AR6" t="s">
        <v>44</v>
      </c>
    </row>
    <row r="9" spans="2:44" x14ac:dyDescent="0.2">
      <c r="B9" t="s">
        <v>0</v>
      </c>
      <c r="C9" t="s">
        <v>43</v>
      </c>
    </row>
    <row r="10" spans="2:44" x14ac:dyDescent="0.2">
      <c r="B10" t="s">
        <v>1</v>
      </c>
      <c r="C10" t="s">
        <v>1</v>
      </c>
    </row>
    <row r="11" spans="2:44" x14ac:dyDescent="0.2">
      <c r="B11" t="s">
        <v>2</v>
      </c>
      <c r="C11" t="s">
        <v>2</v>
      </c>
      <c r="P11" t="s">
        <v>72</v>
      </c>
      <c r="R11" t="s">
        <v>74</v>
      </c>
    </row>
    <row r="12" spans="2:44" x14ac:dyDescent="0.2">
      <c r="B12" t="s">
        <v>3</v>
      </c>
      <c r="C12">
        <v>4.1599999999999996E-3</v>
      </c>
    </row>
    <row r="13" spans="2:44" x14ac:dyDescent="0.2">
      <c r="B13" t="s">
        <v>4</v>
      </c>
      <c r="C13">
        <v>0.13320000000000001</v>
      </c>
      <c r="K13" t="s">
        <v>59</v>
      </c>
      <c r="L13">
        <v>134</v>
      </c>
      <c r="O13" t="s">
        <v>59</v>
      </c>
      <c r="P13">
        <v>134</v>
      </c>
      <c r="R13" t="s">
        <v>59</v>
      </c>
      <c r="S13">
        <v>134</v>
      </c>
    </row>
    <row r="14" spans="2:44" x14ac:dyDescent="0.2">
      <c r="B14" t="s">
        <v>5</v>
      </c>
      <c r="C14" s="1">
        <v>10</v>
      </c>
      <c r="K14" t="s">
        <v>60</v>
      </c>
      <c r="L14">
        <v>7240</v>
      </c>
      <c r="O14" t="s">
        <v>60</v>
      </c>
      <c r="R14" t="s">
        <v>60</v>
      </c>
    </row>
    <row r="15" spans="2:44" x14ac:dyDescent="0.2">
      <c r="B15" t="s">
        <v>6</v>
      </c>
      <c r="C15" s="1">
        <v>7.4999999999999993E-5</v>
      </c>
      <c r="E15" t="s">
        <v>45</v>
      </c>
      <c r="K15" t="s">
        <v>61</v>
      </c>
      <c r="L15">
        <v>50.7</v>
      </c>
      <c r="M15" t="s">
        <v>71</v>
      </c>
      <c r="O15" t="s">
        <v>61</v>
      </c>
      <c r="P15">
        <v>50.6</v>
      </c>
      <c r="R15" t="s">
        <v>61</v>
      </c>
      <c r="S15">
        <v>50.6</v>
      </c>
    </row>
    <row r="16" spans="2:44" x14ac:dyDescent="0.2">
      <c r="B16" t="s">
        <v>7</v>
      </c>
      <c r="C16" s="1">
        <v>3.1999999999999999E-6</v>
      </c>
      <c r="E16" t="s">
        <v>46</v>
      </c>
      <c r="K16" t="s">
        <v>62</v>
      </c>
      <c r="L16">
        <v>50.7</v>
      </c>
      <c r="O16" t="s">
        <v>62</v>
      </c>
      <c r="P16">
        <v>50.6</v>
      </c>
      <c r="R16" t="s">
        <v>62</v>
      </c>
      <c r="S16">
        <v>50.6</v>
      </c>
    </row>
    <row r="17" spans="2:19" x14ac:dyDescent="0.2">
      <c r="B17" t="s">
        <v>8</v>
      </c>
      <c r="C17" s="1">
        <v>1.35E-7</v>
      </c>
      <c r="E17" t="s">
        <v>47</v>
      </c>
      <c r="K17" t="s">
        <v>63</v>
      </c>
      <c r="L17">
        <v>134</v>
      </c>
      <c r="O17" t="s">
        <v>63</v>
      </c>
      <c r="R17" t="s">
        <v>63</v>
      </c>
    </row>
    <row r="18" spans="2:19" x14ac:dyDescent="0.2">
      <c r="B18" t="s">
        <v>9</v>
      </c>
      <c r="C18" s="1">
        <v>0.2</v>
      </c>
      <c r="E18" t="s">
        <v>48</v>
      </c>
      <c r="K18" t="s">
        <v>64</v>
      </c>
      <c r="L18">
        <v>7240</v>
      </c>
      <c r="O18" t="s">
        <v>64</v>
      </c>
      <c r="R18" t="s">
        <v>64</v>
      </c>
    </row>
    <row r="19" spans="2:19" x14ac:dyDescent="0.2">
      <c r="B19" t="s">
        <v>10</v>
      </c>
      <c r="C19" s="1">
        <v>8.0999999999999997E-9</v>
      </c>
      <c r="E19" t="s">
        <v>49</v>
      </c>
      <c r="K19" t="s">
        <v>65</v>
      </c>
      <c r="L19">
        <v>2.7</v>
      </c>
      <c r="O19" t="s">
        <v>65</v>
      </c>
      <c r="R19" t="s">
        <v>65</v>
      </c>
    </row>
    <row r="20" spans="2:19" x14ac:dyDescent="0.2">
      <c r="B20" t="s">
        <v>11</v>
      </c>
      <c r="C20" s="1">
        <v>6</v>
      </c>
      <c r="E20" t="s">
        <v>50</v>
      </c>
      <c r="K20" t="s">
        <v>66</v>
      </c>
      <c r="L20">
        <v>50.7</v>
      </c>
      <c r="O20" t="s">
        <v>66</v>
      </c>
      <c r="R20" t="s">
        <v>66</v>
      </c>
    </row>
    <row r="21" spans="2:19" x14ac:dyDescent="0.2">
      <c r="B21" t="s">
        <v>12</v>
      </c>
      <c r="C21" s="1">
        <v>5.8000000000000003E-8</v>
      </c>
      <c r="E21" t="s">
        <v>51</v>
      </c>
      <c r="K21" t="s">
        <v>67</v>
      </c>
      <c r="L21">
        <v>134</v>
      </c>
      <c r="O21" t="s">
        <v>67</v>
      </c>
      <c r="R21" t="s">
        <v>67</v>
      </c>
    </row>
    <row r="22" spans="2:19" x14ac:dyDescent="0.2">
      <c r="B22" t="s">
        <v>13</v>
      </c>
      <c r="C22" s="1">
        <v>0.2</v>
      </c>
      <c r="E22" t="s">
        <v>52</v>
      </c>
      <c r="K22" t="s">
        <v>68</v>
      </c>
      <c r="L22">
        <v>7240</v>
      </c>
      <c r="O22" t="s">
        <v>68</v>
      </c>
      <c r="R22" t="s">
        <v>68</v>
      </c>
    </row>
    <row r="23" spans="2:19" x14ac:dyDescent="0.2">
      <c r="B23" t="s">
        <v>14</v>
      </c>
      <c r="C23" s="1">
        <v>7.4999999999999993E-5</v>
      </c>
      <c r="E23" t="s">
        <v>53</v>
      </c>
      <c r="K23" t="s">
        <v>69</v>
      </c>
      <c r="L23">
        <v>2.7</v>
      </c>
      <c r="O23" t="s">
        <v>69</v>
      </c>
      <c r="R23" t="s">
        <v>69</v>
      </c>
    </row>
    <row r="24" spans="2:19" x14ac:dyDescent="0.2">
      <c r="B24" t="s">
        <v>15</v>
      </c>
      <c r="C24" s="1">
        <v>1.5999999999999999E-6</v>
      </c>
      <c r="E24" t="s">
        <v>54</v>
      </c>
      <c r="K24" t="s">
        <v>70</v>
      </c>
      <c r="L24">
        <v>50.7</v>
      </c>
      <c r="O24" t="s">
        <v>70</v>
      </c>
      <c r="R24" t="s">
        <v>70</v>
      </c>
    </row>
    <row r="25" spans="2:19" x14ac:dyDescent="0.2">
      <c r="B25" t="s">
        <v>16</v>
      </c>
      <c r="C25" s="1">
        <v>1.35E-7</v>
      </c>
      <c r="E25" t="s">
        <v>55</v>
      </c>
    </row>
    <row r="26" spans="2:19" x14ac:dyDescent="0.2">
      <c r="B26" t="s">
        <v>17</v>
      </c>
      <c r="C26">
        <v>0.2</v>
      </c>
      <c r="E26" t="s">
        <v>56</v>
      </c>
    </row>
    <row r="27" spans="2:19" x14ac:dyDescent="0.2">
      <c r="B27" t="s">
        <v>18</v>
      </c>
      <c r="C27">
        <v>1.3979999999999999E-2</v>
      </c>
      <c r="G27" t="s">
        <v>58</v>
      </c>
      <c r="O27" t="s">
        <v>6</v>
      </c>
      <c r="P27" s="1">
        <v>61.4</v>
      </c>
      <c r="Q27" t="s">
        <v>73</v>
      </c>
      <c r="R27" t="s">
        <v>6</v>
      </c>
      <c r="S27">
        <f>(0.00000000000002)/(0.000000000001)</f>
        <v>0.02</v>
      </c>
    </row>
    <row r="28" spans="2:19" x14ac:dyDescent="0.2">
      <c r="B28" t="s">
        <v>19</v>
      </c>
      <c r="C28" s="2">
        <v>0.10526000000000001</v>
      </c>
      <c r="E28" t="s">
        <v>57</v>
      </c>
      <c r="O28" t="s">
        <v>7</v>
      </c>
      <c r="P28" s="1"/>
      <c r="R28" t="s">
        <v>7</v>
      </c>
    </row>
    <row r="29" spans="2:19" x14ac:dyDescent="0.2">
      <c r="B29" t="s">
        <v>20</v>
      </c>
      <c r="C29" s="2">
        <v>4.4499999999999997E-5</v>
      </c>
      <c r="O29" t="s">
        <v>8</v>
      </c>
      <c r="P29" s="1">
        <f>(0.0000008)/(0.000000000001)</f>
        <v>800000</v>
      </c>
      <c r="Q29" t="s">
        <v>73</v>
      </c>
      <c r="R29" t="s">
        <v>8</v>
      </c>
      <c r="S29">
        <f>(0.00000000000002)/(0.000000000001)</f>
        <v>0.02</v>
      </c>
    </row>
    <row r="30" spans="2:19" x14ac:dyDescent="0.2">
      <c r="B30" t="s">
        <v>21</v>
      </c>
      <c r="C30" s="1">
        <v>6.4999999999999996E-13</v>
      </c>
      <c r="O30" t="s">
        <v>9</v>
      </c>
      <c r="P30" s="1"/>
      <c r="R30" t="s">
        <v>9</v>
      </c>
      <c r="S30">
        <f>(0.00000000000002)/(0.000000000001)</f>
        <v>0.02</v>
      </c>
    </row>
    <row r="31" spans="2:19" x14ac:dyDescent="0.2">
      <c r="B31" t="s">
        <v>22</v>
      </c>
      <c r="C31">
        <v>4.4999999999999999E-4</v>
      </c>
      <c r="O31" t="s">
        <v>10</v>
      </c>
      <c r="P31" s="1"/>
      <c r="R31" t="s">
        <v>10</v>
      </c>
    </row>
    <row r="32" spans="2:19" x14ac:dyDescent="0.2">
      <c r="B32" t="s">
        <v>23</v>
      </c>
      <c r="C32">
        <v>0.89473999999999998</v>
      </c>
      <c r="O32" t="s">
        <v>11</v>
      </c>
      <c r="P32" s="1"/>
      <c r="R32" t="s">
        <v>11</v>
      </c>
    </row>
    <row r="33" spans="2:19" x14ac:dyDescent="0.2">
      <c r="B33" t="s">
        <v>24</v>
      </c>
      <c r="C33">
        <v>1</v>
      </c>
      <c r="O33" t="s">
        <v>12</v>
      </c>
      <c r="P33" s="1"/>
      <c r="R33" t="s">
        <v>12</v>
      </c>
    </row>
    <row r="34" spans="2:19" x14ac:dyDescent="0.2">
      <c r="B34" t="s">
        <v>25</v>
      </c>
      <c r="C34">
        <v>0</v>
      </c>
      <c r="O34" t="s">
        <v>13</v>
      </c>
      <c r="P34" s="1"/>
      <c r="R34" t="s">
        <v>13</v>
      </c>
    </row>
    <row r="35" spans="2:19" x14ac:dyDescent="0.2">
      <c r="B35" t="s">
        <v>26</v>
      </c>
      <c r="C35">
        <v>0</v>
      </c>
      <c r="O35" t="s">
        <v>14</v>
      </c>
      <c r="P35" s="1"/>
      <c r="R35" t="s">
        <v>14</v>
      </c>
    </row>
    <row r="36" spans="2:19" x14ac:dyDescent="0.2">
      <c r="B36" t="s">
        <v>27</v>
      </c>
      <c r="C36">
        <v>0</v>
      </c>
      <c r="O36" t="s">
        <v>15</v>
      </c>
      <c r="P36" s="1"/>
      <c r="R36" t="s">
        <v>15</v>
      </c>
    </row>
    <row r="37" spans="2:19" x14ac:dyDescent="0.2">
      <c r="B37" t="s">
        <v>28</v>
      </c>
      <c r="C37">
        <v>0</v>
      </c>
      <c r="O37" t="s">
        <v>16</v>
      </c>
      <c r="P37" s="1"/>
      <c r="R37" t="s">
        <v>16</v>
      </c>
    </row>
    <row r="38" spans="2:19" x14ac:dyDescent="0.2">
      <c r="B38" t="s">
        <v>29</v>
      </c>
      <c r="C38">
        <v>0</v>
      </c>
      <c r="O38" t="s">
        <v>17</v>
      </c>
      <c r="R38" t="s">
        <v>17</v>
      </c>
    </row>
    <row r="39" spans="2:19" x14ac:dyDescent="0.2">
      <c r="B39" t="s">
        <v>30</v>
      </c>
      <c r="C39">
        <v>1</v>
      </c>
    </row>
    <row r="40" spans="2:19" x14ac:dyDescent="0.2">
      <c r="B40" t="s">
        <v>31</v>
      </c>
      <c r="C40">
        <v>1.5</v>
      </c>
      <c r="R40" t="s">
        <v>75</v>
      </c>
    </row>
    <row r="41" spans="2:19" x14ac:dyDescent="0.2">
      <c r="B41" t="s">
        <v>32</v>
      </c>
      <c r="C41">
        <v>1.5</v>
      </c>
      <c r="R41" t="s">
        <v>76</v>
      </c>
      <c r="S41">
        <f>(0.000005)/0.1</f>
        <v>5.0000000000000002E-5</v>
      </c>
    </row>
    <row r="42" spans="2:19" x14ac:dyDescent="0.2">
      <c r="B42" t="s">
        <v>33</v>
      </c>
      <c r="C42">
        <v>1.5</v>
      </c>
      <c r="R42" t="s">
        <v>4</v>
      </c>
      <c r="S42">
        <f>1110000/(100000000000)</f>
        <v>1.11E-5</v>
      </c>
    </row>
    <row r="43" spans="2:19" x14ac:dyDescent="0.2">
      <c r="B43" t="s">
        <v>34</v>
      </c>
      <c r="C43">
        <v>1.5</v>
      </c>
      <c r="R43" t="s">
        <v>77</v>
      </c>
      <c r="S43">
        <v>6</v>
      </c>
    </row>
    <row r="44" spans="2:19" x14ac:dyDescent="0.2">
      <c r="B44" t="s">
        <v>35</v>
      </c>
      <c r="C44">
        <v>1.5</v>
      </c>
    </row>
    <row r="45" spans="2:19" x14ac:dyDescent="0.2">
      <c r="B45" t="s">
        <v>36</v>
      </c>
      <c r="C45">
        <v>1.5</v>
      </c>
      <c r="R45" t="s">
        <v>78</v>
      </c>
      <c r="S45">
        <v>10</v>
      </c>
    </row>
    <row r="46" spans="2:19" x14ac:dyDescent="0.2">
      <c r="B46" t="s">
        <v>37</v>
      </c>
      <c r="C46">
        <v>873</v>
      </c>
    </row>
    <row r="47" spans="2:19" x14ac:dyDescent="0.2">
      <c r="B47" t="s">
        <v>38</v>
      </c>
      <c r="C47">
        <v>0</v>
      </c>
    </row>
    <row r="48" spans="2:19" x14ac:dyDescent="0.2">
      <c r="B48" t="s">
        <v>39</v>
      </c>
      <c r="C48">
        <v>0</v>
      </c>
    </row>
    <row r="49" spans="2:3" x14ac:dyDescent="0.2">
      <c r="B49" t="s">
        <v>40</v>
      </c>
      <c r="C49">
        <v>0</v>
      </c>
    </row>
    <row r="50" spans="2:3" x14ac:dyDescent="0.2">
      <c r="B50" t="s">
        <v>41</v>
      </c>
      <c r="C50">
        <v>0</v>
      </c>
    </row>
    <row r="51" spans="2:3" x14ac:dyDescent="0.2">
      <c r="B51" t="s">
        <v>42</v>
      </c>
      <c r="C5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W. Beeler</dc:creator>
  <cp:lastModifiedBy>Benjamin W. Beeler</cp:lastModifiedBy>
  <dcterms:created xsi:type="dcterms:W3CDTF">2026-08-14T17:39:52Z</dcterms:created>
  <dcterms:modified xsi:type="dcterms:W3CDTF">2026-08-18T01:57:56Z</dcterms:modified>
</cp:coreProperties>
</file>